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8827"/>
  <workbookPr dateCompatibility="0"/>
  <mc:AlternateContent xmlns:mc="http://schemas.openxmlformats.org/markup-compatibility/2006">
    <mc:Choice Requires="x15">
      <x15ac:absPath xmlns:x15ac="http://schemas.microsoft.com/office/spreadsheetml/2010/11/ac" url="C:\Users\th_manos\Desktop\Dev\Docker Projects\GIT_Np\Quantifarm\cost-benefit-calculator\volume\fastapi-app\app\resources\data\"/>
    </mc:Choice>
  </mc:AlternateContent>
  <xr:revisionPtr revIDLastSave="0" documentId="13_ncr:9_{51DB06C6-56A3-47D1-8264-3797335E9DC9}" xr6:coauthVersionLast="47" xr6:coauthVersionMax="47" xr10:uidLastSave="{00000000-0000-0000-0000-000000000000}"/>
  <bookViews>
    <workbookView xWindow="-120" yWindow="-120" windowWidth="29040" windowHeight="15720" activeTab="2" xr2:uid="{00000000-000D-0000-FFFF-FFFF00000000}"/>
  </bookViews>
  <sheets>
    <sheet name="Crop TC DATS" sheetId="1" r:id="rId1"/>
    <sheet name="new_crop_output" sheetId="3" r:id="rId2"/>
    <sheet name="Livestock TC DATS " sheetId="2" r:id="rId3"/>
  </sheet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BD28" i="3" l="1"/>
  <c r="BA28" i="3"/>
  <c r="AX28" i="3"/>
  <c r="AS28" i="3"/>
  <c r="AT28" i="3" s="1"/>
  <c r="AU28" i="3" s="1"/>
  <c r="AR28" i="3"/>
  <c r="AL28" i="3"/>
  <c r="AM28" i="3" s="1"/>
  <c r="AN28" i="3" s="1"/>
  <c r="AK28" i="3"/>
  <c r="AE28" i="3"/>
  <c r="AF28" i="3" s="1"/>
  <c r="AG28" i="3" s="1"/>
  <c r="AD28" i="3"/>
  <c r="X28" i="3"/>
  <c r="Y28" i="3" s="1"/>
  <c r="W28" i="3"/>
  <c r="S28" i="3"/>
  <c r="BD27" i="3"/>
  <c r="BA27" i="3"/>
  <c r="AX27" i="3"/>
  <c r="AS27" i="3"/>
  <c r="AT27" i="3" s="1"/>
  <c r="AU27" i="3" s="1"/>
  <c r="AR27" i="3"/>
  <c r="AL27" i="3"/>
  <c r="AM27" i="3" s="1"/>
  <c r="AN27" i="3" s="1"/>
  <c r="AK27" i="3"/>
  <c r="AE27" i="3"/>
  <c r="AF27" i="3" s="1"/>
  <c r="AG27" i="3" s="1"/>
  <c r="AD27" i="3"/>
  <c r="X27" i="3"/>
  <c r="Y27" i="3" s="1"/>
  <c r="W27" i="3"/>
  <c r="S27" i="3"/>
  <c r="BD26" i="3"/>
  <c r="BA26" i="3"/>
  <c r="AX26" i="3"/>
  <c r="AS26" i="3"/>
  <c r="AT26" i="3" s="1"/>
  <c r="AU26" i="3" s="1"/>
  <c r="AR26" i="3"/>
  <c r="AL26" i="3"/>
  <c r="AM26" i="3" s="1"/>
  <c r="AN26" i="3" s="1"/>
  <c r="AK26" i="3"/>
  <c r="AE26" i="3"/>
  <c r="AF26" i="3" s="1"/>
  <c r="AG26" i="3" s="1"/>
  <c r="AD26" i="3"/>
  <c r="X26" i="3"/>
  <c r="Y26" i="3" s="1"/>
  <c r="W26" i="3"/>
  <c r="S26" i="3"/>
  <c r="BD25" i="3"/>
  <c r="BA25" i="3"/>
  <c r="AX25" i="3"/>
  <c r="AS25" i="3"/>
  <c r="AT25" i="3" s="1"/>
  <c r="AU25" i="3" s="1"/>
  <c r="AR25" i="3"/>
  <c r="AL25" i="3"/>
  <c r="AM25" i="3" s="1"/>
  <c r="AN25" i="3" s="1"/>
  <c r="AK25" i="3"/>
  <c r="AE25" i="3"/>
  <c r="AF25" i="3" s="1"/>
  <c r="AG25" i="3" s="1"/>
  <c r="AD25" i="3"/>
  <c r="X25" i="3"/>
  <c r="Y25" i="3" s="1"/>
  <c r="Z25" i="3" s="1"/>
  <c r="W25" i="3"/>
  <c r="S25" i="3"/>
  <c r="BD24" i="3"/>
  <c r="BA24" i="3"/>
  <c r="AX24" i="3"/>
  <c r="AS24" i="3"/>
  <c r="AT24" i="3" s="1"/>
  <c r="AU24" i="3" s="1"/>
  <c r="AR24" i="3"/>
  <c r="AL24" i="3"/>
  <c r="AM24" i="3" s="1"/>
  <c r="AN24" i="3" s="1"/>
  <c r="AK24" i="3"/>
  <c r="AE24" i="3"/>
  <c r="AF24" i="3" s="1"/>
  <c r="AG24" i="3" s="1"/>
  <c r="AD24" i="3"/>
  <c r="X24" i="3"/>
  <c r="Y24" i="3" s="1"/>
  <c r="W24" i="3"/>
  <c r="S24" i="3"/>
  <c r="BD23" i="3"/>
  <c r="BA23" i="3"/>
  <c r="AX23" i="3"/>
  <c r="AT23" i="3"/>
  <c r="AU23" i="3" s="1"/>
  <c r="AS23" i="3"/>
  <c r="AR23" i="3"/>
  <c r="AL23" i="3"/>
  <c r="AM23" i="3" s="1"/>
  <c r="AN23" i="3" s="1"/>
  <c r="AK23" i="3"/>
  <c r="AE23" i="3"/>
  <c r="AF23" i="3" s="1"/>
  <c r="AG23" i="3" s="1"/>
  <c r="AD23" i="3"/>
  <c r="X23" i="3"/>
  <c r="Y23" i="3" s="1"/>
  <c r="Z23" i="3" s="1"/>
  <c r="W23" i="3"/>
  <c r="S23" i="3"/>
  <c r="BD22" i="3"/>
  <c r="BA22" i="3"/>
  <c r="AX22" i="3"/>
  <c r="AS22" i="3"/>
  <c r="AT22" i="3" s="1"/>
  <c r="AU22" i="3" s="1"/>
  <c r="AR22" i="3"/>
  <c r="AL22" i="3"/>
  <c r="AM22" i="3" s="1"/>
  <c r="AN22" i="3" s="1"/>
  <c r="AK22" i="3"/>
  <c r="AE22" i="3"/>
  <c r="AF22" i="3" s="1"/>
  <c r="AG22" i="3" s="1"/>
  <c r="AD22" i="3"/>
  <c r="X22" i="3"/>
  <c r="Y22" i="3" s="1"/>
  <c r="W22" i="3"/>
  <c r="S22" i="3"/>
  <c r="BD21" i="3"/>
  <c r="BA21" i="3"/>
  <c r="AX21" i="3"/>
  <c r="AS21" i="3"/>
  <c r="AT21" i="3" s="1"/>
  <c r="AU21" i="3" s="1"/>
  <c r="AR21" i="3"/>
  <c r="AL21" i="3"/>
  <c r="AM21" i="3" s="1"/>
  <c r="AN21" i="3" s="1"/>
  <c r="AK21" i="3"/>
  <c r="AE21" i="3"/>
  <c r="AF21" i="3" s="1"/>
  <c r="AG21" i="3" s="1"/>
  <c r="AD21" i="3"/>
  <c r="X21" i="3"/>
  <c r="Y21" i="3" s="1"/>
  <c r="W21" i="3"/>
  <c r="S21" i="3"/>
  <c r="BD20" i="3"/>
  <c r="BA20" i="3"/>
  <c r="AX20" i="3"/>
  <c r="AS20" i="3"/>
  <c r="AT20" i="3" s="1"/>
  <c r="AU20" i="3" s="1"/>
  <c r="AR20" i="3"/>
  <c r="AL20" i="3"/>
  <c r="AM20" i="3" s="1"/>
  <c r="AN20" i="3" s="1"/>
  <c r="AK20" i="3"/>
  <c r="AE20" i="3"/>
  <c r="AF20" i="3" s="1"/>
  <c r="AG20" i="3" s="1"/>
  <c r="AD20" i="3"/>
  <c r="X20" i="3"/>
  <c r="Y20" i="3" s="1"/>
  <c r="W20" i="3"/>
  <c r="S20" i="3"/>
  <c r="BD19" i="3"/>
  <c r="BA19" i="3"/>
  <c r="AX19" i="3"/>
  <c r="AS19" i="3"/>
  <c r="AT19" i="3" s="1"/>
  <c r="AU19" i="3" s="1"/>
  <c r="AR19" i="3"/>
  <c r="AL19" i="3"/>
  <c r="AM19" i="3" s="1"/>
  <c r="AN19" i="3" s="1"/>
  <c r="AK19" i="3"/>
  <c r="AF19" i="3"/>
  <c r="AG19" i="3" s="1"/>
  <c r="AE19" i="3"/>
  <c r="AD19" i="3"/>
  <c r="X19" i="3"/>
  <c r="Y19" i="3" s="1"/>
  <c r="W19" i="3"/>
  <c r="S19" i="3"/>
  <c r="BD18" i="3"/>
  <c r="BA18" i="3"/>
  <c r="AX18" i="3"/>
  <c r="AS18" i="3"/>
  <c r="AT18" i="3" s="1"/>
  <c r="AU18" i="3" s="1"/>
  <c r="AR18" i="3"/>
  <c r="AL18" i="3"/>
  <c r="AM18" i="3" s="1"/>
  <c r="AN18" i="3" s="1"/>
  <c r="AK18" i="3"/>
  <c r="AF18" i="3"/>
  <c r="AG18" i="3" s="1"/>
  <c r="AE18" i="3"/>
  <c r="AD18" i="3"/>
  <c r="X18" i="3"/>
  <c r="Y18" i="3" s="1"/>
  <c r="W18" i="3"/>
  <c r="S18" i="3"/>
  <c r="BD17" i="3"/>
  <c r="BA17" i="3"/>
  <c r="AX17" i="3"/>
  <c r="AS17" i="3"/>
  <c r="AT17" i="3" s="1"/>
  <c r="AU17" i="3" s="1"/>
  <c r="AR17" i="3"/>
  <c r="AL17" i="3"/>
  <c r="AM17" i="3" s="1"/>
  <c r="AN17" i="3" s="1"/>
  <c r="AK17" i="3"/>
  <c r="AE17" i="3"/>
  <c r="AF17" i="3" s="1"/>
  <c r="AG17" i="3" s="1"/>
  <c r="AD17" i="3"/>
  <c r="X17" i="3"/>
  <c r="Y17" i="3" s="1"/>
  <c r="Z17" i="3" s="1"/>
  <c r="W17" i="3"/>
  <c r="S17" i="3"/>
  <c r="BD16" i="3"/>
  <c r="BA16" i="3"/>
  <c r="AX16" i="3"/>
  <c r="AS16" i="3"/>
  <c r="AT16" i="3" s="1"/>
  <c r="AU16" i="3" s="1"/>
  <c r="AR16" i="3"/>
  <c r="AL16" i="3"/>
  <c r="AM16" i="3" s="1"/>
  <c r="AN16" i="3" s="1"/>
  <c r="AK16" i="3"/>
  <c r="AE16" i="3"/>
  <c r="AF16" i="3" s="1"/>
  <c r="AG16" i="3" s="1"/>
  <c r="AD16" i="3"/>
  <c r="X16" i="3"/>
  <c r="Y16" i="3" s="1"/>
  <c r="W16" i="3"/>
  <c r="S16" i="3"/>
  <c r="BD15" i="3"/>
  <c r="BA15" i="3"/>
  <c r="AX15" i="3"/>
  <c r="AT15" i="3"/>
  <c r="AU15" i="3" s="1"/>
  <c r="AS15" i="3"/>
  <c r="AR15" i="3"/>
  <c r="AL15" i="3"/>
  <c r="AM15" i="3" s="1"/>
  <c r="AN15" i="3" s="1"/>
  <c r="AK15" i="3"/>
  <c r="AE15" i="3"/>
  <c r="AF15" i="3" s="1"/>
  <c r="AG15" i="3" s="1"/>
  <c r="AD15" i="3"/>
  <c r="X15" i="3"/>
  <c r="Y15" i="3" s="1"/>
  <c r="W15" i="3"/>
  <c r="S15" i="3"/>
  <c r="BF15" i="3" s="1"/>
  <c r="BD14" i="3"/>
  <c r="BA14" i="3"/>
  <c r="AX14" i="3"/>
  <c r="AS14" i="3"/>
  <c r="AT14" i="3" s="1"/>
  <c r="AU14" i="3" s="1"/>
  <c r="AR14" i="3"/>
  <c r="AL14" i="3"/>
  <c r="AM14" i="3" s="1"/>
  <c r="AN14" i="3" s="1"/>
  <c r="AK14" i="3"/>
  <c r="AF14" i="3"/>
  <c r="AG14" i="3" s="1"/>
  <c r="AE14" i="3"/>
  <c r="AD14" i="3"/>
  <c r="X14" i="3"/>
  <c r="Y14" i="3" s="1"/>
  <c r="W14" i="3"/>
  <c r="S14" i="3"/>
  <c r="BF14" i="3" s="1"/>
  <c r="BD13" i="3"/>
  <c r="BA13" i="3"/>
  <c r="AX13" i="3"/>
  <c r="AS13" i="3"/>
  <c r="AT13" i="3" s="1"/>
  <c r="AU13" i="3" s="1"/>
  <c r="AR13" i="3"/>
  <c r="AL13" i="3"/>
  <c r="AM13" i="3" s="1"/>
  <c r="AN13" i="3" s="1"/>
  <c r="AK13" i="3"/>
  <c r="AE13" i="3"/>
  <c r="AF13" i="3" s="1"/>
  <c r="AG13" i="3" s="1"/>
  <c r="AD13" i="3"/>
  <c r="X13" i="3"/>
  <c r="Y13" i="3" s="1"/>
  <c r="W13" i="3"/>
  <c r="S13" i="3"/>
  <c r="BF13" i="3" s="1"/>
  <c r="BD12" i="3"/>
  <c r="BA12" i="3"/>
  <c r="AX12" i="3"/>
  <c r="AS12" i="3"/>
  <c r="AT12" i="3" s="1"/>
  <c r="AU12" i="3" s="1"/>
  <c r="AR12" i="3"/>
  <c r="AL12" i="3"/>
  <c r="AM12" i="3" s="1"/>
  <c r="AN12" i="3" s="1"/>
  <c r="AK12" i="3"/>
  <c r="AE12" i="3"/>
  <c r="AF12" i="3" s="1"/>
  <c r="AG12" i="3" s="1"/>
  <c r="AD12" i="3"/>
  <c r="X12" i="3"/>
  <c r="Y12" i="3" s="1"/>
  <c r="W12" i="3"/>
  <c r="S12" i="3"/>
  <c r="BD11" i="3"/>
  <c r="BA11" i="3"/>
  <c r="AX11" i="3"/>
  <c r="AS11" i="3"/>
  <c r="AT11" i="3" s="1"/>
  <c r="AU11" i="3" s="1"/>
  <c r="AR11" i="3"/>
  <c r="AL11" i="3"/>
  <c r="AM11" i="3" s="1"/>
  <c r="AN11" i="3" s="1"/>
  <c r="AK11" i="3"/>
  <c r="AE11" i="3"/>
  <c r="AF11" i="3" s="1"/>
  <c r="AG11" i="3" s="1"/>
  <c r="AD11" i="3"/>
  <c r="Y11" i="3"/>
  <c r="Z11" i="3" s="1"/>
  <c r="X11" i="3"/>
  <c r="W11" i="3"/>
  <c r="S11" i="3"/>
  <c r="BD10" i="3"/>
  <c r="BA10" i="3"/>
  <c r="AX10" i="3"/>
  <c r="AS10" i="3"/>
  <c r="AT10" i="3" s="1"/>
  <c r="AU10" i="3" s="1"/>
  <c r="AR10" i="3"/>
  <c r="AL10" i="3"/>
  <c r="AM10" i="3" s="1"/>
  <c r="AN10" i="3" s="1"/>
  <c r="AK10" i="3"/>
  <c r="AE10" i="3"/>
  <c r="AF10" i="3" s="1"/>
  <c r="AG10" i="3" s="1"/>
  <c r="AD10" i="3"/>
  <c r="X10" i="3"/>
  <c r="Y10" i="3" s="1"/>
  <c r="W10" i="3"/>
  <c r="S10" i="3"/>
  <c r="BD9" i="3"/>
  <c r="BA9" i="3"/>
  <c r="AX9" i="3"/>
  <c r="AS9" i="3"/>
  <c r="AT9" i="3" s="1"/>
  <c r="AU9" i="3" s="1"/>
  <c r="AR9" i="3"/>
  <c r="AL9" i="3"/>
  <c r="AM9" i="3" s="1"/>
  <c r="AN9" i="3" s="1"/>
  <c r="AK9" i="3"/>
  <c r="AE9" i="3"/>
  <c r="AF9" i="3" s="1"/>
  <c r="AG9" i="3" s="1"/>
  <c r="AD9" i="3"/>
  <c r="X9" i="3"/>
  <c r="Y9" i="3" s="1"/>
  <c r="W9" i="3"/>
  <c r="S9" i="3"/>
  <c r="BD8" i="3"/>
  <c r="BA8" i="3"/>
  <c r="AX8" i="3"/>
  <c r="AS8" i="3"/>
  <c r="AT8" i="3" s="1"/>
  <c r="AU8" i="3" s="1"/>
  <c r="AR8" i="3"/>
  <c r="AL8" i="3"/>
  <c r="AM8" i="3" s="1"/>
  <c r="AN8" i="3" s="1"/>
  <c r="AK8" i="3"/>
  <c r="AE8" i="3"/>
  <c r="AF8" i="3" s="1"/>
  <c r="AG8" i="3" s="1"/>
  <c r="AD8" i="3"/>
  <c r="X8" i="3"/>
  <c r="Y8" i="3" s="1"/>
  <c r="W8" i="3"/>
  <c r="S8" i="3"/>
  <c r="BD7" i="3"/>
  <c r="BA7" i="3"/>
  <c r="AX7" i="3"/>
  <c r="AS7" i="3"/>
  <c r="AT7" i="3" s="1"/>
  <c r="AU7" i="3" s="1"/>
  <c r="AR7" i="3"/>
  <c r="AL7" i="3"/>
  <c r="AM7" i="3" s="1"/>
  <c r="AN7" i="3" s="1"/>
  <c r="AK7" i="3"/>
  <c r="AE7" i="3"/>
  <c r="AF7" i="3" s="1"/>
  <c r="AG7" i="3" s="1"/>
  <c r="AD7" i="3"/>
  <c r="X7" i="3"/>
  <c r="Y7" i="3" s="1"/>
  <c r="W7" i="3"/>
  <c r="S7" i="3"/>
  <c r="BD6" i="3"/>
  <c r="BA6" i="3"/>
  <c r="AX6" i="3"/>
  <c r="AS6" i="3"/>
  <c r="AT6" i="3" s="1"/>
  <c r="AU6" i="3" s="1"/>
  <c r="AR6" i="3"/>
  <c r="AL6" i="3"/>
  <c r="AM6" i="3" s="1"/>
  <c r="AN6" i="3" s="1"/>
  <c r="AK6" i="3"/>
  <c r="AE6" i="3"/>
  <c r="AF6" i="3" s="1"/>
  <c r="AG6" i="3" s="1"/>
  <c r="AD6" i="3"/>
  <c r="X6" i="3"/>
  <c r="Y6" i="3" s="1"/>
  <c r="W6" i="3"/>
  <c r="S6" i="3"/>
  <c r="BD5" i="3"/>
  <c r="BA5" i="3"/>
  <c r="AX5" i="3"/>
  <c r="AS5" i="3"/>
  <c r="AT5" i="3" s="1"/>
  <c r="AU5" i="3" s="1"/>
  <c r="AR5" i="3"/>
  <c r="AL5" i="3"/>
  <c r="AM5" i="3" s="1"/>
  <c r="AN5" i="3" s="1"/>
  <c r="AK5" i="3"/>
  <c r="AE5" i="3"/>
  <c r="AF5" i="3" s="1"/>
  <c r="AG5" i="3" s="1"/>
  <c r="AD5" i="3"/>
  <c r="X5" i="3"/>
  <c r="Y5" i="3" s="1"/>
  <c r="W5" i="3"/>
  <c r="S5" i="3"/>
  <c r="BF5" i="3" s="1"/>
  <c r="BD4" i="3"/>
  <c r="BA4" i="3"/>
  <c r="AX4" i="3"/>
  <c r="AS4" i="3"/>
  <c r="AT4" i="3" s="1"/>
  <c r="AU4" i="3" s="1"/>
  <c r="AR4" i="3"/>
  <c r="AL4" i="3"/>
  <c r="AM4" i="3" s="1"/>
  <c r="AN4" i="3" s="1"/>
  <c r="AK4" i="3"/>
  <c r="AE4" i="3"/>
  <c r="AF4" i="3" s="1"/>
  <c r="AG4" i="3" s="1"/>
  <c r="AD4" i="3"/>
  <c r="X4" i="3"/>
  <c r="Y4" i="3" s="1"/>
  <c r="W4" i="3"/>
  <c r="S4" i="3"/>
  <c r="BF4" i="3" s="1"/>
  <c r="BD3" i="3"/>
  <c r="BA3" i="3"/>
  <c r="AX3" i="3"/>
  <c r="AS3" i="3"/>
  <c r="AT3" i="3" s="1"/>
  <c r="AU3" i="3" s="1"/>
  <c r="AR3" i="3"/>
  <c r="AL3" i="3"/>
  <c r="AM3" i="3" s="1"/>
  <c r="AN3" i="3" s="1"/>
  <c r="AK3" i="3"/>
  <c r="AE3" i="3"/>
  <c r="AF3" i="3" s="1"/>
  <c r="AG3" i="3" s="1"/>
  <c r="AD3" i="3"/>
  <c r="X3" i="3"/>
  <c r="Y3" i="3" s="1"/>
  <c r="W3" i="3"/>
  <c r="S3" i="3"/>
  <c r="BD2" i="3"/>
  <c r="BA2" i="3"/>
  <c r="AX2" i="3"/>
  <c r="AS2" i="3"/>
  <c r="AT2" i="3" s="1"/>
  <c r="AU2" i="3" s="1"/>
  <c r="AR2" i="3"/>
  <c r="AL2" i="3"/>
  <c r="AM2" i="3" s="1"/>
  <c r="AN2" i="3" s="1"/>
  <c r="AK2" i="3"/>
  <c r="AE2" i="3"/>
  <c r="AF2" i="3" s="1"/>
  <c r="AG2" i="3" s="1"/>
  <c r="AD2" i="3"/>
  <c r="X2" i="3"/>
  <c r="Y2" i="3" s="1"/>
  <c r="W2" i="3"/>
  <c r="S2" i="3"/>
  <c r="Z15" i="3" l="1"/>
  <c r="Z26" i="3"/>
  <c r="Z7" i="3"/>
  <c r="Z9" i="3"/>
  <c r="Z14" i="3"/>
  <c r="Z21" i="3"/>
  <c r="Z3" i="3"/>
  <c r="BE3" i="3" s="1"/>
  <c r="BG3" i="3" s="1"/>
  <c r="BH3" i="3" s="1"/>
  <c r="Z19" i="3"/>
  <c r="Z27" i="3"/>
  <c r="Z5" i="3"/>
  <c r="Z13" i="3"/>
  <c r="Z20" i="3"/>
  <c r="Z24" i="3"/>
  <c r="Z16" i="3"/>
  <c r="Z28" i="3"/>
  <c r="Z2" i="3"/>
  <c r="Z6" i="3"/>
  <c r="Z10" i="3"/>
  <c r="Z22" i="3"/>
  <c r="BE22" i="3" s="1"/>
  <c r="BG22" i="3" s="1"/>
  <c r="BH22" i="3" s="1"/>
  <c r="Z4" i="3"/>
  <c r="Z8" i="3"/>
  <c r="Z12" i="3"/>
  <c r="Z18" i="3"/>
  <c r="BE4" i="3"/>
  <c r="BG4" i="3" s="1"/>
  <c r="BH4" i="3" s="1"/>
  <c r="BE11" i="3"/>
  <c r="BG11" i="3" s="1"/>
  <c r="BH11" i="3" s="1"/>
  <c r="R5" i="3"/>
  <c r="R9" i="3"/>
  <c r="BE9" i="3" s="1"/>
  <c r="R13" i="3"/>
  <c r="BE13" i="3" s="1"/>
  <c r="BG13" i="3" s="1"/>
  <c r="BH13" i="3" s="1"/>
  <c r="R17" i="3"/>
  <c r="BE17" i="3" s="1"/>
  <c r="R21" i="3"/>
  <c r="BE21" i="3" s="1"/>
  <c r="R25" i="3"/>
  <c r="BE25" i="3" s="1"/>
  <c r="R2" i="3"/>
  <c r="BE2" i="3" s="1"/>
  <c r="R6" i="3"/>
  <c r="R10" i="3"/>
  <c r="BE10" i="3" s="1"/>
  <c r="R14" i="3"/>
  <c r="R18" i="3"/>
  <c r="BE18" i="3" s="1"/>
  <c r="R22" i="3"/>
  <c r="R26" i="3"/>
  <c r="BE26" i="3" s="1"/>
  <c r="R3" i="3"/>
  <c r="R7" i="3"/>
  <c r="BE7" i="3" s="1"/>
  <c r="BG7" i="3" s="1"/>
  <c r="BH7" i="3" s="1"/>
  <c r="R11" i="3"/>
  <c r="R15" i="3"/>
  <c r="BE15" i="3" s="1"/>
  <c r="BG15" i="3" s="1"/>
  <c r="BH15" i="3" s="1"/>
  <c r="R19" i="3"/>
  <c r="BE19" i="3" s="1"/>
  <c r="R23" i="3"/>
  <c r="BE23" i="3" s="1"/>
  <c r="R27" i="3"/>
  <c r="R4" i="3"/>
  <c r="R8" i="3"/>
  <c r="R12" i="3"/>
  <c r="R16" i="3"/>
  <c r="BE16" i="3" s="1"/>
  <c r="R20" i="3"/>
  <c r="R24" i="3"/>
  <c r="R28" i="3"/>
  <c r="BE28" i="3" s="1"/>
  <c r="BG19" i="3" l="1"/>
  <c r="BH19" i="3" s="1"/>
  <c r="BF19" i="3"/>
  <c r="BE24" i="3"/>
  <c r="BG24" i="3" s="1"/>
  <c r="BH24" i="3" s="1"/>
  <c r="BE20" i="3"/>
  <c r="BG20" i="3" s="1"/>
  <c r="BH20" i="3" s="1"/>
  <c r="BE5" i="3"/>
  <c r="BG5" i="3" s="1"/>
  <c r="BH5" i="3" s="1"/>
  <c r="BE27" i="3"/>
  <c r="BE14" i="3"/>
  <c r="BG14" i="3" s="1"/>
  <c r="BH14" i="3" s="1"/>
  <c r="BE6" i="3"/>
  <c r="BF11" i="3"/>
  <c r="BE8" i="3"/>
  <c r="BF8" i="3" s="1"/>
  <c r="BE12" i="3"/>
  <c r="BF12" i="3" s="1"/>
  <c r="BG28" i="3"/>
  <c r="BH28" i="3" s="1"/>
  <c r="BF28" i="3"/>
  <c r="BG2" i="3"/>
  <c r="BH2" i="3" s="1"/>
  <c r="BF2" i="3"/>
  <c r="BG25" i="3"/>
  <c r="BH25" i="3" s="1"/>
  <c r="BF25" i="3"/>
  <c r="BG6" i="3"/>
  <c r="BH6" i="3" s="1"/>
  <c r="BF6" i="3"/>
  <c r="BG16" i="3"/>
  <c r="BH16" i="3" s="1"/>
  <c r="BF16" i="3"/>
  <c r="BF20" i="3"/>
  <c r="BG26" i="3"/>
  <c r="BH26" i="3" s="1"/>
  <c r="BF26" i="3"/>
  <c r="BG21" i="3"/>
  <c r="BH21" i="3" s="1"/>
  <c r="BF21" i="3"/>
  <c r="BG23" i="3"/>
  <c r="BH23" i="3" s="1"/>
  <c r="BF23" i="3"/>
  <c r="BG10" i="3"/>
  <c r="BH10" i="3" s="1"/>
  <c r="BF10" i="3"/>
  <c r="BG17" i="3"/>
  <c r="BH17" i="3" s="1"/>
  <c r="BF17" i="3"/>
  <c r="BG9" i="3"/>
  <c r="BH9" i="3" s="1"/>
  <c r="BF9" i="3"/>
  <c r="BG27" i="3"/>
  <c r="BH27" i="3" s="1"/>
  <c r="BF27" i="3"/>
  <c r="BG18" i="3"/>
  <c r="BH18" i="3" s="1"/>
  <c r="BF18" i="3"/>
  <c r="BF22" i="3"/>
  <c r="BF7" i="3"/>
  <c r="BF24" i="3"/>
  <c r="BF3" i="3"/>
  <c r="BG8" i="3" l="1"/>
  <c r="BH8" i="3" s="1"/>
  <c r="BG12" i="3"/>
  <c r="BH12" i="3" s="1"/>
  <c r="BT11" i="2"/>
  <c r="BQ11" i="2"/>
  <c r="BN11" i="2"/>
  <c r="BK11" i="2"/>
  <c r="BH11" i="2"/>
  <c r="BE11" i="2"/>
  <c r="BA11" i="2"/>
  <c r="BB11" i="2" s="1"/>
  <c r="AU11" i="2"/>
  <c r="AV11" i="2" s="1"/>
  <c r="AT11" i="2"/>
  <c r="AN11" i="2"/>
  <c r="AO11" i="2" s="1"/>
  <c r="AP11" i="2" s="1"/>
  <c r="AM11" i="2"/>
  <c r="AG11" i="2"/>
  <c r="AH11" i="2" s="1"/>
  <c r="AF11" i="2"/>
  <c r="Z11" i="2"/>
  <c r="AA11" i="2" s="1"/>
  <c r="AB11" i="2" s="1"/>
  <c r="Y11" i="2"/>
  <c r="U11" i="2"/>
  <c r="T11" i="2" s="1"/>
  <c r="BT10" i="2"/>
  <c r="BQ10" i="2"/>
  <c r="BN10" i="2"/>
  <c r="BK10" i="2"/>
  <c r="BH10" i="2"/>
  <c r="BE10" i="2"/>
  <c r="BA10" i="2"/>
  <c r="BB10" i="2" s="1"/>
  <c r="AU10" i="2"/>
  <c r="AV10" i="2" s="1"/>
  <c r="AW10" i="2" s="1"/>
  <c r="AT10" i="2"/>
  <c r="AN10" i="2"/>
  <c r="AO10" i="2" s="1"/>
  <c r="AM10" i="2"/>
  <c r="AG10" i="2"/>
  <c r="AH10" i="2" s="1"/>
  <c r="AI10" i="2" s="1"/>
  <c r="AF10" i="2"/>
  <c r="Z10" i="2"/>
  <c r="AA10" i="2" s="1"/>
  <c r="AB10" i="2" s="1"/>
  <c r="Y10" i="2"/>
  <c r="U10" i="2"/>
  <c r="T10" i="2" s="1"/>
  <c r="BT9" i="2"/>
  <c r="BQ9" i="2"/>
  <c r="BN9" i="2"/>
  <c r="BK9" i="2"/>
  <c r="BH9" i="2"/>
  <c r="BE9" i="2"/>
  <c r="BA9" i="2"/>
  <c r="BB9" i="2" s="1"/>
  <c r="AU9" i="2"/>
  <c r="AV9" i="2" s="1"/>
  <c r="AT9" i="2"/>
  <c r="AN9" i="2"/>
  <c r="AO9" i="2" s="1"/>
  <c r="AP9" i="2" s="1"/>
  <c r="AM9" i="2"/>
  <c r="AG9" i="2"/>
  <c r="AH9" i="2" s="1"/>
  <c r="AF9" i="2"/>
  <c r="Z9" i="2"/>
  <c r="AA9" i="2" s="1"/>
  <c r="Y9" i="2"/>
  <c r="U9" i="2"/>
  <c r="T9" i="2" s="1"/>
  <c r="BT8" i="2"/>
  <c r="BQ8" i="2"/>
  <c r="BN8" i="2"/>
  <c r="BK8" i="2"/>
  <c r="BH8" i="2"/>
  <c r="BE8" i="2"/>
  <c r="BA8" i="2"/>
  <c r="BB8" i="2" s="1"/>
  <c r="AU8" i="2"/>
  <c r="AV8" i="2" s="1"/>
  <c r="AW8" i="2" s="1"/>
  <c r="AT8" i="2"/>
  <c r="AN8" i="2"/>
  <c r="AO8" i="2" s="1"/>
  <c r="AP8" i="2" s="1"/>
  <c r="AM8" i="2"/>
  <c r="AG8" i="2"/>
  <c r="AH8" i="2" s="1"/>
  <c r="AF8" i="2"/>
  <c r="AA8" i="2"/>
  <c r="AB8" i="2" s="1"/>
  <c r="Z8" i="2"/>
  <c r="Y8" i="2"/>
  <c r="U8" i="2"/>
  <c r="T8" i="2"/>
  <c r="BT7" i="2"/>
  <c r="BQ7" i="2"/>
  <c r="BN7" i="2"/>
  <c r="BK7" i="2"/>
  <c r="BH7" i="2"/>
  <c r="BE7" i="2"/>
  <c r="BA7" i="2"/>
  <c r="BB7" i="2" s="1"/>
  <c r="AU7" i="2"/>
  <c r="AV7" i="2" s="1"/>
  <c r="AT7" i="2"/>
  <c r="AN7" i="2"/>
  <c r="AO7" i="2" s="1"/>
  <c r="AP7" i="2" s="1"/>
  <c r="AM7" i="2"/>
  <c r="AG7" i="2"/>
  <c r="AH7" i="2" s="1"/>
  <c r="AI7" i="2" s="1"/>
  <c r="AF7" i="2"/>
  <c r="Z7" i="2"/>
  <c r="AA7" i="2" s="1"/>
  <c r="Y7" i="2"/>
  <c r="U7" i="2"/>
  <c r="T7" i="2" s="1"/>
  <c r="BT6" i="2"/>
  <c r="BQ6" i="2"/>
  <c r="BN6" i="2"/>
  <c r="BK6" i="2"/>
  <c r="BH6" i="2"/>
  <c r="BE6" i="2"/>
  <c r="BA6" i="2"/>
  <c r="BB6" i="2" s="1"/>
  <c r="AU6" i="2"/>
  <c r="AV6" i="2" s="1"/>
  <c r="AT6" i="2"/>
  <c r="AN6" i="2"/>
  <c r="AO6" i="2" s="1"/>
  <c r="AP6" i="2" s="1"/>
  <c r="AM6" i="2"/>
  <c r="AG6" i="2"/>
  <c r="AH6" i="2" s="1"/>
  <c r="AF6" i="2"/>
  <c r="AA6" i="2"/>
  <c r="AB6" i="2" s="1"/>
  <c r="U6" i="2"/>
  <c r="T6" i="2" s="1"/>
  <c r="BT5" i="2"/>
  <c r="BQ5" i="2"/>
  <c r="BN5" i="2"/>
  <c r="BK5" i="2"/>
  <c r="BH5" i="2"/>
  <c r="BE5" i="2"/>
  <c r="BA5" i="2"/>
  <c r="BB5" i="2" s="1"/>
  <c r="AU5" i="2"/>
  <c r="AV5" i="2" s="1"/>
  <c r="AT5" i="2"/>
  <c r="AN5" i="2"/>
  <c r="AO5" i="2" s="1"/>
  <c r="AP5" i="2" s="1"/>
  <c r="AM5" i="2"/>
  <c r="AH5" i="2"/>
  <c r="AI5" i="2" s="1"/>
  <c r="AG5" i="2"/>
  <c r="AF5" i="2"/>
  <c r="Z5" i="2"/>
  <c r="AA5" i="2" s="1"/>
  <c r="AB5" i="2" s="1"/>
  <c r="Y5" i="2"/>
  <c r="U5" i="2"/>
  <c r="BT4" i="2"/>
  <c r="BQ4" i="2"/>
  <c r="BN4" i="2"/>
  <c r="BK4" i="2"/>
  <c r="BH4" i="2"/>
  <c r="BE4" i="2"/>
  <c r="BA4" i="2"/>
  <c r="BB4" i="2" s="1"/>
  <c r="AU4" i="2"/>
  <c r="AV4" i="2" s="1"/>
  <c r="AT4" i="2"/>
  <c r="AN4" i="2"/>
  <c r="AO4" i="2" s="1"/>
  <c r="AM4" i="2"/>
  <c r="AG4" i="2"/>
  <c r="AH4" i="2" s="1"/>
  <c r="AF4" i="2"/>
  <c r="Z4" i="2"/>
  <c r="AA4" i="2" s="1"/>
  <c r="AB4" i="2" s="1"/>
  <c r="Y4" i="2"/>
  <c r="U4" i="2"/>
  <c r="T4" i="2" s="1"/>
  <c r="BT3" i="2"/>
  <c r="BQ3" i="2"/>
  <c r="BN3" i="2"/>
  <c r="BK3" i="2"/>
  <c r="BH3" i="2"/>
  <c r="BE3" i="2"/>
  <c r="BA3" i="2"/>
  <c r="BB3" i="2" s="1"/>
  <c r="AU3" i="2"/>
  <c r="AV3" i="2" s="1"/>
  <c r="AT3" i="2"/>
  <c r="AN3" i="2"/>
  <c r="AO3" i="2" s="1"/>
  <c r="AP3" i="2" s="1"/>
  <c r="AM3" i="2"/>
  <c r="AH3" i="2"/>
  <c r="AI3" i="2" s="1"/>
  <c r="AG3" i="2"/>
  <c r="AF3" i="2"/>
  <c r="Z3" i="2"/>
  <c r="AA3" i="2" s="1"/>
  <c r="AB3" i="2" s="1"/>
  <c r="Y3" i="2"/>
  <c r="U3" i="2"/>
  <c r="BD29" i="1"/>
  <c r="BA29" i="1"/>
  <c r="AX29" i="1"/>
  <c r="AS29" i="1"/>
  <c r="AT29" i="1" s="1"/>
  <c r="AU29" i="1" s="1"/>
  <c r="AR29" i="1"/>
  <c r="AL29" i="1"/>
  <c r="AM29" i="1" s="1"/>
  <c r="AN29" i="1" s="1"/>
  <c r="AK29" i="1"/>
  <c r="AE29" i="1"/>
  <c r="AF29" i="1" s="1"/>
  <c r="AG29" i="1" s="1"/>
  <c r="AD29" i="1"/>
  <c r="X29" i="1"/>
  <c r="Y29" i="1" s="1"/>
  <c r="Z29" i="1" s="1"/>
  <c r="W29" i="1"/>
  <c r="S29" i="1"/>
  <c r="R29" i="1" s="1"/>
  <c r="BD28" i="1"/>
  <c r="BA28" i="1"/>
  <c r="AX28" i="1"/>
  <c r="AS28" i="1"/>
  <c r="AT28" i="1" s="1"/>
  <c r="AU28" i="1" s="1"/>
  <c r="AR28" i="1"/>
  <c r="AL28" i="1"/>
  <c r="AM28" i="1" s="1"/>
  <c r="AN28" i="1" s="1"/>
  <c r="AK28" i="1"/>
  <c r="AE28" i="1"/>
  <c r="AF28" i="1" s="1"/>
  <c r="AG28" i="1" s="1"/>
  <c r="AD28" i="1"/>
  <c r="X28" i="1"/>
  <c r="Y28" i="1" s="1"/>
  <c r="Z28" i="1" s="1"/>
  <c r="W28" i="1"/>
  <c r="S28" i="1"/>
  <c r="R28" i="1" s="1"/>
  <c r="BD27" i="1"/>
  <c r="BA27" i="1"/>
  <c r="AX27" i="1"/>
  <c r="AS27" i="1"/>
  <c r="AT27" i="1" s="1"/>
  <c r="AU27" i="1" s="1"/>
  <c r="AR27" i="1"/>
  <c r="AL27" i="1"/>
  <c r="AM27" i="1" s="1"/>
  <c r="AN27" i="1" s="1"/>
  <c r="AK27" i="1"/>
  <c r="AE27" i="1"/>
  <c r="AF27" i="1" s="1"/>
  <c r="AG27" i="1" s="1"/>
  <c r="AD27" i="1"/>
  <c r="X27" i="1"/>
  <c r="Y27" i="1" s="1"/>
  <c r="W27" i="1"/>
  <c r="S27" i="1"/>
  <c r="R27" i="1"/>
  <c r="BD26" i="1"/>
  <c r="BA26" i="1"/>
  <c r="AX26" i="1"/>
  <c r="AS26" i="1"/>
  <c r="AT26" i="1" s="1"/>
  <c r="AU26" i="1" s="1"/>
  <c r="AR26" i="1"/>
  <c r="AL26" i="1"/>
  <c r="AM26" i="1" s="1"/>
  <c r="AN26" i="1" s="1"/>
  <c r="AK26" i="1"/>
  <c r="AE26" i="1"/>
  <c r="AF26" i="1" s="1"/>
  <c r="AG26" i="1" s="1"/>
  <c r="AD26" i="1"/>
  <c r="X26" i="1"/>
  <c r="Y26" i="1" s="1"/>
  <c r="W26" i="1"/>
  <c r="S26" i="1"/>
  <c r="BD25" i="1"/>
  <c r="BA25" i="1"/>
  <c r="AX25" i="1"/>
  <c r="AS25" i="1"/>
  <c r="AT25" i="1" s="1"/>
  <c r="AU25" i="1" s="1"/>
  <c r="AR25" i="1"/>
  <c r="AL25" i="1"/>
  <c r="AM25" i="1" s="1"/>
  <c r="AN25" i="1" s="1"/>
  <c r="AK25" i="1"/>
  <c r="AE25" i="1"/>
  <c r="AF25" i="1" s="1"/>
  <c r="AG25" i="1" s="1"/>
  <c r="AD25" i="1"/>
  <c r="Y25" i="1"/>
  <c r="X25" i="1"/>
  <c r="W25" i="1"/>
  <c r="S25" i="1"/>
  <c r="R25" i="1" s="1"/>
  <c r="BD24" i="1"/>
  <c r="BA24" i="1"/>
  <c r="AX24" i="1"/>
  <c r="AS24" i="1"/>
  <c r="AT24" i="1" s="1"/>
  <c r="AU24" i="1" s="1"/>
  <c r="AR24" i="1"/>
  <c r="AL24" i="1"/>
  <c r="AM24" i="1" s="1"/>
  <c r="AN24" i="1" s="1"/>
  <c r="AK24" i="1"/>
  <c r="AE24" i="1"/>
  <c r="AF24" i="1" s="1"/>
  <c r="AG24" i="1" s="1"/>
  <c r="AD24" i="1"/>
  <c r="X24" i="1"/>
  <c r="Y24" i="1" s="1"/>
  <c r="W24" i="1"/>
  <c r="S24" i="1"/>
  <c r="R24" i="1" s="1"/>
  <c r="BD23" i="1"/>
  <c r="BA23" i="1"/>
  <c r="AX23" i="1"/>
  <c r="AS23" i="1"/>
  <c r="AT23" i="1" s="1"/>
  <c r="AU23" i="1" s="1"/>
  <c r="AR23" i="1"/>
  <c r="AL23" i="1"/>
  <c r="AM23" i="1" s="1"/>
  <c r="AN23" i="1" s="1"/>
  <c r="AK23" i="1"/>
  <c r="AE23" i="1"/>
  <c r="AF23" i="1" s="1"/>
  <c r="AG23" i="1" s="1"/>
  <c r="AD23" i="1"/>
  <c r="X23" i="1"/>
  <c r="Y23" i="1" s="1"/>
  <c r="W23" i="1"/>
  <c r="S23" i="1"/>
  <c r="R23" i="1"/>
  <c r="BD22" i="1"/>
  <c r="BA22" i="1"/>
  <c r="AX22" i="1"/>
  <c r="AS22" i="1"/>
  <c r="AT22" i="1" s="1"/>
  <c r="AU22" i="1" s="1"/>
  <c r="AR22" i="1"/>
  <c r="AL22" i="1"/>
  <c r="AM22" i="1" s="1"/>
  <c r="AN22" i="1" s="1"/>
  <c r="AK22" i="1"/>
  <c r="AE22" i="1"/>
  <c r="AF22" i="1" s="1"/>
  <c r="AG22" i="1" s="1"/>
  <c r="AD22" i="1"/>
  <c r="X22" i="1"/>
  <c r="Y22" i="1" s="1"/>
  <c r="W22" i="1"/>
  <c r="S22" i="1"/>
  <c r="BD21" i="1"/>
  <c r="BA21" i="1"/>
  <c r="AX21" i="1"/>
  <c r="AS21" i="1"/>
  <c r="AT21" i="1" s="1"/>
  <c r="AU21" i="1" s="1"/>
  <c r="AR21" i="1"/>
  <c r="AL21" i="1"/>
  <c r="AM21" i="1" s="1"/>
  <c r="AN21" i="1" s="1"/>
  <c r="AK21" i="1"/>
  <c r="AE21" i="1"/>
  <c r="AF21" i="1" s="1"/>
  <c r="AG21" i="1" s="1"/>
  <c r="AD21" i="1"/>
  <c r="X21" i="1"/>
  <c r="Y21" i="1" s="1"/>
  <c r="W21" i="1"/>
  <c r="S21" i="1"/>
  <c r="R21" i="1"/>
  <c r="BD20" i="1"/>
  <c r="BA20" i="1"/>
  <c r="AX20" i="1"/>
  <c r="AS20" i="1"/>
  <c r="AT20" i="1" s="1"/>
  <c r="AU20" i="1" s="1"/>
  <c r="AR20" i="1"/>
  <c r="AL20" i="1"/>
  <c r="AM20" i="1" s="1"/>
  <c r="AN20" i="1" s="1"/>
  <c r="AK20" i="1"/>
  <c r="AE20" i="1"/>
  <c r="AF20" i="1" s="1"/>
  <c r="AG20" i="1" s="1"/>
  <c r="AD20" i="1"/>
  <c r="X20" i="1"/>
  <c r="Y20" i="1" s="1"/>
  <c r="W20" i="1"/>
  <c r="S20" i="1"/>
  <c r="R20" i="1" s="1"/>
  <c r="BD19" i="1"/>
  <c r="BA19" i="1"/>
  <c r="AX19" i="1"/>
  <c r="AS19" i="1"/>
  <c r="AT19" i="1" s="1"/>
  <c r="AU19" i="1" s="1"/>
  <c r="AR19" i="1"/>
  <c r="AL19" i="1"/>
  <c r="AM19" i="1" s="1"/>
  <c r="AN19" i="1" s="1"/>
  <c r="AK19" i="1"/>
  <c r="AE19" i="1"/>
  <c r="AF19" i="1" s="1"/>
  <c r="AG19" i="1" s="1"/>
  <c r="AD19" i="1"/>
  <c r="X19" i="1"/>
  <c r="Y19" i="1" s="1"/>
  <c r="W19" i="1"/>
  <c r="S19" i="1"/>
  <c r="R19" i="1" s="1"/>
  <c r="BD18" i="1"/>
  <c r="BA18" i="1"/>
  <c r="AX18" i="1"/>
  <c r="AS18" i="1"/>
  <c r="AT18" i="1" s="1"/>
  <c r="AU18" i="1" s="1"/>
  <c r="AR18" i="1"/>
  <c r="AL18" i="1"/>
  <c r="AM18" i="1" s="1"/>
  <c r="AN18" i="1" s="1"/>
  <c r="AK18" i="1"/>
  <c r="AE18" i="1"/>
  <c r="AF18" i="1" s="1"/>
  <c r="AG18" i="1" s="1"/>
  <c r="AD18" i="1"/>
  <c r="X18" i="1"/>
  <c r="Y18" i="1" s="1"/>
  <c r="W18" i="1"/>
  <c r="S18" i="1"/>
  <c r="BD17" i="1"/>
  <c r="BA17" i="1"/>
  <c r="AX17" i="1"/>
  <c r="AS17" i="1"/>
  <c r="AT17" i="1" s="1"/>
  <c r="AU17" i="1" s="1"/>
  <c r="AR17" i="1"/>
  <c r="AL17" i="1"/>
  <c r="AM17" i="1" s="1"/>
  <c r="AN17" i="1" s="1"/>
  <c r="AK17" i="1"/>
  <c r="AE17" i="1"/>
  <c r="AF17" i="1" s="1"/>
  <c r="AG17" i="1" s="1"/>
  <c r="AD17" i="1"/>
  <c r="X17" i="1"/>
  <c r="Y17" i="1" s="1"/>
  <c r="W17" i="1"/>
  <c r="S17" i="1"/>
  <c r="R17" i="1" s="1"/>
  <c r="BD16" i="1"/>
  <c r="BA16" i="1"/>
  <c r="AX16" i="1"/>
  <c r="AS16" i="1"/>
  <c r="AT16" i="1" s="1"/>
  <c r="AU16" i="1" s="1"/>
  <c r="AR16" i="1"/>
  <c r="AL16" i="1"/>
  <c r="AM16" i="1" s="1"/>
  <c r="AN16" i="1" s="1"/>
  <c r="AK16" i="1"/>
  <c r="AE16" i="1"/>
  <c r="AF16" i="1" s="1"/>
  <c r="AG16" i="1" s="1"/>
  <c r="AD16" i="1"/>
  <c r="X16" i="1"/>
  <c r="Y16" i="1" s="1"/>
  <c r="W16" i="1"/>
  <c r="S16" i="1"/>
  <c r="R16" i="1" s="1"/>
  <c r="BD15" i="1"/>
  <c r="BA15" i="1"/>
  <c r="AX15" i="1"/>
  <c r="AS15" i="1"/>
  <c r="AT15" i="1" s="1"/>
  <c r="AU15" i="1" s="1"/>
  <c r="AR15" i="1"/>
  <c r="AL15" i="1"/>
  <c r="AM15" i="1" s="1"/>
  <c r="AN15" i="1" s="1"/>
  <c r="AK15" i="1"/>
  <c r="AE15" i="1"/>
  <c r="AF15" i="1" s="1"/>
  <c r="AG15" i="1" s="1"/>
  <c r="AD15" i="1"/>
  <c r="X15" i="1"/>
  <c r="Y15" i="1" s="1"/>
  <c r="W15" i="1"/>
  <c r="S15" i="1"/>
  <c r="BF15" i="1" s="1"/>
  <c r="BD14" i="1"/>
  <c r="BA14" i="1"/>
  <c r="AX14" i="1"/>
  <c r="AS14" i="1"/>
  <c r="AT14" i="1" s="1"/>
  <c r="AU14" i="1" s="1"/>
  <c r="AR14" i="1"/>
  <c r="AL14" i="1"/>
  <c r="AM14" i="1" s="1"/>
  <c r="AN14" i="1" s="1"/>
  <c r="AK14" i="1"/>
  <c r="AE14" i="1"/>
  <c r="AF14" i="1" s="1"/>
  <c r="AG14" i="1" s="1"/>
  <c r="AD14" i="1"/>
  <c r="X14" i="1"/>
  <c r="Y14" i="1" s="1"/>
  <c r="W14" i="1"/>
  <c r="S14" i="1"/>
  <c r="BF14" i="1" s="1"/>
  <c r="BD13" i="1"/>
  <c r="BA13" i="1"/>
  <c r="AX13" i="1"/>
  <c r="AS13" i="1"/>
  <c r="AT13" i="1" s="1"/>
  <c r="AU13" i="1" s="1"/>
  <c r="AR13" i="1"/>
  <c r="AL13" i="1"/>
  <c r="AM13" i="1" s="1"/>
  <c r="AN13" i="1" s="1"/>
  <c r="AK13" i="1"/>
  <c r="AE13" i="1"/>
  <c r="AF13" i="1" s="1"/>
  <c r="AG13" i="1" s="1"/>
  <c r="AD13" i="1"/>
  <c r="X13" i="1"/>
  <c r="Y13" i="1" s="1"/>
  <c r="W13" i="1"/>
  <c r="S13" i="1"/>
  <c r="R13" i="1" s="1"/>
  <c r="BD12" i="1"/>
  <c r="BA12" i="1"/>
  <c r="AX12" i="1"/>
  <c r="AS12" i="1"/>
  <c r="AT12" i="1" s="1"/>
  <c r="AU12" i="1" s="1"/>
  <c r="AR12" i="1"/>
  <c r="AL12" i="1"/>
  <c r="AM12" i="1" s="1"/>
  <c r="AN12" i="1" s="1"/>
  <c r="AK12" i="1"/>
  <c r="AE12" i="1"/>
  <c r="AF12" i="1" s="1"/>
  <c r="AG12" i="1" s="1"/>
  <c r="AD12" i="1"/>
  <c r="X12" i="1"/>
  <c r="Y12" i="1" s="1"/>
  <c r="W12" i="1"/>
  <c r="S12" i="1"/>
  <c r="R12" i="1" s="1"/>
  <c r="BD11" i="1"/>
  <c r="BA11" i="1"/>
  <c r="AX11" i="1"/>
  <c r="AS11" i="1"/>
  <c r="AT11" i="1" s="1"/>
  <c r="AU11" i="1" s="1"/>
  <c r="AR11" i="1"/>
  <c r="AL11" i="1"/>
  <c r="AM11" i="1" s="1"/>
  <c r="AN11" i="1" s="1"/>
  <c r="AK11" i="1"/>
  <c r="AE11" i="1"/>
  <c r="AF11" i="1" s="1"/>
  <c r="AG11" i="1" s="1"/>
  <c r="AD11" i="1"/>
  <c r="X11" i="1"/>
  <c r="Y11" i="1" s="1"/>
  <c r="W11" i="1"/>
  <c r="S11" i="1"/>
  <c r="R11" i="1" s="1"/>
  <c r="BD10" i="1"/>
  <c r="BA10" i="1"/>
  <c r="AX10" i="1"/>
  <c r="AS10" i="1"/>
  <c r="AT10" i="1" s="1"/>
  <c r="AU10" i="1" s="1"/>
  <c r="AR10" i="1"/>
  <c r="AL10" i="1"/>
  <c r="AM10" i="1" s="1"/>
  <c r="AN10" i="1" s="1"/>
  <c r="AK10" i="1"/>
  <c r="AE10" i="1"/>
  <c r="AF10" i="1" s="1"/>
  <c r="AG10" i="1" s="1"/>
  <c r="AD10" i="1"/>
  <c r="X10" i="1"/>
  <c r="Y10" i="1" s="1"/>
  <c r="W10" i="1"/>
  <c r="S10" i="1"/>
  <c r="BD9" i="1"/>
  <c r="BA9" i="1"/>
  <c r="AX9" i="1"/>
  <c r="AS9" i="1"/>
  <c r="AT9" i="1" s="1"/>
  <c r="AU9" i="1" s="1"/>
  <c r="AR9" i="1"/>
  <c r="AL9" i="1"/>
  <c r="AM9" i="1" s="1"/>
  <c r="AN9" i="1" s="1"/>
  <c r="AK9" i="1"/>
  <c r="AE9" i="1"/>
  <c r="AF9" i="1" s="1"/>
  <c r="AG9" i="1" s="1"/>
  <c r="AD9" i="1"/>
  <c r="X9" i="1"/>
  <c r="Y9" i="1" s="1"/>
  <c r="W9" i="1"/>
  <c r="S9" i="1"/>
  <c r="R9" i="1" s="1"/>
  <c r="BD8" i="1"/>
  <c r="BA8" i="1"/>
  <c r="AX8" i="1"/>
  <c r="AS8" i="1"/>
  <c r="AT8" i="1" s="1"/>
  <c r="AU8" i="1" s="1"/>
  <c r="AR8" i="1"/>
  <c r="AL8" i="1"/>
  <c r="AM8" i="1" s="1"/>
  <c r="AN8" i="1" s="1"/>
  <c r="AK8" i="1"/>
  <c r="AE8" i="1"/>
  <c r="AF8" i="1" s="1"/>
  <c r="AG8" i="1" s="1"/>
  <c r="AD8" i="1"/>
  <c r="X8" i="1"/>
  <c r="Y8" i="1" s="1"/>
  <c r="W8" i="1"/>
  <c r="S8" i="1"/>
  <c r="R8" i="1" s="1"/>
  <c r="BD7" i="1"/>
  <c r="BA7" i="1"/>
  <c r="AX7" i="1"/>
  <c r="AS7" i="1"/>
  <c r="AT7" i="1" s="1"/>
  <c r="AU7" i="1" s="1"/>
  <c r="AR7" i="1"/>
  <c r="AL7" i="1"/>
  <c r="AM7" i="1" s="1"/>
  <c r="AN7" i="1" s="1"/>
  <c r="AK7" i="1"/>
  <c r="AE7" i="1"/>
  <c r="AF7" i="1" s="1"/>
  <c r="AG7" i="1" s="1"/>
  <c r="AD7" i="1"/>
  <c r="X7" i="1"/>
  <c r="Y7" i="1" s="1"/>
  <c r="W7" i="1"/>
  <c r="S7" i="1"/>
  <c r="R7" i="1"/>
  <c r="BD6" i="1"/>
  <c r="BA6" i="1"/>
  <c r="AX6" i="1"/>
  <c r="AS6" i="1"/>
  <c r="AT6" i="1" s="1"/>
  <c r="AU6" i="1" s="1"/>
  <c r="AR6" i="1"/>
  <c r="AL6" i="1"/>
  <c r="AM6" i="1" s="1"/>
  <c r="AN6" i="1" s="1"/>
  <c r="AK6" i="1"/>
  <c r="AE6" i="1"/>
  <c r="AF6" i="1" s="1"/>
  <c r="AG6" i="1" s="1"/>
  <c r="AD6" i="1"/>
  <c r="X6" i="1"/>
  <c r="Y6" i="1" s="1"/>
  <c r="Z6" i="1" s="1"/>
  <c r="W6" i="1"/>
  <c r="S6" i="1"/>
  <c r="BF6" i="1" s="1"/>
  <c r="BD5" i="1"/>
  <c r="BA5" i="1"/>
  <c r="AX5" i="1"/>
  <c r="AS5" i="1"/>
  <c r="AT5" i="1" s="1"/>
  <c r="AU5" i="1" s="1"/>
  <c r="AR5" i="1"/>
  <c r="AL5" i="1"/>
  <c r="AM5" i="1" s="1"/>
  <c r="AN5" i="1" s="1"/>
  <c r="AK5" i="1"/>
  <c r="AE5" i="1"/>
  <c r="AF5" i="1" s="1"/>
  <c r="AG5" i="1" s="1"/>
  <c r="AD5" i="1"/>
  <c r="X5" i="1"/>
  <c r="Y5" i="1" s="1"/>
  <c r="W5" i="1"/>
  <c r="S5" i="1"/>
  <c r="BF5" i="1" s="1"/>
  <c r="BD4" i="1"/>
  <c r="BA4" i="1"/>
  <c r="AX4" i="1"/>
  <c r="AS4" i="1"/>
  <c r="AT4" i="1" s="1"/>
  <c r="AU4" i="1" s="1"/>
  <c r="AR4" i="1"/>
  <c r="AL4" i="1"/>
  <c r="AM4" i="1" s="1"/>
  <c r="AN4" i="1" s="1"/>
  <c r="AK4" i="1"/>
  <c r="AE4" i="1"/>
  <c r="AF4" i="1" s="1"/>
  <c r="AG4" i="1" s="1"/>
  <c r="AD4" i="1"/>
  <c r="X4" i="1"/>
  <c r="Y4" i="1" s="1"/>
  <c r="W4" i="1"/>
  <c r="S4" i="1"/>
  <c r="R4" i="1" s="1"/>
  <c r="BD3" i="1"/>
  <c r="BA3" i="1"/>
  <c r="AX3" i="1"/>
  <c r="AS3" i="1"/>
  <c r="AT3" i="1" s="1"/>
  <c r="AU3" i="1" s="1"/>
  <c r="AR3" i="1"/>
  <c r="AL3" i="1"/>
  <c r="AM3" i="1" s="1"/>
  <c r="AN3" i="1" s="1"/>
  <c r="AK3" i="1"/>
  <c r="AE3" i="1"/>
  <c r="AF3" i="1" s="1"/>
  <c r="AG3" i="1" s="1"/>
  <c r="AD3" i="1"/>
  <c r="X3" i="1"/>
  <c r="Y3" i="1" s="1"/>
  <c r="W3" i="1"/>
  <c r="S3" i="1"/>
  <c r="R3" i="1"/>
  <c r="AI6" i="2" l="1"/>
  <c r="AW7" i="2"/>
  <c r="Z8" i="1"/>
  <c r="AW6" i="2"/>
  <c r="AI11" i="2"/>
  <c r="BU11" i="2" s="1"/>
  <c r="BW11" i="2" s="1"/>
  <c r="BX11" i="2" s="1"/>
  <c r="Z16" i="1"/>
  <c r="BE16" i="1" s="1"/>
  <c r="BG16" i="1" s="1"/>
  <c r="BH16" i="1" s="1"/>
  <c r="AI4" i="2"/>
  <c r="AW4" i="2"/>
  <c r="Z5" i="1"/>
  <c r="R15" i="1"/>
  <c r="BE15" i="1" s="1"/>
  <c r="BG15" i="1" s="1"/>
  <c r="BH15" i="1" s="1"/>
  <c r="Z21" i="1"/>
  <c r="BE21" i="1" s="1"/>
  <c r="AI9" i="2"/>
  <c r="AP10" i="2"/>
  <c r="BU10" i="2" s="1"/>
  <c r="AW3" i="2"/>
  <c r="BU4" i="2"/>
  <c r="BW4" i="2" s="1"/>
  <c r="BX4" i="2" s="1"/>
  <c r="AB9" i="2"/>
  <c r="BU9" i="2" s="1"/>
  <c r="BV9" i="2" s="1"/>
  <c r="AB7" i="2"/>
  <c r="BU7" i="2" s="1"/>
  <c r="AI8" i="2"/>
  <c r="BU8" i="2" s="1"/>
  <c r="AW9" i="2"/>
  <c r="AP4" i="2"/>
  <c r="BF16" i="1"/>
  <c r="AW11" i="2"/>
  <c r="BV11" i="2"/>
  <c r="AW5" i="2"/>
  <c r="BU5" i="2" s="1"/>
  <c r="BW5" i="2" s="1"/>
  <c r="BX5" i="2" s="1"/>
  <c r="Z13" i="1"/>
  <c r="BU6" i="2"/>
  <c r="BW6" i="2" s="1"/>
  <c r="BX6" i="2" s="1"/>
  <c r="Z10" i="1"/>
  <c r="Z15" i="1"/>
  <c r="Z9" i="1"/>
  <c r="BE9" i="1" s="1"/>
  <c r="BG9" i="1" s="1"/>
  <c r="BH9" i="1" s="1"/>
  <c r="Z17" i="1"/>
  <c r="R5" i="1"/>
  <c r="BE28" i="1"/>
  <c r="Z18" i="1"/>
  <c r="BE8" i="1"/>
  <c r="BG8" i="1" s="1"/>
  <c r="BH8" i="1" s="1"/>
  <c r="Z27" i="1"/>
  <c r="BE27" i="1" s="1"/>
  <c r="BG27" i="1" s="1"/>
  <c r="BH27" i="1" s="1"/>
  <c r="Z3" i="1"/>
  <c r="BE3" i="1" s="1"/>
  <c r="BG3" i="1" s="1"/>
  <c r="BH3" i="1" s="1"/>
  <c r="Z20" i="1"/>
  <c r="BE20" i="1" s="1"/>
  <c r="Z24" i="1"/>
  <c r="BE24" i="1" s="1"/>
  <c r="BF24" i="1" s="1"/>
  <c r="Z7" i="1"/>
  <c r="BE7" i="1" s="1"/>
  <c r="BG7" i="1" s="1"/>
  <c r="BH7" i="1" s="1"/>
  <c r="Z23" i="1"/>
  <c r="BE23" i="1" s="1"/>
  <c r="BG23" i="1" s="1"/>
  <c r="BH23" i="1" s="1"/>
  <c r="Z26" i="1"/>
  <c r="Z11" i="1"/>
  <c r="BE11" i="1" s="1"/>
  <c r="BG11" i="1" s="1"/>
  <c r="BH11" i="1" s="1"/>
  <c r="BE13" i="1"/>
  <c r="BG13" i="1" s="1"/>
  <c r="BH13" i="1" s="1"/>
  <c r="Z14" i="1"/>
  <c r="Z19" i="1"/>
  <c r="BE19" i="1" s="1"/>
  <c r="BG19" i="1" s="1"/>
  <c r="BH19" i="1" s="1"/>
  <c r="Z22" i="1"/>
  <c r="Z4" i="1"/>
  <c r="Z12" i="1"/>
  <c r="Z25" i="1"/>
  <c r="BE17" i="1"/>
  <c r="BG17" i="1" s="1"/>
  <c r="BH17" i="1" s="1"/>
  <c r="BE4" i="1"/>
  <c r="BG28" i="1"/>
  <c r="BH28" i="1" s="1"/>
  <c r="BF28" i="1"/>
  <c r="BG24" i="1"/>
  <c r="BH24" i="1" s="1"/>
  <c r="BG20" i="1"/>
  <c r="BH20" i="1" s="1"/>
  <c r="BF20" i="1"/>
  <c r="BV6" i="2"/>
  <c r="BE29" i="1"/>
  <c r="BG29" i="1" s="1"/>
  <c r="BH29" i="1" s="1"/>
  <c r="BE5" i="1"/>
  <c r="BG5" i="1" s="1"/>
  <c r="BH5" i="1" s="1"/>
  <c r="BE12" i="1"/>
  <c r="BE25" i="1"/>
  <c r="BG25" i="1" s="1"/>
  <c r="BH25" i="1" s="1"/>
  <c r="R6" i="1"/>
  <c r="BE6" i="1" s="1"/>
  <c r="BG6" i="1" s="1"/>
  <c r="BH6" i="1" s="1"/>
  <c r="R10" i="1"/>
  <c r="BE10" i="1" s="1"/>
  <c r="BG10" i="1" s="1"/>
  <c r="BH10" i="1" s="1"/>
  <c r="R14" i="1"/>
  <c r="R18" i="1"/>
  <c r="R22" i="1"/>
  <c r="R26" i="1"/>
  <c r="T3" i="2"/>
  <c r="T5" i="2"/>
  <c r="BW8" i="2" l="1"/>
  <c r="BX8" i="2" s="1"/>
  <c r="BV8" i="2"/>
  <c r="BW10" i="2"/>
  <c r="BX10" i="2" s="1"/>
  <c r="BV10" i="2"/>
  <c r="BG21" i="1"/>
  <c r="BH21" i="1" s="1"/>
  <c r="BF21" i="1"/>
  <c r="BV4" i="2"/>
  <c r="BW9" i="2"/>
  <c r="BX9" i="2" s="1"/>
  <c r="BU3" i="2"/>
  <c r="BV3" i="2" s="1"/>
  <c r="BE18" i="1"/>
  <c r="BG18" i="1" s="1"/>
  <c r="BH18" i="1" s="1"/>
  <c r="BF17" i="1"/>
  <c r="BF8" i="1"/>
  <c r="BE22" i="1"/>
  <c r="BG22" i="1" s="1"/>
  <c r="BH22" i="1" s="1"/>
  <c r="BE14" i="1"/>
  <c r="BG14" i="1" s="1"/>
  <c r="BH14" i="1" s="1"/>
  <c r="BF25" i="1"/>
  <c r="BF7" i="1"/>
  <c r="BF11" i="1"/>
  <c r="BE26" i="1"/>
  <c r="BF26" i="1" s="1"/>
  <c r="BF13" i="1"/>
  <c r="BF3" i="1"/>
  <c r="BF23" i="1"/>
  <c r="BF27" i="1"/>
  <c r="BF9" i="1"/>
  <c r="BF10" i="1"/>
  <c r="BF4" i="1"/>
  <c r="BG4" i="1"/>
  <c r="BH4" i="1" s="1"/>
  <c r="BF19" i="1"/>
  <c r="BF18" i="1"/>
  <c r="BF12" i="1"/>
  <c r="BG12" i="1"/>
  <c r="BH12" i="1" s="1"/>
  <c r="BF29" i="1"/>
  <c r="BW7" i="2"/>
  <c r="BX7" i="2" s="1"/>
  <c r="BV7" i="2"/>
  <c r="BV5" i="2"/>
  <c r="BF22" i="1" l="1"/>
  <c r="BW3" i="2"/>
  <c r="BX3" i="2" s="1"/>
  <c r="BG26" i="1"/>
  <c r="BH26" i="1" s="1"/>
</calcChain>
</file>

<file path=xl/comments1.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
  </authors>
  <commentList>
    <comment ref="P2" authorId="0" shapeId="1025" xr:uid="{00000000-0006-0000-0000-000001000000}">
      <text>
        <r>
          <rPr>
            <sz val="10"/>
            <color rgb="FF000000"/>
            <rFont val="Arial"/>
            <scheme val="minor"/>
          </rPr>
          <t>Maintenance costs are considered operating expenses (OPEX) and should be included in the calculation of net benefits when determining the ROI of an equipment.</t>
        </r>
      </text>
      <mc:AlternateContent xmlns:mc="http://schemas.openxmlformats.org/markup-compatibility/2006">
        <mc:Choice Requires="v"/>
        <mc:Fallback>
          <commentPr defaultSize="0" autoFill="0" autoLine="0">
            <anchor>
              <from>
                <xdr:col>30</xdr:col>
                <xdr:colOff>133350</xdr:colOff>
                <xdr:row>2</xdr:row>
                <xdr:rowOff>85725</xdr:rowOff>
              </from>
              <to>
                <xdr:col>33</xdr:col>
                <xdr:colOff>742950</xdr:colOff>
                <xdr:row>4</xdr:row>
                <xdr:rowOff>38100</xdr:rowOff>
              </to>
            </anchor>
          </commentPr>
        </mc:Fallback>
      </mc:AlternateContent>
    </comment>
    <comment ref="S2" authorId="0" shapeId="1026" xr:uid="{00000000-0006-0000-0000-000002000000}">
      <text>
        <r>
          <rPr>
            <sz val="10"/>
            <color rgb="FF000000"/>
            <rFont val="Arial"/>
            <scheme val="minor"/>
          </rPr>
          <t>Includes purchase price, installation or setup costs, and any other INITIAL expenses</t>
        </r>
      </text>
      <mc:AlternateContent xmlns:mc="http://schemas.openxmlformats.org/markup-compatibility/2006">
        <mc:Choice Requires="v"/>
        <mc:Fallback>
          <commentPr defaultSize="0" autoFill="0" autoLine="0">
            <anchor>
              <from>
                <xdr:col>32</xdr:col>
                <xdr:colOff>762000</xdr:colOff>
                <xdr:row>2</xdr:row>
                <xdr:rowOff>85725</xdr:rowOff>
              </from>
              <to>
                <xdr:col>36</xdr:col>
                <xdr:colOff>685800</xdr:colOff>
                <xdr:row>4</xdr:row>
                <xdr:rowOff>38100</xdr:rowOff>
              </to>
            </anchor>
          </commentPr>
        </mc:Fallback>
      </mc:AlternateContent>
    </comment>
    <comment ref="BE2" authorId="0" shapeId="1027" xr:uid="{00000000-0006-0000-0000-000003000000}">
      <text>
        <r>
          <rPr>
            <sz val="10"/>
            <color rgb="FF000000"/>
            <rFont val="Arial"/>
            <scheme val="minor"/>
          </rPr>
          <t>I included both the annual operating expenses—such as maintenance costs—and depreciation
This shows how much more or less money you earn each year after using the equipment,</t>
        </r>
      </text>
      <mc:AlternateContent xmlns:mc="http://schemas.openxmlformats.org/markup-compatibility/2006">
        <mc:Choice Requires="v"/>
        <mc:Fallback>
          <commentPr defaultSize="0" autoFill="0" autoLine="0">
            <anchor>
              <from>
                <xdr:col>64</xdr:col>
                <xdr:colOff>1533525</xdr:colOff>
                <xdr:row>2</xdr:row>
                <xdr:rowOff>85725</xdr:rowOff>
              </from>
              <to>
                <xdr:col>68</xdr:col>
                <xdr:colOff>1038225</xdr:colOff>
                <xdr:row>4</xdr:row>
                <xdr:rowOff>4610100</xdr:rowOff>
              </to>
            </anchor>
          </commentPr>
        </mc:Fallback>
      </mc:AlternateContent>
    </comment>
    <comment ref="BF2" authorId="0" shapeId="1028" xr:uid="{00000000-0006-0000-0000-000004000000}">
      <text>
        <r>
          <rPr>
            <sz val="10"/>
            <color rgb="FF000000"/>
            <rFont val="Arial"/>
            <scheme val="minor"/>
          </rPr>
          <t xml:space="preserve"> The net change in your income per year as a percentage of the equipment's initial cost. </t>
        </r>
      </text>
      <mc:AlternateContent xmlns:mc="http://schemas.openxmlformats.org/markup-compatibility/2006">
        <mc:Choice Requires="v"/>
        <mc:Fallback>
          <commentPr defaultSize="0" autoFill="0" autoLine="0">
            <anchor>
              <from>
                <xdr:col>65</xdr:col>
                <xdr:colOff>1409700</xdr:colOff>
                <xdr:row>2</xdr:row>
                <xdr:rowOff>85725</xdr:rowOff>
              </from>
              <to>
                <xdr:col>69</xdr:col>
                <xdr:colOff>190500</xdr:colOff>
                <xdr:row>4</xdr:row>
                <xdr:rowOff>38100</xdr:rowOff>
              </to>
            </anchor>
          </commentPr>
        </mc:Fallback>
      </mc:AlternateContent>
    </comment>
    <comment ref="BG2" authorId="0" shapeId="1029" xr:uid="{00000000-0006-0000-0000-000005000000}">
      <text>
        <r>
          <rPr>
            <sz val="10"/>
            <color rgb="FF000000"/>
            <rFont val="Arial"/>
            <scheme val="minor"/>
          </rPr>
          <t>How many years it will take to earn back the money you spent on the equipment.</t>
        </r>
      </text>
      <mc:AlternateContent xmlns:mc="http://schemas.openxmlformats.org/markup-compatibility/2006">
        <mc:Choice Requires="v"/>
        <mc:Fallback>
          <commentPr defaultSize="0" autoFill="0" autoLine="0">
            <anchor>
              <from>
                <xdr:col>66</xdr:col>
                <xdr:colOff>1285875</xdr:colOff>
                <xdr:row>2</xdr:row>
                <xdr:rowOff>85725</xdr:rowOff>
              </from>
              <to>
                <xdr:col>69</xdr:col>
                <xdr:colOff>1028700</xdr:colOff>
                <xdr:row>4</xdr:row>
                <xdr:rowOff>38100</xdr:rowOff>
              </to>
            </anchor>
          </commentPr>
        </mc:Fallback>
      </mc:AlternateContent>
    </comment>
  </commentList>
</comments>
</file>

<file path=xl/comments2.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
  </authors>
  <commentList>
    <comment ref="P1" authorId="0" shapeId="2049" xr:uid="{B88E0FDD-6BA5-412D-A9C5-DACC57AAAEC9}">
      <text>
        <r>
          <rPr>
            <sz val="10"/>
            <color rgb="FF000000"/>
            <rFont val="Arial"/>
            <scheme val="minor"/>
          </rPr>
          <t>Maintenance costs are considered operating expenses (OPEX) and should be included in the calculation of net benefits when determining the ROI of an equipment.</t>
        </r>
      </text>
      <mc:AlternateContent xmlns:mc="http://schemas.openxmlformats.org/markup-compatibility/2006">
        <mc:Choice Requires="v"/>
        <mc:Fallback>
          <commentPr defaultSize="0" autoFill="0" autoLine="0">
            <anchor>
              <from>
                <xdr:col>16</xdr:col>
                <xdr:colOff>142875</xdr:colOff>
                <xdr:row>0</xdr:row>
                <xdr:rowOff>19050</xdr:rowOff>
              </from>
              <to>
                <xdr:col>25</xdr:col>
                <xdr:colOff>323850</xdr:colOff>
                <xdr:row>5</xdr:row>
                <xdr:rowOff>133350</xdr:rowOff>
              </to>
            </anchor>
          </commentPr>
        </mc:Fallback>
      </mc:AlternateContent>
    </comment>
    <comment ref="S1" authorId="0" shapeId="2050" xr:uid="{74872E73-1332-4D47-82C6-F954F83990EA}">
      <text>
        <r>
          <rPr>
            <sz val="10"/>
            <color rgb="FF000000"/>
            <rFont val="Arial"/>
            <scheme val="minor"/>
          </rPr>
          <t>Includes purchase price, installation or setup costs, and any other INITIAL expenses</t>
        </r>
      </text>
      <mc:AlternateContent xmlns:mc="http://schemas.openxmlformats.org/markup-compatibility/2006">
        <mc:Choice Requires="v"/>
        <mc:Fallback>
          <commentPr defaultSize="0" autoFill="0" autoLine="0">
            <anchor>
              <from>
                <xdr:col>19</xdr:col>
                <xdr:colOff>142875</xdr:colOff>
                <xdr:row>0</xdr:row>
                <xdr:rowOff>19050</xdr:rowOff>
              </from>
              <to>
                <xdr:col>30</xdr:col>
                <xdr:colOff>104775</xdr:colOff>
                <xdr:row>5</xdr:row>
                <xdr:rowOff>133350</xdr:rowOff>
              </to>
            </anchor>
          </commentPr>
        </mc:Fallback>
      </mc:AlternateContent>
    </comment>
    <comment ref="BE1" authorId="0" shapeId="2051" xr:uid="{9AE34099-F017-42A0-B6E6-F3E37C0725CA}">
      <text>
        <r>
          <rPr>
            <sz val="10"/>
            <color rgb="FF000000"/>
            <rFont val="Arial"/>
            <scheme val="minor"/>
          </rPr>
          <t>I included both the annual operating expenses—such as maintenance costs—and depreciation
This shows how much more or less money you earn each year after using the equipment,</t>
        </r>
      </text>
      <mc:AlternateContent xmlns:mc="http://schemas.openxmlformats.org/markup-compatibility/2006">
        <mc:Choice Requires="v"/>
        <mc:Fallback>
          <commentPr defaultSize="0" autoFill="0" autoLine="0">
            <anchor>
              <from>
                <xdr:col>57</xdr:col>
                <xdr:colOff>142875</xdr:colOff>
                <xdr:row>0</xdr:row>
                <xdr:rowOff>19050</xdr:rowOff>
              </from>
              <to>
                <xdr:col>67</xdr:col>
                <xdr:colOff>295275</xdr:colOff>
                <xdr:row>13</xdr:row>
                <xdr:rowOff>276225</xdr:rowOff>
              </to>
            </anchor>
          </commentPr>
        </mc:Fallback>
      </mc:AlternateContent>
    </comment>
    <comment ref="BF1" authorId="0" shapeId="2052" xr:uid="{21940499-17D6-4BA2-ABFC-2373D6FC861C}">
      <text>
        <r>
          <rPr>
            <sz val="10"/>
            <color rgb="FF000000"/>
            <rFont val="Arial"/>
            <scheme val="minor"/>
          </rPr>
          <t xml:space="preserve"> The net change in your income per year as a percentage of the equipment's initial cost. </t>
        </r>
      </text>
      <mc:AlternateContent xmlns:mc="http://schemas.openxmlformats.org/markup-compatibility/2006">
        <mc:Choice Requires="v"/>
        <mc:Fallback>
          <commentPr defaultSize="0" autoFill="0" autoLine="0">
            <anchor>
              <from>
                <xdr:col>58</xdr:col>
                <xdr:colOff>142875</xdr:colOff>
                <xdr:row>0</xdr:row>
                <xdr:rowOff>19050</xdr:rowOff>
              </from>
              <to>
                <xdr:col>67</xdr:col>
                <xdr:colOff>180975</xdr:colOff>
                <xdr:row>5</xdr:row>
                <xdr:rowOff>133350</xdr:rowOff>
              </to>
            </anchor>
          </commentPr>
        </mc:Fallback>
      </mc:AlternateContent>
    </comment>
    <comment ref="BG1" authorId="0" shapeId="2053" xr:uid="{AB6C8201-8600-4F81-ABE0-1B5B62353754}">
      <text>
        <r>
          <rPr>
            <sz val="10"/>
            <color rgb="FF000000"/>
            <rFont val="Arial"/>
            <scheme val="minor"/>
          </rPr>
          <t>How many years it will take to earn back the money you spent on the equipment.</t>
        </r>
      </text>
      <mc:AlternateContent xmlns:mc="http://schemas.openxmlformats.org/markup-compatibility/2006">
        <mc:Choice Requires="v"/>
        <mc:Fallback>
          <commentPr defaultSize="0" autoFill="0" autoLine="0">
            <anchor>
              <from>
                <xdr:col>59</xdr:col>
                <xdr:colOff>142875</xdr:colOff>
                <xdr:row>0</xdr:row>
                <xdr:rowOff>19050</xdr:rowOff>
              </from>
              <to>
                <xdr:col>67</xdr:col>
                <xdr:colOff>66675</xdr:colOff>
                <xdr:row>5</xdr:row>
                <xdr:rowOff>133350</xdr:rowOff>
              </to>
            </anchor>
          </commentPr>
        </mc:Fallback>
      </mc:AlternateContent>
    </comment>
  </commentList>
</comments>
</file>

<file path=xl/comments3.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
  </authors>
  <commentList>
    <comment ref="P2" authorId="0" shapeId="3073" xr:uid="{00000000-0006-0000-0100-000001000000}">
      <text>
        <r>
          <rPr>
            <sz val="10"/>
            <color rgb="FF000000"/>
            <rFont val="Arial"/>
            <scheme val="minor"/>
          </rPr>
          <t>These are considered operating expenses (OPEX) and should be included in the calculation of net benefits when determining the ROI of an investment.</t>
        </r>
      </text>
      <mc:AlternateContent xmlns:mc="http://schemas.openxmlformats.org/markup-compatibility/2006">
        <mc:Choice Requires="v"/>
        <mc:Fallback>
          <commentPr defaultSize="0" autoFill="0" autoLine="0">
            <anchor>
              <from>
                <xdr:col>32</xdr:col>
                <xdr:colOff>95250</xdr:colOff>
                <xdr:row>2</xdr:row>
                <xdr:rowOff>95250</xdr:rowOff>
              </from>
              <to>
                <xdr:col>39</xdr:col>
                <xdr:colOff>342900</xdr:colOff>
                <xdr:row>4</xdr:row>
                <xdr:rowOff>38100</xdr:rowOff>
              </to>
            </anchor>
          </commentPr>
        </mc:Fallback>
      </mc:AlternateContent>
    </comment>
    <comment ref="S2" authorId="0" shapeId="3074" xr:uid="{00000000-0006-0000-0100-000002000000}">
      <text>
        <r>
          <rPr>
            <sz val="10"/>
            <color rgb="FF000000"/>
            <rFont val="Arial"/>
            <scheme val="minor"/>
          </rPr>
          <t>These are considered operating expenses (OPEX) and should be included in the calculation of net benefits when determining the ROI of an investment.</t>
        </r>
      </text>
      <mc:AlternateContent xmlns:mc="http://schemas.openxmlformats.org/markup-compatibility/2006">
        <mc:Choice Requires="v"/>
        <mc:Fallback>
          <commentPr defaultSize="0" autoFill="0" autoLine="0">
            <anchor>
              <from>
                <xdr:col>37</xdr:col>
                <xdr:colOff>495300</xdr:colOff>
                <xdr:row>2</xdr:row>
                <xdr:rowOff>95250</xdr:rowOff>
              </from>
              <to>
                <xdr:col>44</xdr:col>
                <xdr:colOff>742950</xdr:colOff>
                <xdr:row>4</xdr:row>
                <xdr:rowOff>38100</xdr:rowOff>
              </to>
            </anchor>
          </commentPr>
        </mc:Fallback>
      </mc:AlternateContent>
    </comment>
    <comment ref="U2" authorId="0" shapeId="3075" xr:uid="{00000000-0006-0000-0100-000003000000}">
      <text>
        <r>
          <rPr>
            <sz val="10"/>
            <color rgb="FF000000"/>
            <rFont val="Arial"/>
            <scheme val="minor"/>
          </rPr>
          <t>Includes purchase price, installation or setup costs, and any other initial expenses required to make the equipment fully operational.</t>
        </r>
      </text>
      <mc:AlternateContent xmlns:mc="http://schemas.openxmlformats.org/markup-compatibility/2006">
        <mc:Choice Requires="v"/>
        <mc:Fallback>
          <commentPr defaultSize="0" autoFill="0" autoLine="0">
            <anchor>
              <from>
                <xdr:col>41</xdr:col>
                <xdr:colOff>190500</xdr:colOff>
                <xdr:row>2</xdr:row>
                <xdr:rowOff>95250</xdr:rowOff>
              </from>
              <to>
                <xdr:col>48</xdr:col>
                <xdr:colOff>438150</xdr:colOff>
                <xdr:row>4</xdr:row>
                <xdr:rowOff>38100</xdr:rowOff>
              </to>
            </anchor>
          </commentPr>
        </mc:Fallback>
      </mc:AlternateContent>
    </comment>
    <comment ref="BU2" authorId="0" shapeId="3076" xr:uid="{00000000-0006-0000-0100-000004000000}">
      <text>
        <r>
          <rPr>
            <sz val="10"/>
            <color rgb="FF000000"/>
            <rFont val="Arial"/>
            <scheme val="minor"/>
          </rPr>
          <t>I included both the annual operating expenses—such as maintenance costs—and depreciation
This shows how much more or less money you earn each year after using the equipment,</t>
        </r>
      </text>
      <mc:AlternateContent xmlns:mc="http://schemas.openxmlformats.org/markup-compatibility/2006">
        <mc:Choice Requires="v"/>
        <mc:Fallback>
          <commentPr defaultSize="0" autoFill="0" autoLine="0">
            <anchor>
              <from>
                <xdr:col>136</xdr:col>
                <xdr:colOff>295275</xdr:colOff>
                <xdr:row>2</xdr:row>
                <xdr:rowOff>95250</xdr:rowOff>
              </from>
              <to>
                <xdr:col>143</xdr:col>
                <xdr:colOff>152400</xdr:colOff>
                <xdr:row>6</xdr:row>
                <xdr:rowOff>400050</xdr:rowOff>
              </to>
            </anchor>
          </commentPr>
        </mc:Fallback>
      </mc:AlternateContent>
    </comment>
    <comment ref="BV2" authorId="0" shapeId="3077" xr:uid="{00000000-0006-0000-0100-000005000000}">
      <text>
        <r>
          <rPr>
            <sz val="10"/>
            <color rgb="FF000000"/>
            <rFont val="Arial"/>
            <scheme val="minor"/>
          </rPr>
          <t xml:space="preserve"> The net change in your income per year as a percentage of the equipment's initial cost. </t>
        </r>
      </text>
      <mc:AlternateContent xmlns:mc="http://schemas.openxmlformats.org/markup-compatibility/2006">
        <mc:Choice Requires="v"/>
        <mc:Fallback>
          <commentPr defaultSize="0" autoFill="0" autoLine="0">
            <anchor>
              <from>
                <xdr:col>138</xdr:col>
                <xdr:colOff>342900</xdr:colOff>
                <xdr:row>2</xdr:row>
                <xdr:rowOff>95250</xdr:rowOff>
              </from>
              <to>
                <xdr:col>144</xdr:col>
                <xdr:colOff>133350</xdr:colOff>
                <xdr:row>4</xdr:row>
                <xdr:rowOff>38100</xdr:rowOff>
              </to>
            </anchor>
          </commentPr>
        </mc:Fallback>
      </mc:AlternateContent>
    </comment>
    <comment ref="BW2" authorId="0" shapeId="3078" xr:uid="{00000000-0006-0000-0100-000006000000}">
      <text>
        <r>
          <rPr>
            <sz val="10"/>
            <color rgb="FF000000"/>
            <rFont val="Arial"/>
            <scheme val="minor"/>
          </rPr>
          <t>How many years it will take to earn back the money you spent on the equipment.</t>
        </r>
      </text>
      <mc:AlternateContent xmlns:mc="http://schemas.openxmlformats.org/markup-compatibility/2006">
        <mc:Choice Requires="v"/>
        <mc:Fallback>
          <commentPr defaultSize="0" autoFill="0" autoLine="0">
            <anchor>
              <from>
                <xdr:col>140</xdr:col>
                <xdr:colOff>257175</xdr:colOff>
                <xdr:row>2</xdr:row>
                <xdr:rowOff>95250</xdr:rowOff>
              </from>
              <to>
                <xdr:col>145</xdr:col>
                <xdr:colOff>114300</xdr:colOff>
                <xdr:row>4</xdr:row>
                <xdr:rowOff>38100</xdr:rowOff>
              </to>
            </anchor>
          </commentPr>
        </mc:Fallback>
      </mc:AlternateContent>
    </comment>
    <comment ref="BU3" authorId="0" shapeId="3079" xr:uid="{00000000-0006-0000-0100-000007000000}">
      <text>
        <r>
          <rPr>
            <sz val="10"/>
            <color rgb="FF000000"/>
            <rFont val="Arial"/>
            <scheme val="minor"/>
          </rPr>
          <t>I included maintenance and  other OPEX</t>
        </r>
      </text>
      <mc:AlternateContent xmlns:mc="http://schemas.openxmlformats.org/markup-compatibility/2006">
        <mc:Choice Requires="v"/>
        <mc:Fallback>
          <commentPr defaultSize="0" autoFill="0" autoLine="0">
            <anchor>
              <from>
                <xdr:col>136</xdr:col>
                <xdr:colOff>295275</xdr:colOff>
                <xdr:row>3</xdr:row>
                <xdr:rowOff>95250</xdr:rowOff>
              </from>
              <to>
                <xdr:col>143</xdr:col>
                <xdr:colOff>152400</xdr:colOff>
                <xdr:row>5</xdr:row>
                <xdr:rowOff>400050</xdr:rowOff>
              </to>
            </anchor>
          </commentPr>
        </mc:Fallback>
      </mc:AlternateContent>
    </comment>
  </commentList>
</comments>
</file>

<file path=xl/sharedStrings.xml><?xml version="1.0" encoding="utf-8"?>
<sst xmlns="http://purl.oclc.org/ooxml/spreadsheetml/main" count="914" uniqueCount="532">
  <si>
    <t>INVESTMENT Cost Calculator Module</t>
  </si>
  <si>
    <t>Crop Yield Calculator Module</t>
  </si>
  <si>
    <t>Crop Revenue Impact Calculator Module</t>
  </si>
  <si>
    <t>Crop Fertilizer Use  Calculator Module</t>
  </si>
  <si>
    <t>Crop Pesticide Use Calculator Module</t>
  </si>
  <si>
    <t>Crop Water Use Calculator Module</t>
  </si>
  <si>
    <t>Crop Working Time Cost Calculator Module</t>
  </si>
  <si>
    <t>Crop Fuel Cost Calculator Module</t>
  </si>
  <si>
    <t>Crop Electricity Cost Calculator Module</t>
  </si>
  <si>
    <t>Crop TC DATS Investment Decision Calculator Module</t>
  </si>
  <si>
    <t>Crop OR Livestock 
Test Case</t>
  </si>
  <si>
    <t>DATS Category</t>
  </si>
  <si>
    <t>Test case number</t>
  </si>
  <si>
    <t>TC Name/ Title</t>
  </si>
  <si>
    <t>TC Country</t>
  </si>
  <si>
    <t>TCs' Animal Type</t>
  </si>
  <si>
    <t>DATSs Name</t>
  </si>
  <si>
    <t>DATSs short Description</t>
  </si>
  <si>
    <t>DATSs provider website</t>
  </si>
  <si>
    <r>
      <rPr>
        <b/>
        <sz val="14"/>
        <color theme="1"/>
        <rFont val="Arial"/>
      </rPr>
      <t xml:space="preserve">KPI INFO/outcomes USED 
</t>
    </r>
    <r>
      <rPr>
        <sz val="11"/>
        <color theme="1"/>
        <rFont val="Arial"/>
      </rPr>
      <t>(KPIs info/outocmes used from POLIMI's analysis to build  the Calculator modules)</t>
    </r>
    <r>
      <rPr>
        <b/>
        <sz val="11"/>
        <color theme="1"/>
        <rFont val="Arial"/>
      </rPr>
      <t xml:space="preserve"> </t>
    </r>
  </si>
  <si>
    <t>Total Area (ha)
(input provided by the user)</t>
  </si>
  <si>
    <r>
      <rPr>
        <b/>
        <sz val="10"/>
        <color theme="1"/>
        <rFont val="Arial"/>
      </rPr>
      <t>YEARS OF USAGE</t>
    </r>
    <r>
      <rPr>
        <sz val="10"/>
        <color theme="1"/>
        <rFont val="Arial"/>
      </rPr>
      <t xml:space="preserve">
(input provided by the user)</t>
    </r>
  </si>
  <si>
    <r>
      <rPr>
        <b/>
        <sz val="10"/>
        <color theme="1"/>
        <rFont val="Arial"/>
      </rPr>
      <t>Initial cost of Investment</t>
    </r>
    <r>
      <rPr>
        <sz val="10"/>
        <color theme="1"/>
        <rFont val="Arial"/>
      </rPr>
      <t xml:space="preserve"> (€)
(Known value from system)</t>
    </r>
  </si>
  <si>
    <r>
      <rPr>
        <b/>
        <sz val="10"/>
        <color theme="1"/>
        <rFont val="Arial"/>
      </rPr>
      <t>Initial cost of Investment</t>
    </r>
    <r>
      <rPr>
        <sz val="10"/>
        <color theme="1"/>
        <rFont val="Arial"/>
      </rPr>
      <t xml:space="preserve"> (€)/ha
(Known value from system)</t>
    </r>
  </si>
  <si>
    <r>
      <rPr>
        <b/>
        <sz val="10"/>
        <color theme="1"/>
        <rFont val="Arial"/>
      </rPr>
      <t xml:space="preserve">Maintainance Costs </t>
    </r>
    <r>
      <rPr>
        <sz val="10"/>
        <color theme="1"/>
        <rFont val="Arial"/>
      </rPr>
      <t>(€)/year
(Known value from system)</t>
    </r>
  </si>
  <si>
    <r>
      <rPr>
        <b/>
        <sz val="10"/>
        <color theme="1"/>
        <rFont val="Arial"/>
      </rPr>
      <t xml:space="preserve">Maintainance Costs </t>
    </r>
    <r>
      <rPr>
        <sz val="10"/>
        <color theme="1"/>
        <rFont val="Arial"/>
      </rPr>
      <t>(€)/ha/year
(Known value from system)</t>
    </r>
  </si>
  <si>
    <r>
      <rPr>
        <b/>
        <sz val="10"/>
        <color theme="1"/>
        <rFont val="Arial"/>
      </rPr>
      <t>Depreciation (i.e.,the annual reduction in the intial value of a tangible fixed asset)</t>
    </r>
    <r>
      <rPr>
        <sz val="10"/>
        <color theme="1"/>
        <rFont val="Arial"/>
      </rPr>
      <t xml:space="preserve"> (€)/year
(Result shown after using the calculator module)</t>
    </r>
  </si>
  <si>
    <r>
      <rPr>
        <b/>
        <sz val="10"/>
        <color theme="1"/>
        <rFont val="Arial"/>
      </rPr>
      <t>Total Initial cost of DAT Purchase</t>
    </r>
    <r>
      <rPr>
        <sz val="10"/>
        <color theme="1"/>
        <rFont val="Arial"/>
      </rPr>
      <t xml:space="preserve">
(Result shown after using the calculator module)</t>
    </r>
  </si>
  <si>
    <r>
      <rPr>
        <b/>
        <sz val="10"/>
        <color theme="1"/>
        <rFont val="Arial"/>
      </rPr>
      <t>Yield Impact with DATS usage</t>
    </r>
    <r>
      <rPr>
        <sz val="10"/>
        <color theme="1"/>
        <rFont val="Arial"/>
      </rPr>
      <t xml:space="preserve"> (%)
(Known value from system)</t>
    </r>
  </si>
  <si>
    <r>
      <rPr>
        <b/>
        <sz val="10"/>
        <color theme="1"/>
        <rFont val="Arial"/>
      </rPr>
      <t xml:space="preserve">Current Yield  without DATS usage </t>
    </r>
    <r>
      <rPr>
        <sz val="10"/>
        <color theme="1"/>
        <rFont val="Arial"/>
      </rPr>
      <t>(tons/ha)
(input provided by the user)</t>
    </r>
  </si>
  <si>
    <r>
      <rPr>
        <b/>
        <sz val="10"/>
        <color theme="1"/>
        <rFont val="Arial"/>
      </rPr>
      <t>Market Price</t>
    </r>
    <r>
      <rPr>
        <sz val="10"/>
        <color theme="1"/>
        <rFont val="Arial"/>
      </rPr>
      <t xml:space="preserve"> (€/ 1ton)
(input provided by the user)</t>
    </r>
  </si>
  <si>
    <r>
      <rPr>
        <b/>
        <sz val="10"/>
        <color theme="1"/>
        <rFont val="Arial"/>
      </rPr>
      <t xml:space="preserve">Current Revenue without DATS usage </t>
    </r>
    <r>
      <rPr>
        <sz val="10"/>
        <color theme="1"/>
        <rFont val="Arial"/>
      </rPr>
      <t>(€ in 1 year)
(Result shown after using the calculator module)</t>
    </r>
  </si>
  <si>
    <r>
      <rPr>
        <b/>
        <sz val="10"/>
        <color theme="1"/>
        <rFont val="Arial"/>
      </rPr>
      <t>Yield with DATS usage</t>
    </r>
    <r>
      <rPr>
        <sz val="10"/>
        <color theme="1"/>
        <rFont val="Arial"/>
      </rPr>
      <t xml:space="preserve"> (tons/ha)
(Result shown after using the calculator module)</t>
    </r>
  </si>
  <si>
    <r>
      <rPr>
        <b/>
        <sz val="10"/>
        <color theme="1"/>
        <rFont val="Arial"/>
      </rPr>
      <t xml:space="preserve">Price of Yield with DATS usage </t>
    </r>
    <r>
      <rPr>
        <sz val="10"/>
        <color theme="1"/>
        <rFont val="Arial"/>
      </rPr>
      <t>(€/ ha)
(Result shown after using the calculator module)</t>
    </r>
  </si>
  <si>
    <r>
      <rPr>
        <b/>
        <sz val="10"/>
        <color rgb="FF000000"/>
        <rFont val="Arial"/>
      </rPr>
      <t>Revenue Impact with DATS usage</t>
    </r>
    <r>
      <rPr>
        <sz val="10"/>
        <color rgb="FF000000"/>
        <rFont val="Arial"/>
      </rPr>
      <t xml:space="preserve"> (€ in 1 year)
(Result shown after using the calculator module)</t>
    </r>
  </si>
  <si>
    <r>
      <rPr>
        <b/>
        <sz val="10"/>
        <color theme="1"/>
        <rFont val="Arial"/>
      </rPr>
      <t>Fertilization Impact with DATS usage</t>
    </r>
    <r>
      <rPr>
        <sz val="10"/>
        <color theme="1"/>
        <rFont val="Arial"/>
      </rPr>
      <t xml:space="preserve"> (%)- N applied (%)
(Known value from system)</t>
    </r>
  </si>
  <si>
    <r>
      <rPr>
        <b/>
        <sz val="10"/>
        <color rgb="FF000000"/>
        <rFont val="Arial"/>
      </rPr>
      <t>Current fertilizer usage without DATS</t>
    </r>
    <r>
      <rPr>
        <sz val="10"/>
        <color rgb="FF000000"/>
        <rFont val="Arial"/>
      </rPr>
      <t xml:space="preserve"> (Kg/ ha)
(input provided by the user)</t>
    </r>
  </si>
  <si>
    <r>
      <rPr>
        <b/>
        <sz val="10"/>
        <color theme="1"/>
        <rFont val="Arial"/>
      </rPr>
      <t xml:space="preserve">Current Fertilizer Cost  </t>
    </r>
    <r>
      <rPr>
        <sz val="10"/>
        <color theme="1"/>
        <rFont val="Arial"/>
      </rPr>
      <t>(€/ 1 Kg)
(input provided by the user)</t>
    </r>
  </si>
  <si>
    <r>
      <rPr>
        <b/>
        <sz val="10"/>
        <color theme="1"/>
        <rFont val="Arial"/>
      </rPr>
      <t>Current Fertilization Cost</t>
    </r>
    <r>
      <rPr>
        <sz val="10"/>
        <color theme="1"/>
        <rFont val="Arial"/>
      </rPr>
      <t xml:space="preserve"> without DATS usage (€/ ha)
(Result shown after using the calculator module)</t>
    </r>
  </si>
  <si>
    <r>
      <rPr>
        <b/>
        <sz val="10"/>
        <color rgb="FF000000"/>
        <rFont val="Arial"/>
      </rPr>
      <t>Fertilizer usage with DATS</t>
    </r>
    <r>
      <rPr>
        <sz val="10"/>
        <color rgb="FF000000"/>
        <rFont val="Arial"/>
      </rPr>
      <t xml:space="preserve"> (kg/ha)
(Result shown after using the calculator module)</t>
    </r>
  </si>
  <si>
    <r>
      <rPr>
        <b/>
        <sz val="10"/>
        <color rgb="FF000000"/>
        <rFont val="Arial"/>
      </rPr>
      <t xml:space="preserve">Fertilizer Cost with DATS usage </t>
    </r>
    <r>
      <rPr>
        <sz val="10"/>
        <color rgb="FF000000"/>
        <rFont val="Arial"/>
      </rPr>
      <t xml:space="preserve"> (€/ ha)
(Result shown after using the calculator module)</t>
    </r>
  </si>
  <si>
    <r>
      <rPr>
        <b/>
        <sz val="10"/>
        <color rgb="FF000000"/>
        <rFont val="Arial"/>
      </rPr>
      <t xml:space="preserve">Fertilization Cost with DATS usage  </t>
    </r>
    <r>
      <rPr>
        <sz val="10"/>
        <color rgb="FF000000"/>
        <rFont val="Arial"/>
      </rPr>
      <t>(€ in 1 year)
(Result shown after using the calculator module)</t>
    </r>
  </si>
  <si>
    <r>
      <rPr>
        <b/>
        <sz val="10"/>
        <color theme="1"/>
        <rFont val="Arial"/>
      </rPr>
      <t>Pesticides Impact with DATS usage</t>
    </r>
    <r>
      <rPr>
        <sz val="10"/>
        <color theme="1"/>
        <rFont val="Arial"/>
      </rPr>
      <t xml:space="preserve"> (%)
(Known value from system)</t>
    </r>
  </si>
  <si>
    <r>
      <rPr>
        <b/>
        <sz val="10"/>
        <color theme="1"/>
        <rFont val="Arial"/>
      </rPr>
      <t>Current pestcide usage without DATS</t>
    </r>
    <r>
      <rPr>
        <sz val="10"/>
        <color theme="1"/>
        <rFont val="Arial"/>
      </rPr>
      <t xml:space="preserve"> (kg or lt/ ha)
(input provided by the user)</t>
    </r>
  </si>
  <si>
    <r>
      <rPr>
        <b/>
        <sz val="10"/>
        <color theme="1"/>
        <rFont val="Arial"/>
      </rPr>
      <t xml:space="preserve">Current pesticide cost </t>
    </r>
    <r>
      <rPr>
        <sz val="10"/>
        <color theme="1"/>
        <rFont val="Arial"/>
      </rPr>
      <t>(€/ kg or lt)
(input provided by the user)</t>
    </r>
  </si>
  <si>
    <r>
      <rPr>
        <b/>
        <sz val="10"/>
        <color theme="1"/>
        <rFont val="Arial"/>
      </rPr>
      <t xml:space="preserve">Current pesticide cost without DATS  usage </t>
    </r>
    <r>
      <rPr>
        <sz val="10"/>
        <color theme="1"/>
        <rFont val="Arial"/>
      </rPr>
      <t>(€/ ha)</t>
    </r>
  </si>
  <si>
    <r>
      <rPr>
        <b/>
        <sz val="10"/>
        <color theme="1"/>
        <rFont val="Arial"/>
      </rPr>
      <t>Pesticide usage with DATS</t>
    </r>
    <r>
      <rPr>
        <sz val="10"/>
        <color theme="1"/>
        <rFont val="Arial"/>
      </rPr>
      <t xml:space="preserve"> (kg or lt /ha)
(Result shown after using the calculator module)</t>
    </r>
  </si>
  <si>
    <r>
      <rPr>
        <b/>
        <sz val="10"/>
        <color theme="1"/>
        <rFont val="Arial"/>
      </rPr>
      <t>Pesticide Cost with DATS usage</t>
    </r>
    <r>
      <rPr>
        <sz val="10"/>
        <color theme="1"/>
        <rFont val="Arial"/>
      </rPr>
      <t xml:space="preserve"> (€/ ha)
(Result shown after using the calculator module)</t>
    </r>
  </si>
  <si>
    <r>
      <rPr>
        <b/>
        <sz val="10"/>
        <color theme="1"/>
        <rFont val="Arial"/>
      </rPr>
      <t>Pesticide Cost with DATS usage</t>
    </r>
    <r>
      <rPr>
        <sz val="10"/>
        <color theme="1"/>
        <rFont val="Arial"/>
      </rPr>
      <t xml:space="preserve"> (€ in 1 year)
(Result shown after using the calculator module)</t>
    </r>
  </si>
  <si>
    <r>
      <rPr>
        <b/>
        <sz val="10"/>
        <color theme="1"/>
        <rFont val="Arial"/>
      </rPr>
      <t>Water Consumption  Impact with DATS usage (%)</t>
    </r>
    <r>
      <rPr>
        <sz val="10"/>
        <color theme="1"/>
        <rFont val="Arial"/>
      </rPr>
      <t xml:space="preserve">
(Known value from system)</t>
    </r>
  </si>
  <si>
    <r>
      <rPr>
        <b/>
        <sz val="10"/>
        <color rgb="FF000000"/>
        <rFont val="Arial"/>
      </rPr>
      <t>Current water usage without DATS (m3/ha)</t>
    </r>
    <r>
      <rPr>
        <sz val="10"/>
        <color rgb="FF000000"/>
        <rFont val="Arial"/>
      </rPr>
      <t xml:space="preserve">
(input provided by the user)</t>
    </r>
  </si>
  <si>
    <r>
      <rPr>
        <b/>
        <sz val="10"/>
        <color theme="1"/>
        <rFont val="Arial"/>
      </rPr>
      <t xml:space="preserve">Current water cost </t>
    </r>
    <r>
      <rPr>
        <sz val="10"/>
        <color theme="1"/>
        <rFont val="Arial"/>
      </rPr>
      <t>(€/ m3)
(input provided by the user)</t>
    </r>
  </si>
  <si>
    <r>
      <rPr>
        <b/>
        <sz val="10"/>
        <color theme="1"/>
        <rFont val="Arial"/>
      </rPr>
      <t>Current Irrigation Cost without DATS usage (</t>
    </r>
    <r>
      <rPr>
        <sz val="10"/>
        <color theme="1"/>
        <rFont val="Arial"/>
      </rPr>
      <t>€/ ha)
(Result shown after using the calculator module)</t>
    </r>
  </si>
  <si>
    <r>
      <rPr>
        <b/>
        <sz val="10"/>
        <color theme="1"/>
        <rFont val="Arial"/>
      </rPr>
      <t>Water usage  with DATS</t>
    </r>
    <r>
      <rPr>
        <sz val="10"/>
        <color theme="1"/>
        <rFont val="Arial"/>
      </rPr>
      <t xml:space="preserve"> (m3/ha)
(Result shown after using the calculator module)</t>
    </r>
  </si>
  <si>
    <r>
      <rPr>
        <b/>
        <sz val="10"/>
        <color theme="1"/>
        <rFont val="Arial"/>
      </rPr>
      <t>Water Cost with DATS usage</t>
    </r>
    <r>
      <rPr>
        <sz val="10"/>
        <color theme="1"/>
        <rFont val="Arial"/>
      </rPr>
      <t xml:space="preserve"> (€/ ha)
(Result shown after using the calculator module)</t>
    </r>
  </si>
  <si>
    <r>
      <rPr>
        <b/>
        <sz val="10"/>
        <color theme="1"/>
        <rFont val="Arial"/>
      </rPr>
      <t>Water Cost with DATS usage</t>
    </r>
    <r>
      <rPr>
        <sz val="10"/>
        <color theme="1"/>
        <rFont val="Arial"/>
      </rPr>
      <t xml:space="preserve">  (€ in 1 year)
(Result shown after using the calculator module)</t>
    </r>
  </si>
  <si>
    <r>
      <rPr>
        <b/>
        <sz val="10"/>
        <color theme="1"/>
        <rFont val="Arial"/>
      </rPr>
      <t>Working Time Impact with DATS usage (%)</t>
    </r>
    <r>
      <rPr>
        <sz val="10"/>
        <color theme="1"/>
        <rFont val="Arial"/>
      </rPr>
      <t xml:space="preserve">
(Known value from system)</t>
    </r>
  </si>
  <si>
    <r>
      <rPr>
        <b/>
        <sz val="10"/>
        <color theme="1"/>
        <rFont val="Arial"/>
      </rPr>
      <t>Current Working Time Cost without DATS</t>
    </r>
    <r>
      <rPr>
        <sz val="10"/>
        <color theme="1"/>
        <rFont val="Arial"/>
      </rPr>
      <t xml:space="preserve"> usage (€ in 1 year)
(input provided by the user)</t>
    </r>
  </si>
  <si>
    <r>
      <rPr>
        <b/>
        <sz val="10"/>
        <color theme="1"/>
        <rFont val="Arial"/>
      </rPr>
      <t>Working Time Cost with DATS usage</t>
    </r>
    <r>
      <rPr>
        <sz val="10"/>
        <color theme="1"/>
        <rFont val="Arial"/>
      </rPr>
      <t xml:space="preserve">  (€ in 1 year)
(Result shown after using the calculator module)</t>
    </r>
  </si>
  <si>
    <r>
      <rPr>
        <b/>
        <sz val="10"/>
        <color theme="1"/>
        <rFont val="Arial"/>
      </rPr>
      <t>Fuel Consumption Impact with DATS usage</t>
    </r>
    <r>
      <rPr>
        <sz val="10"/>
        <color theme="1"/>
        <rFont val="Arial"/>
      </rPr>
      <t xml:space="preserve"> (%)
(Known value from system)</t>
    </r>
  </si>
  <si>
    <r>
      <rPr>
        <b/>
        <sz val="10"/>
        <color theme="1"/>
        <rFont val="Arial"/>
      </rPr>
      <t xml:space="preserve">Current Fuel Cost  without DATS usage  </t>
    </r>
    <r>
      <rPr>
        <sz val="10"/>
        <color theme="1"/>
        <rFont val="Arial"/>
      </rPr>
      <t>(€ in 1 year)
(input provided by the user)</t>
    </r>
  </si>
  <si>
    <r>
      <rPr>
        <b/>
        <sz val="10"/>
        <color theme="1"/>
        <rFont val="Arial"/>
      </rPr>
      <t>Fuel cost with DATS usage</t>
    </r>
    <r>
      <rPr>
        <sz val="10"/>
        <color theme="1"/>
        <rFont val="Arial"/>
      </rPr>
      <t xml:space="preserve">  (€ in 1 year)
(Result shown after using the calculator module)</t>
    </r>
  </si>
  <si>
    <r>
      <rPr>
        <b/>
        <sz val="10"/>
        <color theme="1"/>
        <rFont val="Arial"/>
      </rPr>
      <t>Electricity consumption</t>
    </r>
    <r>
      <rPr>
        <sz val="10"/>
        <color theme="1"/>
        <rFont val="Arial"/>
      </rPr>
      <t xml:space="preserve"> Impact with DATS usage (%)
(known value from the system)</t>
    </r>
  </si>
  <si>
    <r>
      <rPr>
        <b/>
        <sz val="10"/>
        <color theme="1"/>
        <rFont val="Arial"/>
      </rPr>
      <t>Current Electricity Cost</t>
    </r>
    <r>
      <rPr>
        <sz val="10"/>
        <color theme="1"/>
        <rFont val="Arial"/>
      </rPr>
      <t xml:space="preserve"> without DATS usage (€ in 1 year)
(input provided by the user)</t>
    </r>
  </si>
  <si>
    <r>
      <rPr>
        <b/>
        <sz val="10"/>
        <color theme="1"/>
        <rFont val="Arial"/>
      </rPr>
      <t xml:space="preserve">Electricity cost with DATS usage </t>
    </r>
    <r>
      <rPr>
        <sz val="10"/>
        <color theme="1"/>
        <rFont val="Arial"/>
      </rPr>
      <t xml:space="preserve"> (€ in 1 year)
(Result shown after using the calculator module)</t>
    </r>
  </si>
  <si>
    <t>Annual change in Net Income  (€)
(annual total Impact (including addtional annual OPEX[e.g., Subscriptions, Maintenance,etc.]) with DATS usage  
(Result shown after using the calculator module)</t>
  </si>
  <si>
    <r>
      <rPr>
        <b/>
        <sz val="11"/>
        <color theme="1"/>
        <rFont val="Arial"/>
      </rPr>
      <t xml:space="preserve">Annual ROI (%) 
(Annual change in Net Income / initial cost of the equipment)
</t>
    </r>
    <r>
      <rPr>
        <sz val="11"/>
        <color theme="1"/>
        <rFont val="Arial"/>
      </rPr>
      <t>(Result shown after using the calculator module)</t>
    </r>
  </si>
  <si>
    <r>
      <rPr>
        <b/>
        <sz val="11"/>
        <color theme="1"/>
        <rFont val="Calibri"/>
      </rPr>
      <t xml:space="preserve">Payback Period (years)
</t>
    </r>
    <r>
      <rPr>
        <sz val="11"/>
        <color theme="1"/>
        <rFont val="Calibri"/>
      </rPr>
      <t>(Result shown after using the calculator module)</t>
    </r>
  </si>
  <si>
    <r>
      <rPr>
        <b/>
        <sz val="11"/>
        <color theme="1"/>
        <rFont val="Calibri"/>
      </rPr>
      <t xml:space="preserve">Is the DAT Beneficial? 
(6 year payback period threshold)
</t>
    </r>
    <r>
      <rPr>
        <sz val="11"/>
        <color theme="1"/>
        <rFont val="Calibri"/>
      </rPr>
      <t>(Result shown after using the calculator module)</t>
    </r>
  </si>
  <si>
    <t>Crop</t>
  </si>
  <si>
    <t>Farm Management Information Systems (FMIS) and applications (inc. Decision Support Systems (DSS), Quality Management Systems (QMS))</t>
  </si>
  <si>
    <t xml:space="preserve">TC1 </t>
  </si>
  <si>
    <t>DSS-App for Potato Monitoring &amp; Fertilisation</t>
  </si>
  <si>
    <t>Greece</t>
  </si>
  <si>
    <t>Vegetables (Potato)</t>
  </si>
  <si>
    <t>gaiasense</t>
  </si>
  <si>
    <t>An innovative, multi-dimensional smart farming system
Gaiasense, an innovative smart farming system designed and developed by NEUROPUBLIC S.A., collects data from the field (atmospheric and soil data), the satellite (Earth Observation data), the scientist (on farm observations, measurements and sampling), and the farmer (recording of farming activities). This data feeds scientific models for the fertilization, irrigation and crop protection of each crop, adjusted to the microclimatic conditions of each site. Then, gaiasense provides advice to agronomists and consequently farmers, so that they can meet the exact needs of each specific crop in terms of nutrients, irrigation water and crop protection measures. Gaiasense supports a constantly growing number of crops, both open field and in greenhouses, conventional and organic. Its modular design allows the adaptation to different crops and adjustment to different microclimatic conditions. It contributes to better quality and higher yields, with reduced production cost and lower environmental footprint. Agricultural advisors play a key role in the process, as they are the ones who evaluate the smart farming advice, adjusting it accordingly based on their experience, and then share it with farmers, also guiding them in the application of the advice in the field. Gaiasense provides agricultural advisors with valuable digital tools, data and information that they need in order to provide more accurate advice to farmers, so that they can reap the benefits of smart farming without requiring any kind of investment in expensive technological equipment nor specialized digital skills.</t>
  </si>
  <si>
    <t>http://www.gaiasense.gr/en/gaiasense</t>
  </si>
  <si>
    <r>
      <rPr>
        <sz val="11"/>
        <color rgb="FFFF0000"/>
        <rFont val="Calibri"/>
      </rPr>
      <t>(Annual service cost)</t>
    </r>
    <r>
      <rPr>
        <sz val="11"/>
        <color theme="1"/>
        <rFont val="Calibri"/>
      </rPr>
      <t xml:space="preserve"> - 
Initial investment: 450 euros 
60euros/ha
maitenance: 300 euros/year</t>
    </r>
  </si>
  <si>
    <t>1. Labour productivity (arable and horticulture): 1,9
2. Nitrogen applied:  54,4
3. Water consumption: -27
4. Arable and horticulture fuel consumption: -19,3
5. Working time: -12,5
6. Electricity consumption: -26,7
7. pesticides, herbicides and fungicides use: 161,3</t>
  </si>
  <si>
    <t>TC2</t>
  </si>
  <si>
    <t>Precision Irrigation DSS for Corn</t>
  </si>
  <si>
    <t>Portugal</t>
  </si>
  <si>
    <t>Arable</t>
  </si>
  <si>
    <t>Irristrat </t>
  </si>
  <si>
    <t>EFFICIENT AND SUSTAINABLE WATER MANAGEMENT IN AGRICULTURE
Introduced in the market in 2009 it’s a simple, integrated, powerful and affordable tool anywhere. Irristrat ™ stands out as the most advanced intelligent irrigation management software, processing real-time field information and providing farmers with accurate indications for smarter and more efficient irrigation, contributing to improved results.</t>
  </si>
  <si>
    <t>http://www.hidrosoph.com/EN/irristrat.html</t>
  </si>
  <si>
    <r>
      <rPr>
        <sz val="11"/>
        <color rgb="FFFF0000"/>
        <rFont val="Calibri"/>
      </rPr>
      <t>Annual service cost</t>
    </r>
    <r>
      <rPr>
        <sz val="11"/>
        <color theme="1"/>
        <rFont val="Calibri"/>
      </rPr>
      <t xml:space="preserve">
Initial investment: 31500 €
Maintenance costs: 97,2 €/ha</t>
    </r>
  </si>
  <si>
    <t>1. Labour productivity (arable and horticulture): 9,6
2. Water consumption: -54
3. Working time: 146
4. Electricity consumption: -48,2</t>
  </si>
  <si>
    <t>TC3</t>
  </si>
  <si>
    <t xml:space="preserve">Monitoring &amp; Fertilisation DSS for Barley </t>
  </si>
  <si>
    <t>Spain</t>
  </si>
  <si>
    <t>Arable - Barley</t>
  </si>
  <si>
    <t>SATIVUM</t>
  </si>
  <si>
    <t>Satellite monitoring with preloaded parcel boundaries, climate and soil data. Nutrient and pest advises. Communication with the administration.
SATIVUM (https://www.sativum.es/) is a free public tool, created by Instituto Tecnológico Agrario de Castilla y León (ITACyL), which aims to help farmers and advisors in the decision making process of a farm, providing them with access to all available information related to their plots through a simple and intuitive web interface from any of their devices: mobile, tablet or computer. It is a web app that allows to control of each plot of a farm, carrying out satellite monitoring of the development of crops on pre-loaded and/or editable geometries. It also provides the farmer with information on the climate and soil of his plots, allowing temporal and geographical comparisons to be made on the evolution of crops, as well as zoning the plot for VRA (Variable Rate Application) applications. It also advises on the formulation of nutrient plans (based on FAST tool) and on the possible occurrence of pests and diseases. It allows the completion of the digital farmbook and communication with the administration.</t>
  </si>
  <si>
    <t>https://www.sativum.es/</t>
  </si>
  <si>
    <t>FREE</t>
  </si>
  <si>
    <t>1. Labour productivity (arable and horticulture): -8,9
2. Nitrogen applied: -14
3. Arable and horticulture fuel consumption: 5,1
4. pesticides, herbicides and fungicides use: -35
5. Working time: -13,6</t>
  </si>
  <si>
    <t>Monitoring &amp; Fertilisation DSS for Wheat</t>
  </si>
  <si>
    <t>Arable - Wheat</t>
  </si>
  <si>
    <t>1. Labour productivity (arable and horticulture): -15,6
2.  Nitrogen applied: -18,3
3. Arable and horticulture fuel consumption: 3,1
4.  pesticides, herbicides and fungicides use: -4,4
5. Working time: 17,7</t>
  </si>
  <si>
    <t>Reacting or Variable Rate Technologies (VRT)</t>
  </si>
  <si>
    <t>TC4</t>
  </si>
  <si>
    <t>VRA Fertiliser Technology for Cotton</t>
  </si>
  <si>
    <t>Augmenta HA VRA</t>
  </si>
  <si>
    <t>The DATS utilizes the correlation between OBPC and NDVI values, leveraging its own vegetation index to execute Augmenta Harvest Aid (HA) VRA operations. Using camera-based vision and dynamic algorithms, the Augmenta field analyser generates the AUG-Index, detecting plant aging and the necessity for HA. Through an on-the-go prescription map, it controls sprayers, applying precise amounts of HA Defoliant in real-time with a single pass.</t>
  </si>
  <si>
    <t>we need a new link here now it is CNH compnay</t>
  </si>
  <si>
    <r>
      <rPr>
        <sz val="11"/>
        <color rgb="FFFF0000"/>
        <rFont val="Calibri"/>
      </rPr>
      <t xml:space="preserve">Annual fee per hectare
</t>
    </r>
    <r>
      <rPr>
        <sz val="11"/>
        <color theme="1"/>
        <rFont val="Calibri"/>
      </rPr>
      <t>Initial investment: 24000€
Maintenance costs: 1,97 €/ha
Maintenance costs: 50 € /year</t>
    </r>
  </si>
  <si>
    <t>1. Labour productivity (arable and horticulture): -5,1
2. Nitrogen applied: -13,6
3. pesticides, herbicides and fungicides use: -23</t>
  </si>
  <si>
    <t>TC5</t>
  </si>
  <si>
    <t>DSS for Wheat Seeding &amp; Fertilisation</t>
  </si>
  <si>
    <t>Turkey</t>
  </si>
  <si>
    <t>granoduro.net</t>
  </si>
  <si>
    <t>The DATS provides support in the implementation of sustainable agronomic practices. It is a web accessible service that integrates in mathematical models and returns clear and effective advice and quick alarms related to the field management. It can provide farmers with advises about sowing, fertilization, alarms about the risk of main diseases, and plant protection products. The DATS is implemented throughout the durum wheat growing season, spanning from sowing to harvest. granoduro.net operates as web-accessible service that integrates different information on the characteristics of each parcel - as weather patterns, soil properties, and crop characteristics like growth rate, phenology, nutritional and water requirements - into mathematical models. These models generate actionable insights and prompt alerts to field management.</t>
  </si>
  <si>
    <t>https://www.horta-srl.it/granoduro-net-barilla/</t>
  </si>
  <si>
    <t>unknown
Annual fee: 4€/ha
Annual fee: 158 €/year</t>
  </si>
  <si>
    <t>1. Labour productivity (arable and horticulture): 3,5
2. Nitrogen applied: -29,2
3. Water consumption: 54
4. Arable and horticulture fuel consumption: 8,3
5. Working time: -21,1
6. pesticides, herbicides and fungicides use: 12,5</t>
  </si>
  <si>
    <t>TC6</t>
  </si>
  <si>
    <t xml:space="preserve">Integrated DSS/QMS &amp; VRA for Onion </t>
  </si>
  <si>
    <t>Netherlands</t>
  </si>
  <si>
    <t>Vegetable</t>
  </si>
  <si>
    <t>Delphy QMS Water
- Agrovision DSS
- Aurea Imaging (Drone flights and elevation maps)
- Agro exact sencrop (Weather poles, Soil moisture sensors)
- Raven (GPS)</t>
  </si>
  <si>
    <r>
      <rPr>
        <b/>
        <sz val="11"/>
        <color theme="1"/>
        <rFont val="Calibri"/>
      </rPr>
      <t>Delphy QMS system:</t>
    </r>
    <r>
      <rPr>
        <sz val="11"/>
        <color theme="1"/>
        <rFont val="Calibri"/>
      </rPr>
      <t xml:space="preserve"> This software integrates data from various sources—humidity sensors, weather stations, and the compiled drone-generated map. It uses this information to determine irrigation needs on a per-plot basis. It calculates moisture deficits or surpluses, considering soil characteristics, crop parameters, and weather forecasts. This data-driven approach helps optimize water usage by providing insights into when and where irrigation is needed.
</t>
    </r>
    <r>
      <rPr>
        <b/>
        <sz val="11"/>
        <color theme="1"/>
        <rFont val="Calibri"/>
      </rPr>
      <t>Agrovision:</t>
    </r>
    <r>
      <rPr>
        <sz val="11"/>
        <color theme="1"/>
        <rFont val="Calibri"/>
      </rPr>
      <t xml:space="preserve"> The DSS system integrates data from various treatments. It likely uses historical and real-time data to recommend optimal treatment plans based on crop conditions, weather forecasts, and other relevant factors.
</t>
    </r>
    <r>
      <rPr>
        <b/>
        <sz val="11"/>
        <color theme="1"/>
        <rFont val="Calibri"/>
      </rPr>
      <t>Aurea Imaging:</t>
    </r>
    <r>
      <rPr>
        <sz val="11"/>
        <color theme="1"/>
        <rFont val="Calibri"/>
      </rPr>
      <t xml:space="preserve"> Drones equipped with imaging technology capture aerial data and create elevation maps of the agricultural land. These maps provide detailed information about the topography, soil variability, and potentially stressed areas of the fields.
</t>
    </r>
    <r>
      <rPr>
        <b/>
        <sz val="11"/>
        <color theme="1"/>
        <rFont val="Calibri"/>
      </rPr>
      <t>Agro exact sencrop:</t>
    </r>
    <r>
      <rPr>
        <sz val="11"/>
        <color theme="1"/>
        <rFont val="Calibri"/>
      </rPr>
      <t xml:space="preserve"> Soil moisture sensors and weather stations collect real-time data about soil conditions and atmospheric factors. They measure soil moisture, temperature, humidity, atmospheric pressure, wind speed, and other relevant metrics.
</t>
    </r>
    <r>
      <rPr>
        <b/>
        <sz val="11"/>
        <color theme="1"/>
        <rFont val="Calibri"/>
      </rPr>
      <t xml:space="preserve">Raven: </t>
    </r>
    <r>
      <rPr>
        <sz val="11"/>
        <color theme="1"/>
        <rFont val="Calibri"/>
      </rPr>
      <t>GPS technology, such as the Raven system, provides accurate positioning and navigation data, aiding in precise location-specific actions and data collection.</t>
    </r>
  </si>
  <si>
    <t xml:space="preserve">https://delphy.nl/en/qms-water/
https://www.agrovision.com
https://aureaimaging.com/
https://sencrop.com/eu/
https://ravenconnected.com
</t>
  </si>
  <si>
    <r>
      <rPr>
        <b/>
        <sz val="11"/>
        <color rgb="FFFF0000"/>
        <rFont val="Calibri"/>
      </rPr>
      <t>Delphy QMS system:</t>
    </r>
    <r>
      <rPr>
        <sz val="11"/>
        <color rgb="FFFF0000"/>
        <rFont val="Calibri"/>
      </rPr>
      <t xml:space="preserve"> Annual fee
</t>
    </r>
    <r>
      <rPr>
        <b/>
        <sz val="11"/>
        <color rgb="FFFF0000"/>
        <rFont val="Calibri"/>
      </rPr>
      <t>Agrovision:</t>
    </r>
    <r>
      <rPr>
        <sz val="11"/>
        <color rgb="FFFF0000"/>
        <rFont val="Calibri"/>
      </rPr>
      <t xml:space="preserve"> unknown
</t>
    </r>
    <r>
      <rPr>
        <b/>
        <sz val="11"/>
        <color rgb="FFFF0000"/>
        <rFont val="Calibri"/>
      </rPr>
      <t>Aurea Imaging:</t>
    </r>
    <r>
      <rPr>
        <sz val="11"/>
        <color rgb="FFFF0000"/>
        <rFont val="Calibri"/>
      </rPr>
      <t xml:space="preserve"> unknown
</t>
    </r>
    <r>
      <rPr>
        <b/>
        <sz val="11"/>
        <color rgb="FFFF0000"/>
        <rFont val="Calibri"/>
      </rPr>
      <t>Agro exact sencrop:</t>
    </r>
    <r>
      <rPr>
        <sz val="11"/>
        <color rgb="FFFF0000"/>
        <rFont val="Calibri"/>
      </rPr>
      <t xml:space="preserve"> Annual fee
</t>
    </r>
    <r>
      <rPr>
        <b/>
        <sz val="11"/>
        <color rgb="FFFF0000"/>
        <rFont val="Calibri"/>
      </rPr>
      <t xml:space="preserve">Raven: </t>
    </r>
    <r>
      <rPr>
        <sz val="11"/>
        <color rgb="FFFF0000"/>
        <rFont val="Calibri"/>
      </rPr>
      <t xml:space="preserve">unknown
</t>
    </r>
    <r>
      <rPr>
        <sz val="11"/>
        <color theme="1"/>
        <rFont val="Calibri"/>
      </rPr>
      <t xml:space="preserve">Initial investment: 125 €/ha
Maintenance costs: 214 €/year
</t>
    </r>
  </si>
  <si>
    <t>1. Labour productivity (arable and horticulture): 36,5
2. Water Consumption: 8
3. Electricity Consumption: 7,8
4. Working time: 230</t>
  </si>
  <si>
    <t xml:space="preserve">Integrated DSS/QMS &amp; VRA for Wheat </t>
  </si>
  <si>
    <t>Delphy QMS System
- Agrovision DSS
- Aurea Imaging (Drone flights and elevation maps)
- Agro exact sencrop (Weather poles, Soil moisture sensors)
- Raven (GPS)</t>
  </si>
  <si>
    <r>
      <rPr>
        <b/>
        <sz val="11"/>
        <color theme="1"/>
        <rFont val="Calibri"/>
      </rPr>
      <t>Delphy QMS system:</t>
    </r>
    <r>
      <rPr>
        <sz val="11"/>
        <color theme="1"/>
        <rFont val="Calibri"/>
      </rPr>
      <t xml:space="preserve"> This software integrates data from various sources—humidity sensors, weather stations, and the compiled drone-generated map. It uses this information to determine irrigation needs on a per-plot basis. It calculates moisture deficits or surpluses, considering soil characteristics, crop parameters, and weather forecasts. This data-driven approach helps optimize water usage by providing insights into when and where irrigation is needed.
</t>
    </r>
    <r>
      <rPr>
        <b/>
        <sz val="11"/>
        <color theme="1"/>
        <rFont val="Calibri"/>
      </rPr>
      <t>Agrovision:</t>
    </r>
    <r>
      <rPr>
        <sz val="11"/>
        <color theme="1"/>
        <rFont val="Calibri"/>
      </rPr>
      <t xml:space="preserve"> The DSS system integrates data from various treatments. It likely uses historical and real-time data to recommend optimal treatment plans based on crop conditions, weather forecasts, and other relevant factors.
</t>
    </r>
    <r>
      <rPr>
        <b/>
        <sz val="11"/>
        <color theme="1"/>
        <rFont val="Calibri"/>
      </rPr>
      <t>Aurea Imaging:</t>
    </r>
    <r>
      <rPr>
        <sz val="11"/>
        <color theme="1"/>
        <rFont val="Calibri"/>
      </rPr>
      <t xml:space="preserve"> Drones equipped with imaging technology capture aerial data and create elevation maps of the agricultural land. These maps provide detailed information about the topography, soil variability, and potentially stressed areas of the fields.
</t>
    </r>
    <r>
      <rPr>
        <b/>
        <sz val="11"/>
        <color theme="1"/>
        <rFont val="Calibri"/>
      </rPr>
      <t>Agro exact sencrop:</t>
    </r>
    <r>
      <rPr>
        <sz val="11"/>
        <color theme="1"/>
        <rFont val="Calibri"/>
      </rPr>
      <t xml:space="preserve"> Soil moisture sensors and weather stations collect real-time data about soil conditions and atmospheric factors. They measure soil moisture, temperature, humidity, atmospheric pressure, wind speed, and other relevant metrics.
</t>
    </r>
    <r>
      <rPr>
        <b/>
        <sz val="11"/>
        <color theme="1"/>
        <rFont val="Calibri"/>
      </rPr>
      <t xml:space="preserve">Raven: </t>
    </r>
    <r>
      <rPr>
        <sz val="11"/>
        <color theme="1"/>
        <rFont val="Calibri"/>
      </rPr>
      <t>GPS technology, such as the Raven system, provides accurate positioning and navigation data, aiding in precise location-specific actions and data collection.</t>
    </r>
  </si>
  <si>
    <r>
      <rPr>
        <b/>
        <sz val="11"/>
        <color rgb="FFFF0000"/>
        <rFont val="Calibri"/>
      </rPr>
      <t>Delphy QMS system:</t>
    </r>
    <r>
      <rPr>
        <sz val="11"/>
        <color rgb="FFFF0000"/>
        <rFont val="Calibri"/>
      </rPr>
      <t xml:space="preserve"> Annual fee
</t>
    </r>
    <r>
      <rPr>
        <b/>
        <sz val="11"/>
        <color rgb="FFFF0000"/>
        <rFont val="Calibri"/>
      </rPr>
      <t>Agrovision:</t>
    </r>
    <r>
      <rPr>
        <sz val="11"/>
        <color rgb="FFFF0000"/>
        <rFont val="Calibri"/>
      </rPr>
      <t xml:space="preserve"> unknown
</t>
    </r>
    <r>
      <rPr>
        <b/>
        <sz val="11"/>
        <color rgb="FFFF0000"/>
        <rFont val="Calibri"/>
      </rPr>
      <t>Aurea Imaging:</t>
    </r>
    <r>
      <rPr>
        <sz val="11"/>
        <color rgb="FFFF0000"/>
        <rFont val="Calibri"/>
      </rPr>
      <t xml:space="preserve"> unknown
</t>
    </r>
    <r>
      <rPr>
        <b/>
        <sz val="11"/>
        <color rgb="FFFF0000"/>
        <rFont val="Calibri"/>
      </rPr>
      <t>Agro exact sencrop:</t>
    </r>
    <r>
      <rPr>
        <sz val="11"/>
        <color rgb="FFFF0000"/>
        <rFont val="Calibri"/>
      </rPr>
      <t xml:space="preserve"> Annual fee
</t>
    </r>
    <r>
      <rPr>
        <b/>
        <sz val="11"/>
        <color rgb="FFFF0000"/>
        <rFont val="Calibri"/>
      </rPr>
      <t xml:space="preserve">Raven: </t>
    </r>
    <r>
      <rPr>
        <sz val="11"/>
        <color rgb="FFFF0000"/>
        <rFont val="Calibri"/>
      </rPr>
      <t xml:space="preserve">unknown
</t>
    </r>
    <r>
      <rPr>
        <sz val="11"/>
        <color theme="1"/>
        <rFont val="Calibri"/>
      </rPr>
      <t xml:space="preserve">Initial investment: 125 €/ha
Maintenance costs: 214 €/year
</t>
    </r>
  </si>
  <si>
    <t>1. Labour productivity (arable and horticulture): -8,6
2. Water Consumption: -8
3. Working time: 100
4. Electricity Consumption: -35,6</t>
  </si>
  <si>
    <t>Integrated DSS/QMS &amp; VRA for Potato</t>
  </si>
  <si>
    <t>Vegetables</t>
  </si>
  <si>
    <r>
      <rPr>
        <b/>
        <sz val="11"/>
        <color theme="1"/>
        <rFont val="Calibri"/>
      </rPr>
      <t>Delphy QMS system:</t>
    </r>
    <r>
      <rPr>
        <sz val="11"/>
        <color theme="1"/>
        <rFont val="Calibri"/>
      </rPr>
      <t xml:space="preserve"> This software integrates data from various sources—humidity sensors, weather stations, and the compiled drone-generated map. It uses this information to determine irrigation needs on a per-plot basis. It calculates moisture deficits or surpluses, considering soil characteristics, crop parameters, and weather forecasts. This data-driven approach helps optimize water usage by providing insights into when and where irrigation is needed.
</t>
    </r>
    <r>
      <rPr>
        <b/>
        <sz val="11"/>
        <color theme="1"/>
        <rFont val="Calibri"/>
      </rPr>
      <t>Agrovision:</t>
    </r>
    <r>
      <rPr>
        <sz val="11"/>
        <color theme="1"/>
        <rFont val="Calibri"/>
      </rPr>
      <t xml:space="preserve"> The DSS system integrates data from various treatments. It likely uses historical and real-time data to recommend optimal treatment plans based on crop conditions, weather forecasts, and other relevant factors.
</t>
    </r>
    <r>
      <rPr>
        <b/>
        <sz val="11"/>
        <color theme="1"/>
        <rFont val="Calibri"/>
      </rPr>
      <t>Aurea Imaging:</t>
    </r>
    <r>
      <rPr>
        <sz val="11"/>
        <color theme="1"/>
        <rFont val="Calibri"/>
      </rPr>
      <t xml:space="preserve"> Drones equipped with imaging technology capture aerial data and create elevation maps of the agricultural land. These maps provide detailed information about the topography, soil variability, and potentially stressed areas of the fields.
</t>
    </r>
    <r>
      <rPr>
        <b/>
        <sz val="11"/>
        <color theme="1"/>
        <rFont val="Calibri"/>
      </rPr>
      <t>Agro exact sencrop:</t>
    </r>
    <r>
      <rPr>
        <sz val="11"/>
        <color theme="1"/>
        <rFont val="Calibri"/>
      </rPr>
      <t xml:space="preserve"> Soil moisture sensors and weather stations collect real-time data about soil conditions and atmospheric factors. They measure soil moisture, temperature, humidity, atmospheric pressure, wind speed, and other relevant metrics.
</t>
    </r>
    <r>
      <rPr>
        <b/>
        <sz val="11"/>
        <color theme="1"/>
        <rFont val="Calibri"/>
      </rPr>
      <t xml:space="preserve">Raven: </t>
    </r>
    <r>
      <rPr>
        <sz val="11"/>
        <color theme="1"/>
        <rFont val="Calibri"/>
      </rPr>
      <t>GPS technology, such as the Raven system, provides accurate positioning and navigation data, aiding in precise location-specific actions and data collection.</t>
    </r>
  </si>
  <si>
    <r>
      <rPr>
        <b/>
        <sz val="11"/>
        <color rgb="FFFF0000"/>
        <rFont val="Calibri"/>
      </rPr>
      <t>Delphy QMS system:</t>
    </r>
    <r>
      <rPr>
        <sz val="11"/>
        <color rgb="FFFF0000"/>
        <rFont val="Calibri"/>
      </rPr>
      <t xml:space="preserve"> Annual fee
</t>
    </r>
    <r>
      <rPr>
        <b/>
        <sz val="11"/>
        <color rgb="FFFF0000"/>
        <rFont val="Calibri"/>
      </rPr>
      <t>Agrovision:</t>
    </r>
    <r>
      <rPr>
        <sz val="11"/>
        <color rgb="FFFF0000"/>
        <rFont val="Calibri"/>
      </rPr>
      <t xml:space="preserve"> unknown
</t>
    </r>
    <r>
      <rPr>
        <b/>
        <sz val="11"/>
        <color rgb="FFFF0000"/>
        <rFont val="Calibri"/>
      </rPr>
      <t>Aurea Imaging:</t>
    </r>
    <r>
      <rPr>
        <sz val="11"/>
        <color rgb="FFFF0000"/>
        <rFont val="Calibri"/>
      </rPr>
      <t xml:space="preserve"> unknown
</t>
    </r>
    <r>
      <rPr>
        <b/>
        <sz val="11"/>
        <color rgb="FFFF0000"/>
        <rFont val="Calibri"/>
      </rPr>
      <t>Agro exact sencrop:</t>
    </r>
    <r>
      <rPr>
        <sz val="11"/>
        <color rgb="FFFF0000"/>
        <rFont val="Calibri"/>
      </rPr>
      <t xml:space="preserve"> Annual fee
</t>
    </r>
    <r>
      <rPr>
        <b/>
        <sz val="11"/>
        <color rgb="FFFF0000"/>
        <rFont val="Calibri"/>
      </rPr>
      <t xml:space="preserve">Raven: </t>
    </r>
    <r>
      <rPr>
        <sz val="11"/>
        <color rgb="FFFF0000"/>
        <rFont val="Calibri"/>
      </rPr>
      <t xml:space="preserve">unknown
</t>
    </r>
    <r>
      <rPr>
        <sz val="11"/>
        <color theme="1"/>
        <rFont val="Calibri"/>
      </rPr>
      <t xml:space="preserve">Initial investment: 125 €/ha
Maintenance costs: 214 €/year
</t>
    </r>
  </si>
  <si>
    <t>TC7</t>
  </si>
  <si>
    <t>DSS-App for Potato Irrigation Management</t>
  </si>
  <si>
    <t>Poland</t>
  </si>
  <si>
    <t xml:space="preserve">gaiasense </t>
  </si>
  <si>
    <r>
      <rPr>
        <sz val="11"/>
        <color rgb="FFFF0000"/>
        <rFont val="Calibri"/>
      </rPr>
      <t>Annual service cost</t>
    </r>
    <r>
      <rPr>
        <sz val="11"/>
        <color theme="1"/>
        <rFont val="Calibri"/>
      </rPr>
      <t xml:space="preserve">
Annual fee: 50 €/ha</t>
    </r>
  </si>
  <si>
    <t>1. Labour productivity (arable and horticulture): -5,6
2. Nitrogen applied: -35
3. Water consumption: -11</t>
  </si>
  <si>
    <t>TC8</t>
  </si>
  <si>
    <t>Silo Management &amp; AI Monitoring for Cereals</t>
  </si>
  <si>
    <t>Latvia</t>
  </si>
  <si>
    <t xml:space="preserve">Agrosmart for silos </t>
  </si>
  <si>
    <t>Agrosmart for silos
The DATS is a ground-breaking system designed for agricultural storage and trade businesses. It offers a comprehensive solution by merging various operational aspects, allowing users to boost productivity through efficient and precise processes. It handles automated acceptance, lab procedures, storage, and unloading operations. It seamlessly integrates with scales, lab equipment, and facilitates document management, logistics planning, and contract/order handling. The software keeps farmers informed about their deliveries, monitors contract execution, generates grain quality reports, and operates on the cloud, accessible via various devices through web browsers. Specialized installations enable communication with scales and lab equipment, with options for additional integrations like card scanners or accounting systems.</t>
  </si>
  <si>
    <t>https://silos.agrosmart.lt</t>
  </si>
  <si>
    <r>
      <rPr>
        <sz val="11"/>
        <color rgb="FFFF0000"/>
        <rFont val="Calibri"/>
      </rPr>
      <t>Initial investment costs</t>
    </r>
    <r>
      <rPr>
        <sz val="11"/>
        <color theme="1"/>
        <rFont val="Calibri"/>
      </rPr>
      <t xml:space="preserve">
Initial investment: 20000 €
Maintenance cost: 120 € /year</t>
    </r>
  </si>
  <si>
    <t>1. Labour productivity (arable and horticulture): 220 
2. Working time: -69</t>
  </si>
  <si>
    <t>TC9</t>
  </si>
  <si>
    <t>FMIS &amp; Financial DSS for Barley</t>
  </si>
  <si>
    <t>Slovenia</t>
  </si>
  <si>
    <t xml:space="preserve">Farm Manager </t>
  </si>
  <si>
    <t>Farm manager - farm business planning/modelling and decision-making for agricultural advisors, farmers and education
Farm Manager is the e-service for business planning, business modelling and decision-making on farms, based on a technically advanced e-service. It is a modern upgrade of the catalogue of calculations, which has historically been provided in the printed version, and has been an indispensable tool for planning business operations on farms for various purposes within the framework of agricultural consulting since 1995. The service enables users to review existing calculations and create farm production plans while advanced users (advisors) can develop and prepare new calculations. The Farm manager is, in the next iteration going to be upgraded into a data-driven platform, aggregating data received from satellites (Earth Observation), drones, in-situ sensors (IoT), weather stations, soil and plant test databases and other third-party/open data sources.</t>
  </si>
  <si>
    <t>https://www.farm-manager.si/</t>
  </si>
  <si>
    <t>1. Labour productivity (arable and horticulture): -42,9
2. Nitrogen applied: -74,9
3. Arable and horticulture fuel consumption: -47,2
4. Working time: -1,7
5. pesticides, herbicides and fungicides use: -61,5</t>
  </si>
  <si>
    <t xml:space="preserve">FMIS &amp; Financial DSS for Corn </t>
  </si>
  <si>
    <t>1. Labour productivity (arable and horticulture): -19,5
2. Nitrogen applied: -47,1 
3. Water consumption: 2
4. Arable and horticulture fuel consumption: 3,1
5. Working time: 24,2</t>
  </si>
  <si>
    <t>FMIS &amp; Financial DSS for Wheat</t>
  </si>
  <si>
    <t>1. Labour productivity (arable and horticulture): -42,9
2. Nitrogen applied: -74,9
3. Arable and horticulture fuel consumption: -47,2
4. pesticides, herbicides and fungicides use -61,5
5. Working time: -1,7</t>
  </si>
  <si>
    <t>TC10</t>
  </si>
  <si>
    <t>FMIS-App for Wheat Management</t>
  </si>
  <si>
    <t>Romania</t>
  </si>
  <si>
    <t>SF DSS</t>
  </si>
  <si>
    <t>SF DSS
A comprehensive software maintains records of all field operations and enables monitoring of equipment fleet. The solution also uses a combination of other DATSs (hardware and software): - Harvest Combines generate yield maps and gather crucial data for adapting technology and making informed decisions. - Meteo stations. Recording meteorological data aids in result analysis and timely decision-making, offering daily assistance in making informed choices. - Satellite-derived NDVI images are instrumental in preventing issues, exercising control, and facilitating decision-making processes. - Efficient scheduling of agricultural tasks for each plot, precise distribution of product consumption among parcels, and management of resources.</t>
  </si>
  <si>
    <t>https://fms.agricloud.ro/?lang=en</t>
  </si>
  <si>
    <r>
      <rPr>
        <sz val="11"/>
        <color rgb="FFFF0000"/>
        <rFont val="Calibri"/>
      </rPr>
      <t>Annual fee</t>
    </r>
    <r>
      <rPr>
        <sz val="11"/>
        <color theme="1"/>
        <rFont val="Calibri"/>
      </rPr>
      <t xml:space="preserve">
Initial investments: 70000 €
Maintenance: 5,43 €/ha
 </t>
    </r>
  </si>
  <si>
    <t>1. Labour productivity (arable and horticulture): 13,7
2. Nitrogen applied: 62,4
3. Arable and horticulture fuel consumption: -7,6
4. Working time: -33,1
5. pesticides, herbicides and fungicides use: -52,7
6. Electricity consumption: -40,3</t>
  </si>
  <si>
    <t>TC11</t>
  </si>
  <si>
    <t>DSS-App for Olive Irrigation</t>
  </si>
  <si>
    <t>Fruit</t>
  </si>
  <si>
    <r>
      <rPr>
        <sz val="11"/>
        <color rgb="FFFF0000"/>
        <rFont val="Calibri"/>
      </rPr>
      <t>Annual service cost</t>
    </r>
    <r>
      <rPr>
        <sz val="11"/>
        <color theme="1"/>
        <rFont val="Calibri"/>
      </rPr>
      <t xml:space="preserve">
Annual fee: 260 €/year</t>
    </r>
  </si>
  <si>
    <t>1. Labour productivity (arable and horticulture): -13,3
2. Water consumption: -59
3. Working time: -32,1
4. Electricity consumption: -46,6
5. pesticides, herbicides and fungicides use: 3</t>
  </si>
  <si>
    <t>TC12</t>
  </si>
  <si>
    <t>Drone, Sensor &amp; DSS Technologies for Apples</t>
  </si>
  <si>
    <t>Orchards</t>
  </si>
  <si>
    <t xml:space="preserve">Delphy QMS System (Irrigation)
- RIMpro
- Trapview (Digital pest control)
- Aurea Imaging (Drone flights and elevation maps)
- Estede (Water sensors) </t>
  </si>
  <si>
    <r>
      <rPr>
        <b/>
        <sz val="11"/>
        <color theme="1"/>
        <rFont val="Calibri"/>
      </rPr>
      <t>Delphy QMS system:</t>
    </r>
    <r>
      <rPr>
        <sz val="11"/>
        <color theme="1"/>
        <rFont val="Calibri"/>
      </rPr>
      <t xml:space="preserve"> This software integrates data from various sources—humidity sensors, weather stations, and the compiled drone-generated map. It uses this information to determine irrigation needs on a per-plot basis. It calculates moisture deficits or surpluses, considering soil characteristics, crop parameters, and weather forecasts. This data-driven approach helps optimize water usage by providing insights into when and where irrigation is needed.
</t>
    </r>
    <r>
      <rPr>
        <b/>
        <sz val="11"/>
        <color theme="1"/>
        <rFont val="Calibri"/>
      </rPr>
      <t>RIMpro:</t>
    </r>
    <r>
      <rPr>
        <sz val="11"/>
        <color theme="1"/>
        <rFont val="Calibri"/>
      </rPr>
      <t xml:space="preserve"> RIMpro is a DSS that models a wide range of pests and diseases of fruit trees and vineyards.
</t>
    </r>
    <r>
      <rPr>
        <b/>
        <sz val="11"/>
        <color theme="1"/>
        <rFont val="Calibri"/>
      </rPr>
      <t xml:space="preserve">Trapview: </t>
    </r>
    <r>
      <rPr>
        <sz val="11"/>
        <color theme="1"/>
        <rFont val="Calibri"/>
      </rPr>
      <t xml:space="preserve">Digital pest control and RIMpro aid in effective and efficient management of pests and diseases. These technologies predict development over time, helping growers determine the optimal timing for crop protection product applications. This not only reduces costs but also promotes environmental sustainability by minimizing unnecessary chemical use.
</t>
    </r>
    <r>
      <rPr>
        <b/>
        <sz val="11"/>
        <color theme="1"/>
        <rFont val="Calibri"/>
      </rPr>
      <t xml:space="preserve">Aurea Imaging: </t>
    </r>
    <r>
      <rPr>
        <sz val="11"/>
        <color theme="1"/>
        <rFont val="Calibri"/>
      </rPr>
      <t xml:space="preserve">Drones equipped with imaging technology capture aerial data and create elevation maps of the agricultural land. These maps provide detailed information about the topography, soil variability, and potentially stressed areas of the fields.
</t>
    </r>
    <r>
      <rPr>
        <b/>
        <sz val="11"/>
        <color theme="1"/>
        <rFont val="Calibri"/>
      </rPr>
      <t>Estede:</t>
    </r>
    <r>
      <rPr>
        <sz val="11"/>
        <color theme="1"/>
        <rFont val="Calibri"/>
      </rPr>
      <t xml:space="preserve"> Water sensors monitor soil moisture content, enabling precise water management by calculating the required water for crops based on sensor data and climatic conditions. This not only increases efficiency but also contributes to environmental sustainability by reducing water usage. </t>
    </r>
  </si>
  <si>
    <t>https://delphy.nl/en/qms-water/
https://rimpro.eu
https://trapview.com
https://aureaimaging.com
https://en.estede-scientific.com</t>
  </si>
  <si>
    <r>
      <rPr>
        <b/>
        <sz val="11"/>
        <color rgb="FFFF0000"/>
        <rFont val="Calibri"/>
      </rPr>
      <t>Delphy QMS system:</t>
    </r>
    <r>
      <rPr>
        <sz val="11"/>
        <color rgb="FFFF0000"/>
        <rFont val="Calibri"/>
      </rPr>
      <t xml:space="preserve"> Annual fee 
</t>
    </r>
    <r>
      <rPr>
        <b/>
        <sz val="11"/>
        <color rgb="FFFF0000"/>
        <rFont val="Calibri"/>
      </rPr>
      <t>RIMpro:</t>
    </r>
    <r>
      <rPr>
        <sz val="11"/>
        <color rgb="FFFF0000"/>
        <rFont val="Calibri"/>
      </rPr>
      <t xml:space="preserve"> Annual fee 
</t>
    </r>
    <r>
      <rPr>
        <b/>
        <sz val="11"/>
        <color rgb="FFFF0000"/>
        <rFont val="Calibri"/>
      </rPr>
      <t xml:space="preserve">Trapview: </t>
    </r>
    <r>
      <rPr>
        <sz val="11"/>
        <color rgb="FFFF0000"/>
        <rFont val="Calibri"/>
      </rPr>
      <t xml:space="preserve">Annual fee
</t>
    </r>
    <r>
      <rPr>
        <b/>
        <sz val="11"/>
        <color rgb="FFFF0000"/>
        <rFont val="Calibri"/>
      </rPr>
      <t>Aurea Imaging:</t>
    </r>
    <r>
      <rPr>
        <sz val="11"/>
        <color rgb="FFFF0000"/>
        <rFont val="Calibri"/>
      </rPr>
      <t xml:space="preserve"> unknown
</t>
    </r>
    <r>
      <rPr>
        <b/>
        <sz val="11"/>
        <color rgb="FFFF0000"/>
        <rFont val="Calibri"/>
      </rPr>
      <t>Estede:</t>
    </r>
    <r>
      <rPr>
        <sz val="11"/>
        <color rgb="FFFF0000"/>
        <rFont val="Calibri"/>
      </rPr>
      <t xml:space="preserve"> Initial investment costs per sensor
</t>
    </r>
    <r>
      <rPr>
        <sz val="11"/>
        <color theme="1"/>
        <rFont val="Calibri"/>
      </rPr>
      <t>Initial investment: 2250 €
Maintenance costs: 350 €/year</t>
    </r>
  </si>
  <si>
    <t>1. Labour productivity (arable and horticulture): 1,3
2. Arable and horticulture fuel consumption: 0,8
3. Working time: 10,7
4. Electricity consumption: -8,1</t>
  </si>
  <si>
    <t>TC13</t>
  </si>
  <si>
    <t>Integrated DSS-App for Grape Management</t>
  </si>
  <si>
    <t>Italy</t>
  </si>
  <si>
    <t xml:space="preserve">Vineyards </t>
  </si>
  <si>
    <t xml:space="preserve">vite.net® </t>
  </si>
  <si>
    <t>The DATS provides support in the implementation of sustainable agronomic practices. It is a web accessible service that integrates mathematical models and expert knowledge to provide clear and effective advice and quick alarms related to field management. The DATS is implemented throughout the grapevine's growth phases, spanning from bud break to pre-harvest. The DSS hinges on weather data obtained from a weather station positioned near the field. This weather station includes sensors for temperature, rainfall, relative humidity, and leaf moisture. Vite.net operates as a web-accessible service that integrates different information on the characteristics of each parcel - as weather patterns, soil properties, and crop characteristics like growth rate, phenology, nutritional and water requirements - into mathematical models. These models generate actionable insights and prompt alerts to field management.</t>
  </si>
  <si>
    <t>https://www.horta-srl.it/vite-net/</t>
  </si>
  <si>
    <r>
      <rPr>
        <sz val="11"/>
        <color rgb="FFFF0000"/>
        <rFont val="Calibri"/>
      </rPr>
      <t>unknown</t>
    </r>
    <r>
      <rPr>
        <sz val="11"/>
        <color theme="1"/>
        <rFont val="Calibri"/>
      </rPr>
      <t xml:space="preserve">
Annual fee: 63 €/ha</t>
    </r>
  </si>
  <si>
    <t>1. Labour productivity (arable and horticulture): 11,3
2. Water Consumption: -75
3. Arable and horticulture fuel consumption: -17,7
4. Working time: -13
5. pesticides, herbicides and fungicides use: -26,8</t>
  </si>
  <si>
    <t>TC14</t>
  </si>
  <si>
    <t>Precision Irrigation &amp; Fertigation DSS for Blueberries</t>
  </si>
  <si>
    <t>Serbia</t>
  </si>
  <si>
    <t xml:space="preserve">NETAJET
- NMC pro system (for irrigation and fertigation) </t>
  </si>
  <si>
    <r>
      <rPr>
        <b/>
        <sz val="11"/>
        <color theme="1"/>
        <rFont val="Calibri"/>
      </rPr>
      <t xml:space="preserve">NETAJET: </t>
    </r>
    <r>
      <rPr>
        <sz val="11"/>
        <color theme="1"/>
        <rFont val="Calibri"/>
      </rPr>
      <t xml:space="preserve">The NetaJetTM 4G blends various fertilizers seamlessly within its distinctive HidroMix static mixing chamber, creating a homogeneous solution that is then injected into the main irrigation water line. The collection of data involves a combination of information from a mobile app and the DATS interface. Farmers utilize handheld sensors for measuring the pH and EC of water drainage from plastic containers. This data serves as the basis for making informed decisions about the subsequent fertilization plan.
</t>
    </r>
    <r>
      <rPr>
        <b/>
        <sz val="11"/>
        <color theme="1"/>
        <rFont val="Calibri"/>
      </rPr>
      <t>NMC pro system:</t>
    </r>
    <r>
      <rPr>
        <sz val="11"/>
        <color theme="1"/>
        <rFont val="Calibri"/>
      </rPr>
      <t xml:space="preserve"> The DATS blends various fertilizers seamlessly within its distinctive HidroMix static mixing chamber, creating a homogeneous solution that is then injected into the main irrigation water line. A sensor within the greenhouse monitors temperature and sunlight exposure, and this data is utilized by software to regulate misting, thereby managing the ambient temperature. Data collection involves merging information from a mobile app and the DATS interface, with the data being directly extracted from DATS.</t>
    </r>
  </si>
  <si>
    <t>https://www.netafim.com/en/products-and-solutions/tools/fertigation/netajet-4g/
https://www.netafim.com/en-us/products-and-solutions/product-offering/digital-farming/nmc-pro2/</t>
  </si>
  <si>
    <r>
      <rPr>
        <b/>
        <sz val="11"/>
        <color rgb="FFFF0000"/>
        <rFont val="Calibri"/>
      </rPr>
      <t xml:space="preserve">NETAJET: </t>
    </r>
    <r>
      <rPr>
        <sz val="11"/>
        <color rgb="FFFF0000"/>
        <rFont val="Calibri"/>
      </rPr>
      <t xml:space="preserve">unknown
</t>
    </r>
    <r>
      <rPr>
        <b/>
        <sz val="11"/>
        <color rgb="FFFF0000"/>
        <rFont val="Calibri"/>
      </rPr>
      <t>NMC pro system:</t>
    </r>
    <r>
      <rPr>
        <sz val="11"/>
        <color rgb="FFFF0000"/>
        <rFont val="Calibri"/>
      </rPr>
      <t xml:space="preserve"> unknown
</t>
    </r>
    <r>
      <rPr>
        <sz val="11"/>
        <color theme="1"/>
        <rFont val="Calibri"/>
      </rPr>
      <t>Initial investment: 60,000 €
Maintenance: 120 € av./year</t>
    </r>
  </si>
  <si>
    <t>1. Labour productivity (arable and horticulture): 12,1
2. Nitrogen applied: 44
3. Water consumption: -15
4. Arable and horticulture fuel consumption: 41,3
5. Working time: -19,7
6. pesticides, herbicides and fungicides use: 250 
7. Electricity consumption: 147,8</t>
  </si>
  <si>
    <t>Precision Irrigation &amp; Fertigation DSS for Strawberries</t>
  </si>
  <si>
    <r>
      <rPr>
        <b/>
        <sz val="11"/>
        <color theme="1"/>
        <rFont val="Calibri"/>
      </rPr>
      <t xml:space="preserve">NETAJET: </t>
    </r>
    <r>
      <rPr>
        <sz val="11"/>
        <color theme="1"/>
        <rFont val="Calibri"/>
      </rPr>
      <t xml:space="preserve">The NetaJetTM 4G blends various fertilizers seamlessly within its distinctive HidroMix static mixing chamber, creating a homogeneous solution that is then injected into the main irrigation water line. The collection of data involves a combination of information from a mobile app and the DATS interface. Farmers utilize handheld sensors for measuring the pH and EC of water drainage from plastic containers. This data serves as the basis for making informed decisions about the subsequent fertilization plan.
</t>
    </r>
    <r>
      <rPr>
        <b/>
        <sz val="11"/>
        <color theme="1"/>
        <rFont val="Calibri"/>
      </rPr>
      <t>NMC pro system:</t>
    </r>
    <r>
      <rPr>
        <sz val="11"/>
        <color theme="1"/>
        <rFont val="Calibri"/>
      </rPr>
      <t xml:space="preserve"> The DATS blends various fertilizers seamlessly within its distinctive HidroMix static mixing chamber, creating a homogeneous solution that is then injected into the main irrigation water line. A sensor within the greenhouse monitors temperature and sunlight exposure, and this data is utilized by software to regulate misting, thereby managing the ambient temperature. Data collection involves merging information from a mobile app and the DATS interface, with the data being directly extracted from DATS.</t>
    </r>
  </si>
  <si>
    <r>
      <rPr>
        <b/>
        <sz val="11"/>
        <color rgb="FFFF0000"/>
        <rFont val="Calibri"/>
      </rPr>
      <t xml:space="preserve">NETAJET: </t>
    </r>
    <r>
      <rPr>
        <sz val="11"/>
        <color rgb="FFFF0000"/>
        <rFont val="Calibri"/>
      </rPr>
      <t xml:space="preserve">unknown
</t>
    </r>
    <r>
      <rPr>
        <b/>
        <sz val="11"/>
        <color rgb="FFFF0000"/>
        <rFont val="Calibri"/>
      </rPr>
      <t>NMC pro system:</t>
    </r>
    <r>
      <rPr>
        <sz val="11"/>
        <color rgb="FFFF0000"/>
        <rFont val="Calibri"/>
      </rPr>
      <t xml:space="preserve"> unknown
</t>
    </r>
    <r>
      <rPr>
        <sz val="11"/>
        <color theme="1"/>
        <rFont val="Calibri"/>
      </rPr>
      <t>Initial investment: 60,000 €
Maintenance: 2,000  € av./year</t>
    </r>
  </si>
  <si>
    <t>1. Labour productivity (arable and horticulture): 212,5
2. Nitrogen applied: 4,3
3. Water consumption: 9
4. Arable and horticulture fuel consumption:-100 
5. Working time: 146
6. Electricity consumption: 275
7. pesticides, herbicides and fungicides use: -28,2</t>
  </si>
  <si>
    <t>TC15</t>
  </si>
  <si>
    <t>Cyprus</t>
  </si>
  <si>
    <r>
      <rPr>
        <sz val="11"/>
        <color rgb="FFFF0000"/>
        <rFont val="Calibri"/>
      </rPr>
      <t>Annual service cost</t>
    </r>
    <r>
      <rPr>
        <sz val="11"/>
        <color theme="1"/>
        <rFont val="Calibri"/>
      </rPr>
      <t xml:space="preserve">
Annual fee: 180 € av./year</t>
    </r>
  </si>
  <si>
    <t>1. Labour productivity (arable and horticulture): -41,3 
2. Nitrogen applied: -13,9
3. Water consumption: -48
4. Arable and horticulture fuel consumption: -61,3 
5. Working time: -54,4 
6. Electricity consumption: -29,6
7.  pesticides, herbicides and fungicides use: -19,5</t>
  </si>
  <si>
    <t>TC16</t>
  </si>
  <si>
    <t>DSS, QMS &amp; Mapping Tech for Apples</t>
  </si>
  <si>
    <r>
      <rPr>
        <b/>
        <sz val="11"/>
        <color theme="1"/>
        <rFont val="Calibri"/>
      </rPr>
      <t>Delphy QMS system:</t>
    </r>
    <r>
      <rPr>
        <sz val="11"/>
        <color theme="1"/>
        <rFont val="Calibri"/>
      </rPr>
      <t xml:space="preserve"> This software integrates data from various sources—humidity sensors, weather stations, and the compiled drone-generated map. It uses this information to determine irrigation needs on a per-plot basis. It calculates moisture deficits or surpluses, considering soil characteristics, crop parameters, and weather forecasts. This data-driven approach helps optimize water usage by providing insights into when and where irrigation is needed.
</t>
    </r>
    <r>
      <rPr>
        <b/>
        <sz val="11"/>
        <color theme="1"/>
        <rFont val="Calibri"/>
      </rPr>
      <t>RIMpro:</t>
    </r>
    <r>
      <rPr>
        <sz val="11"/>
        <color theme="1"/>
        <rFont val="Calibri"/>
      </rPr>
      <t xml:space="preserve"> RIMpro is a DSS that models a wide range of pests and diseases of fruit trees and vineyards.
</t>
    </r>
    <r>
      <rPr>
        <b/>
        <sz val="11"/>
        <color theme="1"/>
        <rFont val="Calibri"/>
      </rPr>
      <t xml:space="preserve">Trapview: </t>
    </r>
    <r>
      <rPr>
        <sz val="11"/>
        <color theme="1"/>
        <rFont val="Calibri"/>
      </rPr>
      <t xml:space="preserve">Digital pest control and RIMpro aid in effective and efficient management of pests and diseases. These technologies predict development over time, helping growers determine the optimal timing for crop protection product applications. This not only reduces costs but also promotes environmental sustainability by minimizing unnecessary chemical use.
</t>
    </r>
    <r>
      <rPr>
        <b/>
        <sz val="11"/>
        <color theme="1"/>
        <rFont val="Calibri"/>
      </rPr>
      <t xml:space="preserve">Aurea Imaging: </t>
    </r>
    <r>
      <rPr>
        <sz val="11"/>
        <color theme="1"/>
        <rFont val="Calibri"/>
      </rPr>
      <t xml:space="preserve">Drones equipped with imaging technology capture aerial data and create elevation maps of the agricultural land. These maps provide detailed information about the topography, soil variability, and potentially stressed areas of the fields.
</t>
    </r>
    <r>
      <rPr>
        <b/>
        <sz val="11"/>
        <color theme="1"/>
        <rFont val="Calibri"/>
      </rPr>
      <t>Estede:</t>
    </r>
    <r>
      <rPr>
        <sz val="11"/>
        <color theme="1"/>
        <rFont val="Calibri"/>
      </rPr>
      <t xml:space="preserve"> Water sensors monitor soil moisture content, enabling precise water management by calculating the required water for crops based on sensor data and climatic conditions. This not only increases efficiency but also contributes to environmental sustainability by reducing water usage. </t>
    </r>
  </si>
  <si>
    <r>
      <rPr>
        <b/>
        <sz val="11"/>
        <color rgb="FFFF0000"/>
        <rFont val="Calibri"/>
      </rPr>
      <t>Delphy QMS system:</t>
    </r>
    <r>
      <rPr>
        <sz val="11"/>
        <color rgb="FFFF0000"/>
        <rFont val="Calibri"/>
      </rPr>
      <t xml:space="preserve"> Annual fee 
</t>
    </r>
    <r>
      <rPr>
        <b/>
        <sz val="11"/>
        <color rgb="FFFF0000"/>
        <rFont val="Calibri"/>
      </rPr>
      <t>RIMpro:</t>
    </r>
    <r>
      <rPr>
        <sz val="11"/>
        <color rgb="FFFF0000"/>
        <rFont val="Calibri"/>
      </rPr>
      <t xml:space="preserve"> Annual fee 
</t>
    </r>
    <r>
      <rPr>
        <b/>
        <sz val="11"/>
        <color rgb="FFFF0000"/>
        <rFont val="Calibri"/>
      </rPr>
      <t xml:space="preserve">Trapview: </t>
    </r>
    <r>
      <rPr>
        <sz val="11"/>
        <color rgb="FFFF0000"/>
        <rFont val="Calibri"/>
      </rPr>
      <t xml:space="preserve">Annual fee
</t>
    </r>
    <r>
      <rPr>
        <b/>
        <sz val="11"/>
        <color rgb="FFFF0000"/>
        <rFont val="Calibri"/>
      </rPr>
      <t>Aurea Imaging:</t>
    </r>
    <r>
      <rPr>
        <sz val="11"/>
        <color rgb="FFFF0000"/>
        <rFont val="Calibri"/>
      </rPr>
      <t xml:space="preserve"> unknown
</t>
    </r>
    <r>
      <rPr>
        <b/>
        <sz val="11"/>
        <color rgb="FFFF0000"/>
        <rFont val="Calibri"/>
      </rPr>
      <t>Estede:</t>
    </r>
    <r>
      <rPr>
        <sz val="11"/>
        <color rgb="FFFF0000"/>
        <rFont val="Calibri"/>
      </rPr>
      <t xml:space="preserve"> Initial investment costs per sensor
</t>
    </r>
    <r>
      <rPr>
        <sz val="11"/>
        <color theme="1"/>
        <rFont val="Calibri"/>
      </rPr>
      <t>Initial investments: 4850 € 
Maintenance costs: 400 €/year</t>
    </r>
  </si>
  <si>
    <t>1. Labour productivity (arable and horticulture): 1,3
2. Water Consumption: 6
3. Arable and horticulture fuel consumption: 2
4. Working time: 19,3
5. Electricity consumption: 19,8</t>
  </si>
  <si>
    <t>TC17</t>
  </si>
  <si>
    <t>DSS &amp; Robotic Tech for Grape Production</t>
  </si>
  <si>
    <t>fms.agricloud.ro</t>
  </si>
  <si>
    <t>AgriCloud utilizes IoT technology to oversee the conditions of vineyards. The DATSs is implemented across all processes in the vineyard, incorporating humidity sensors for both soil and air, wind speed and direction monitors, as well as a comprehensive weather station. In addition to real-time monitoring, AgriCloud offers a high-resolution satellite imagery feature, allowing users to observe and assess activities in the fields.</t>
  </si>
  <si>
    <t>https://www.agricloud.ro/en/home/</t>
  </si>
  <si>
    <r>
      <rPr>
        <sz val="11"/>
        <color rgb="FFFF0000"/>
        <rFont val="Calibri"/>
      </rPr>
      <t>Monthly fee</t>
    </r>
    <r>
      <rPr>
        <sz val="11"/>
        <color theme="1"/>
        <rFont val="Calibri"/>
      </rPr>
      <t xml:space="preserve">
Initial investments: 4400 € 
Maintenance cost: 563 €/year</t>
    </r>
  </si>
  <si>
    <t>1. Arable and horticulture fuel consumption: -94,6
2. Working time: -90,8
3. pesticides, herbicides and fungicides use: 60</t>
  </si>
  <si>
    <t>TC18</t>
  </si>
  <si>
    <t>DSS-App for Tomato Disease &amp; Fertilisation Management</t>
  </si>
  <si>
    <t>pomodoro.net®</t>
  </si>
  <si>
    <t>The DATSs provide support in the implementation of sustainable agronomic practices. It is a web accessible service that integrates mathematical models for the main tomato diseases, weather data and soil physical-chemical characteristics, to return clear and effective advice and quick alarms related to the field management. It can provide farmers with advises about fertilization, alarms about the risk of main diseases, and plant protection products complying with the ‘zero residue’ protocol. The DATSs also support the farmer in the choice of the right kind of product for applying treatment in a particular growth stage, based on the guidelines of the zero-residue protocol.</t>
  </si>
  <si>
    <t>https://www.horta-srl.it/en/pomodoro-net/#functions</t>
  </si>
  <si>
    <r>
      <rPr>
        <sz val="11"/>
        <color rgb="FFFF0000"/>
        <rFont val="Calibri"/>
      </rPr>
      <t>unknown</t>
    </r>
    <r>
      <rPr>
        <sz val="11"/>
        <color theme="1"/>
        <rFont val="Calibri"/>
      </rPr>
      <t xml:space="preserve">
Annual fee: 45€/ha</t>
    </r>
  </si>
  <si>
    <t>1. Labour productivity (arable and horticulture): 21
2. Nitrogen applied: 4,5
3. Water consumption: -21
4. Arable and horticulture fuel consumption: 5,8
5. Working rime: 28 
6. pesticides, herbicides and fungicides use: 4,8</t>
  </si>
  <si>
    <t>TC19</t>
  </si>
  <si>
    <t>Automated Greenhouse QMS for Tomatoes</t>
  </si>
  <si>
    <t>QMS Tomatos (Delphy)</t>
  </si>
  <si>
    <t xml:space="preserve">The QMS tomatoes (Quality Management System) is a computer program designed for greenhouse cultivation, allowing users to set a cultivation plan based on specific company information, such as greenhouse properties, varieties, and start/end dates. It calculates crop development, production, and light demand, managing light availability for optimal scenarios. The software consists of three main components: Delphy dashboard (centralizing farm data), Climate profiler (machine learning model suggesting optimal climate), and Climate controller (translating recommendations into set points).
</t>
  </si>
  <si>
    <t>https://delphy.nl/en/services/data-driven-crop-management/</t>
  </si>
  <si>
    <r>
      <rPr>
        <sz val="11"/>
        <color rgb="FFFF0000"/>
        <rFont val="Calibri"/>
      </rPr>
      <t>Annual fee</t>
    </r>
    <r>
      <rPr>
        <sz val="11"/>
        <color theme="1"/>
        <rFont val="Calibri"/>
      </rPr>
      <t xml:space="preserve">
Initial investment: 8000 €
Maintenance: 300 €/year</t>
    </r>
  </si>
  <si>
    <t>1. Labour productivity (arable and horticulture): 1,5
2. Water Consumption: -27
3. Arable and horticulture fuel consumption: -15,6
4. Electricity consumption: -60</t>
  </si>
  <si>
    <t>TC20</t>
  </si>
  <si>
    <t>Irrigation &amp; Monitoring DSS for Vegetables</t>
  </si>
  <si>
    <t>AGROPTIMA
-NADIA</t>
  </si>
  <si>
    <r>
      <rPr>
        <b/>
        <sz val="11"/>
        <color theme="1"/>
        <rFont val="Calibri"/>
      </rPr>
      <t>AGROPTIMA:</t>
    </r>
    <r>
      <rPr>
        <sz val="11"/>
        <color theme="1"/>
        <rFont val="Calibri"/>
      </rPr>
      <t xml:space="preserve"> A Mobile APP and WEB APP for monitoring and managing the task that the farmers do in the farms, contemplating Fertirrigation and Phytosanitary control. (Farm Management Information System)
</t>
    </r>
    <r>
      <rPr>
        <b/>
        <sz val="11"/>
        <color theme="1"/>
        <rFont val="Calibri"/>
      </rPr>
      <t>NADIA:</t>
    </r>
    <r>
      <rPr>
        <sz val="11"/>
        <color theme="1"/>
        <rFont val="Calibri"/>
      </rPr>
      <t xml:space="preserve"> A platform that brings together a set of applications for the integration of the Internet of Things (IoT). It receives information from all connected sensors in real time. It stores and analyses this information and allows interaction with these sensors.</t>
    </r>
  </si>
  <si>
    <t>http://agroptima.com
https://www.anysolution.eu/en/productos/</t>
  </si>
  <si>
    <r>
      <rPr>
        <b/>
        <sz val="11"/>
        <color rgb="FFFF0000"/>
        <rFont val="Calibri"/>
      </rPr>
      <t>AGROPTIMA:</t>
    </r>
    <r>
      <rPr>
        <sz val="11"/>
        <color rgb="FFFF0000"/>
        <rFont val="Calibri"/>
      </rPr>
      <t xml:space="preserve"> Annual service cost
</t>
    </r>
    <r>
      <rPr>
        <b/>
        <sz val="11"/>
        <color rgb="FFFF0000"/>
        <rFont val="Calibri"/>
      </rPr>
      <t>NADIA:</t>
    </r>
    <r>
      <rPr>
        <sz val="11"/>
        <color rgb="FFFF0000"/>
        <rFont val="Calibri"/>
      </rPr>
      <t xml:space="preserve"> 	Initial investment costs
</t>
    </r>
    <r>
      <rPr>
        <sz val="11"/>
        <color theme="1"/>
        <rFont val="Calibri"/>
      </rPr>
      <t>Initial investment: 15000 €</t>
    </r>
  </si>
  <si>
    <t>1. Labour productivity (arable and horticulture),: 3
2. Water Consumption,: -2
3. pesticides, herbicides and fungicides use: 46,9</t>
  </si>
  <si>
    <t>TC21</t>
  </si>
  <si>
    <t>Automated Greenhouse DSS for Tomatoes</t>
  </si>
  <si>
    <t>Finland</t>
  </si>
  <si>
    <t xml:space="preserve">Signum
- Kathari UF1 </t>
  </si>
  <si>
    <r>
      <rPr>
        <b/>
        <sz val="11"/>
        <color theme="1"/>
        <rFont val="Calibri"/>
      </rPr>
      <t>Signum:</t>
    </r>
    <r>
      <rPr>
        <sz val="11"/>
        <color theme="1"/>
        <rFont val="Calibri"/>
      </rPr>
      <t xml:space="preserve"> The primary artificial lighting source in the greenhouse consists of dimmable top LED lights from Signum, with red as the dominant wavelength and some blue, generating approximately 500 µmols m-2 s-1 according to theoretical efficacy. These LEDs can be adjusted from 10% to 100% brightness, providing seamless control over light intensity. The degree of light emission from the lamps is automatically regulated based on the incoming natural radiation, with a predefined threshold determining whether lamp light is required and to what extent. A pyranometer inside the greenhouse measures light intensity, and this, along with natural radiation, is used to calculate prevailing radiation levels.
</t>
    </r>
    <r>
      <rPr>
        <b/>
        <sz val="11"/>
        <color theme="1"/>
        <rFont val="Calibri"/>
      </rPr>
      <t>Kathari UF1:</t>
    </r>
    <r>
      <rPr>
        <sz val="11"/>
        <color theme="1"/>
        <rFont val="Calibri"/>
      </rPr>
      <t xml:space="preserve"> The filtration system is digitally integrated with the irrigation system to dynamically adjust nutrient concentrations in the irrigation water, further optimizing the growing environment.
</t>
    </r>
  </si>
  <si>
    <t>https://www.vanderendegroup.com</t>
  </si>
  <si>
    <r>
      <rPr>
        <b/>
        <sz val="11"/>
        <color rgb="FFFF0000"/>
        <rFont val="Calibri"/>
      </rPr>
      <t>Signum:</t>
    </r>
    <r>
      <rPr>
        <sz val="11"/>
        <color rgb="FFFF0000"/>
        <rFont val="Calibri"/>
      </rPr>
      <t xml:space="preserve"> Unknown
</t>
    </r>
    <r>
      <rPr>
        <b/>
        <sz val="11"/>
        <color rgb="FFFF0000"/>
        <rFont val="Calibri"/>
      </rPr>
      <t>Kathari UF1:</t>
    </r>
    <r>
      <rPr>
        <sz val="11"/>
        <color rgb="FFFF0000"/>
        <rFont val="Calibri"/>
      </rPr>
      <t xml:space="preserve"> Unknown
</t>
    </r>
    <r>
      <rPr>
        <sz val="11"/>
        <color theme="1"/>
        <rFont val="Calibri"/>
      </rPr>
      <t>Initial investment: 1,579,000 €
Maintenance costs: 2,500 € av./year</t>
    </r>
  </si>
  <si>
    <t>1. Labour productivity (arable and horticulture): 9,5
2. Nitrogen applied: -33,3
3. Water consumption: -96
4. Arable and horticulture fuel consumption: 874,3
5. Electricity consumption: -52,2
6. Working time: 60
7. pesticides, herbicides and fungicides use: 66,3</t>
  </si>
  <si>
    <t>Meat Productivity Calculator module</t>
  </si>
  <si>
    <t>Oyster Calculator module</t>
  </si>
  <si>
    <t>Honey Calculator module</t>
  </si>
  <si>
    <t>Livestock Revenue Impact Calculator Module</t>
  </si>
  <si>
    <t>Milk Calculator module</t>
  </si>
  <si>
    <t>Revenue Impact Calculator Module</t>
  </si>
  <si>
    <t>Electricity Cost Calculator module</t>
  </si>
  <si>
    <t>Working Time Cost  Calculator module</t>
  </si>
  <si>
    <t>Feed Cost Calculator module</t>
  </si>
  <si>
    <t>Mortality Cost Calculator module</t>
  </si>
  <si>
    <t>Fuel Cost Calculator Module</t>
  </si>
  <si>
    <t>Drug use Calculator module</t>
  </si>
  <si>
    <t>Water Cost  Calculator module</t>
  </si>
  <si>
    <t>Livestock TC DATS Investment Decision Calculator Module</t>
  </si>
  <si>
    <r>
      <rPr>
        <b/>
        <sz val="14"/>
        <color theme="1"/>
        <rFont val="Arial"/>
      </rPr>
      <t xml:space="preserve">Crop </t>
    </r>
    <r>
      <rPr>
        <b/>
        <sz val="14"/>
        <color rgb="FFFF0000"/>
        <rFont val="Arial"/>
      </rPr>
      <t>OR</t>
    </r>
    <r>
      <rPr>
        <b/>
        <sz val="14"/>
        <color theme="1"/>
        <rFont val="Arial"/>
      </rPr>
      <t xml:space="preserve"> Animal 
Type</t>
    </r>
  </si>
  <si>
    <r>
      <rPr>
        <b/>
        <sz val="14"/>
        <color theme="1"/>
        <rFont val="Arial"/>
      </rPr>
      <t xml:space="preserve">DATS COST STRUCTURE INFO
</t>
    </r>
    <r>
      <rPr>
        <sz val="10"/>
        <color theme="1"/>
        <rFont val="Arial"/>
      </rPr>
      <t>(to build the Invest. Cost Calc module)</t>
    </r>
    <r>
      <rPr>
        <b/>
        <sz val="10"/>
        <color theme="1"/>
        <rFont val="Arial"/>
      </rPr>
      <t xml:space="preserve">
</t>
    </r>
    <r>
      <rPr>
        <b/>
        <sz val="10"/>
        <color rgb="FFFF0000"/>
        <rFont val="Arial"/>
      </rPr>
      <t xml:space="preserve">In RED the info in the website </t>
    </r>
    <r>
      <rPr>
        <b/>
        <sz val="10"/>
        <color theme="1"/>
        <rFont val="Arial"/>
      </rPr>
      <t xml:space="preserve">
In black the actual cost mentioned in D2.3 POLIMI</t>
    </r>
  </si>
  <si>
    <r>
      <rPr>
        <b/>
        <sz val="14"/>
        <color theme="1"/>
        <rFont val="Arial"/>
      </rPr>
      <t xml:space="preserve">KPI INFO/outcomes USED 
</t>
    </r>
    <r>
      <rPr>
        <sz val="11"/>
        <color theme="1"/>
        <rFont val="Arial"/>
      </rPr>
      <t>(KPIs info/outocmes used from POLIMI's analysis to build  the Calculator modules)</t>
    </r>
    <r>
      <rPr>
        <b/>
        <sz val="11"/>
        <color theme="1"/>
        <rFont val="Arial"/>
      </rPr>
      <t xml:space="preserve"> </t>
    </r>
  </si>
  <si>
    <t>Number of animals 
(input provided by the user)</t>
  </si>
  <si>
    <t>YEARS OF USAGE
(input provided by the user)</t>
  </si>
  <si>
    <t>Initial cost of Investment (€)
(Known value from system)</t>
  </si>
  <si>
    <t>Annual Fee/year (€)
(Known value from system)</t>
  </si>
  <si>
    <t>Maintainance Cost/year (€)
(Known value from system)</t>
  </si>
  <si>
    <t>Initial cost of Investment (€)/Animal-cow (for the sensor)
(Known value from system)</t>
  </si>
  <si>
    <t>Annual Fee per Animal for data interpretation(€)
(Known value from system)</t>
  </si>
  <si>
    <t>Maintainance Cost per Animal (€)
(Known value from system)</t>
  </si>
  <si>
    <r>
      <rPr>
        <b/>
        <sz val="10"/>
        <color theme="1"/>
        <rFont val="Arial"/>
      </rPr>
      <t>Depreciation (i.e.,the annual reduction in the intial value of a tangible fixed asset)</t>
    </r>
    <r>
      <rPr>
        <sz val="10"/>
        <color theme="1"/>
        <rFont val="Arial"/>
      </rPr>
      <t xml:space="preserve"> (€)/year
(Result shown after using the calculator module)</t>
    </r>
  </si>
  <si>
    <t>Total intial cost of DAT Purchase (€)
(Result shown after using the calculator module)</t>
  </si>
  <si>
    <t>Meat Productivity Impact with DATS usage  (%)
(Known value from system)</t>
  </si>
  <si>
    <t>Average meat price  (€/ kg)
(input provided by the user)</t>
  </si>
  <si>
    <t>Average meat produced per year (kg/year)
(input provided by the user)</t>
  </si>
  <si>
    <t>Current Revenue without DATS (€ in 1 year)
(Result shown after using the calculator module)</t>
  </si>
  <si>
    <t>Meat Productivity with DATS usage (kg/year)
(Result shown after using the calculator module)</t>
  </si>
  <si>
    <t>Meat price with DATS usage in one year (€)
(Result shown after using the calculator module)</t>
  </si>
  <si>
    <t>Oyster Productivity  Impact with DATS usage (%)
(Known value from system)</t>
  </si>
  <si>
    <t>Average oyster price  (€/ kg)
(input provided by the user)</t>
  </si>
  <si>
    <t>Average oysters produced per year without DATS usage (kg/year)
(input provided by the user)</t>
  </si>
  <si>
    <t>Oysters Productivity with DATS usage (kg/year)
(Result shown after using the calculator module)</t>
  </si>
  <si>
    <t>Oyster price with DATS usage in one year (€)
(Result shown after using the calculator module)</t>
  </si>
  <si>
    <t xml:space="preserve"> Revenue Impact with DATS usage (€ in 1 year)
(Result shown after using the calculator module)</t>
  </si>
  <si>
    <t>Honey Productivity Impact with DATS usage  (%)
(Known value from system)</t>
  </si>
  <si>
    <t>Average honey price  (€/ kg)
(input provided by the user)</t>
  </si>
  <si>
    <t>Average honey produced per year without DATS usage (kg/year)
(input provided by the user)</t>
  </si>
  <si>
    <t>Honey Productivity with DATS usage (kg/year)
(Result shown after using the calculator module)</t>
  </si>
  <si>
    <t>Honey price with DATS usage in one year (€)
(Result shown after using the calculator module)</t>
  </si>
  <si>
    <t>Milk Productivity Impact with DATS usage  (%)
(Known value from system)</t>
  </si>
  <si>
    <t>Average milk price per liter (€/ liter)
(input provided by the user)</t>
  </si>
  <si>
    <t>Average liters of milk produced per animal per day without DATS usage (l)
(input provided by the user)</t>
  </si>
  <si>
    <t>Average liters of milk produced per animal per day with DAT S (l)
(Result shown after using the calculator module)</t>
  </si>
  <si>
    <t>Price of Milk Yield with DAT S usage (€ in 1 year)
(Result shown after using the calculator module)</t>
  </si>
  <si>
    <t>Electricity Consumption Impact with DAT S usage (%)
(Known value from system)</t>
  </si>
  <si>
    <t>Current Electricity Consumption without DATS usage (in kWh)
(input provided by the user)</t>
  </si>
  <si>
    <t>Cost of Electricity per kWh (€)
(input provided by the user)</t>
  </si>
  <si>
    <t>Current  Cost of Electricity without DATS usage (€ in 1 year)
(Result shown after using the calculator module)</t>
  </si>
  <si>
    <t>Elecricity Cost  with DATS usage (€ in 1 year)
(Result shown after using the calculator module)</t>
  </si>
  <si>
    <t>Working time Impact with DAT S usage (%)
(Known value from system)</t>
  </si>
  <si>
    <t>Current Labor Cost without DATS usage (€ in 1 year)
(input provided by the user)</t>
  </si>
  <si>
    <t>Labor cost with DAT S usage (€ in 1 year)
(Result shown after using the calculator module)</t>
  </si>
  <si>
    <t>Feed used impact with DATS usage (%)
(Known value from system)</t>
  </si>
  <si>
    <t>Current Feed Cost without DATS usage (€ in 1 year)
(input provided by the user)</t>
  </si>
  <si>
    <t>Feed Cost with DATS usage (€ in 1 year)
(Result shown after using the calculator module)</t>
  </si>
  <si>
    <t>Mortality Rate Impact with DATS usage (%)
(Known value from system)</t>
  </si>
  <si>
    <t>Current Mortality Cost without DATS usage (€ in 1 year)
(input provided by the user)</t>
  </si>
  <si>
    <t>Mortality Cost with DATS usage (€ in 1 year)
(Result shown after using the calculator module)</t>
  </si>
  <si>
    <t>Livestock Fuel Consumption Impact with DATS usage (%)
(Known value from system)</t>
  </si>
  <si>
    <t>Current Fuel Cost without DATS usage (€ in 1 year)
(input provided by the user)</t>
  </si>
  <si>
    <t>Fuel cost with DAT S usage (€ in 1 year)
(Result shown after using the calculator module)</t>
  </si>
  <si>
    <t>Drug use Impact with DATS usage (%)
(Known value from system)</t>
  </si>
  <si>
    <t>Current Drug Cost without DATS usage (€ in 1 year)
(input provided by the user)</t>
  </si>
  <si>
    <t>Drug Cost with DAT S usage  (€ in 1 year)
(Result shown after using the calculator module)</t>
  </si>
  <si>
    <t>Water Consumption Impact with DATS usage (%)
(Known value from system)</t>
  </si>
  <si>
    <t>Current Water Cost (€ in 1 year)
(input provided by the user)</t>
  </si>
  <si>
    <t>Water Cost with DATS usage (€ in 1 year)
(Result shown after using the calculator module)</t>
  </si>
  <si>
    <t xml:space="preserve">Livestock </t>
  </si>
  <si>
    <t>Animal Behaviour, Monitoring, Health, Welfare &amp; Disease Detection</t>
  </si>
  <si>
    <t>TC22</t>
  </si>
  <si>
    <t>AI Health Monitoring for Poultry</t>
  </si>
  <si>
    <t>UK</t>
  </si>
  <si>
    <t>Poultry</t>
  </si>
  <si>
    <t>NetFLOX</t>
  </si>
  <si>
    <t>Focused specifically on the poultry growing phase, this system alleviates the need for farmers to frequently inspect their sheds throughout the day to ensure bird welfare and monitor the shed's climate. Diligent monitoring should translate to positive outcomes when birds are eventually transferred to the factory. The system operates 24/7, constantly observing the birds even when farmers are not present, offering crucial alerts and data to mitigate potential welfare-related incidents. Its functionality involves multiple cameras capturing imagery data transmitted via wired cabling, while IoT sensors scattered across the shed monitor temperature, humidity, and at times, ammonia levels using DoL sensors. Data processing occurs in the site office, facilitated by a computer and GPU, and often integrates information from existing farm sensors, such as temperature and water usage.</t>
  </si>
  <si>
    <t>https://www.flox.ai/</t>
  </si>
  <si>
    <t xml:space="preserve">Automatic feeding </t>
  </si>
  <si>
    <t xml:space="preserve">TC23 </t>
  </si>
  <si>
    <t>Automated Oestrus Detection &amp; Feeding for Dairy Cows</t>
  </si>
  <si>
    <t>France</t>
  </si>
  <si>
    <t xml:space="preserve">Cattle </t>
  </si>
  <si>
    <t>TC24</t>
  </si>
  <si>
    <t>AI-Based Health &amp; Welfare Monitoring for Pigs</t>
  </si>
  <si>
    <t>Belgium</t>
  </si>
  <si>
    <t>Pigs</t>
  </si>
  <si>
    <t>https://pig-up.isagri.com/</t>
  </si>
  <si>
    <t xml:space="preserve">TC25 </t>
  </si>
  <si>
    <t>Automated Milking &amp; Behaviour Monitoring for Dairy Cows</t>
  </si>
  <si>
    <t>Cattle (Dairy cows)</t>
  </si>
  <si>
    <t>Automatic Milking</t>
  </si>
  <si>
    <t>TC26</t>
  </si>
  <si>
    <t>Robotic Milking System for Dairy Cows</t>
  </si>
  <si>
    <t>Ireland</t>
  </si>
  <si>
    <t>DeLaval Dairy Services</t>
  </si>
  <si>
    <t>https://www.delaval.com/en-us/learn/advice/delaval-dairy-service/</t>
  </si>
  <si>
    <t>TC27</t>
  </si>
  <si>
    <t>Health Monitoring &amp; Disease Detection for Dairy Cows</t>
  </si>
  <si>
    <t>Germany</t>
  </si>
  <si>
    <t>smaXtec</t>
  </si>
  <si>
    <t>A Real-Time-Positioning System (RTLS) will be embedded in dairy assistance systems and will be used to monitor both the herd and each cow’s position and movement indoors, emphasising more on the observation of the young stocks. Location and time spent in important barn areas can be automatically determined and used as indicators of health.The main goals of the DAT are to assist in dairy farming by early detection of health disorders. The DAT is applied in heat detection, indication of calving, water intake (frequency).</t>
  </si>
  <si>
    <t>https://smaxtec.com/en/</t>
  </si>
  <si>
    <t>TC28</t>
  </si>
  <si>
    <t>Livestock Feeding DSS for Dairy Cows</t>
  </si>
  <si>
    <t>Boumatic milking</t>
  </si>
  <si>
    <t>The software furnishes various indicators derived from individual cow microchip readings, such as milk yield per cow, heat cycles, milk conductivity, and the total number of cows. Additionally, the feeding software provides parameters including feed quantity per cow, the precision of food administration by workers, detection of feed amounts exceeding daily doses, and potential errors in the process.This software-generated information, particularly regarding a cow's readiness for the dry period, proves consistently valuable and serves as a decisive factor in making informed decisions. The software promptly issues warnings when such critical points arise.</t>
  </si>
  <si>
    <t>https://boumatic.com/us_en/product-categories/us/products/milking/</t>
  </si>
  <si>
    <t>TC29</t>
  </si>
  <si>
    <t>Automated Beehive Health Monitoring</t>
  </si>
  <si>
    <t>Lithuania</t>
  </si>
  <si>
    <t>Bees</t>
  </si>
  <si>
    <t xml:space="preserve">ART 21  </t>
  </si>
  <si>
    <t>The software provides indoor temperature in Celsius, indoor humidity percentage, active bee count (based on weight loss), weight in kilograms, outside weather pressure in Pascals, sound frequency in Hertz, and the hive's total noise level amplitude. Through this software, potential threats to the colony can be identified, and upcoming events anticipated. The system, installed within the beekeeper's hive (known as the Autonomous Sensory Device), connects to a central server via a gateway.</t>
  </si>
  <si>
    <t>https://www.art21.lt/en/projects/item/beehive-protection-monitoring-system.html</t>
  </si>
  <si>
    <t>TC30</t>
  </si>
  <si>
    <t>Spectrometric Sensors for Oyster Quality Assessment</t>
  </si>
  <si>
    <t>Croatia</t>
  </si>
  <si>
    <t xml:space="preserve">	Oyster</t>
  </si>
  <si>
    <t>BENCO</t>
  </si>
  <si>
    <t>The DATS furnishes crucial information on the key quality metrics concerning the chemical composition of oysters: glycogen, protein, lipids, and water content. This data empowers farmers to gauge the oysters' well-being and make informed decisions accordingly. The information doesn't prescribe specific actions for farmers but offers insights into the oysters' welfare and nutritional status during evaluation. Sample information is collected through spectroscopy analysis using a portable ATR-FTIR spectrometer. This device employs infrared light to analyse the sample's chemical composition. It detects the portion of light absorbed by the sample, generating an absorption spectrum. The observed spectral bands are linked to the sample's chemical composition by exciting molecular vibrations using infrared light. Analysing these spectra in the DATS yields qualitative and quantitative data on the oysters' quality parameters.</t>
  </si>
  <si>
    <t>https://bencobaltic.eu</t>
  </si>
  <si>
    <r>
      <t xml:space="preserve">DATS COST STRUCTURE INFO
</t>
    </r>
    <r>
      <rPr>
        <sz val="10"/>
        <color theme="1"/>
        <rFont val="Arial"/>
      </rPr>
      <t>(to build the Invest. Cost Calc module)</t>
    </r>
    <r>
      <rPr>
        <b/>
        <sz val="10"/>
        <color theme="1"/>
        <rFont val="Arial"/>
      </rPr>
      <t xml:space="preserve">
</t>
    </r>
    <r>
      <rPr>
        <b/>
        <sz val="10"/>
        <color rgb="FFFF0000"/>
        <rFont val="Arial"/>
      </rPr>
      <t xml:space="preserve">In RED the info in the website </t>
    </r>
    <r>
      <rPr>
        <b/>
        <sz val="10"/>
        <color theme="1"/>
        <rFont val="Arial"/>
      </rPr>
      <t xml:space="preserve">
In black the actual cost mentioned in D2.3 POLIMI</t>
    </r>
  </si>
  <si>
    <t>Revenue Impact with DATS usage (€ in 1 year)
(Result shown after using the calculator module)</t>
  </si>
  <si>
    <r>
      <t xml:space="preserve">Annual ROI (%) 
(Annual change in Net Income / initial cost of the equipment)
</t>
    </r>
    <r>
      <rPr>
        <sz val="11"/>
        <color theme="1"/>
        <rFont val="Arial"/>
      </rPr>
      <t>(Result shown after using the calculator module)</t>
    </r>
  </si>
  <si>
    <r>
      <t xml:space="preserve">Payback Period (years)
</t>
    </r>
    <r>
      <rPr>
        <sz val="11"/>
        <color theme="1"/>
        <rFont val="Calibri"/>
      </rPr>
      <t>(Result shown after using the calculator module)</t>
    </r>
  </si>
  <si>
    <r>
      <t xml:space="preserve">Is the DAT Beneficial? 
(6 year payback period threshold)
</t>
    </r>
    <r>
      <rPr>
        <sz val="11"/>
        <color theme="1"/>
        <rFont val="Calibri"/>
      </rPr>
      <t>(Result shown after using the calculator module)</t>
    </r>
  </si>
  <si>
    <t>Current pesticide cost without DATS  usage (€/ ha)</t>
  </si>
  <si>
    <t>Farm Management Information Systems (FMIS) and applications (inc. Decision Support Systems (DSS)## Quality Management Systems (QMS))</t>
  </si>
  <si>
    <t>The DATS utilizes the correlation between OBPC and NDVI values## leveraging its own vegetation index to execute Augmenta Harvest Aid (HA) VRA operations. Using camera-based vision and dynamic algorithms## the Augmenta field analyser generates the AUG-Index## detecting plant aging and the necessity for HA. Through an on-the-go prescription map## it controls sprayers## applying precise amounts of HA Defoliant in real-time with a single pass.</t>
  </si>
  <si>
    <t>The DATS provides support in the implementation of sustainable agronomic practices. It is a web accessible service that integrates in mathematical models and returns clear and effective advice and quick alarms related to the field management. It can provide farmers with advises about sowing## fertilization## alarms about the risk of main diseases## and plant protection products. The DATS is implemented throughout the durum wheat growing season## spanning from sowing to harvest. granoduro.net operates as web-accessible service that integrates different information on the characteristics of each parcel - as weather patterns## soil properties## and crop characteristics like growth rate## phenology## nutritional and water requirements - into mathematical models. These models generate actionable insights and prompt alerts to field management.</t>
  </si>
  <si>
    <t>Drone## Sensor &amp; DSS Technologies for Apples</t>
  </si>
  <si>
    <t>The DATS provides support in the implementation of sustainable agronomic practices. It is a web accessible service that integrates mathematical models and expert knowledge to provide clear and effective advice and quick alarms related to field management. The DATS is implemented throughout the grapevine's growth phases## spanning from bud break to pre-harvest. The DSS hinges on weather data obtained from a weather station positioned near the field. This weather station includes sensors for temperature## rainfall## relative humidity## and leaf moisture. Vite.net operates as a web-accessible service that integrates different information on the characteristics of each parcel - as weather patterns## soil properties## and crop characteristics like growth rate## phenology## nutritional and water requirements - into mathematical models. These models generate actionable insights and prompt alerts to field management.</t>
  </si>
  <si>
    <t>DSS## QMS &amp; Mapping Tech for Apples</t>
  </si>
  <si>
    <t>AgriCloud utilizes IoT technology to oversee the conditions of vineyards. The DATSs is implemented across all processes in the vineyard## incorporating humidity sensors for both soil and air## wind speed and direction monitors## as well as a comprehensive weather station. In addition to real-time monitoring## AgriCloud offers a high-resolution satellite imagery feature## allowing users to observe and assess activities in the fields.</t>
  </si>
  <si>
    <t>The DATSs provide support in the implementation of sustainable agronomic practices. It is a web accessible service that integrates mathematical models for the main tomato diseases## weather data and soil physical-chemical characteristics## to return clear and effective advice and quick alarms related to the field management. It can provide farmers with advises about fertilization## alarms about the risk of main diseases## and plant protection products complying with the ‘zero residue’ protocol. The DATSs also support the farmer in the choice of the right kind of product for applying treatment in a particular growth stage## based on the guidelines of the zero-residue protocol.</t>
  </si>
  <si>
    <t>Crop OR Livestock Test Case</t>
  </si>
  <si>
    <t>DATS COST STRUCTURE INFO(to build the Invest. Cost Calc module)In RED the info in the website In black the actual cost mentioned in D2.3 POLIMI</t>
  </si>
  <si>
    <t xml:space="preserve">KPI INFO/outcomes USED (KPIs info/outocmes used from POLIMI's analysis to build  the Calculator modules) </t>
  </si>
  <si>
    <t>Total Area (ha)(input provided by the user)</t>
  </si>
  <si>
    <t>YEARS OF USAGE(input provided by the user)</t>
  </si>
  <si>
    <t>Initial cost of Investment (€)(Known value from system)</t>
  </si>
  <si>
    <t>Initial cost of Investment (€)/ha(Known value from system)</t>
  </si>
  <si>
    <t>Maintainance Costs (€)/year(Known value from system)</t>
  </si>
  <si>
    <t>Maintainance Costs (€)/ha/year(Known value from system)</t>
  </si>
  <si>
    <t>Depreciation (i.e.##the annual reduction in the intial value of a tangible fixed asset) (€)/year(Result shown after using the calculator module)</t>
  </si>
  <si>
    <t>Total Initial cost of DAT Purchase(Result shown after using the calculator module)</t>
  </si>
  <si>
    <t>Yield Impact with DATS usage (%)(Known value from system)</t>
  </si>
  <si>
    <t>Current Yield  without DATS usage (tons/ha)(input provided by the user)</t>
  </si>
  <si>
    <t>Market Price (€/ 1ton)(input provided by the user)</t>
  </si>
  <si>
    <t>Current Revenue without DATS usage (€ in 1 year)(Result shown after using the calculator module)</t>
  </si>
  <si>
    <t>Yield with DATS usage (tons/ha)(Result shown after using the calculator module)</t>
  </si>
  <si>
    <t>Price of Yield with DATS usage (€/ ha)(Result shown after using the calculator module)</t>
  </si>
  <si>
    <t>Revenue Impact with DATS usage (€ in 1 year)(Result shown after using the calculator module)</t>
  </si>
  <si>
    <t>Fertilization Impact with DATS usage (%)- N applied (%)(Known value from system)</t>
  </si>
  <si>
    <t>Current fertilizer usage without DATS (Kg/ ha)(input provided by the user)</t>
  </si>
  <si>
    <t>Current Fertilizer Cost  (€/ 1 Kg)(input provided by the user)</t>
  </si>
  <si>
    <t>Current Fertilization Cost without DATS usage (€/ ha)(Result shown after using the calculator module)</t>
  </si>
  <si>
    <t>Fertilizer usage with DATS (kg/ha)(Result shown after using the calculator module)</t>
  </si>
  <si>
    <t>Fertilizer Cost with DATS usage  (€/ ha)(Result shown after using the calculator module)</t>
  </si>
  <si>
    <t>Fertilization Cost with DATS usage  (€ in 1 year)(Result shown after using the calculator module)</t>
  </si>
  <si>
    <t>Pesticides Impact with DATS usage (%)(Known value from system)</t>
  </si>
  <si>
    <t>Current pestcide usage without DATS (kg or lt/ ha)(input provided by the user)</t>
  </si>
  <si>
    <t>Current pesticide cost (€/ kg or lt)(input provided by the user)</t>
  </si>
  <si>
    <t>Pesticide usage with DATS (kg or lt /ha)(Result shown after using the calculator module)</t>
  </si>
  <si>
    <t>Pesticide Cost with DATS usage (€/ ha)(Result shown after using the calculator module)</t>
  </si>
  <si>
    <t>Pesticide Cost with DATS usage (€ in 1 year)(Result shown after using the calculator module)</t>
  </si>
  <si>
    <t>Water Consumption  Impact with DATS usage (%)(Known value from system)</t>
  </si>
  <si>
    <t>Current water usage without DATS (m3/ha)(input provided by the user)</t>
  </si>
  <si>
    <t>Current water cost (€/ m3)(input provided by the user)</t>
  </si>
  <si>
    <t>Current Irrigation Cost without DATS usage (€/ ha)(Result shown after using the calculator module)</t>
  </si>
  <si>
    <t>Water usage  with DATS (m3/ha)(Result shown after using the calculator module)</t>
  </si>
  <si>
    <t>Water Cost with DATS usage (€/ ha)(Result shown after using the calculator module)</t>
  </si>
  <si>
    <t>Water Cost with DATS usage  (€ in 1 year)(Result shown after using the calculator module)</t>
  </si>
  <si>
    <t>Working Time Impact with DATS usage (%)(Known value from system)</t>
  </si>
  <si>
    <t>Current Working Time Cost without DATS usage (€ in 1 year)(input provided by the user)</t>
  </si>
  <si>
    <t>Working Time Cost with DATS usage  (€ in 1 year)(Result shown after using the calculator module)</t>
  </si>
  <si>
    <t>Fuel Consumption Impact with DATS usage (%)(Known value from system)</t>
  </si>
  <si>
    <t>Current Fuel Cost  without DATS usage  (€ in 1 year)(input provided by the user)</t>
  </si>
  <si>
    <t>Fuel cost with DATS usage  (€ in 1 year)(Result shown after using the calculator module)</t>
  </si>
  <si>
    <t>Electricity consumption Impact with DATS usage (%)(known value from the system)</t>
  </si>
  <si>
    <t>Current Electricity Cost without DATS usage (€ in 1 year)(input provided by the user)</t>
  </si>
  <si>
    <t>Electricity cost with DATS usage  (€ in 1 year)(Result shown after using the calculator module)</t>
  </si>
  <si>
    <t>Annual change in Net Income  (€)(annual total Impact (including addtional annual OPEX[e.g.## Subscriptions## Maintenance##etc.]) with DATS usage  (Result shown after using the calculator module)</t>
  </si>
  <si>
    <t>Annual ROI (%) (Annual change in Net Income / initial cost of the equipment)(Result shown after using the calculator module)</t>
  </si>
  <si>
    <t>Payback Period (years)(Result shown after using the calculator module)</t>
  </si>
  <si>
    <t>Is the DAT Beneficial? (6 year payback period threshold)(Result shown after using the calculator module)</t>
  </si>
  <si>
    <t>An innovative## multi-dimensional smart farming systemGaiasense## an innovative smart farming system designed and developed by NEUROPUBLIC S.A.## collects data from the field (atmospheric and soil data)## the satellite (Earth Observation data)## the scientist (on farm observations## measurements and sampling)## and the farmer (recording of farming activities). This data feeds scientific models for the fertilization## irrigation and crop protection of each crop## adjusted to the microclimatic conditions of each site. Then## gaiasense provides advice to agronomists and consequently farmers## so that they can meet the exact needs of each specific crop in terms of nutrients## irrigation water and crop protection measures. Gaiasense supports a constantly growing number of crops## both open field and in greenhouses## conventional and organic. Its modular design allows the adaptation to different crops and adjustment to different microclimatic conditions. It contributes to better quality and higher yields## with reduced production cost and lower environmental footprint. Agricultural advisors play a key role in the process## as they are the ones who evaluate the smart farming advice## adjusting it accordingly based on their experience## and then share it with farmers## also guiding them in the application of the advice in the field. Gaiasense provides agricultural advisors with valuable digital tools## data and information that they need in order to provide more accurate advice to farmers## so that they can reap the benefits of smart farming without requiring any kind of investment in expensive technological equipment nor specialized digital skills.</t>
  </si>
  <si>
    <t>(Annual service cost) - Initial investment: 450 euros 60euros/hamaitenance: 300 euros/year</t>
  </si>
  <si>
    <t>1. Labour productivity (arable and horticulture): 1##92. Nitrogen applied:  54##43. Water consumption: -274. Arable and horticulture fuel consumption: -19##35. Working time: -12##56. Electricity consumption: -26##77. pesticides## herbicides and fungicides use: 161##3</t>
  </si>
  <si>
    <t>EFFICIENT AND SUSTAINABLE WATER MANAGEMENT IN AGRICULTUREIntroduced in the market in 2009 it’s a simple## integrated## powerful and affordable tool anywhere. Irristrat ™ stands out as the most advanced intelligent irrigation management software## processing real-time field information and providing farmers with accurate indications for smarter and more efficient irrigation## contributing to improved results.</t>
  </si>
  <si>
    <t>Annual service costInitial investment: 31500 €Maintenance costs: 97##2 €/ha</t>
  </si>
  <si>
    <t>1. Labour productivity (arable and horticulture): 9##62. Water consumption: -543. Working time: 1464. Electricity consumption: -48##2</t>
  </si>
  <si>
    <t>Satellite monitoring with preloaded parcel boundaries## climate and soil data. Nutrient and pest advises. Communication with the administration.SATIVUM (https://www.sativum.es/) is a free public tool## created by Instituto Tecnológico Agrario de Castilla y León (ITACyL)## which aims to help farmers and advisors in the decision making process of a farm## providing them with access to all available information related to their plots through a simple and intuitive web interface from any of their devices: mobile## tablet or computer. It is a web app that allows to control of each plot of a farm## carrying out satellite monitoring of the development of crops on pre-loaded and/or editable geometries. It also provides the farmer with information on the climate and soil of his plots## allowing temporal and geographical comparisons to be made on the evolution of crops## as well as zoning the plot for VRA (Variable Rate Application) applications. It also advises on the formulation of nutrient plans (based on FAST tool) and on the possible occurrence of pests and diseases. It allows the completion of the digital farmbook and communication with the administration.</t>
  </si>
  <si>
    <t>1. Labour productivity (arable and horticulture): -8##92. Nitrogen applied: -143. Arable and horticulture fuel consumption: 5##14. pesticides## herbicides and fungicides use: -355. Working time: -13##6</t>
  </si>
  <si>
    <t>1. Labour productivity (arable and horticulture): -15##62.  Nitrogen applied: -18##33. Arable and horticulture fuel consumption: 3##14.  pesticides## herbicides and fungicides use: -4##45. Working time: 17##7</t>
  </si>
  <si>
    <t>Annual fee per hectareInitial investment: 24000€Maintenance costs: 1##97 €/haMaintenance costs: 50 € /year</t>
  </si>
  <si>
    <t>1. Labour productivity (arable and horticulture): -5##12. Nitrogen applied: -13##63. pesticides## herbicides and fungicides use: -23</t>
  </si>
  <si>
    <t>unknownAnnual fee: 4€/haAnnual fee: 158 €/year</t>
  </si>
  <si>
    <t>1. Labour productivity (arable and horticulture): 3##52. Nitrogen applied: -29##23. Water consumption: 544. Arable and horticulture fuel consumption: 8##35. Working time: -21##16. pesticides## herbicides and fungicides use: 12##5</t>
  </si>
  <si>
    <t>Delphy QMS Water- Agrovision DSS- Aurea Imaging (Drone flights and elevation maps)- Agro exact sencrop (Weather poles## Soil moisture sensors)- Raven (GPS)</t>
  </si>
  <si>
    <t>Delphy QMS system: This software integrates data from various sources—humidity sensors## weather stations## and the compiled drone-generated map. It uses this information to determine irrigation needs on a per-plot basis. It calculates moisture deficits or surpluses## considering soil characteristics## crop parameters## and weather forecasts. This data-driven approach helps optimize water usage by providing insights into when and where irrigation is needed.Agrovision: The DSS system integrates data from various treatments. It likely uses historical and real-time data to recommend optimal treatment plans based on crop conditions## weather forecasts## and other relevant factors.Aurea Imaging: Drones equipped with imaging technology capture aerial data and create elevation maps of the agricultural land. These maps provide detailed information about the topography## soil variability## and potentially stressed areas of the fields.Agro exact sencrop: Soil moisture sensors and weather stations collect real-time data about soil conditions and atmospheric factors. They measure soil moisture## temperature## humidity## atmospheric pressure## wind speed## and other relevant metrics.Raven: GPS technology## such as the Raven system## provides accurate positioning and navigation data## aiding in precise location-specific actions and data collection.</t>
  </si>
  <si>
    <t>https://delphy.nl/en/qms-water/https://www.agrovision.comhttps://aureaimaging.com/https://sencrop.com/eu/https://ravenconnected.com</t>
  </si>
  <si>
    <t>Delphy QMS system: Annual feeAgrovision: unknownAurea Imaging: unknownAgro exact sencrop: Annual feeRaven: unknownInitial investment: 125 €/haMaintenance costs: 214 €/year</t>
  </si>
  <si>
    <t>1. Labour productivity (arable and horticulture): 36##52. Water Consumption: 83. Electricity Consumption: 7##84. Working time: 230</t>
  </si>
  <si>
    <t>Delphy QMS System- Agrovision DSS- Aurea Imaging (Drone flights and elevation maps)- Agro exact sencrop (Weather poles## Soil moisture sensors)- Raven (GPS)</t>
  </si>
  <si>
    <t>1. Labour productivity (arable and horticulture): -8##62. Water Consumption: -83. Working time: 1004. Electricity Consumption: -35##6</t>
  </si>
  <si>
    <t>Annual service costAnnual fee: 50 €/ha</t>
  </si>
  <si>
    <t>1. Labour productivity (arable and horticulture): -5##62. Nitrogen applied: -353. Water consumption: -11</t>
  </si>
  <si>
    <t>Agrosmart for silosThe DATS is a ground-breaking system designed for agricultural storage and trade businesses. It offers a comprehensive solution by merging various operational aspects## allowing users to boost productivity through efficient and precise processes. It handles automated acceptance## lab procedures## storage## and unloading operations. It seamlessly integrates with scales## lab equipment## and facilitates document management## logistics planning## and contract/order handling. The software keeps farmers informed about their deliveries## monitors contract execution## generates grain quality reports## and operates on the cloud## accessible via various devices through web browsers. Specialized installations enable communication with scales and lab equipment## with options for additional integrations like card scanners or accounting systems.</t>
  </si>
  <si>
    <t>Initial investment costsInitial investment: 20000 €Maintenance cost: 120 € /year</t>
  </si>
  <si>
    <t>1. Labour productivity (arable and horticulture): 220 2. Working time: -69</t>
  </si>
  <si>
    <t>Farm manager - farm business planning/modelling and decision-making for agricultural advisors## farmers and educationFarm Manager is the e-service for business planning## business modelling and decision-making on farms## based on a technically advanced e-service. It is a modern upgrade of the catalogue of calculations## which has historically been provided in the printed version## and has been an indispensable tool for planning business operations on farms for various purposes within the framework of agricultural consulting since 1995. The service enables users to review existing calculations and create farm production plans while advanced users (advisors) can develop and prepare new calculations. The Farm manager is## in the next iteration going to be upgraded into a data-driven platform## aggregating data received from satellites (Earth Observation)## drones## in-situ sensors (IoT)## weather stations## soil and plant test databases and other third-party/open data sources.</t>
  </si>
  <si>
    <t>1. Labour productivity (arable and horticulture): -42##92. Nitrogen applied: -74##93. Arable and horticulture fuel consumption: -47##24. Working time: -1##75. pesticides## herbicides and fungicides use: -61##5</t>
  </si>
  <si>
    <t>1. Labour productivity (arable and horticulture): -19##52. Nitrogen applied: -47##1 3. Water consumption: 24. Arable and horticulture fuel consumption: 3##15. Working time: 24##2</t>
  </si>
  <si>
    <t>1. Labour productivity (arable and horticulture): -42##92. Nitrogen applied: -74##93. Arable and horticulture fuel consumption: -47##24. pesticides## herbicides and fungicides use -61##55. Working time: -1##7</t>
  </si>
  <si>
    <t>SF DSSA comprehensive software maintains records of all field operations and enables monitoring of equipment fleet. The solution also uses a combination of other DATSs (hardware and software): - Harvest Combines generate yield maps and gather crucial data for adapting technology and making informed decisions. - Meteo stations. Recording meteorological data aids in result analysis and timely decision-making## offering daily assistance in making informed choices. - Satellite-derived NDVI images are instrumental in preventing issues## exercising control## and facilitating decision-making processes. - Efficient scheduling of agricultural tasks for each plot## precise distribution of product consumption among parcels## and management of resources.</t>
  </si>
  <si>
    <t xml:space="preserve">Annual feeInitial investments: 70000 €Maintenance: 5##43 €/ha </t>
  </si>
  <si>
    <t>1. Labour productivity (arable and horticulture): 13##72. Nitrogen applied: 62##43. Arable and horticulture fuel consumption: -7##64. Working time: -33##15. pesticides## herbicides and fungicides use: -52##76. Electricity consumption: -40##3</t>
  </si>
  <si>
    <t>Annual service costAnnual fee: 260 €/year</t>
  </si>
  <si>
    <t>1. Labour productivity (arable and horticulture): -13##32. Water consumption: -593. Working time: -32##14. Electricity consumption: -46##65. pesticides## herbicides and fungicides use: 3</t>
  </si>
  <si>
    <t xml:space="preserve">Delphy QMS System (Irrigation)- RIMpro- Trapview (Digital pest control)- Aurea Imaging (Drone flights and elevation maps)- Estede (Water sensors) </t>
  </si>
  <si>
    <t xml:space="preserve">Delphy QMS system: This software integrates data from various sources—humidity sensors## weather stations## and the compiled drone-generated map. It uses this information to determine irrigation needs on a per-plot basis. It calculates moisture deficits or surpluses## considering soil characteristics## crop parameters## and weather forecasts. This data-driven approach helps optimize water usage by providing insights into when and where irrigation is needed.RIMpro: RIMpro is a DSS that models a wide range of pests and diseases of fruit trees and vineyards.Trapview: Digital pest control and RIMpro aid in effective and efficient management of pests and diseases. These technologies predict development over time## helping growers determine the optimal timing for crop protection product applications. This not only reduces costs but also promotes environmental sustainability by minimizing unnecessary chemical use.Aurea Imaging: Drones equipped with imaging technology capture aerial data and create elevation maps of the agricultural land. These maps provide detailed information about the topography## soil variability## and potentially stressed areas of the fields.Estede: Water sensors monitor soil moisture content## enabling precise water management by calculating the required water for crops based on sensor data and climatic conditions. This not only increases efficiency but also contributes to environmental sustainability by reducing water usage. </t>
  </si>
  <si>
    <t>https://delphy.nl/en/qms-water/https://rimpro.euhttps://trapview.comhttps://aureaimaging.comhttps://en.estede-scientific.com</t>
  </si>
  <si>
    <t>Delphy QMS system: Annual fee RIMpro: Annual fee Trapview: Annual feeAurea Imaging: unknownEstede: Initial investment costs per sensorInitial investment: 2250 €Maintenance costs: 350 €/year</t>
  </si>
  <si>
    <t>1. Labour productivity (arable and horticulture): 1##32. Arable and horticulture fuel consumption: 0##83. Working time: 10##74. Electricity consumption: -8##1</t>
  </si>
  <si>
    <t>unknownAnnual fee: 63 €/ha</t>
  </si>
  <si>
    <t>1. Labour productivity (arable and horticulture): 11##32. Water Consumption: -753. Arable and horticulture fuel consumption: -17##74. Working time: -135. pesticides## herbicides and fungicides use: -26##8</t>
  </si>
  <si>
    <t xml:space="preserve">NETAJET- NMC pro system (for irrigation and fertigation) </t>
  </si>
  <si>
    <t>NETAJET: The NetaJetTM 4G blends various fertilizers seamlessly within its distinctive HidroMix static mixing chamber## creating a homogeneous solution that is then injected into the main irrigation water line. The collection of data involves a combination of information from a mobile app and the DATS interface. Farmers utilize handheld sensors for measuring the pH and EC of water drainage from plastic containers. This data serves as the basis for making informed decisions about the subsequent fertilization plan.NMC pro system: The DATS blends various fertilizers seamlessly within its distinctive HidroMix static mixing chamber## creating a homogeneous solution that is then injected into the main irrigation water line. A sensor within the greenhouse monitors temperature and sunlight exposure## and this data is utilized by software to regulate misting## thereby managing the ambient temperature. Data collection involves merging information from a mobile app and the DATS interface## with the data being directly extracted from DATS.</t>
  </si>
  <si>
    <t>https://www.netafim.com/en/products-and-solutions/tools/fertigation/netajet-4g/https://www.netafim.com/en-us/products-and-solutions/product-offering/digital-farming/nmc-pro2/</t>
  </si>
  <si>
    <t>NETAJET: unknownNMC pro system: unknownInitial investment: 60##000 €Maintenance: 120 € av./year</t>
  </si>
  <si>
    <t>1. Labour productivity (arable and horticulture): 12##12. Nitrogen applied: 443. Water consumption: -154. Arable and horticulture fuel consumption: 41##35. Working time: -19##76. pesticides## herbicides and fungicides use: 250 7. Electricity consumption: 147##8</t>
  </si>
  <si>
    <t>NETAJET: unknownNMC pro system: unknownInitial investment: 60##000 €Maintenance: 2##000  € av./year</t>
  </si>
  <si>
    <t>1. Labour productivity (arable and horticulture): 212##52. Nitrogen applied: 4##33. Water consumption: 94. Arable and horticulture fuel consumption:-100 5. Working time: 1466. Electricity consumption: 2757. pesticides## herbicides and fungicides use: -28##2</t>
  </si>
  <si>
    <t>Annual service costAnnual fee: 180 € av./year</t>
  </si>
  <si>
    <t>1. Labour productivity (arable and horticulture): -41##3 2. Nitrogen applied: -13##93. Water consumption: -484. Arable and horticulture fuel consumption: -61##3 5. Working time: -54##4 6. Electricity consumption: -29##67.  pesticides## herbicides and fungicides use: -19##5</t>
  </si>
  <si>
    <t>Delphy QMS system: Annual fee RIMpro: Annual fee Trapview: Annual feeAurea Imaging: unknownEstede: Initial investment costs per sensorInitial investments: 4850 € Maintenance costs: 400 €/year</t>
  </si>
  <si>
    <t>1. Labour productivity (arable and horticulture): 1##32. Water Consumption: 63. Arable and horticulture fuel consumption: 24. Working time: 19##35. Electricity consumption: 19##8</t>
  </si>
  <si>
    <t>Monthly feeInitial investments: 4400 € Maintenance cost: 563 €/year</t>
  </si>
  <si>
    <t>1. Arable and horticulture fuel consumption: -94##62. Working time: -90##83. pesticides## herbicides and fungicides use: 60</t>
  </si>
  <si>
    <t>unknownAnnual fee: 45€/ha</t>
  </si>
  <si>
    <t>1. Labour productivity (arable and horticulture): 212. Nitrogen applied: 4##53. Water consumption: -214. Arable and horticulture fuel consumption: 5##85. Working rime: 28 6. pesticides## herbicides and fungicides use: 4##8</t>
  </si>
  <si>
    <t>The QMS tomatoes (Quality Management System) is a computer program designed for greenhouse cultivation## allowing users to set a cultivation plan based on specific company information## such as greenhouse properties## varieties## and start/end dates. It calculates crop development## production## and light demand## managing light availability for optimal scenarios. The software consists of three main components: Delphy dashboard (centralizing farm data)## Climate profiler (machine learning model suggesting optimal climate)## and Climate controller (translating recommendations into set points).</t>
  </si>
  <si>
    <t>Annual feeInitial investment: 8000 €Maintenance: 300 €/year</t>
  </si>
  <si>
    <t>1. Labour productivity (arable and horticulture): 1##52. Water Consumption: -273. Arable and horticulture fuel consumption: -15##64. Electricity consumption: -60</t>
  </si>
  <si>
    <t>AGROPTIMA-NADIA</t>
  </si>
  <si>
    <t>AGROPTIMA: A Mobile APP and WEB APP for monitoring and managing the task that the farmers do in the farms## contemplating Fertirrigation and Phytosanitary control. (Farm Management Information System)NADIA: A platform that brings together a set of applications for the integration of the Internet of Things (IoT). It receives information from all connected sensors in real time. It stores and analyses this information and allows interaction with these sensors.</t>
  </si>
  <si>
    <t>http://agroptima.comhttps://www.anysolution.eu/en/productos/</t>
  </si>
  <si>
    <t>AGROPTIMA: Annual service costNADIA: 	Initial investment costsInitial investment: 15000 €</t>
  </si>
  <si>
    <t>1. Labour productivity (arable and horticulture)##: 32. Water Consumption##: -23. pesticides## herbicides and fungicides use: 46##9</t>
  </si>
  <si>
    <t xml:space="preserve">Signum- Kathari UF1 </t>
  </si>
  <si>
    <t>Signum: The primary artificial lighting source in the greenhouse consists of dimmable top LED lights from Signum## with red as the dominant wavelength and some blue## generating approximately 500 µmols m-2 s-1 according to theoretical efficacy. These LEDs can be adjusted from 10% to 100% brightness## providing seamless control over light intensity. The degree of light emission from the lamps is automatically regulated based on the incoming natural radiation## with a predefined threshold determining whether lamp light is required and to what extent. A pyranometer inside the greenhouse measures light intensity## and this## along with natural radiation## is used to calculate prevailing radiation levels.Kathari UF1: The filtration system is digitally integrated with the irrigation system to dynamically adjust nutrient concentrations in the irrigation water## further optimizing the growing environment.</t>
  </si>
  <si>
    <t>Signum: UnknownKathari UF1: UnknownInitial investment: 1##579##000 €Maintenance costs: 2##500 € av./year</t>
  </si>
  <si>
    <t>1. Labour productivity (arable and horticulture): 9##52. Nitrogen applied: -33##33. Water consumption: -964. Arable and horticulture fuel consumption: 874##35. Electricity consumption: -52##26. Working time: 607. pesticides## herbicides and fungicides use: 66##3</t>
  </si>
  <si>
    <t>Initial investment costsInitial investments: 40000 €Maintenance costs: 3,000 € av./year</t>
  </si>
  <si>
    <t>1. Meat productivity: 202. Water consumption: -883. Electricity consumption: 43</t>
  </si>
  <si>
    <t>Lely (Feeding robot)- MSD &amp; Lely (Heat detectors)- Innoval (Calving detectors)</t>
  </si>
  <si>
    <t>Lely: This system independently loads and dispenses feed rations to animals, aiming to enhance ration quality, animal growth, milk production in suckler cows, and align distribution with animal needs. The feeding robot's software tracks total feed distribution (forage, concentrate), feeding sessions, and leftover amounts, accessible via computer software and a smartphone app for remote monitoring. Utilizing loading cells and optical sensors, it accurately measures feed weight and estimates leftovers in troughs. Installation by the manufacturer is necessary, customizing the kitchen, feed grabber, robot route, and fences to suit individual farm conditions.MSD &amp; Lely: Worn around the animals' necks, this collar sensor observes behaviours and triggers alerts when an animal is suspected to be in heat. It aims to save farmers' time and improve heat detection accuracy. The software generates activity and rumination patterns, identifies cows in heat with confidence indicators, and integrates this data with herd management software (mating/calving dates, calving intervals). The system's reliability prompts automatic alerts to the inseminator upon detecting a cow in heat. Accessible through computer software and a smartphone app, though the collars require proximity to an antenna for remote access. Utilizing collar-mounted accelerometers measuring neck movements, the system's antennas need installation by the manufacturer, with specific positioning according to each farm's conditions. Afterward, farmers can manage the collars.Innoval: Placed near the tail of cows or heifers nearing calving, this system sends SMS and phone call alerts during calving. These alerts are visible on a phone for remote monitoring. Sensors, based on accelerometers, detect calving events. Antennas require manufacturer installation, adjusting positioning and numbers based on farm conditions. After setup, farmers can independently manage the sensors.</t>
  </si>
  <si>
    <t>https://www.lely.com</t>
  </si>
  <si>
    <t>Lely: Initial investement costsMSD &amp; Lely: Initial investement costsInnoval: Initial investement costs Initial investment: 181,780€Maintenance: 350 € /year</t>
  </si>
  <si>
    <t>1. Meat productivity: -7,62. Water consumption: -24,23. Feed used: 744. Mortality rate (livestock): 31,85. Working time: -396. Livestock fuel consumption: -38,27. Electricity consumption: 19,5</t>
  </si>
  <si>
    <t>PigUp- Acerva</t>
  </si>
  <si>
    <t>PigUp: PigUp software manages the pigs, especially the sows. Several systems are in place: automated ventilation, sow feeding, remote light control, piglet weighing scale, and barn climate monitoring.Acerva: Acerva provided and installed the feeding and ventilation systems, while the farmer installed the others.</t>
  </si>
  <si>
    <t xml:space="preserve">PigUp: Annual feeAcerva: unknownInitial investment: 100,000€Maintenance: 360 € av./year </t>
  </si>
  <si>
    <t>1. Water consumption: -292. Mortality rate (livestock): 1592,23. Drugs use in meat livestock: -1004. Livestock fuel consumption: 129</t>
  </si>
  <si>
    <t>Allflex Livestock Intelligence- Lely</t>
  </si>
  <si>
    <t>Allflex Livestock Intelligence: This software generates activity and rumination patterns and identifies cows in heat. For each cow, it provides a confidence indicator, heat date and time, and suggested insemination timing, linking this data with herd management software (including milk yield, mating and calving dates, calving intervals). It's accessible via specific computer software and a dedicated smartphone app developed by the manufacturer, or directly integrated into the farmer's herd management software. Access is available remotely, utilizing accelerometers on ear tags to measure head movements.Lely: This system independently loads and dispenses feed rations to animals, aiming to enhance ration quality, animal growth, milk production in suckler cows, and align distribution with animal needs. The feeding robot's software tracks total feed distribution (forage, concentrate), feeding sessions, and leftover amounts, accessible via computer software and a smartphone app for remote monitoring. Utilizing loading cells and optical sensors, it accurately measures feed weight and estimates leftovers in troughs. Installation by the manufacturer is necessary, customizing the kitchen, feed grabber, robot route, and fences to suit individual farm conditions.</t>
  </si>
  <si>
    <t>https://www.allflex.global/it/https://www.lely.com</t>
  </si>
  <si>
    <t xml:space="preserve">Allflex Livestock Intelligence: Initial investment costs per cowLely: Initial investement costsInitial investment: 210,000€Maintenance cost: 2,800 € av./year </t>
  </si>
  <si>
    <t>1. Milk productivity: -31,52. Livestock fuel consumption: -22,83. Working time: -53,94. Electricity consumption: 60,7</t>
  </si>
  <si>
    <t>Cows are free to enter the milking station whenever they wish. They are attracted by feed or incentives inside the station. Upon entering, the cow is identified through various methods such as RFID tags or 3D cameras. The robot then cleans the cow's udder with brushes and disinfects teats. Robotic arms equipped with teat cups attach to the cow's udder. These cups utilize gentle suction to extract milk from the udder. Sensors monitor milk flow and can detect when milking is complete. Throughout the process, data such as milk yield, quality, temperature, and cow health information are collected and stored for analysis.</t>
  </si>
  <si>
    <t xml:space="preserve">unknownInitial investment: 350,000 €Maintenance: 55,55 €/animal </t>
  </si>
  <si>
    <t>1. Milk productivity: 1872. Drugs use in dairy livestock: -91,43. Working time: -76,64. Electricity consumption: 31,8</t>
  </si>
  <si>
    <t>Initial investment costs per sensorInitial investment cost  80 euros per cow for the sensor2.20 per month per cow for data interpretation</t>
  </si>
  <si>
    <t>1. Milk productivity: 11,6 2. Water consumption: -273.Mortality rate (livestock): -74,24. Drugs use in dairy livestock: -24,25. Livestock fuel consumption: 126. Electricity consumption: 48,97. Feed used: 1,3</t>
  </si>
  <si>
    <t>Initial investement costsInitial investments: 56000 €Maintenance costs: 0,25 €/animal</t>
  </si>
  <si>
    <t>1. Milk productivity: -70,22. Water consumption: -64,33. Drugs use in dairy livestock: 86,54. Working time: -2,95. Electricity consumption: 376</t>
  </si>
  <si>
    <t>unknownInitial investments: 1500 €Annual fee: 500 €/y</t>
  </si>
  <si>
    <t>1. Bees productivity: 2,72. Drugs use in apiculture: -2,73. Working time: -100</t>
  </si>
  <si>
    <t>Initial investement costsAnnual fee: 500 €/y</t>
  </si>
  <si>
    <t>1. Oyster productivity: 62,52. Mortality rate (aquaculture): -79,53. Aquaculture fuel consumption: -8,3</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</si>
</sst>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1]"/>
  </numFmts>
  <fonts count="38" x14ac:knownFonts="1">
    <font>
      <sz val="10"/>
      <color rgb="FF000000"/>
      <name val="Arial"/>
      <scheme val="minor"/>
    </font>
    <font>
      <b/>
      <sz val="14"/>
      <color theme="1"/>
      <name val="Arial"/>
    </font>
    <font>
      <b/>
      <sz val="10"/>
      <color theme="1"/>
      <name val="Arial"/>
      <scheme val="minor"/>
    </font>
    <font>
      <b/>
      <sz val="11"/>
      <color theme="1"/>
      <name val="Arial"/>
    </font>
    <font>
      <sz val="10"/>
      <name val="Arial"/>
    </font>
    <font>
      <b/>
      <sz val="10"/>
      <color theme="1"/>
      <name val="Arial"/>
    </font>
    <font>
      <sz val="10"/>
      <color theme="1"/>
      <name val="Arial"/>
    </font>
    <font>
      <sz val="10"/>
      <color theme="1"/>
      <name val="Arial"/>
    </font>
    <font>
      <b/>
      <sz val="11"/>
      <color theme="1"/>
      <name val="Calibri"/>
    </font>
    <font>
      <sz val="11"/>
      <color theme="1"/>
      <name val="Calibri"/>
    </font>
    <font>
      <sz val="10"/>
      <color theme="1"/>
      <name val="Times New Roman"/>
    </font>
    <font>
      <u/>
      <sz val="11"/>
      <color rgb="FF0563C1"/>
      <name val="Calibri"/>
    </font>
    <font>
      <sz val="10"/>
      <color theme="1"/>
      <name val="Arial"/>
      <scheme val="minor"/>
    </font>
    <font>
      <u/>
      <sz val="11"/>
      <color rgb="FF0563C1"/>
      <name val="Calibri"/>
    </font>
    <font>
      <u/>
      <sz val="11"/>
      <color rgb="FF0563C1"/>
      <name val="Calibri"/>
    </font>
    <font>
      <u/>
      <sz val="11"/>
      <color rgb="FF0000FF"/>
      <name val="Calibri"/>
    </font>
    <font>
      <sz val="11"/>
      <color rgb="FFFF0000"/>
      <name val="Calibri"/>
    </font>
    <font>
      <u/>
      <sz val="11"/>
      <color rgb="FF0563C1"/>
      <name val="Calibri"/>
    </font>
    <font>
      <sz val="10"/>
      <color rgb="FF161616"/>
      <name val="Times New Roman"/>
    </font>
    <font>
      <sz val="11"/>
      <color rgb="FF161616"/>
      <name val="Times New Roman"/>
    </font>
    <font>
      <u/>
      <sz val="11"/>
      <color rgb="FF0563C1"/>
      <name val="Calibri"/>
    </font>
    <font>
      <b/>
      <sz val="12"/>
      <color theme="1"/>
      <name val="Calibri"/>
    </font>
    <font>
      <b/>
      <sz val="10"/>
      <color theme="1"/>
      <name val="Arial"/>
    </font>
    <font>
      <b/>
      <sz val="12"/>
      <color theme="1"/>
      <name val="Arial"/>
    </font>
    <font>
      <b/>
      <sz val="10"/>
      <color theme="1"/>
      <name val="Calibri"/>
    </font>
    <font>
      <sz val="11"/>
      <color theme="1"/>
      <name val="Arial"/>
    </font>
    <font>
      <sz val="10"/>
      <color theme="1"/>
      <name val="Calibri"/>
    </font>
    <font>
      <u/>
      <sz val="11"/>
      <color rgb="FF0563C1"/>
      <name val="Arial"/>
    </font>
    <font>
      <u/>
      <sz val="11"/>
      <color rgb="FF0563C1"/>
      <name val="Arial"/>
    </font>
    <font>
      <b/>
      <sz val="10"/>
      <color rgb="FFFF0000"/>
      <name val="Arial"/>
    </font>
    <font>
      <b/>
      <sz val="10"/>
      <color rgb="FF000000"/>
      <name val="Arial"/>
    </font>
    <font>
      <sz val="10"/>
      <color rgb="FF000000"/>
      <name val="Arial"/>
    </font>
    <font>
      <b/>
      <sz val="11"/>
      <color rgb="FFFF0000"/>
      <name val="Calibri"/>
    </font>
    <font>
      <b/>
      <sz val="14"/>
      <color rgb="FFFF0000"/>
      <name val="Arial"/>
    </font>
    <font>
      <sz val="9"/>
      <color theme="1"/>
      <name val="Arial"/>
      <family val="2"/>
      <charset val="161"/>
    </font>
    <font>
      <sz val="9"/>
      <color rgb="FF000000"/>
      <name val="Arial"/>
      <family val="2"/>
      <charset val="161"/>
    </font>
    <font>
      <sz val="9"/>
      <color theme="1"/>
      <name val="Calibri"/>
      <family val="2"/>
      <charset val="161"/>
    </font>
    <font>
      <sz val="9"/>
      <color rgb="FF000000"/>
      <name val="Arial"/>
      <family val="2"/>
      <charset val="161"/>
      <scheme val="minor"/>
    </font>
  </fonts>
  <fills count="21">
    <fill>
      <patternFill patternType="none"/>
    </fill>
    <fill>
      <patternFill patternType="gray125"/>
    </fill>
    <fill>
      <patternFill patternType="solid">
        <fgColor rgb="FFBDD6EE"/>
        <bgColor rgb="FFBDD6EE"/>
      </patternFill>
    </fill>
    <fill>
      <patternFill patternType="solid">
        <fgColor rgb="FFF4B083"/>
        <bgColor rgb="FFF4B083"/>
      </patternFill>
    </fill>
    <fill>
      <patternFill patternType="solid">
        <fgColor rgb="FFE2EFD9"/>
        <bgColor rgb="FFE2EFD9"/>
      </patternFill>
    </fill>
    <fill>
      <patternFill patternType="solid">
        <fgColor rgb="FFD2F1DA"/>
        <bgColor rgb="FFD2F1DA"/>
      </patternFill>
    </fill>
    <fill>
      <patternFill patternType="solid">
        <fgColor rgb="FFF4CCCC"/>
        <bgColor rgb="FFF4CCCC"/>
      </patternFill>
    </fill>
    <fill>
      <patternFill patternType="solid">
        <fgColor rgb="FFD9E2F3"/>
        <bgColor rgb="FFD9E2F3"/>
      </patternFill>
    </fill>
    <fill>
      <patternFill patternType="solid">
        <fgColor theme="0"/>
        <bgColor theme="0"/>
      </patternFill>
    </fill>
    <fill>
      <patternFill patternType="solid">
        <fgColor rgb="FFFF0000"/>
        <bgColor rgb="FFFF0000"/>
      </patternFill>
    </fill>
    <fill>
      <patternFill patternType="solid">
        <fgColor rgb="FFFFFF00"/>
        <bgColor rgb="FFFFFF00"/>
      </patternFill>
    </fill>
    <fill>
      <patternFill patternType="solid">
        <fgColor rgb="FF00FF00"/>
        <bgColor rgb="FF00FF00"/>
      </patternFill>
    </fill>
    <fill>
      <patternFill patternType="solid">
        <fgColor rgb="FFFFC000"/>
        <bgColor rgb="FFFFC000"/>
      </patternFill>
    </fill>
    <fill>
      <patternFill patternType="solid">
        <fgColor rgb="FFFFE598"/>
        <bgColor rgb="FFFFE598"/>
      </patternFill>
    </fill>
    <fill>
      <patternFill patternType="solid">
        <fgColor rgb="FFCFE2F3"/>
        <bgColor rgb="FFCFE2F3"/>
      </patternFill>
    </fill>
    <fill>
      <patternFill patternType="solid">
        <fgColor rgb="FFFFFFFF"/>
        <bgColor rgb="FFFFFFFF"/>
      </patternFill>
    </fill>
    <fill>
      <patternFill patternType="solid">
        <fgColor rgb="FFFFFF00"/>
        <bgColor indexed="64"/>
      </patternFill>
    </fill>
    <fill>
      <patternFill patternType="solid">
        <fgColor rgb="FFFFFF00"/>
        <bgColor rgb="FFFFE598"/>
      </patternFill>
    </fill>
    <fill>
      <patternFill patternType="solid">
        <fgColor rgb="FFFFFF00"/>
        <bgColor rgb="FFFFFFFF"/>
      </patternFill>
    </fill>
    <fill>
      <patternFill patternType="solid">
        <fgColor rgb="FFFFFF00"/>
        <bgColor rgb="FFE2EFD9"/>
      </patternFill>
    </fill>
    <fill>
      <patternFill patternType="solid">
        <fgColor rgb="FFFFFF00"/>
        <bgColor rgb="FFCFE2F3"/>
      </patternFill>
    </fill>
  </fills>
  <borders count="43">
    <border>
      <start/>
      <end/>
      <top/>
      <bottom/>
      <diagonal/>
    </border>
    <border>
      <start style="thin">
        <color rgb="FF000000"/>
      </start>
      <end/>
      <top style="thin">
        <color rgb="FF000000"/>
      </top>
      <bottom style="medium">
        <color rgb="FF000000"/>
      </bottom>
      <diagonal/>
    </border>
    <border>
      <start/>
      <end/>
      <top style="thin">
        <color rgb="FF000000"/>
      </top>
      <bottom style="medium">
        <color rgb="FF000000"/>
      </bottom>
      <diagonal/>
    </border>
    <border>
      <start/>
      <end style="thin">
        <color rgb="FF000000"/>
      </end>
      <top style="thin">
        <color rgb="FF000000"/>
      </top>
      <bottom style="medium">
        <color rgb="FF000000"/>
      </bottom>
      <diagonal/>
    </border>
    <border>
      <start style="thin">
        <color rgb="FF000000"/>
      </start>
      <end style="thin">
        <color rgb="FF000000"/>
      </end>
      <top style="thin">
        <color rgb="FF000000"/>
      </top>
      <bottom style="thin">
        <color rgb="FF000000"/>
      </bottom>
      <diagonal/>
    </border>
    <border>
      <start style="thin">
        <color rgb="FF000000"/>
      </start>
      <end/>
      <top style="thin">
        <color rgb="FF000000"/>
      </top>
      <bottom style="thick">
        <color rgb="FF000000"/>
      </bottom>
      <diagonal/>
    </border>
    <border>
      <start/>
      <end/>
      <top style="thin">
        <color rgb="FF000000"/>
      </top>
      <bottom style="thick">
        <color rgb="FF000000"/>
      </bottom>
      <diagonal/>
    </border>
    <border>
      <start/>
      <end style="thin">
        <color rgb="FF000000"/>
      </end>
      <top style="thin">
        <color rgb="FF000000"/>
      </top>
      <bottom style="thick">
        <color rgb="FF000000"/>
      </bottom>
      <diagonal/>
    </border>
    <border>
      <start/>
      <end style="thin">
        <color rgb="FF000000"/>
      </end>
      <top style="medium">
        <color rgb="FF000000"/>
      </top>
      <bottom/>
      <diagonal/>
    </border>
    <border>
      <start style="thin">
        <color rgb="FF000000"/>
      </start>
      <end style="thin">
        <color rgb="FF000000"/>
      </end>
      <top style="medium">
        <color rgb="FF000000"/>
      </top>
      <bottom/>
      <diagonal/>
    </border>
    <border>
      <start style="thin">
        <color rgb="FF000000"/>
      </start>
      <end/>
      <top/>
      <bottom/>
      <diagonal/>
    </border>
    <border>
      <start style="thin">
        <color rgb="FF000000"/>
      </start>
      <end style="thin">
        <color rgb="FF000000"/>
      </end>
      <top style="thin">
        <color rgb="FF000000"/>
      </top>
      <bottom style="medium">
        <color rgb="FF000000"/>
      </bottom>
      <diagonal/>
    </border>
    <border>
      <start/>
      <end/>
      <top/>
      <bottom/>
      <diagonal/>
    </border>
    <border>
      <start/>
      <end style="thin">
        <color rgb="FF000000"/>
      </end>
      <top/>
      <bottom/>
      <diagonal/>
    </border>
    <border>
      <start/>
      <end style="thin">
        <color rgb="FF000000"/>
      </end>
      <top/>
      <bottom/>
      <diagonal/>
    </border>
    <border>
      <start style="thin">
        <color rgb="FF000000"/>
      </start>
      <end style="thin">
        <color rgb="FF000000"/>
      </end>
      <top/>
      <bottom/>
      <diagonal/>
    </border>
    <border>
      <start style="medium">
        <color rgb="FF000000"/>
      </start>
      <end style="medium">
        <color rgb="FF000000"/>
      </end>
      <top style="thin">
        <color rgb="FF000000"/>
      </top>
      <bottom/>
      <diagonal/>
    </border>
    <border>
      <start style="medium">
        <color rgb="FF000000"/>
      </start>
      <end/>
      <top style="thin">
        <color rgb="FF000000"/>
      </top>
      <bottom style="medium">
        <color rgb="FF98A8BD"/>
      </bottom>
      <diagonal/>
    </border>
    <border>
      <start style="thin">
        <color rgb="FF000000"/>
      </start>
      <end/>
      <top style="thin">
        <color rgb="FF000000"/>
      </top>
      <bottom style="thin">
        <color rgb="FF000000"/>
      </bottom>
      <diagonal/>
    </border>
    <border>
      <start/>
      <end/>
      <top style="thin">
        <color rgb="FF000000"/>
      </top>
      <bottom/>
      <diagonal/>
    </border>
    <border>
      <start style="medium">
        <color rgb="FF000000"/>
      </start>
      <end style="thin">
        <color rgb="FF000000"/>
      </end>
      <top style="medium">
        <color rgb="FF98A8BD"/>
      </top>
      <bottom/>
      <diagonal/>
    </border>
    <border>
      <start style="thin">
        <color rgb="FF000000"/>
      </start>
      <end style="thin">
        <color rgb="FF000000"/>
      </end>
      <top style="thin">
        <color rgb="FF000000"/>
      </top>
      <bottom/>
      <diagonal/>
    </border>
    <border>
      <start style="medium">
        <color rgb="FF000000"/>
      </start>
      <end style="medium">
        <color rgb="FF000000"/>
      </end>
      <top style="thin">
        <color rgb="FF000000"/>
      </top>
      <bottom style="thin">
        <color rgb="FF000000"/>
      </bottom>
      <diagonal/>
    </border>
    <border>
      <start style="medium">
        <color rgb="FF000000"/>
      </start>
      <end/>
      <top style="medium">
        <color rgb="FF98A8BD"/>
      </top>
      <bottom style="medium">
        <color rgb="FF98A8BD"/>
      </bottom>
      <diagonal/>
    </border>
    <border>
      <start style="medium">
        <color rgb="FF000000"/>
      </start>
      <end/>
      <top/>
      <bottom style="medium">
        <color rgb="FF98A8BD"/>
      </bottom>
      <diagonal/>
    </border>
    <border>
      <start style="thin">
        <color rgb="FF000000"/>
      </start>
      <end/>
      <top/>
      <bottom style="thin">
        <color rgb="FF000000"/>
      </bottom>
      <diagonal/>
    </border>
    <border>
      <start style="thin">
        <color rgb="FF000000"/>
      </start>
      <end style="thin">
        <color rgb="FF000000"/>
      </end>
      <top/>
      <bottom style="thin">
        <color rgb="FF000000"/>
      </bottom>
      <diagonal/>
    </border>
    <border>
      <start style="medium">
        <color rgb="FF000000"/>
      </start>
      <end/>
      <top style="medium">
        <color rgb="FF98A8BD"/>
      </top>
      <bottom style="thin">
        <color rgb="FF000000"/>
      </bottom>
      <diagonal/>
    </border>
    <border>
      <start/>
      <end/>
      <top/>
      <bottom style="thin">
        <color rgb="FF000000"/>
      </bottom>
      <diagonal/>
    </border>
    <border>
      <start/>
      <end/>
      <top/>
      <bottom style="thin">
        <color rgb="FF000000"/>
      </bottom>
      <diagonal/>
    </border>
    <border>
      <start/>
      <end/>
      <top style="thin">
        <color rgb="FF000000"/>
      </top>
      <bottom style="medium">
        <color rgb="FF000000"/>
      </bottom>
      <diagonal/>
    </border>
    <border>
      <start style="thin">
        <color rgb="FF000000"/>
      </start>
      <end/>
      <top/>
      <bottom/>
      <diagonal/>
    </border>
    <border>
      <start/>
      <end/>
      <top/>
      <bottom/>
      <diagonal/>
    </border>
    <border>
      <start/>
      <end style="thin">
        <color rgb="FF000000"/>
      </end>
      <top/>
      <bottom/>
      <diagonal/>
    </border>
    <border>
      <start/>
      <end/>
      <top/>
      <bottom/>
      <diagonal/>
    </border>
    <border>
      <start/>
      <end style="thin">
        <color rgb="FF000000"/>
      </end>
      <top/>
      <bottom/>
      <diagonal/>
    </border>
    <border>
      <start style="thin">
        <color rgb="FF000000"/>
      </start>
      <end/>
      <top/>
      <bottom/>
      <diagonal/>
    </border>
    <border>
      <start style="thin">
        <color rgb="FF000000"/>
      </start>
      <end style="thin">
        <color rgb="FF000000"/>
      </end>
      <top/>
      <bottom/>
      <diagonal/>
    </border>
    <border>
      <start/>
      <end style="thin">
        <color rgb="FF000000"/>
      </end>
      <top/>
      <bottom style="thin">
        <color rgb="FF000000"/>
      </bottom>
      <diagonal/>
    </border>
    <border>
      <start/>
      <end style="thin">
        <color rgb="FF000000"/>
      </end>
      <top style="thin">
        <color rgb="FF000000"/>
      </top>
      <bottom style="thin">
        <color rgb="FF000000"/>
      </bottom>
      <diagonal/>
    </border>
    <border>
      <start style="thin">
        <color rgb="FF000000"/>
      </start>
      <end/>
      <top style="thin">
        <color rgb="FF000000"/>
      </top>
      <bottom/>
      <diagonal/>
    </border>
    <border>
      <start/>
      <end style="thin">
        <color rgb="FF000000"/>
      </end>
      <top style="thin">
        <color rgb="FF000000"/>
      </top>
      <bottom/>
      <diagonal/>
    </border>
    <border>
      <start style="thin">
        <color rgb="FF000000"/>
      </start>
      <end style="thin">
        <color rgb="FF000000"/>
      </end>
      <top style="thin">
        <color rgb="FF000000"/>
      </top>
      <bottom/>
      <diagonal/>
    </border>
  </borders>
  <cellStyleXfs count="1">
    <xf numFmtId="0" fontId="0" fillId="0" borderId="0"/>
  </cellStyleXfs>
  <cellXfs count="204">
    <xf numFmtId="0" fontId="0" fillId="0" borderId="0" xfId="0"/>
    <xf numFmtId="0" fontId="1" fillId="2" borderId="0" xfId="0" applyFont="1" applyFill="1" applyAlignment="1">
      <alignment horizontal="center" wrapText="1"/>
    </xf>
    <xf numFmtId="0" fontId="1" fillId="3" borderId="0" xfId="0" applyFont="1" applyFill="1" applyAlignment="1">
      <alignment horizontal="center" wrapText="1"/>
    </xf>
    <xf numFmtId="0" fontId="3" fillId="5" borderId="4" xfId="0" applyFont="1" applyFill="1" applyBorder="1" applyAlignment="1">
      <alignment horizontal="center" wrapText="1"/>
    </xf>
    <xf numFmtId="0" fontId="3" fillId="5" borderId="0" xfId="0" applyFont="1" applyFill="1" applyAlignment="1">
      <alignment horizontal="center" vertical="center" wrapText="1"/>
    </xf>
    <xf numFmtId="0" fontId="1" fillId="2" borderId="4" xfId="0" applyFont="1" applyFill="1" applyBorder="1" applyAlignment="1">
      <alignment horizontal="center" wrapText="1"/>
    </xf>
    <xf numFmtId="0" fontId="1" fillId="2" borderId="8" xfId="0" applyFont="1" applyFill="1" applyBorder="1" applyAlignment="1">
      <alignment horizontal="center" wrapText="1"/>
    </xf>
    <xf numFmtId="0" fontId="1" fillId="2" borderId="9" xfId="0" applyFont="1" applyFill="1" applyBorder="1" applyAlignment="1">
      <alignment horizontal="center" wrapText="1"/>
    </xf>
    <xf numFmtId="0" fontId="1" fillId="2" borderId="10" xfId="0" applyFont="1" applyFill="1" applyBorder="1" applyAlignment="1">
      <alignment horizontal="center" wrapText="1"/>
    </xf>
    <xf numFmtId="0" fontId="1" fillId="3" borderId="10" xfId="0" applyFont="1" applyFill="1" applyBorder="1" applyAlignment="1">
      <alignment horizontal="center" wrapText="1"/>
    </xf>
    <xf numFmtId="0" fontId="5" fillId="6" borderId="11" xfId="0" applyFont="1" applyFill="1" applyBorder="1" applyAlignment="1">
      <alignment horizontal="center" vertical="center" wrapText="1"/>
    </xf>
    <xf numFmtId="164" fontId="6" fillId="6" borderId="12" xfId="0" applyNumberFormat="1" applyFont="1" applyFill="1" applyBorder="1" applyAlignment="1">
      <alignment horizontal="center" vertical="center" wrapText="1"/>
    </xf>
    <xf numFmtId="164" fontId="6" fillId="7" borderId="12" xfId="0" applyNumberFormat="1" applyFont="1" applyFill="1" applyBorder="1" applyAlignment="1">
      <alignment horizontal="center" vertical="center" wrapText="1"/>
    </xf>
    <xf numFmtId="0" fontId="6" fillId="7" borderId="12" xfId="0" applyFont="1" applyFill="1" applyBorder="1" applyAlignment="1">
      <alignment horizontal="center" vertical="center" wrapText="1"/>
    </xf>
    <xf numFmtId="0" fontId="6" fillId="8" borderId="12" xfId="0" applyFont="1" applyFill="1" applyBorder="1" applyAlignment="1">
      <alignment horizontal="center" vertical="center" wrapText="1"/>
    </xf>
    <xf numFmtId="0" fontId="7" fillId="9" borderId="13" xfId="0" applyFont="1" applyFill="1" applyBorder="1" applyAlignment="1">
      <alignment horizontal="center" vertical="center" wrapText="1"/>
    </xf>
    <xf numFmtId="0" fontId="7" fillId="10" borderId="10" xfId="0" applyFont="1" applyFill="1" applyBorder="1" applyAlignment="1">
      <alignment horizontal="center" vertical="center" wrapText="1"/>
    </xf>
    <xf numFmtId="0" fontId="7" fillId="6" borderId="12" xfId="0" applyFont="1" applyFill="1" applyBorder="1" applyAlignment="1">
      <alignment horizontal="center" vertical="center" wrapText="1"/>
    </xf>
    <xf numFmtId="0" fontId="7" fillId="9" borderId="12" xfId="0" applyFont="1" applyFill="1" applyBorder="1" applyAlignment="1">
      <alignment horizontal="center" vertical="center" wrapText="1"/>
    </xf>
    <xf numFmtId="0" fontId="7" fillId="0" borderId="0" xfId="0" applyFont="1" applyAlignment="1">
      <alignment horizontal="center" vertical="center" wrapText="1"/>
    </xf>
    <xf numFmtId="0" fontId="7" fillId="11" borderId="13" xfId="0" applyFont="1" applyFill="1" applyBorder="1" applyAlignment="1">
      <alignment horizontal="center" vertical="center" wrapText="1"/>
    </xf>
    <xf numFmtId="0" fontId="7" fillId="10" borderId="13" xfId="0" applyFont="1" applyFill="1" applyBorder="1" applyAlignment="1">
      <alignment horizontal="center" vertical="center" wrapText="1"/>
    </xf>
    <xf numFmtId="0" fontId="8" fillId="12" borderId="12" xfId="0" applyFont="1" applyFill="1" applyBorder="1" applyAlignment="1">
      <alignment horizontal="center" vertical="center" wrapText="1"/>
    </xf>
    <xf numFmtId="0" fontId="3" fillId="11" borderId="4" xfId="0" applyFont="1" applyFill="1" applyBorder="1" applyAlignment="1">
      <alignment horizontal="center" vertical="center" wrapText="1"/>
    </xf>
    <xf numFmtId="0" fontId="8" fillId="12" borderId="0" xfId="0" applyFont="1" applyFill="1" applyAlignment="1">
      <alignment horizontal="center" vertical="center" wrapText="1"/>
    </xf>
    <xf numFmtId="0" fontId="9" fillId="0" borderId="0" xfId="0" applyFont="1" applyAlignment="1">
      <alignment horizontal="center" vertical="center"/>
    </xf>
    <xf numFmtId="0" fontId="9" fillId="0" borderId="0" xfId="0" applyFont="1" applyAlignment="1">
      <alignment horizontal="center" wrapText="1"/>
    </xf>
    <xf numFmtId="0" fontId="9" fillId="13" borderId="16" xfId="0" applyFont="1" applyFill="1" applyBorder="1" applyAlignment="1">
      <alignment horizontal="center" wrapText="1"/>
    </xf>
    <xf numFmtId="0" fontId="9" fillId="13" borderId="17" xfId="0" applyFont="1" applyFill="1" applyBorder="1" applyAlignment="1">
      <alignment horizontal="center" wrapText="1"/>
    </xf>
    <xf numFmtId="0" fontId="9" fillId="13" borderId="18" xfId="0" applyFont="1" applyFill="1" applyBorder="1" applyAlignment="1">
      <alignment horizontal="center" wrapText="1"/>
    </xf>
    <xf numFmtId="0" fontId="9" fillId="13" borderId="4" xfId="0" applyFont="1" applyFill="1" applyBorder="1" applyAlignment="1">
      <alignment horizontal="center" wrapText="1"/>
    </xf>
    <xf numFmtId="0" fontId="10" fillId="7" borderId="12" xfId="0" applyFont="1" applyFill="1" applyBorder="1" applyAlignment="1">
      <alignment horizontal="center" wrapText="1"/>
    </xf>
    <xf numFmtId="0" fontId="11" fillId="0" borderId="0" xfId="0" applyFont="1" applyAlignment="1">
      <alignment horizontal="center" wrapText="1"/>
    </xf>
    <xf numFmtId="0" fontId="9" fillId="4" borderId="4" xfId="0" applyFont="1" applyFill="1" applyBorder="1" applyAlignment="1">
      <alignment horizontal="center" wrapText="1"/>
    </xf>
    <xf numFmtId="0" fontId="12" fillId="0" borderId="0" xfId="0" applyFont="1"/>
    <xf numFmtId="0" fontId="7" fillId="0" borderId="19" xfId="0" applyFont="1" applyBorder="1" applyAlignment="1">
      <alignment horizontal="right"/>
    </xf>
    <xf numFmtId="0" fontId="7" fillId="0" borderId="19" xfId="0" applyFont="1" applyBorder="1"/>
    <xf numFmtId="0" fontId="7" fillId="14" borderId="19" xfId="0" applyFont="1" applyFill="1" applyBorder="1" applyAlignment="1">
      <alignment horizontal="right"/>
    </xf>
    <xf numFmtId="0" fontId="12" fillId="14" borderId="0" xfId="0" applyFont="1" applyFill="1"/>
    <xf numFmtId="10" fontId="12" fillId="0" borderId="0" xfId="0" applyNumberFormat="1" applyFont="1" applyAlignment="1">
      <alignment horizontal="center" vertical="center"/>
    </xf>
    <xf numFmtId="0" fontId="2" fillId="0" borderId="0" xfId="0" applyFont="1" applyAlignment="1">
      <alignment horizontal="center" vertical="center"/>
    </xf>
    <xf numFmtId="0" fontId="9" fillId="13" borderId="20" xfId="0" applyFont="1" applyFill="1" applyBorder="1" applyAlignment="1">
      <alignment horizontal="center" wrapText="1"/>
    </xf>
    <xf numFmtId="0" fontId="9" fillId="13" borderId="21" xfId="0" applyFont="1" applyFill="1" applyBorder="1" applyAlignment="1">
      <alignment horizontal="center" wrapText="1"/>
    </xf>
    <xf numFmtId="0" fontId="10" fillId="7" borderId="10" xfId="0" applyFont="1" applyFill="1" applyBorder="1" applyAlignment="1">
      <alignment horizontal="center" wrapText="1"/>
    </xf>
    <xf numFmtId="0" fontId="9" fillId="0" borderId="14" xfId="0" applyFont="1" applyBorder="1" applyAlignment="1">
      <alignment vertical="top" wrapText="1"/>
    </xf>
    <xf numFmtId="0" fontId="13" fillId="15" borderId="12" xfId="0" applyFont="1" applyFill="1" applyBorder="1" applyAlignment="1">
      <alignment horizontal="center" vertical="top" wrapText="1"/>
    </xf>
    <xf numFmtId="0" fontId="9" fillId="0" borderId="14" xfId="0" applyFont="1" applyBorder="1" applyAlignment="1">
      <alignment horizontal="center" vertical="top" wrapText="1"/>
    </xf>
    <xf numFmtId="0" fontId="9" fillId="4" borderId="4" xfId="0" applyFont="1" applyFill="1" applyBorder="1" applyAlignment="1">
      <alignment wrapText="1"/>
    </xf>
    <xf numFmtId="0" fontId="9" fillId="13" borderId="22" xfId="0" applyFont="1" applyFill="1" applyBorder="1" applyAlignment="1">
      <alignment horizontal="center" wrapText="1"/>
    </xf>
    <xf numFmtId="0" fontId="9" fillId="13" borderId="23" xfId="0" applyFont="1" applyFill="1" applyBorder="1" applyAlignment="1">
      <alignment wrapText="1"/>
    </xf>
    <xf numFmtId="0" fontId="9" fillId="0" borderId="0" xfId="0" applyFont="1" applyAlignment="1">
      <alignment vertical="top" wrapText="1"/>
    </xf>
    <xf numFmtId="0" fontId="14" fillId="15" borderId="4" xfId="0" applyFont="1" applyFill="1" applyBorder="1" applyAlignment="1">
      <alignment horizontal="center" vertical="top" wrapText="1"/>
    </xf>
    <xf numFmtId="0" fontId="9" fillId="0" borderId="0" xfId="0" applyFont="1" applyAlignment="1">
      <alignment horizontal="center" vertical="top" wrapText="1"/>
    </xf>
    <xf numFmtId="0" fontId="9" fillId="0" borderId="0" xfId="0" applyFont="1" applyAlignment="1">
      <alignment wrapText="1"/>
    </xf>
    <xf numFmtId="0" fontId="9" fillId="13" borderId="24" xfId="0" applyFont="1" applyFill="1" applyBorder="1" applyAlignment="1">
      <alignment horizontal="center" wrapText="1"/>
    </xf>
    <xf numFmtId="0" fontId="9" fillId="13" borderId="25" xfId="0" applyFont="1" applyFill="1" applyBorder="1" applyAlignment="1">
      <alignment horizontal="center" wrapText="1"/>
    </xf>
    <xf numFmtId="0" fontId="9" fillId="13" borderId="26" xfId="0" applyFont="1" applyFill="1" applyBorder="1" applyAlignment="1">
      <alignment horizontal="center" wrapText="1"/>
    </xf>
    <xf numFmtId="0" fontId="12" fillId="8" borderId="0" xfId="0" applyFont="1" applyFill="1"/>
    <xf numFmtId="0" fontId="9" fillId="13" borderId="23" xfId="0" applyFont="1" applyFill="1" applyBorder="1" applyAlignment="1">
      <alignment horizontal="center" wrapText="1"/>
    </xf>
    <xf numFmtId="0" fontId="15" fillId="0" borderId="0" xfId="0" applyFont="1" applyAlignment="1">
      <alignment horizontal="center" vertical="top" wrapText="1"/>
    </xf>
    <xf numFmtId="0" fontId="16" fillId="0" borderId="14" xfId="0" applyFont="1" applyBorder="1" applyAlignment="1">
      <alignment horizontal="center" vertical="top" wrapText="1"/>
    </xf>
    <xf numFmtId="0" fontId="17" fillId="0" borderId="0" xfId="0" applyFont="1" applyAlignment="1">
      <alignment horizontal="center" vertical="top" wrapText="1"/>
    </xf>
    <xf numFmtId="0" fontId="18" fillId="7" borderId="12" xfId="0" applyFont="1" applyFill="1" applyBorder="1" applyAlignment="1">
      <alignment horizontal="center" wrapText="1"/>
    </xf>
    <xf numFmtId="0" fontId="19" fillId="7" borderId="12" xfId="0" applyFont="1" applyFill="1" applyBorder="1" applyAlignment="1">
      <alignment horizontal="center" wrapText="1"/>
    </xf>
    <xf numFmtId="0" fontId="9" fillId="15" borderId="4" xfId="0" applyFont="1" applyFill="1" applyBorder="1" applyAlignment="1">
      <alignment horizontal="center" vertical="top" wrapText="1"/>
    </xf>
    <xf numFmtId="0" fontId="9" fillId="15" borderId="12" xfId="0" applyFont="1" applyFill="1" applyBorder="1" applyAlignment="1">
      <alignment horizontal="center" vertical="top" wrapText="1"/>
    </xf>
    <xf numFmtId="0" fontId="9" fillId="13" borderId="27" xfId="0" applyFont="1" applyFill="1" applyBorder="1" applyAlignment="1">
      <alignment wrapText="1"/>
    </xf>
    <xf numFmtId="0" fontId="12" fillId="15" borderId="0" xfId="0" applyFont="1" applyFill="1"/>
    <xf numFmtId="0" fontId="10" fillId="7" borderId="28" xfId="0" applyFont="1" applyFill="1" applyBorder="1" applyAlignment="1">
      <alignment horizontal="center" wrapText="1"/>
    </xf>
    <xf numFmtId="0" fontId="9" fillId="0" borderId="29" xfId="0" applyFont="1" applyBorder="1" applyAlignment="1">
      <alignment vertical="top" wrapText="1"/>
    </xf>
    <xf numFmtId="0" fontId="20" fillId="15" borderId="28" xfId="0" applyFont="1" applyFill="1" applyBorder="1" applyAlignment="1">
      <alignment horizontal="center" vertical="top" wrapText="1"/>
    </xf>
    <xf numFmtId="0" fontId="9" fillId="0" borderId="29" xfId="0" applyFont="1" applyBorder="1" applyAlignment="1">
      <alignment horizontal="center" vertical="top" wrapText="1"/>
    </xf>
    <xf numFmtId="0" fontId="1" fillId="2" borderId="0" xfId="0" applyFont="1" applyFill="1" applyAlignment="1">
      <alignment horizontal="center"/>
    </xf>
    <xf numFmtId="0" fontId="21" fillId="4" borderId="19" xfId="0" applyFont="1" applyFill="1" applyBorder="1" applyAlignment="1">
      <alignment horizontal="center"/>
    </xf>
    <xf numFmtId="0" fontId="8" fillId="4" borderId="4" xfId="0" applyFont="1" applyFill="1" applyBorder="1" applyAlignment="1">
      <alignment horizontal="center"/>
    </xf>
    <xf numFmtId="0" fontId="3" fillId="5" borderId="0" xfId="0" applyFont="1" applyFill="1" applyAlignment="1">
      <alignment horizontal="center"/>
    </xf>
    <xf numFmtId="0" fontId="1" fillId="2" borderId="4" xfId="0" applyFont="1" applyFill="1" applyBorder="1" applyAlignment="1">
      <alignment horizontal="center" vertical="center" wrapText="1"/>
    </xf>
    <xf numFmtId="0" fontId="1" fillId="2" borderId="4"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3" borderId="10" xfId="0" applyFont="1" applyFill="1" applyBorder="1" applyAlignment="1">
      <alignment horizontal="center" vertical="center" wrapText="1"/>
    </xf>
    <xf numFmtId="164" fontId="22" fillId="6" borderId="34" xfId="0" applyNumberFormat="1" applyFont="1" applyFill="1" applyBorder="1" applyAlignment="1">
      <alignment horizontal="center" vertical="center" wrapText="1"/>
    </xf>
    <xf numFmtId="0" fontId="5" fillId="7" borderId="34" xfId="0" applyFont="1" applyFill="1" applyBorder="1" applyAlignment="1">
      <alignment horizontal="center" vertical="center" wrapText="1"/>
    </xf>
    <xf numFmtId="164" fontId="22" fillId="7" borderId="12" xfId="0" applyNumberFormat="1" applyFont="1" applyFill="1" applyBorder="1" applyAlignment="1">
      <alignment horizontal="center" vertical="center" wrapText="1"/>
    </xf>
    <xf numFmtId="164" fontId="5" fillId="7" borderId="34" xfId="0" applyNumberFormat="1" applyFont="1" applyFill="1" applyBorder="1" applyAlignment="1">
      <alignment horizontal="center" vertical="center" wrapText="1"/>
    </xf>
    <xf numFmtId="0" fontId="22" fillId="9" borderId="35" xfId="0" applyFont="1" applyFill="1" applyBorder="1" applyAlignment="1">
      <alignment horizontal="center" vertical="center" wrapText="1"/>
    </xf>
    <xf numFmtId="0" fontId="24" fillId="6" borderId="34" xfId="0" applyFont="1" applyFill="1" applyBorder="1" applyAlignment="1">
      <alignment horizontal="center" vertical="center" wrapText="1"/>
    </xf>
    <xf numFmtId="0" fontId="24" fillId="0" borderId="14" xfId="0" applyFont="1" applyBorder="1" applyAlignment="1">
      <alignment horizontal="center" vertical="center" wrapText="1"/>
    </xf>
    <xf numFmtId="0" fontId="5" fillId="10" borderId="36" xfId="0" applyFont="1" applyFill="1" applyBorder="1" applyAlignment="1">
      <alignment horizontal="center" vertical="center" wrapText="1"/>
    </xf>
    <xf numFmtId="0" fontId="24" fillId="11" borderId="15" xfId="0" applyFont="1" applyFill="1" applyBorder="1" applyAlignment="1">
      <alignment horizontal="center" vertical="center" wrapText="1"/>
    </xf>
    <xf numFmtId="0" fontId="24" fillId="10" borderId="25" xfId="0" applyFont="1" applyFill="1" applyBorder="1" applyAlignment="1">
      <alignment horizontal="center" vertical="center" wrapText="1"/>
    </xf>
    <xf numFmtId="0" fontId="24" fillId="6" borderId="12" xfId="0" applyFont="1" applyFill="1" applyBorder="1" applyAlignment="1">
      <alignment horizontal="center" vertical="center" wrapText="1"/>
    </xf>
    <xf numFmtId="0" fontId="24" fillId="0" borderId="29" xfId="0" applyFont="1" applyBorder="1" applyAlignment="1">
      <alignment horizontal="center" vertical="center" wrapText="1"/>
    </xf>
    <xf numFmtId="0" fontId="24" fillId="11" borderId="38" xfId="0" applyFont="1" applyFill="1" applyBorder="1" applyAlignment="1">
      <alignment horizontal="center" vertical="center" wrapText="1"/>
    </xf>
    <xf numFmtId="0" fontId="24" fillId="10" borderId="36" xfId="0" applyFont="1" applyFill="1" applyBorder="1" applyAlignment="1">
      <alignment horizontal="center" vertical="center" wrapText="1"/>
    </xf>
    <xf numFmtId="0" fontId="24" fillId="11" borderId="35" xfId="0" applyFont="1" applyFill="1" applyBorder="1" applyAlignment="1">
      <alignment horizontal="center" vertical="center" wrapText="1"/>
    </xf>
    <xf numFmtId="0" fontId="25" fillId="13" borderId="4" xfId="0" applyFont="1" applyFill="1" applyBorder="1" applyAlignment="1">
      <alignment horizontal="center"/>
    </xf>
    <xf numFmtId="0" fontId="7" fillId="0" borderId="4" xfId="0" applyFont="1" applyBorder="1" applyAlignment="1">
      <alignment wrapText="1"/>
    </xf>
    <xf numFmtId="0" fontId="25" fillId="0" borderId="4" xfId="0" applyFont="1" applyBorder="1" applyAlignment="1">
      <alignment vertical="top" wrapText="1"/>
    </xf>
    <xf numFmtId="0" fontId="25" fillId="15" borderId="4" xfId="0" applyFont="1" applyFill="1" applyBorder="1" applyAlignment="1">
      <alignment horizontal="center" vertical="top" wrapText="1"/>
    </xf>
    <xf numFmtId="0" fontId="25" fillId="0" borderId="4" xfId="0" applyFont="1" applyBorder="1" applyAlignment="1">
      <alignment horizontal="center" vertical="top" wrapText="1"/>
    </xf>
    <xf numFmtId="0" fontId="25" fillId="4" borderId="39" xfId="0" applyFont="1" applyFill="1" applyBorder="1" applyAlignment="1">
      <alignment vertical="top" wrapText="1"/>
    </xf>
    <xf numFmtId="0" fontId="26" fillId="0" borderId="19" xfId="0" applyFont="1" applyBorder="1" applyAlignment="1">
      <alignment horizontal="right"/>
    </xf>
    <xf numFmtId="0" fontId="26" fillId="7" borderId="40" xfId="0" applyFont="1" applyFill="1" applyBorder="1" applyAlignment="1">
      <alignment horizontal="right"/>
    </xf>
    <xf numFmtId="0" fontId="26" fillId="0" borderId="41" xfId="0" applyFont="1" applyBorder="1" applyAlignment="1">
      <alignment horizontal="right"/>
    </xf>
    <xf numFmtId="0" fontId="26" fillId="0" borderId="42" xfId="0" applyFont="1" applyBorder="1" applyAlignment="1">
      <alignment horizontal="right"/>
    </xf>
    <xf numFmtId="0" fontId="7" fillId="7" borderId="40" xfId="0" applyFont="1" applyFill="1" applyBorder="1" applyAlignment="1">
      <alignment horizontal="right"/>
    </xf>
    <xf numFmtId="0" fontId="7" fillId="0" borderId="41" xfId="0" applyFont="1" applyBorder="1" applyAlignment="1">
      <alignment horizontal="right"/>
    </xf>
    <xf numFmtId="0" fontId="7" fillId="0" borderId="42" xfId="0" applyFont="1" applyBorder="1" applyAlignment="1">
      <alignment horizontal="right"/>
    </xf>
    <xf numFmtId="0" fontId="7" fillId="0" borderId="0" xfId="0" applyFont="1" applyAlignment="1">
      <alignment horizontal="right"/>
    </xf>
    <xf numFmtId="0" fontId="7" fillId="14" borderId="40" xfId="0" applyFont="1" applyFill="1" applyBorder="1" applyAlignment="1">
      <alignment horizontal="right"/>
    </xf>
    <xf numFmtId="0" fontId="7" fillId="0" borderId="14" xfId="0" applyFont="1" applyBorder="1" applyAlignment="1">
      <alignment horizontal="right"/>
    </xf>
    <xf numFmtId="10" fontId="12" fillId="15" borderId="0" xfId="0" applyNumberFormat="1" applyFont="1" applyFill="1"/>
    <xf numFmtId="0" fontId="25" fillId="13" borderId="4" xfId="0" applyFont="1" applyFill="1" applyBorder="1" applyAlignment="1">
      <alignment horizontal="center" wrapText="1"/>
    </xf>
    <xf numFmtId="0" fontId="25" fillId="15" borderId="4" xfId="0" applyFont="1" applyFill="1" applyBorder="1" applyAlignment="1">
      <alignment wrapText="1"/>
    </xf>
    <xf numFmtId="0" fontId="27" fillId="15" borderId="4" xfId="0" applyFont="1" applyFill="1" applyBorder="1" applyAlignment="1">
      <alignment horizontal="center" vertical="top" wrapText="1"/>
    </xf>
    <xf numFmtId="0" fontId="6" fillId="0" borderId="19" xfId="0" applyFont="1" applyBorder="1"/>
    <xf numFmtId="0" fontId="26" fillId="14" borderId="0" xfId="0" applyFont="1" applyFill="1" applyAlignment="1">
      <alignment horizontal="right"/>
    </xf>
    <xf numFmtId="0" fontId="7" fillId="0" borderId="29" xfId="0" applyFont="1" applyBorder="1" applyAlignment="1">
      <alignment horizontal="right"/>
    </xf>
    <xf numFmtId="0" fontId="7" fillId="14" borderId="10" xfId="0" applyFont="1" applyFill="1" applyBorder="1" applyAlignment="1">
      <alignment horizontal="right"/>
    </xf>
    <xf numFmtId="0" fontId="9" fillId="0" borderId="0" xfId="0" applyFont="1"/>
    <xf numFmtId="0" fontId="25" fillId="0" borderId="4" xfId="0" applyFont="1" applyBorder="1" applyAlignment="1">
      <alignment wrapText="1"/>
    </xf>
    <xf numFmtId="0" fontId="28" fillId="15" borderId="12" xfId="0" applyFont="1" applyFill="1" applyBorder="1" applyAlignment="1">
      <alignment vertical="top" wrapText="1"/>
    </xf>
    <xf numFmtId="0" fontId="6" fillId="6" borderId="12" xfId="0" applyFont="1" applyFill="1" applyBorder="1" applyAlignment="1">
      <alignment horizontal="center" vertical="center" wrapText="1"/>
    </xf>
    <xf numFmtId="0" fontId="6" fillId="9" borderId="12" xfId="0" applyFont="1" applyFill="1" applyBorder="1" applyAlignment="1">
      <alignment horizontal="center" vertical="center" wrapText="1"/>
    </xf>
    <xf numFmtId="0" fontId="6" fillId="0" borderId="0" xfId="0" applyFont="1" applyAlignment="1">
      <alignment horizontal="center" vertical="center" wrapText="1"/>
    </xf>
    <xf numFmtId="0" fontId="6" fillId="0" borderId="14" xfId="0" applyFont="1" applyBorder="1" applyAlignment="1">
      <alignment horizontal="center" vertical="center" wrapText="1"/>
    </xf>
    <xf numFmtId="0" fontId="31" fillId="11" borderId="15" xfId="0" applyFont="1" applyFill="1" applyBorder="1" applyAlignment="1">
      <alignment horizontal="center" vertical="center" wrapText="1"/>
    </xf>
    <xf numFmtId="0" fontId="6" fillId="10" borderId="10" xfId="0" applyFont="1" applyFill="1" applyBorder="1" applyAlignment="1">
      <alignment horizontal="center" vertical="center" wrapText="1"/>
    </xf>
    <xf numFmtId="164" fontId="5" fillId="6" borderId="34" xfId="0" applyNumberFormat="1" applyFont="1" applyFill="1" applyBorder="1" applyAlignment="1">
      <alignment horizontal="center" vertical="center" wrapText="1"/>
    </xf>
    <xf numFmtId="164" fontId="5" fillId="7" borderId="12" xfId="0" applyNumberFormat="1" applyFont="1" applyFill="1" applyBorder="1" applyAlignment="1">
      <alignment horizontal="center" vertical="center" wrapText="1"/>
    </xf>
    <xf numFmtId="0" fontId="5" fillId="9" borderId="34" xfId="0" applyFont="1" applyFill="1" applyBorder="1" applyAlignment="1">
      <alignment horizontal="center" vertical="center" wrapText="1"/>
    </xf>
    <xf numFmtId="0" fontId="5" fillId="6" borderId="34" xfId="0" applyFont="1" applyFill="1" applyBorder="1" applyAlignment="1">
      <alignment horizontal="center" vertical="center" wrapText="1"/>
    </xf>
    <xf numFmtId="0" fontId="5" fillId="0" borderId="14" xfId="0" applyFont="1" applyBorder="1" applyAlignment="1">
      <alignment horizontal="center" vertical="center" wrapText="1"/>
    </xf>
    <xf numFmtId="0" fontId="5" fillId="11" borderId="37" xfId="0" applyFont="1" applyFill="1" applyBorder="1" applyAlignment="1">
      <alignment horizontal="center" vertical="center" wrapText="1"/>
    </xf>
    <xf numFmtId="0" fontId="5" fillId="11" borderId="35" xfId="0" applyFont="1" applyFill="1" applyBorder="1" applyAlignment="1">
      <alignment horizontal="center" vertical="center" wrapText="1"/>
    </xf>
    <xf numFmtId="0" fontId="5" fillId="10" borderId="10" xfId="0" applyFont="1" applyFill="1" applyBorder="1" applyAlignment="1">
      <alignment horizontal="center" vertical="center" wrapText="1"/>
    </xf>
    <xf numFmtId="0" fontId="5" fillId="6" borderId="12" xfId="0" applyFont="1" applyFill="1" applyBorder="1" applyAlignment="1">
      <alignment horizontal="center" vertical="center" wrapText="1"/>
    </xf>
    <xf numFmtId="0" fontId="5" fillId="11" borderId="13" xfId="0" applyFont="1" applyFill="1" applyBorder="1" applyAlignment="1">
      <alignment horizontal="center" vertical="center" wrapText="1"/>
    </xf>
    <xf numFmtId="164" fontId="34" fillId="6" borderId="12" xfId="0" applyNumberFormat="1" applyFont="1" applyFill="1" applyBorder="1" applyAlignment="1">
      <alignment horizontal="center" vertical="center" wrapText="1"/>
    </xf>
    <xf numFmtId="164" fontId="34" fillId="7" borderId="12" xfId="0" applyNumberFormat="1" applyFont="1" applyFill="1" applyBorder="1" applyAlignment="1">
      <alignment horizontal="center" vertical="center" wrapText="1"/>
    </xf>
    <xf numFmtId="0" fontId="34" fillId="7" borderId="12" xfId="0" applyFont="1" applyFill="1" applyBorder="1" applyAlignment="1">
      <alignment horizontal="center" vertical="center" wrapText="1"/>
    </xf>
    <xf numFmtId="0" fontId="34" fillId="8" borderId="12" xfId="0" applyFont="1" applyFill="1" applyBorder="1" applyAlignment="1">
      <alignment horizontal="center" vertical="center" wrapText="1"/>
    </xf>
    <xf numFmtId="0" fontId="34" fillId="9" borderId="13" xfId="0" applyFont="1" applyFill="1" applyBorder="1" applyAlignment="1">
      <alignment horizontal="center" vertical="center" wrapText="1"/>
    </xf>
    <xf numFmtId="0" fontId="34" fillId="10" borderId="10" xfId="0" applyFont="1" applyFill="1" applyBorder="1" applyAlignment="1">
      <alignment horizontal="center" vertical="center" wrapText="1"/>
    </xf>
    <xf numFmtId="0" fontId="34" fillId="6" borderId="12" xfId="0" applyFont="1" applyFill="1" applyBorder="1" applyAlignment="1">
      <alignment horizontal="center" vertical="center" wrapText="1"/>
    </xf>
    <xf numFmtId="0" fontId="34" fillId="9" borderId="12" xfId="0" applyFont="1" applyFill="1" applyBorder="1" applyAlignment="1">
      <alignment horizontal="center" vertical="center" wrapText="1"/>
    </xf>
    <xf numFmtId="0" fontId="34" fillId="0" borderId="0" xfId="0" applyFont="1" applyAlignment="1">
      <alignment horizontal="center" vertical="center" wrapText="1"/>
    </xf>
    <xf numFmtId="0" fontId="34" fillId="0" borderId="14" xfId="0" applyFont="1" applyBorder="1" applyAlignment="1">
      <alignment horizontal="center" vertical="center" wrapText="1"/>
    </xf>
    <xf numFmtId="0" fontId="35" fillId="11" borderId="15" xfId="0" applyFont="1" applyFill="1" applyBorder="1" applyAlignment="1">
      <alignment horizontal="center" vertical="center" wrapText="1"/>
    </xf>
    <xf numFmtId="0" fontId="34" fillId="11" borderId="13" xfId="0" applyFont="1" applyFill="1" applyBorder="1" applyAlignment="1">
      <alignment horizontal="center" vertical="center" wrapText="1"/>
    </xf>
    <xf numFmtId="0" fontId="34" fillId="10" borderId="13" xfId="0" applyFont="1" applyFill="1" applyBorder="1" applyAlignment="1">
      <alignment horizontal="center" vertical="center" wrapText="1"/>
    </xf>
    <xf numFmtId="0" fontId="34" fillId="6" borderId="11" xfId="0" applyFont="1" applyFill="1" applyBorder="1" applyAlignment="1">
      <alignment horizontal="center" vertical="center" wrapText="1"/>
    </xf>
    <xf numFmtId="0" fontId="36" fillId="12" borderId="12" xfId="0" applyFont="1" applyFill="1" applyBorder="1" applyAlignment="1">
      <alignment horizontal="center" vertical="center" wrapText="1"/>
    </xf>
    <xf numFmtId="0" fontId="34" fillId="11" borderId="4" xfId="0" applyFont="1" applyFill="1" applyBorder="1" applyAlignment="1">
      <alignment horizontal="center" vertical="center" wrapText="1"/>
    </xf>
    <xf numFmtId="0" fontId="36" fillId="12" borderId="0" xfId="0" applyFont="1" applyFill="1" applyAlignment="1">
      <alignment horizontal="center" vertical="center" wrapText="1"/>
    </xf>
    <xf numFmtId="0" fontId="34" fillId="2" borderId="4" xfId="0" applyFont="1" applyFill="1" applyBorder="1" applyAlignment="1">
      <alignment horizontal="center" vertical="center" wrapText="1"/>
    </xf>
    <xf numFmtId="0" fontId="34" fillId="2" borderId="8" xfId="0" applyFont="1" applyFill="1" applyBorder="1" applyAlignment="1">
      <alignment horizontal="center" vertical="center" wrapText="1"/>
    </xf>
    <xf numFmtId="0" fontId="34" fillId="2" borderId="9" xfId="0" applyFont="1" applyFill="1" applyBorder="1" applyAlignment="1">
      <alignment horizontal="center" vertical="center" wrapText="1"/>
    </xf>
    <xf numFmtId="0" fontId="34" fillId="2" borderId="10" xfId="0" applyFont="1" applyFill="1" applyBorder="1" applyAlignment="1">
      <alignment horizontal="center" vertical="center" wrapText="1"/>
    </xf>
    <xf numFmtId="0" fontId="34" fillId="3" borderId="10" xfId="0" applyFont="1" applyFill="1" applyBorder="1" applyAlignment="1">
      <alignment horizontal="center" vertical="center" wrapText="1"/>
    </xf>
    <xf numFmtId="0" fontId="37" fillId="0" borderId="0" xfId="0" applyFont="1" applyAlignment="1">
      <alignment vertical="center"/>
    </xf>
    <xf numFmtId="0" fontId="3" fillId="4" borderId="5" xfId="0" applyFont="1" applyFill="1" applyBorder="1" applyAlignment="1">
      <alignment horizontal="center"/>
    </xf>
    <xf numFmtId="0" fontId="4" fillId="0" borderId="6" xfId="0" applyFont="1" applyBorder="1"/>
    <xf numFmtId="0" fontId="4" fillId="0" borderId="7" xfId="0" applyFont="1" applyBorder="1"/>
    <xf numFmtId="0" fontId="3" fillId="4" borderId="5" xfId="0" applyFont="1" applyFill="1" applyBorder="1" applyAlignment="1">
      <alignment horizontal="center" vertical="center" wrapText="1"/>
    </xf>
    <xf numFmtId="0" fontId="2" fillId="4" borderId="0" xfId="0" applyFont="1" applyFill="1" applyAlignment="1">
      <alignment horizontal="center"/>
    </xf>
    <xf numFmtId="0" fontId="0" fillId="0" borderId="0" xfId="0"/>
    <xf numFmtId="0" fontId="3" fillId="5" borderId="1" xfId="0" applyFont="1" applyFill="1" applyBorder="1" applyAlignment="1">
      <alignment horizontal="center"/>
    </xf>
    <xf numFmtId="0" fontId="4" fillId="0" borderId="2" xfId="0" applyFont="1" applyBorder="1"/>
    <xf numFmtId="0" fontId="4" fillId="0" borderId="3" xfId="0" applyFont="1" applyBorder="1"/>
    <xf numFmtId="0" fontId="3" fillId="5" borderId="5" xfId="0" applyFont="1" applyFill="1" applyBorder="1" applyAlignment="1">
      <alignment horizontal="center" vertical="center"/>
    </xf>
    <xf numFmtId="0" fontId="3" fillId="5" borderId="5" xfId="0" applyFont="1" applyFill="1" applyBorder="1" applyAlignment="1">
      <alignment horizontal="center"/>
    </xf>
    <xf numFmtId="0" fontId="3" fillId="4" borderId="30" xfId="0" applyFont="1" applyFill="1" applyBorder="1" applyAlignment="1">
      <alignment horizontal="center"/>
    </xf>
    <xf numFmtId="0" fontId="21" fillId="4" borderId="6" xfId="0" applyFont="1" applyFill="1" applyBorder="1" applyAlignment="1">
      <alignment horizontal="center"/>
    </xf>
    <xf numFmtId="0" fontId="3" fillId="4" borderId="31" xfId="0" applyFont="1" applyFill="1" applyBorder="1" applyAlignment="1">
      <alignment horizontal="center"/>
    </xf>
    <xf numFmtId="0" fontId="4" fillId="0" borderId="32" xfId="0" applyFont="1" applyBorder="1"/>
    <xf numFmtId="0" fontId="4" fillId="0" borderId="33" xfId="0" applyFont="1" applyBorder="1"/>
    <xf numFmtId="0" fontId="22" fillId="5" borderId="5" xfId="0" applyFont="1" applyFill="1" applyBorder="1" applyAlignment="1">
      <alignment horizontal="center"/>
    </xf>
    <xf numFmtId="0" fontId="23" fillId="5" borderId="5" xfId="0" applyFont="1" applyFill="1" applyBorder="1" applyAlignment="1">
      <alignment horizontal="center"/>
    </xf>
    <xf numFmtId="0" fontId="8" fillId="5" borderId="5" xfId="0" applyFont="1" applyFill="1" applyBorder="1" applyAlignment="1">
      <alignment horizontal="center"/>
    </xf>
    <xf numFmtId="0" fontId="9" fillId="16" borderId="0" xfId="0" applyFont="1" applyFill="1" applyAlignment="1">
      <alignment horizontal="center" wrapText="1"/>
    </xf>
    <xf numFmtId="0" fontId="12" fillId="16" borderId="0" xfId="0" applyFont="1" applyFill="1"/>
    <xf numFmtId="0" fontId="7" fillId="16" borderId="19" xfId="0" applyFont="1" applyFill="1" applyBorder="1" applyAlignment="1">
      <alignment horizontal="right"/>
    </xf>
    <xf numFmtId="0" fontId="12" fillId="20" borderId="0" xfId="0" applyFont="1" applyFill="1"/>
    <xf numFmtId="0" fontId="2" fillId="16" borderId="0" xfId="0" applyFont="1" applyFill="1" applyAlignment="1">
      <alignment horizontal="center" vertical="center"/>
    </xf>
    <xf numFmtId="0" fontId="0" fillId="16" borderId="0" xfId="0" applyFill="1"/>
    <xf numFmtId="0" fontId="25" fillId="17" borderId="4" xfId="0" applyFont="1" applyFill="1" applyBorder="1" applyAlignment="1">
      <alignment horizontal="center"/>
    </xf>
    <xf numFmtId="0" fontId="6" fillId="16" borderId="4" xfId="0" applyFont="1" applyFill="1" applyBorder="1" applyAlignment="1">
      <alignment wrapText="1"/>
    </xf>
    <xf numFmtId="0" fontId="25" fillId="16" borderId="4" xfId="0" applyFont="1" applyFill="1" applyBorder="1" applyAlignment="1">
      <alignment vertical="top" wrapText="1"/>
    </xf>
    <xf numFmtId="0" fontId="25" fillId="18" borderId="4" xfId="0" applyFont="1" applyFill="1" applyBorder="1" applyAlignment="1">
      <alignment horizontal="center" vertical="top" wrapText="1"/>
    </xf>
    <xf numFmtId="0" fontId="25" fillId="16" borderId="4" xfId="0" applyFont="1" applyFill="1" applyBorder="1" applyAlignment="1">
      <alignment horizontal="center" vertical="top" wrapText="1"/>
    </xf>
    <xf numFmtId="0" fontId="25" fillId="19" borderId="39" xfId="0" applyFont="1" applyFill="1" applyBorder="1" applyAlignment="1">
      <alignment vertical="top" wrapText="1"/>
    </xf>
    <xf numFmtId="0" fontId="26" fillId="16" borderId="19" xfId="0" applyFont="1" applyFill="1" applyBorder="1" applyAlignment="1">
      <alignment horizontal="right"/>
    </xf>
    <xf numFmtId="0" fontId="26" fillId="16" borderId="41" xfId="0" applyFont="1" applyFill="1" applyBorder="1" applyAlignment="1">
      <alignment horizontal="right"/>
    </xf>
    <xf numFmtId="0" fontId="26" fillId="16" borderId="42" xfId="0" applyFont="1" applyFill="1" applyBorder="1" applyAlignment="1">
      <alignment horizontal="right"/>
    </xf>
    <xf numFmtId="0" fontId="26" fillId="20" borderId="0" xfId="0" applyFont="1" applyFill="1" applyAlignment="1">
      <alignment horizontal="right"/>
    </xf>
    <xf numFmtId="0" fontId="7" fillId="16" borderId="41" xfId="0" applyFont="1" applyFill="1" applyBorder="1" applyAlignment="1">
      <alignment horizontal="right"/>
    </xf>
    <xf numFmtId="0" fontId="7" fillId="16" borderId="42" xfId="0" applyFont="1" applyFill="1" applyBorder="1" applyAlignment="1">
      <alignment horizontal="right"/>
    </xf>
    <xf numFmtId="0" fontId="7" fillId="16" borderId="0" xfId="0" applyFont="1" applyFill="1" applyAlignment="1">
      <alignment horizontal="right"/>
    </xf>
    <xf numFmtId="0" fontId="7" fillId="16" borderId="14" xfId="0" applyFont="1" applyFill="1" applyBorder="1" applyAlignment="1">
      <alignment horizontal="right"/>
    </xf>
    <xf numFmtId="10" fontId="12" fillId="18"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worksheet" Target="worksheets/sheet3.xml"/><Relationship Id="rId7" Type="http://purl.oclc.org/ooxml/officeDocument/relationships/calcChain" Target="calcChain.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sharedStrings" Target="sharedStrings.xml"/><Relationship Id="rId5" Type="http://purl.oclc.org/ooxml/officeDocument/relationships/styles" Target="styles.xml"/><Relationship Id="rId4" Type="http://purl.oclc.org/ooxml/officeDocument/relationships/theme" Target="theme/theme1.xml"/></Relationships>
</file>

<file path=xl/drawings/drawing1.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30</xdr:col>
          <xdr:colOff>133350</xdr:colOff>
          <xdr:row>2</xdr:row>
          <xdr:rowOff>85725</xdr:rowOff>
        </xdr:from>
        <xdr:to>
          <xdr:col>33</xdr:col>
          <xdr:colOff>742950</xdr:colOff>
          <xdr:row>4</xdr:row>
          <xdr:rowOff>38100</xdr:rowOff>
        </xdr:to>
        <xdr:sp macro="" textlink="">
          <xdr:nvSpPr>
            <xdr:cNvPr id="1025" name="Comment 5" hidden="1">
              <a:extLst>
                <a:ext uri="{FF2B5EF4-FFF2-40B4-BE49-F238E27FC236}">
                  <a16:creationId xmlns:a16="http://schemas.microsoft.com/office/drawing/2014/main" id="{D09EE16F-BFEB-DEAA-32DE-A4EE3D3F124C}"/>
                </a:ext>
              </a:extLst>
            </xdr:cNvPr>
            <xdr:cNvSpPr txBox="1">
              <a:spLocks noChangeArrowheads="1"/>
            </xdr:cNvSpPr>
          </xdr:nvSpPr>
          <xdr:spPr bwMode="auto">
            <a:xfrm>
              <a:off x="32165925" y="1981200"/>
              <a:ext cx="5667375" cy="287655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Maintenance costs are considered operating expenses (OPEX) and should be included in the calculation of net benefits when determining the ROI of an equipment.</a:t>
              </a: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762000</xdr:colOff>
          <xdr:row>2</xdr:row>
          <xdr:rowOff>85725</xdr:rowOff>
        </xdr:from>
        <xdr:to>
          <xdr:col>36</xdr:col>
          <xdr:colOff>685800</xdr:colOff>
          <xdr:row>4</xdr:row>
          <xdr:rowOff>38100</xdr:rowOff>
        </xdr:to>
        <xdr:sp macro="" textlink="">
          <xdr:nvSpPr>
            <xdr:cNvPr id="1026" name="Comment 4" hidden="1">
              <a:extLst>
                <a:ext uri="{FF2B5EF4-FFF2-40B4-BE49-F238E27FC236}">
                  <a16:creationId xmlns:a16="http://schemas.microsoft.com/office/drawing/2014/main" id="{1797E220-980E-6DBE-2A57-EA8E9007F9D6}"/>
                </a:ext>
              </a:extLst>
            </xdr:cNvPr>
            <xdr:cNvSpPr txBox="1">
              <a:spLocks noChangeArrowheads="1"/>
            </xdr:cNvSpPr>
          </xdr:nvSpPr>
          <xdr:spPr bwMode="auto">
            <a:xfrm>
              <a:off x="36166425" y="1981200"/>
              <a:ext cx="6667500" cy="287655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Includes purchase price, installation or setup costs, and any other INITIAL expenses</a:t>
              </a:r>
            </a:p>
          </xdr:txBody>
        </xdr:sp>
        <xdr:clientData/>
      </xdr:twoCellAnchor>
    </mc:Fallback>
  </mc:AlternateContent>
  <mc:AlternateContent xmlns:mc="http://schemas.openxmlformats.org/markup-compatibility/2006">
    <mc:Choice xmlns:v="urn:schemas-microsoft-com:vml" Requires="v"/>
    <mc:Fallback>
      <xdr:twoCellAnchor editAs="absolute">
        <xdr:from>
          <xdr:col>64</xdr:col>
          <xdr:colOff>1533525</xdr:colOff>
          <xdr:row>2</xdr:row>
          <xdr:rowOff>85725</xdr:rowOff>
        </xdr:from>
        <xdr:to>
          <xdr:col>68</xdr:col>
          <xdr:colOff>1038225</xdr:colOff>
          <xdr:row>4</xdr:row>
          <xdr:rowOff>4610100</xdr:rowOff>
        </xdr:to>
        <xdr:sp macro="" textlink="">
          <xdr:nvSpPr>
            <xdr:cNvPr id="1027" name="Comment 3" hidden="1">
              <a:extLst>
                <a:ext uri="{FF2B5EF4-FFF2-40B4-BE49-F238E27FC236}">
                  <a16:creationId xmlns:a16="http://schemas.microsoft.com/office/drawing/2014/main" id="{34F332EB-6FF9-A412-56A5-BEB311F873EE}"/>
                </a:ext>
              </a:extLst>
            </xdr:cNvPr>
            <xdr:cNvSpPr txBox="1">
              <a:spLocks noChangeArrowheads="1"/>
            </xdr:cNvSpPr>
          </xdr:nvSpPr>
          <xdr:spPr bwMode="auto">
            <a:xfrm>
              <a:off x="90887550" y="1981200"/>
              <a:ext cx="6248400" cy="744855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I included both the annual operating expenses—such as maintenance costs—and depreciation</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This shows how much more or less money you earn each year after using the equipment,</a:t>
              </a:r>
            </a:p>
          </xdr:txBody>
        </xdr:sp>
        <xdr:clientData/>
      </xdr:twoCellAnchor>
    </mc:Fallback>
  </mc:AlternateContent>
  <mc:AlternateContent xmlns:mc="http://schemas.openxmlformats.org/markup-compatibility/2006">
    <mc:Choice xmlns:v="urn:schemas-microsoft-com:vml" Requires="v"/>
    <mc:Fallback>
      <xdr:twoCellAnchor editAs="absolute">
        <xdr:from>
          <xdr:col>65</xdr:col>
          <xdr:colOff>1409700</xdr:colOff>
          <xdr:row>2</xdr:row>
          <xdr:rowOff>85725</xdr:rowOff>
        </xdr:from>
        <xdr:to>
          <xdr:col>69</xdr:col>
          <xdr:colOff>190500</xdr:colOff>
          <xdr:row>4</xdr:row>
          <xdr:rowOff>38100</xdr:rowOff>
        </xdr:to>
        <xdr:sp macro="" textlink="">
          <xdr:nvSpPr>
            <xdr:cNvPr id="1028" name="Comment 2" hidden="1">
              <a:extLst>
                <a:ext uri="{FF2B5EF4-FFF2-40B4-BE49-F238E27FC236}">
                  <a16:creationId xmlns:a16="http://schemas.microsoft.com/office/drawing/2014/main" id="{66982093-443C-C872-442E-1299B5BCEBC6}"/>
                </a:ext>
              </a:extLst>
            </xdr:cNvPr>
            <xdr:cNvSpPr txBox="1">
              <a:spLocks noChangeArrowheads="1"/>
            </xdr:cNvSpPr>
          </xdr:nvSpPr>
          <xdr:spPr bwMode="auto">
            <a:xfrm>
              <a:off x="92449650" y="1981200"/>
              <a:ext cx="5524500" cy="287655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 The net change in your income per year as a percentage of the equipment's initial cost. </a:t>
              </a:r>
            </a:p>
          </xdr:txBody>
        </xdr:sp>
        <xdr:clientData/>
      </xdr:twoCellAnchor>
    </mc:Fallback>
  </mc:AlternateContent>
  <mc:AlternateContent xmlns:mc="http://schemas.openxmlformats.org/markup-compatibility/2006">
    <mc:Choice xmlns:v="urn:schemas-microsoft-com:vml" Requires="v"/>
    <mc:Fallback>
      <xdr:twoCellAnchor editAs="absolute">
        <xdr:from>
          <xdr:col>66</xdr:col>
          <xdr:colOff>1285875</xdr:colOff>
          <xdr:row>2</xdr:row>
          <xdr:rowOff>85725</xdr:rowOff>
        </xdr:from>
        <xdr:to>
          <xdr:col>69</xdr:col>
          <xdr:colOff>1028700</xdr:colOff>
          <xdr:row>4</xdr:row>
          <xdr:rowOff>38100</xdr:rowOff>
        </xdr:to>
        <xdr:sp macro="" textlink="">
          <xdr:nvSpPr>
            <xdr:cNvPr id="1029" name="Comment 1" hidden="1">
              <a:extLst>
                <a:ext uri="{FF2B5EF4-FFF2-40B4-BE49-F238E27FC236}">
                  <a16:creationId xmlns:a16="http://schemas.microsoft.com/office/drawing/2014/main" id="{BD0E63DC-FED2-0059-E143-2955B0435AED}"/>
                </a:ext>
              </a:extLst>
            </xdr:cNvPr>
            <xdr:cNvSpPr txBox="1">
              <a:spLocks noChangeArrowheads="1"/>
            </xdr:cNvSpPr>
          </xdr:nvSpPr>
          <xdr:spPr bwMode="auto">
            <a:xfrm>
              <a:off x="94011750" y="1981200"/>
              <a:ext cx="4800600" cy="287655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How many years it will take to earn back the money you spent on the equipment.</a:t>
              </a:r>
            </a:p>
          </xdr:txBody>
        </xdr:sp>
        <xdr:clientData/>
      </xdr:twoCellAnchor>
    </mc:Fallback>
  </mc:AlternateContent>
</xdr:wsDr>
</file>

<file path=xl/drawings/drawing2.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16</xdr:col>
          <xdr:colOff>142875</xdr:colOff>
          <xdr:row>0</xdr:row>
          <xdr:rowOff>19050</xdr:rowOff>
        </xdr:from>
        <xdr:to>
          <xdr:col>25</xdr:col>
          <xdr:colOff>323850</xdr:colOff>
          <xdr:row>5</xdr:row>
          <xdr:rowOff>133350</xdr:rowOff>
        </xdr:to>
        <xdr:sp macro="" textlink="">
          <xdr:nvSpPr>
            <xdr:cNvPr id="2049" name="Comment 1" hidden="1">
              <a:extLst>
                <a:ext uri="{FF2B5EF4-FFF2-40B4-BE49-F238E27FC236}">
                  <a16:creationId xmlns:a16="http://schemas.microsoft.com/office/drawing/2014/main" id="{74F7A321-FFD9-6CC3-72BD-67B4739AE304}"/>
                </a:ext>
              </a:extLst>
            </xdr:cNvPr>
            <xdr:cNvSpPr txBox="1">
              <a:spLocks noChangeArrowheads="1"/>
            </xdr:cNvSpPr>
          </xdr:nvSpPr>
          <xdr:spPr bwMode="auto">
            <a:xfrm>
              <a:off x="9896475" y="19050"/>
              <a:ext cx="5667375" cy="287655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Maintenance costs are considered operating expenses (OPEX) and should be included in the calculation of net benefits when determining the ROI of an equipment.</a:t>
              </a: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142875</xdr:colOff>
          <xdr:row>0</xdr:row>
          <xdr:rowOff>19050</xdr:rowOff>
        </xdr:from>
        <xdr:to>
          <xdr:col>30</xdr:col>
          <xdr:colOff>104775</xdr:colOff>
          <xdr:row>5</xdr:row>
          <xdr:rowOff>133350</xdr:rowOff>
        </xdr:to>
        <xdr:sp macro="" textlink="">
          <xdr:nvSpPr>
            <xdr:cNvPr id="2050" name="Comment 2" hidden="1">
              <a:extLst>
                <a:ext uri="{FF2B5EF4-FFF2-40B4-BE49-F238E27FC236}">
                  <a16:creationId xmlns:a16="http://schemas.microsoft.com/office/drawing/2014/main" id="{12BE2483-7FA1-0247-BE20-04FCEEF9C4B3}"/>
                </a:ext>
              </a:extLst>
            </xdr:cNvPr>
            <xdr:cNvSpPr txBox="1">
              <a:spLocks noChangeArrowheads="1"/>
            </xdr:cNvSpPr>
          </xdr:nvSpPr>
          <xdr:spPr bwMode="auto">
            <a:xfrm>
              <a:off x="11725275" y="19050"/>
              <a:ext cx="6667500" cy="287655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Includes purchase price, installation or setup costs, and any other INITIAL expenses</a:t>
              </a:r>
            </a:p>
          </xdr:txBody>
        </xdr:sp>
        <xdr:clientData/>
      </xdr:twoCellAnchor>
    </mc:Fallback>
  </mc:AlternateContent>
  <mc:AlternateContent xmlns:mc="http://schemas.openxmlformats.org/markup-compatibility/2006">
    <mc:Choice xmlns:v="urn:schemas-microsoft-com:vml" Requires="v"/>
    <mc:Fallback>
      <xdr:twoCellAnchor editAs="absolute">
        <xdr:from>
          <xdr:col>57</xdr:col>
          <xdr:colOff>142875</xdr:colOff>
          <xdr:row>0</xdr:row>
          <xdr:rowOff>19050</xdr:rowOff>
        </xdr:from>
        <xdr:to>
          <xdr:col>67</xdr:col>
          <xdr:colOff>295275</xdr:colOff>
          <xdr:row>13</xdr:row>
          <xdr:rowOff>276225</xdr:rowOff>
        </xdr:to>
        <xdr:sp macro="" textlink="">
          <xdr:nvSpPr>
            <xdr:cNvPr id="2051" name="Comment 3" hidden="1">
              <a:extLst>
                <a:ext uri="{FF2B5EF4-FFF2-40B4-BE49-F238E27FC236}">
                  <a16:creationId xmlns:a16="http://schemas.microsoft.com/office/drawing/2014/main" id="{FA6B157B-86B4-CEA5-AF81-F2F8F89E39A4}"/>
                </a:ext>
              </a:extLst>
            </xdr:cNvPr>
            <xdr:cNvSpPr txBox="1">
              <a:spLocks noChangeArrowheads="1"/>
            </xdr:cNvSpPr>
          </xdr:nvSpPr>
          <xdr:spPr bwMode="auto">
            <a:xfrm>
              <a:off x="34890075" y="19050"/>
              <a:ext cx="6248400" cy="7439025"/>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I included both the annual operating expenses—such as maintenance costs—and depreciation</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This shows how much more or less money you earn each year after using the equipment,</a:t>
              </a:r>
            </a:p>
          </xdr:txBody>
        </xdr:sp>
        <xdr:clientData/>
      </xdr:twoCellAnchor>
    </mc:Fallback>
  </mc:AlternateContent>
  <mc:AlternateContent xmlns:mc="http://schemas.openxmlformats.org/markup-compatibility/2006">
    <mc:Choice xmlns:v="urn:schemas-microsoft-com:vml" Requires="v"/>
    <mc:Fallback>
      <xdr:twoCellAnchor editAs="absolute">
        <xdr:from>
          <xdr:col>58</xdr:col>
          <xdr:colOff>142875</xdr:colOff>
          <xdr:row>0</xdr:row>
          <xdr:rowOff>19050</xdr:rowOff>
        </xdr:from>
        <xdr:to>
          <xdr:col>67</xdr:col>
          <xdr:colOff>180975</xdr:colOff>
          <xdr:row>5</xdr:row>
          <xdr:rowOff>133350</xdr:rowOff>
        </xdr:to>
        <xdr:sp macro="" textlink="">
          <xdr:nvSpPr>
            <xdr:cNvPr id="2052" name="Comment 4" hidden="1">
              <a:extLst>
                <a:ext uri="{FF2B5EF4-FFF2-40B4-BE49-F238E27FC236}">
                  <a16:creationId xmlns:a16="http://schemas.microsoft.com/office/drawing/2014/main" id="{D6945BB7-6DE1-0CB9-223E-726C1C0B6CA6}"/>
                </a:ext>
              </a:extLst>
            </xdr:cNvPr>
            <xdr:cNvSpPr txBox="1">
              <a:spLocks noChangeArrowheads="1"/>
            </xdr:cNvSpPr>
          </xdr:nvSpPr>
          <xdr:spPr bwMode="auto">
            <a:xfrm>
              <a:off x="35499675" y="19050"/>
              <a:ext cx="5524500" cy="287655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 The net change in your income per year as a percentage of the equipment's initial cost. </a:t>
              </a:r>
            </a:p>
          </xdr:txBody>
        </xdr:sp>
        <xdr:clientData/>
      </xdr:twoCellAnchor>
    </mc:Fallback>
  </mc:AlternateContent>
  <mc:AlternateContent xmlns:mc="http://schemas.openxmlformats.org/markup-compatibility/2006">
    <mc:Choice xmlns:v="urn:schemas-microsoft-com:vml" Requires="v"/>
    <mc:Fallback>
      <xdr:twoCellAnchor editAs="absolute">
        <xdr:from>
          <xdr:col>59</xdr:col>
          <xdr:colOff>142875</xdr:colOff>
          <xdr:row>0</xdr:row>
          <xdr:rowOff>19050</xdr:rowOff>
        </xdr:from>
        <xdr:to>
          <xdr:col>67</xdr:col>
          <xdr:colOff>66675</xdr:colOff>
          <xdr:row>5</xdr:row>
          <xdr:rowOff>133350</xdr:rowOff>
        </xdr:to>
        <xdr:sp macro="" textlink="">
          <xdr:nvSpPr>
            <xdr:cNvPr id="2053" name="Comment 5" hidden="1">
              <a:extLst>
                <a:ext uri="{FF2B5EF4-FFF2-40B4-BE49-F238E27FC236}">
                  <a16:creationId xmlns:a16="http://schemas.microsoft.com/office/drawing/2014/main" id="{AAF4589E-EDC4-AF3C-CA32-091A1C5627BB}"/>
                </a:ext>
              </a:extLst>
            </xdr:cNvPr>
            <xdr:cNvSpPr txBox="1">
              <a:spLocks noChangeArrowheads="1"/>
            </xdr:cNvSpPr>
          </xdr:nvSpPr>
          <xdr:spPr bwMode="auto">
            <a:xfrm>
              <a:off x="36109275" y="19050"/>
              <a:ext cx="4800600" cy="287655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How many years it will take to earn back the money you spent on the equipment.</a:t>
              </a:r>
            </a:p>
          </xdr:txBody>
        </xdr:sp>
        <xdr:clientData/>
      </xdr:twoCellAnchor>
    </mc:Fallback>
  </mc:AlternateContent>
</xdr:wsDr>
</file>

<file path=xl/drawings/drawing3.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32</xdr:col>
          <xdr:colOff>95250</xdr:colOff>
          <xdr:row>2</xdr:row>
          <xdr:rowOff>95250</xdr:rowOff>
        </xdr:from>
        <xdr:to>
          <xdr:col>39</xdr:col>
          <xdr:colOff>342900</xdr:colOff>
          <xdr:row>4</xdr:row>
          <xdr:rowOff>38100</xdr:rowOff>
        </xdr:to>
        <xdr:sp macro="" textlink="">
          <xdr:nvSpPr>
            <xdr:cNvPr id="3073" name="Comment 7" hidden="1">
              <a:extLst>
                <a:ext uri="{FF2B5EF4-FFF2-40B4-BE49-F238E27FC236}">
                  <a16:creationId xmlns:a16="http://schemas.microsoft.com/office/drawing/2014/main" id="{764F1109-874E-7230-B3A3-A2C897D8431B}"/>
                </a:ext>
              </a:extLst>
            </xdr:cNvPr>
            <xdr:cNvSpPr txBox="1">
              <a:spLocks noChangeArrowheads="1"/>
            </xdr:cNvSpPr>
          </xdr:nvSpPr>
          <xdr:spPr bwMode="auto">
            <a:xfrm>
              <a:off x="27527250" y="1962150"/>
              <a:ext cx="6248400" cy="485775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These are considered operating expenses (OPEX) and should be included in the calculation of net benefits when determining the ROI of an investment.</a:t>
              </a:r>
            </a:p>
          </xdr:txBody>
        </xdr:sp>
        <xdr:clientData/>
      </xdr:twoCellAnchor>
    </mc:Fallback>
  </mc:AlternateContent>
  <mc:AlternateContent xmlns:mc="http://schemas.openxmlformats.org/markup-compatibility/2006">
    <mc:Choice xmlns:v="urn:schemas-microsoft-com:vml" Requires="v"/>
    <mc:Fallback>
      <xdr:twoCellAnchor editAs="absolute">
        <xdr:from>
          <xdr:col>37</xdr:col>
          <xdr:colOff>495300</xdr:colOff>
          <xdr:row>2</xdr:row>
          <xdr:rowOff>95250</xdr:rowOff>
        </xdr:from>
        <xdr:to>
          <xdr:col>44</xdr:col>
          <xdr:colOff>742950</xdr:colOff>
          <xdr:row>4</xdr:row>
          <xdr:rowOff>38100</xdr:rowOff>
        </xdr:to>
        <xdr:sp macro="" textlink="">
          <xdr:nvSpPr>
            <xdr:cNvPr id="3074" name="Comment 6" hidden="1">
              <a:extLst>
                <a:ext uri="{FF2B5EF4-FFF2-40B4-BE49-F238E27FC236}">
                  <a16:creationId xmlns:a16="http://schemas.microsoft.com/office/drawing/2014/main" id="{F1E16676-CD88-8D9C-22DC-C7F544F9104B}"/>
                </a:ext>
              </a:extLst>
            </xdr:cNvPr>
            <xdr:cNvSpPr txBox="1">
              <a:spLocks noChangeArrowheads="1"/>
            </xdr:cNvSpPr>
          </xdr:nvSpPr>
          <xdr:spPr bwMode="auto">
            <a:xfrm>
              <a:off x="32213550" y="1962150"/>
              <a:ext cx="6248400" cy="485775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These are considered operating expenses (OPEX) and should be included in the calculation of net benefits when determining the ROI of an investment.</a:t>
              </a:r>
            </a:p>
          </xdr:txBody>
        </xdr:sp>
        <xdr:clientData/>
      </xdr:twoCellAnchor>
    </mc:Fallback>
  </mc:AlternateContent>
  <mc:AlternateContent xmlns:mc="http://schemas.openxmlformats.org/markup-compatibility/2006">
    <mc:Choice xmlns:v="urn:schemas-microsoft-com:vml" Requires="v"/>
    <mc:Fallback>
      <xdr:twoCellAnchor editAs="absolute">
        <xdr:from>
          <xdr:col>41</xdr:col>
          <xdr:colOff>190500</xdr:colOff>
          <xdr:row>2</xdr:row>
          <xdr:rowOff>95250</xdr:rowOff>
        </xdr:from>
        <xdr:to>
          <xdr:col>48</xdr:col>
          <xdr:colOff>438150</xdr:colOff>
          <xdr:row>4</xdr:row>
          <xdr:rowOff>38100</xdr:rowOff>
        </xdr:to>
        <xdr:sp macro="" textlink="">
          <xdr:nvSpPr>
            <xdr:cNvPr id="3075" name="Comment 5" hidden="1">
              <a:extLst>
                <a:ext uri="{FF2B5EF4-FFF2-40B4-BE49-F238E27FC236}">
                  <a16:creationId xmlns:a16="http://schemas.microsoft.com/office/drawing/2014/main" id="{80C651A2-1F48-6487-90E9-345C7C2D1E03}"/>
                </a:ext>
              </a:extLst>
            </xdr:cNvPr>
            <xdr:cNvSpPr txBox="1">
              <a:spLocks noChangeArrowheads="1"/>
            </xdr:cNvSpPr>
          </xdr:nvSpPr>
          <xdr:spPr bwMode="auto">
            <a:xfrm>
              <a:off x="35337750" y="1962150"/>
              <a:ext cx="6248400" cy="485775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Includes purchase price, installation or setup costs, and any other initial expenses required to make the equipment fully operational.</a:t>
              </a:r>
            </a:p>
          </xdr:txBody>
        </xdr:sp>
        <xdr:clientData/>
      </xdr:twoCellAnchor>
    </mc:Fallback>
  </mc:AlternateContent>
  <mc:AlternateContent xmlns:mc="http://schemas.openxmlformats.org/markup-compatibility/2006">
    <mc:Choice xmlns:v="urn:schemas-microsoft-com:vml" Requires="v"/>
    <mc:Fallback>
      <xdr:twoCellAnchor editAs="absolute">
        <xdr:from>
          <xdr:col>136</xdr:col>
          <xdr:colOff>295275</xdr:colOff>
          <xdr:row>2</xdr:row>
          <xdr:rowOff>95250</xdr:rowOff>
        </xdr:from>
        <xdr:to>
          <xdr:col>143</xdr:col>
          <xdr:colOff>152400</xdr:colOff>
          <xdr:row>6</xdr:row>
          <xdr:rowOff>400050</xdr:rowOff>
        </xdr:to>
        <xdr:sp macro="" textlink="">
          <xdr:nvSpPr>
            <xdr:cNvPr id="3076" name="Comment 4" hidden="1">
              <a:extLst>
                <a:ext uri="{FF2B5EF4-FFF2-40B4-BE49-F238E27FC236}">
                  <a16:creationId xmlns:a16="http://schemas.microsoft.com/office/drawing/2014/main" id="{2917EC74-B736-B967-001F-92B0C97BDAAC}"/>
                </a:ext>
              </a:extLst>
            </xdr:cNvPr>
            <xdr:cNvSpPr txBox="1">
              <a:spLocks noChangeArrowheads="1"/>
            </xdr:cNvSpPr>
          </xdr:nvSpPr>
          <xdr:spPr bwMode="auto">
            <a:xfrm>
              <a:off x="116881275" y="1962150"/>
              <a:ext cx="5857875" cy="8315325"/>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I included both the annual operating expenses—such as maintenance costs—and depreciation</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This shows how much more or less money you earn each year after using the equipment,</a:t>
              </a:r>
            </a:p>
          </xdr:txBody>
        </xdr:sp>
        <xdr:clientData/>
      </xdr:twoCellAnchor>
    </mc:Fallback>
  </mc:AlternateContent>
  <mc:AlternateContent xmlns:mc="http://schemas.openxmlformats.org/markup-compatibility/2006">
    <mc:Choice xmlns:v="urn:schemas-microsoft-com:vml" Requires="v"/>
    <mc:Fallback>
      <xdr:twoCellAnchor editAs="absolute">
        <xdr:from>
          <xdr:col>138</xdr:col>
          <xdr:colOff>342900</xdr:colOff>
          <xdr:row>2</xdr:row>
          <xdr:rowOff>95250</xdr:rowOff>
        </xdr:from>
        <xdr:to>
          <xdr:col>144</xdr:col>
          <xdr:colOff>133350</xdr:colOff>
          <xdr:row>4</xdr:row>
          <xdr:rowOff>38100</xdr:rowOff>
        </xdr:to>
        <xdr:sp macro="" textlink="">
          <xdr:nvSpPr>
            <xdr:cNvPr id="3077" name="Comment 3" hidden="1">
              <a:extLst>
                <a:ext uri="{FF2B5EF4-FFF2-40B4-BE49-F238E27FC236}">
                  <a16:creationId xmlns:a16="http://schemas.microsoft.com/office/drawing/2014/main" id="{870BA9BD-601E-E00C-62F1-9739B32B3030}"/>
                </a:ext>
              </a:extLst>
            </xdr:cNvPr>
            <xdr:cNvSpPr txBox="1">
              <a:spLocks noChangeArrowheads="1"/>
            </xdr:cNvSpPr>
          </xdr:nvSpPr>
          <xdr:spPr bwMode="auto">
            <a:xfrm>
              <a:off x="118643400" y="1962150"/>
              <a:ext cx="4933950" cy="485775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 The net change in your income per year as a percentage of the equipment's initial cost. </a:t>
              </a:r>
            </a:p>
          </xdr:txBody>
        </xdr:sp>
        <xdr:clientData/>
      </xdr:twoCellAnchor>
    </mc:Fallback>
  </mc:AlternateContent>
  <mc:AlternateContent xmlns:mc="http://schemas.openxmlformats.org/markup-compatibility/2006">
    <mc:Choice xmlns:v="urn:schemas-microsoft-com:vml" Requires="v"/>
    <mc:Fallback>
      <xdr:twoCellAnchor editAs="absolute">
        <xdr:from>
          <xdr:col>140</xdr:col>
          <xdr:colOff>257175</xdr:colOff>
          <xdr:row>2</xdr:row>
          <xdr:rowOff>95250</xdr:rowOff>
        </xdr:from>
        <xdr:to>
          <xdr:col>145</xdr:col>
          <xdr:colOff>114300</xdr:colOff>
          <xdr:row>4</xdr:row>
          <xdr:rowOff>38100</xdr:rowOff>
        </xdr:to>
        <xdr:sp macro="" textlink="">
          <xdr:nvSpPr>
            <xdr:cNvPr id="3078" name="Comment 2" hidden="1">
              <a:extLst>
                <a:ext uri="{FF2B5EF4-FFF2-40B4-BE49-F238E27FC236}">
                  <a16:creationId xmlns:a16="http://schemas.microsoft.com/office/drawing/2014/main" id="{3252D51C-BFF2-9810-4034-3F8FC91CCF08}"/>
                </a:ext>
              </a:extLst>
            </xdr:cNvPr>
            <xdr:cNvSpPr txBox="1">
              <a:spLocks noChangeArrowheads="1"/>
            </xdr:cNvSpPr>
          </xdr:nvSpPr>
          <xdr:spPr bwMode="auto">
            <a:xfrm>
              <a:off x="120272175" y="1962150"/>
              <a:ext cx="4143375" cy="485775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How many years it will take to earn back the money you spent on the equipment.</a:t>
              </a:r>
            </a:p>
          </xdr:txBody>
        </xdr:sp>
        <xdr:clientData/>
      </xdr:twoCellAnchor>
    </mc:Fallback>
  </mc:AlternateContent>
  <mc:AlternateContent xmlns:mc="http://schemas.openxmlformats.org/markup-compatibility/2006">
    <mc:Choice xmlns:v="urn:schemas-microsoft-com:vml" Requires="v"/>
    <mc:Fallback>
      <xdr:twoCellAnchor editAs="absolute">
        <xdr:from>
          <xdr:col>136</xdr:col>
          <xdr:colOff>295275</xdr:colOff>
          <xdr:row>3</xdr:row>
          <xdr:rowOff>95250</xdr:rowOff>
        </xdr:from>
        <xdr:to>
          <xdr:col>143</xdr:col>
          <xdr:colOff>152400</xdr:colOff>
          <xdr:row>5</xdr:row>
          <xdr:rowOff>400050</xdr:rowOff>
        </xdr:to>
        <xdr:sp macro="" textlink="">
          <xdr:nvSpPr>
            <xdr:cNvPr id="3079" name="Comment 1" hidden="1">
              <a:extLst>
                <a:ext uri="{FF2B5EF4-FFF2-40B4-BE49-F238E27FC236}">
                  <a16:creationId xmlns:a16="http://schemas.microsoft.com/office/drawing/2014/main" id="{5C4C9655-6F4D-CE6A-6796-C9CCFEBA8AA8}"/>
                </a:ext>
              </a:extLst>
            </xdr:cNvPr>
            <xdr:cNvSpPr txBox="1">
              <a:spLocks noChangeArrowheads="1"/>
            </xdr:cNvSpPr>
          </xdr:nvSpPr>
          <xdr:spPr bwMode="auto">
            <a:xfrm>
              <a:off x="116881275" y="3409950"/>
              <a:ext cx="5857875" cy="4676775"/>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I included maintenance and  other OPEX</a:t>
              </a:r>
            </a:p>
          </xdr:txBody>
        </xdr:sp>
        <xdr:clientData/>
      </xdr:twoCellAnchor>
    </mc:Fallback>
  </mc:AlternateContent>
</xdr:wsDr>
</file>

<file path=xl/theme/theme1.xml><?xml version="1.0" encoding="utf-8"?>
<a:theme xmlns:a="http://purl.oclc.org/ooxml/drawingml/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purl.oclc.org/ooxml/officeDocument/relationships/hyperlink" Target="https://www.farm-manager.si/" TargetMode="External"/><Relationship Id="rId13" Type="http://purl.oclc.org/ooxml/officeDocument/relationships/hyperlink" Target="https://www.horta-srl.it/vite-net/" TargetMode="External"/><Relationship Id="rId18" Type="http://purl.oclc.org/ooxml/officeDocument/relationships/hyperlink" Target="https://www.vanderendegroup.com/" TargetMode="External"/><Relationship Id="rId3" Type="http://purl.oclc.org/ooxml/officeDocument/relationships/hyperlink" Target="https://www.sativum.es/" TargetMode="External"/><Relationship Id="rId21" Type="http://purl.oclc.org/ooxml/officeDocument/relationships/comments" Target="../comments1.xml"/><Relationship Id="rId7" Type="http://purl.oclc.org/ooxml/officeDocument/relationships/hyperlink" Target="https://silos.agrosmart.lt/" TargetMode="External"/><Relationship Id="rId12" Type="http://purl.oclc.org/ooxml/officeDocument/relationships/hyperlink" Target="http://www.gaiasense.gr/en/gaiasense" TargetMode="External"/><Relationship Id="rId17" Type="http://purl.oclc.org/ooxml/officeDocument/relationships/hyperlink" Target="https://www.anysolution.eu/en/productos/" TargetMode="External"/><Relationship Id="rId2" Type="http://purl.oclc.org/ooxml/officeDocument/relationships/hyperlink" Target="http://www.hidrosoph.com/EN/irristrat.html" TargetMode="External"/><Relationship Id="rId16" Type="http://purl.oclc.org/ooxml/officeDocument/relationships/hyperlink" Target="https://delphy.nl/en/services/data-driven-crop-management/" TargetMode="External"/><Relationship Id="rId20" Type="http://schemas.openxmlformats.org/officeDocument/2006/relationships/vmlDrawing" Target="../drawings/vmlDrawing1.vml"/><Relationship Id="rId1" Type="http://purl.oclc.org/ooxml/officeDocument/relationships/hyperlink" Target="http://www.gaiasense.gr/en/gaiasense" TargetMode="External"/><Relationship Id="rId6" Type="http://purl.oclc.org/ooxml/officeDocument/relationships/hyperlink" Target="http://www.gaiasense.gr/en/gaiasense" TargetMode="External"/><Relationship Id="rId11" Type="http://purl.oclc.org/ooxml/officeDocument/relationships/hyperlink" Target="https://fms.agricloud.ro/?lang=en" TargetMode="External"/><Relationship Id="rId5" Type="http://purl.oclc.org/ooxml/officeDocument/relationships/hyperlink" Target="https://www.horta-srl.it/granoduro-net-barilla/" TargetMode="External"/><Relationship Id="rId15" Type="http://purl.oclc.org/ooxml/officeDocument/relationships/hyperlink" Target="https://www.horta-srl.it/en/pomodoro-net/" TargetMode="External"/><Relationship Id="rId10" Type="http://purl.oclc.org/ooxml/officeDocument/relationships/hyperlink" Target="https://www.farm-manager.si/" TargetMode="External"/><Relationship Id="rId19" Type="http://purl.oclc.org/ooxml/officeDocument/relationships/drawing" Target="../drawings/drawing1.xml"/><Relationship Id="rId4" Type="http://purl.oclc.org/ooxml/officeDocument/relationships/hyperlink" Target="https://www.sativum.es/" TargetMode="External"/><Relationship Id="rId9" Type="http://purl.oclc.org/ooxml/officeDocument/relationships/hyperlink" Target="https://www.farm-manager.si/" TargetMode="External"/><Relationship Id="rId14" Type="http://purl.oclc.org/ooxml/officeDocument/relationships/hyperlink" Target="http://www.gaiasense.gr/en/gaiasense" TargetMode="External"/></Relationships>
</file>

<file path=xl/worksheets/_rels/sheet2.xml.rels><?xml version="1.0" encoding="UTF-8" standalone="yes"?>
<Relationships xmlns="http://schemas.openxmlformats.org/package/2006/relationships"><Relationship Id="rId8" Type="http://purl.oclc.org/ooxml/officeDocument/relationships/hyperlink" Target="https://www.farm-manager.si/" TargetMode="External"/><Relationship Id="rId13" Type="http://purl.oclc.org/ooxml/officeDocument/relationships/hyperlink" Target="https://www.horta-srl.it/vite-net/" TargetMode="External"/><Relationship Id="rId18" Type="http://purl.oclc.org/ooxml/officeDocument/relationships/hyperlink" Target="https://www.vanderendegroup.com/" TargetMode="External"/><Relationship Id="rId3" Type="http://purl.oclc.org/ooxml/officeDocument/relationships/hyperlink" Target="https://www.sativum.es/" TargetMode="External"/><Relationship Id="rId21" Type="http://purl.oclc.org/ooxml/officeDocument/relationships/comments" Target="../comments2.xml"/><Relationship Id="rId7" Type="http://purl.oclc.org/ooxml/officeDocument/relationships/hyperlink" Target="https://silos.agrosmart.lt/" TargetMode="External"/><Relationship Id="rId12" Type="http://purl.oclc.org/ooxml/officeDocument/relationships/hyperlink" Target="http://www.gaiasense.gr/en/gaiasense" TargetMode="External"/><Relationship Id="rId17" Type="http://purl.oclc.org/ooxml/officeDocument/relationships/hyperlink" Target="https://www.anysolution.eu/en/productos/" TargetMode="External"/><Relationship Id="rId2" Type="http://purl.oclc.org/ooxml/officeDocument/relationships/hyperlink" Target="http://www.hidrosoph.com/EN/irristrat.html" TargetMode="External"/><Relationship Id="rId16" Type="http://purl.oclc.org/ooxml/officeDocument/relationships/hyperlink" Target="https://delphy.nl/en/services/data-driven-crop-management/" TargetMode="External"/><Relationship Id="rId20" Type="http://schemas.openxmlformats.org/officeDocument/2006/relationships/vmlDrawing" Target="../drawings/vmlDrawing2.vml"/><Relationship Id="rId1" Type="http://purl.oclc.org/ooxml/officeDocument/relationships/hyperlink" Target="http://www.gaiasense.gr/en/gaiasense" TargetMode="External"/><Relationship Id="rId6" Type="http://purl.oclc.org/ooxml/officeDocument/relationships/hyperlink" Target="http://www.gaiasense.gr/en/gaiasense" TargetMode="External"/><Relationship Id="rId11" Type="http://purl.oclc.org/ooxml/officeDocument/relationships/hyperlink" Target="https://fms.agricloud.ro/?lang=en" TargetMode="External"/><Relationship Id="rId5" Type="http://purl.oclc.org/ooxml/officeDocument/relationships/hyperlink" Target="https://www.horta-srl.it/granoduro-net-barilla/" TargetMode="External"/><Relationship Id="rId15" Type="http://purl.oclc.org/ooxml/officeDocument/relationships/hyperlink" Target="https://www.horta-srl.it/en/pomodoro-net/" TargetMode="External"/><Relationship Id="rId10" Type="http://purl.oclc.org/ooxml/officeDocument/relationships/hyperlink" Target="https://www.farm-manager.si/" TargetMode="External"/><Relationship Id="rId19" Type="http://purl.oclc.org/ooxml/officeDocument/relationships/drawing" Target="../drawings/drawing2.xml"/><Relationship Id="rId4" Type="http://purl.oclc.org/ooxml/officeDocument/relationships/hyperlink" Target="https://www.sativum.es/" TargetMode="External"/><Relationship Id="rId9" Type="http://purl.oclc.org/ooxml/officeDocument/relationships/hyperlink" Target="https://www.farm-manager.si/" TargetMode="External"/><Relationship Id="rId14" Type="http://purl.oclc.org/ooxml/officeDocument/relationships/hyperlink" Target="http://www.gaiasense.gr/en/gaiasense" TargetMode="External"/></Relationships>
</file>

<file path=xl/worksheets/_rels/sheet3.xml.rels><?xml version="1.0" encoding="UTF-8" standalone="yes"?>
<Relationships xmlns="http://schemas.openxmlformats.org/package/2006/relationships"><Relationship Id="rId8" Type="http://schemas.openxmlformats.org/officeDocument/2006/relationships/vmlDrawing" Target="../drawings/vmlDrawing3.vml"/><Relationship Id="rId3" Type="http://purl.oclc.org/ooxml/officeDocument/relationships/hyperlink" Target="https://smaxtec.com/en/" TargetMode="External"/><Relationship Id="rId7" Type="http://purl.oclc.org/ooxml/officeDocument/relationships/drawing" Target="../drawings/drawing3.xml"/><Relationship Id="rId2" Type="http://purl.oclc.org/ooxml/officeDocument/relationships/hyperlink" Target="https://www.delaval.com/en-us/learn/advice/delaval-dairy-service/" TargetMode="External"/><Relationship Id="rId1" Type="http://purl.oclc.org/ooxml/officeDocument/relationships/hyperlink" Target="https://www.lely.com/" TargetMode="External"/><Relationship Id="rId6" Type="http://purl.oclc.org/ooxml/officeDocument/relationships/hyperlink" Target="https://bencobaltic.eu/" TargetMode="External"/><Relationship Id="rId5" Type="http://purl.oclc.org/ooxml/officeDocument/relationships/hyperlink" Target="https://www.art21.lt/en/projects/item/beehive-protection-monitoring-system.html" TargetMode="External"/><Relationship Id="rId4" Type="http://purl.oclc.org/ooxml/officeDocument/relationships/hyperlink" Target="https://boumatic.com/us_en/product-categories/us/products/milking/" TargetMode="External"/><Relationship Id="rId9" Type="http://purl.oclc.org/ooxml/officeDocument/relationships/comments" Target="../comments3.xml"/></Relationships>
</file>

<file path=xl/worksheets/sheet1.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I29"/>
  <sheetViews>
    <sheetView zoomScale="85" zoomScaleNormal="85" workbookViewId="0">
      <pane xSplit="3" ySplit="2" topLeftCell="D5" activePane="bottomRight" state="frozen"/>
      <selection pane="topRight" activeCell="D1" sqref="D1"/>
      <selection pane="bottomLeft" activeCell="A3" sqref="A3"/>
      <selection pane="bottomRight" activeCell="M8" sqref="A1:BH29"/>
    </sheetView>
  </sheetViews>
  <sheetFormatPr defaultColWidth="25.28515625" defaultRowHeight="15.75" customHeight="1" x14ac:dyDescent="0.2"/>
  <cols>
    <col min="1" max="2" width="25.28515625" hidden="1" customWidth="1"/>
    <col min="3" max="3" width="0" hidden="1" customWidth="1"/>
    <col min="4" max="11" width="25.28515625" hidden="1" customWidth="1"/>
  </cols>
  <sheetData>
    <row r="1" spans="1:61" ht="30.75" thickBot="1" x14ac:dyDescent="0.3">
      <c r="A1" s="1"/>
      <c r="B1" s="1"/>
      <c r="C1" s="1"/>
      <c r="D1" s="1"/>
      <c r="E1" s="1"/>
      <c r="F1" s="1"/>
      <c r="G1" s="1"/>
      <c r="H1" s="1"/>
      <c r="I1" s="1"/>
      <c r="J1" s="1"/>
      <c r="K1" s="2"/>
      <c r="L1" s="168" t="s">
        <v>0</v>
      </c>
      <c r="M1" s="169"/>
      <c r="N1" s="169"/>
      <c r="O1" s="169"/>
      <c r="P1" s="169"/>
      <c r="Q1" s="169"/>
      <c r="R1" s="169"/>
      <c r="S1" s="169"/>
      <c r="T1" s="170" t="s">
        <v>1</v>
      </c>
      <c r="U1" s="171"/>
      <c r="V1" s="171"/>
      <c r="W1" s="171"/>
      <c r="X1" s="171"/>
      <c r="Y1" s="172"/>
      <c r="Z1" s="3" t="s">
        <v>2</v>
      </c>
      <c r="AA1" s="170" t="s">
        <v>3</v>
      </c>
      <c r="AB1" s="171"/>
      <c r="AC1" s="171"/>
      <c r="AD1" s="171"/>
      <c r="AE1" s="171"/>
      <c r="AF1" s="171"/>
      <c r="AG1" s="172"/>
      <c r="AH1" s="173" t="s">
        <v>4</v>
      </c>
      <c r="AI1" s="165"/>
      <c r="AJ1" s="165"/>
      <c r="AK1" s="165"/>
      <c r="AL1" s="165"/>
      <c r="AM1" s="165"/>
      <c r="AN1" s="166"/>
      <c r="AO1" s="173" t="s">
        <v>5</v>
      </c>
      <c r="AP1" s="165"/>
      <c r="AQ1" s="165"/>
      <c r="AR1" s="165"/>
      <c r="AS1" s="165"/>
      <c r="AT1" s="165"/>
      <c r="AU1" s="166"/>
      <c r="AV1" s="174" t="s">
        <v>6</v>
      </c>
      <c r="AW1" s="165"/>
      <c r="AX1" s="166"/>
      <c r="AY1" s="174" t="s">
        <v>7</v>
      </c>
      <c r="AZ1" s="165"/>
      <c r="BA1" s="166"/>
      <c r="BB1" s="164" t="s">
        <v>8</v>
      </c>
      <c r="BC1" s="165"/>
      <c r="BD1" s="166"/>
      <c r="BE1" s="167" t="s">
        <v>9</v>
      </c>
      <c r="BF1" s="165"/>
      <c r="BG1" s="165"/>
      <c r="BH1" s="165"/>
      <c r="BI1" s="4"/>
    </row>
    <row r="2" spans="1:61" ht="118.5" customHeight="1" thickBot="1" x14ac:dyDescent="0.3">
      <c r="A2" s="5" t="s">
        <v>10</v>
      </c>
      <c r="B2" s="5" t="s">
        <v>11</v>
      </c>
      <c r="C2" s="6" t="s">
        <v>12</v>
      </c>
      <c r="D2" s="7" t="s">
        <v>13</v>
      </c>
      <c r="E2" s="7" t="s">
        <v>14</v>
      </c>
      <c r="F2" s="7" t="s">
        <v>15</v>
      </c>
      <c r="G2" s="7" t="s">
        <v>16</v>
      </c>
      <c r="H2" s="7" t="s">
        <v>17</v>
      </c>
      <c r="I2" s="7" t="s">
        <v>18</v>
      </c>
      <c r="J2" s="8" t="s">
        <v>372</v>
      </c>
      <c r="K2" s="9" t="s">
        <v>19</v>
      </c>
      <c r="L2" s="10" t="s">
        <v>20</v>
      </c>
      <c r="M2" s="11" t="s">
        <v>21</v>
      </c>
      <c r="N2" s="12" t="s">
        <v>22</v>
      </c>
      <c r="O2" s="12" t="s">
        <v>23</v>
      </c>
      <c r="P2" s="13" t="s">
        <v>24</v>
      </c>
      <c r="Q2" s="13" t="s">
        <v>25</v>
      </c>
      <c r="R2" s="14" t="s">
        <v>26</v>
      </c>
      <c r="S2" s="15" t="s">
        <v>27</v>
      </c>
      <c r="T2" s="16" t="s">
        <v>28</v>
      </c>
      <c r="U2" s="125" t="s">
        <v>29</v>
      </c>
      <c r="V2" s="125" t="s">
        <v>30</v>
      </c>
      <c r="W2" s="126" t="s">
        <v>31</v>
      </c>
      <c r="X2" s="127" t="s">
        <v>32</v>
      </c>
      <c r="Y2" s="128" t="s">
        <v>33</v>
      </c>
      <c r="Z2" s="129" t="s">
        <v>34</v>
      </c>
      <c r="AA2" s="130" t="s">
        <v>35</v>
      </c>
      <c r="AB2" s="17" t="s">
        <v>36</v>
      </c>
      <c r="AC2" s="17" t="s">
        <v>37</v>
      </c>
      <c r="AD2" s="18" t="s">
        <v>38</v>
      </c>
      <c r="AE2" s="19" t="s">
        <v>39</v>
      </c>
      <c r="AF2" s="19" t="s">
        <v>40</v>
      </c>
      <c r="AG2" s="20" t="s">
        <v>41</v>
      </c>
      <c r="AH2" s="16" t="s">
        <v>42</v>
      </c>
      <c r="AI2" s="17" t="s">
        <v>43</v>
      </c>
      <c r="AJ2" s="17" t="s">
        <v>44</v>
      </c>
      <c r="AK2" s="18" t="s">
        <v>45</v>
      </c>
      <c r="AL2" s="19" t="s">
        <v>46</v>
      </c>
      <c r="AM2" s="19" t="s">
        <v>47</v>
      </c>
      <c r="AN2" s="20" t="s">
        <v>48</v>
      </c>
      <c r="AO2" s="16" t="s">
        <v>49</v>
      </c>
      <c r="AP2" s="17" t="s">
        <v>50</v>
      </c>
      <c r="AQ2" s="17" t="s">
        <v>51</v>
      </c>
      <c r="AR2" s="18" t="s">
        <v>52</v>
      </c>
      <c r="AS2" s="19" t="s">
        <v>53</v>
      </c>
      <c r="AT2" s="19" t="s">
        <v>54</v>
      </c>
      <c r="AU2" s="20" t="s">
        <v>55</v>
      </c>
      <c r="AV2" s="16" t="s">
        <v>56</v>
      </c>
      <c r="AW2" s="17" t="s">
        <v>57</v>
      </c>
      <c r="AX2" s="20" t="s">
        <v>58</v>
      </c>
      <c r="AY2" s="16" t="s">
        <v>59</v>
      </c>
      <c r="AZ2" s="17" t="s">
        <v>60</v>
      </c>
      <c r="BA2" s="20" t="s">
        <v>61</v>
      </c>
      <c r="BB2" s="21" t="s">
        <v>62</v>
      </c>
      <c r="BC2" s="17" t="s">
        <v>63</v>
      </c>
      <c r="BD2" s="20" t="s">
        <v>64</v>
      </c>
      <c r="BE2" s="22" t="s">
        <v>65</v>
      </c>
      <c r="BF2" s="23" t="s">
        <v>66</v>
      </c>
      <c r="BG2" s="24" t="s">
        <v>67</v>
      </c>
      <c r="BH2" s="24" t="s">
        <v>68</v>
      </c>
      <c r="BI2" s="24"/>
    </row>
    <row r="3" spans="1:61" ht="150.75" customHeight="1" thickBot="1" x14ac:dyDescent="0.3">
      <c r="A3" s="25" t="s">
        <v>69</v>
      </c>
      <c r="B3" s="26" t="s">
        <v>70</v>
      </c>
      <c r="C3" s="27" t="s">
        <v>71</v>
      </c>
      <c r="D3" s="28" t="s">
        <v>72</v>
      </c>
      <c r="E3" s="29" t="s">
        <v>73</v>
      </c>
      <c r="F3" s="30" t="s">
        <v>74</v>
      </c>
      <c r="G3" s="31" t="s">
        <v>75</v>
      </c>
      <c r="H3" s="26" t="s">
        <v>76</v>
      </c>
      <c r="I3" s="32" t="s">
        <v>77</v>
      </c>
      <c r="J3" s="26" t="s">
        <v>78</v>
      </c>
      <c r="K3" s="33" t="s">
        <v>79</v>
      </c>
      <c r="L3" s="34">
        <v>10</v>
      </c>
      <c r="M3" s="35">
        <v>5</v>
      </c>
      <c r="N3" s="36">
        <v>450</v>
      </c>
      <c r="O3" s="36">
        <v>0</v>
      </c>
      <c r="P3" s="36">
        <v>300</v>
      </c>
      <c r="Q3" s="36">
        <v>60</v>
      </c>
      <c r="R3" s="35">
        <f t="shared" ref="R3:R29" si="0">IF(S3&lt;500,0,S3/M3)</f>
        <v>270</v>
      </c>
      <c r="S3" s="35">
        <f t="shared" ref="S3:S29" si="1">N3+(O3*L3)+P3+(Q3*L3)</f>
        <v>1350</v>
      </c>
      <c r="T3" s="37">
        <v>1.9</v>
      </c>
      <c r="U3" s="34">
        <v>12</v>
      </c>
      <c r="V3" s="34">
        <v>160</v>
      </c>
      <c r="W3" s="34">
        <f t="shared" ref="W3:W29" si="2">U3*V3*L3</f>
        <v>19200</v>
      </c>
      <c r="X3" s="34">
        <f t="shared" ref="X3:X29" si="3">U3*(1+T3%)</f>
        <v>12.227999999999998</v>
      </c>
      <c r="Y3" s="34">
        <f t="shared" ref="Y3:Y29" si="4">X3*V3</f>
        <v>1956.4799999999996</v>
      </c>
      <c r="Z3" s="34">
        <f t="shared" ref="Z3:Z29" si="5">(Y3*L3)-W3</f>
        <v>364.79999999999563</v>
      </c>
      <c r="AA3" s="38">
        <v>54.4</v>
      </c>
      <c r="AB3" s="34">
        <v>160</v>
      </c>
      <c r="AC3" s="34">
        <v>0.8</v>
      </c>
      <c r="AD3" s="34">
        <f t="shared" ref="AD3:AD29" si="6">AB3*AC3</f>
        <v>128</v>
      </c>
      <c r="AE3" s="34">
        <f t="shared" ref="AE3:AE29" si="7">AB3*(1+AA3%)</f>
        <v>247.04000000000002</v>
      </c>
      <c r="AF3" s="34">
        <f t="shared" ref="AF3:AF29" si="8">AE3*AC3</f>
        <v>197.63200000000003</v>
      </c>
      <c r="AG3" s="34">
        <f t="shared" ref="AG3:AG29" si="9">AF3*L3</f>
        <v>1976.3200000000004</v>
      </c>
      <c r="AH3" s="38">
        <v>161.30000000000001</v>
      </c>
      <c r="AI3" s="34">
        <v>2.5</v>
      </c>
      <c r="AJ3" s="34">
        <v>14</v>
      </c>
      <c r="AK3" s="34">
        <f t="shared" ref="AK3:AK29" si="10">AI3*AJ3</f>
        <v>35</v>
      </c>
      <c r="AL3" s="34">
        <f t="shared" ref="AL3:AL29" si="11">AI3*(1+AH3%)</f>
        <v>6.5325000000000006</v>
      </c>
      <c r="AM3" s="34">
        <f t="shared" ref="AM3:AM29" si="12">AL3*AJ3</f>
        <v>91.455000000000013</v>
      </c>
      <c r="AN3" s="34">
        <f t="shared" ref="AN3:AN29" si="13">AM3*L3</f>
        <v>914.55000000000018</v>
      </c>
      <c r="AO3" s="38">
        <v>-27</v>
      </c>
      <c r="AP3" s="34">
        <v>2500</v>
      </c>
      <c r="AQ3" s="34">
        <v>0.2</v>
      </c>
      <c r="AR3" s="34">
        <f t="shared" ref="AR3:AR29" si="14">AP3*AQ3</f>
        <v>500</v>
      </c>
      <c r="AS3" s="34">
        <f t="shared" ref="AS3:AS29" si="15">AP3*(1+AO3%)</f>
        <v>1825</v>
      </c>
      <c r="AT3" s="34">
        <f t="shared" ref="AT3:AT29" si="16">AS3*AQ3</f>
        <v>365</v>
      </c>
      <c r="AU3" s="34">
        <f t="shared" ref="AU3:AU29" si="17">AT3*L3</f>
        <v>3650</v>
      </c>
      <c r="AV3" s="38">
        <v>-12.5</v>
      </c>
      <c r="AW3" s="34">
        <v>2000</v>
      </c>
      <c r="AX3" s="34">
        <f t="shared" ref="AX3:AX29" si="18">AW3*(1+AV3%)</f>
        <v>1750</v>
      </c>
      <c r="AY3" s="38">
        <v>-19.3</v>
      </c>
      <c r="AZ3" s="34">
        <v>3000</v>
      </c>
      <c r="BA3" s="34">
        <f t="shared" ref="BA3:BA29" si="19">AZ3*(1+AY3%)</f>
        <v>2421</v>
      </c>
      <c r="BB3" s="38">
        <v>-26.7</v>
      </c>
      <c r="BC3" s="34">
        <v>1000</v>
      </c>
      <c r="BD3" s="34">
        <f t="shared" ref="BD3:BD29" si="20">BC3*(1+BB3%)</f>
        <v>733</v>
      </c>
      <c r="BE3" s="34">
        <f t="shared" ref="BE3:BE29" si="21">Z3+((AD3-AF3)*L3)+((AK3-AM3)*L3)+((AR3-AT3)*L3)+(AW3-AX3)+(AZ3-BA3)+(BC3-BD3)-P3-(Q3*L3)-R3</f>
        <v>379.92999999999506</v>
      </c>
      <c r="BF3" s="39">
        <f t="shared" ref="BF3:BF29" si="22">IF(S3&gt;0,((BE3/S3)),"The DAT is free")</f>
        <v>0.28142962962962598</v>
      </c>
      <c r="BG3" s="34">
        <f t="shared" ref="BG3:BG29" si="23">IF(BE3&gt;0,(S3/BE3),"Payback period not applicable: the investment does not recover its cost under current conditions.")</f>
        <v>3.5532861316558777</v>
      </c>
      <c r="BH3" s="40" t="str">
        <f t="shared" ref="BH3:BH29" si="24">IF(BG3&lt;6,"YES","NO")</f>
        <v>YES</v>
      </c>
    </row>
    <row r="4" spans="1:61" ht="79.5" customHeight="1" thickBot="1" x14ac:dyDescent="0.3">
      <c r="A4" s="25" t="s">
        <v>69</v>
      </c>
      <c r="B4" s="26" t="s">
        <v>70</v>
      </c>
      <c r="C4" s="27" t="s">
        <v>80</v>
      </c>
      <c r="D4" s="41" t="s">
        <v>81</v>
      </c>
      <c r="E4" s="42" t="s">
        <v>82</v>
      </c>
      <c r="F4" s="42" t="s">
        <v>83</v>
      </c>
      <c r="G4" s="43" t="s">
        <v>84</v>
      </c>
      <c r="H4" s="44" t="s">
        <v>85</v>
      </c>
      <c r="I4" s="45" t="s">
        <v>86</v>
      </c>
      <c r="J4" s="46" t="s">
        <v>87</v>
      </c>
      <c r="K4" s="47" t="s">
        <v>88</v>
      </c>
      <c r="L4" s="34">
        <v>10</v>
      </c>
      <c r="M4" s="35">
        <v>3</v>
      </c>
      <c r="N4" s="34">
        <v>31500</v>
      </c>
      <c r="O4" s="36">
        <v>0</v>
      </c>
      <c r="P4" s="34">
        <v>0</v>
      </c>
      <c r="Q4" s="34">
        <v>97.2</v>
      </c>
      <c r="R4" s="35">
        <f t="shared" si="0"/>
        <v>10824</v>
      </c>
      <c r="S4" s="35">
        <f t="shared" si="1"/>
        <v>32472</v>
      </c>
      <c r="T4" s="38">
        <v>9.6</v>
      </c>
      <c r="U4" s="34">
        <v>6.5</v>
      </c>
      <c r="V4" s="34">
        <v>250</v>
      </c>
      <c r="W4" s="34">
        <f t="shared" si="2"/>
        <v>16250</v>
      </c>
      <c r="X4" s="34">
        <f t="shared" si="3"/>
        <v>7.1240000000000006</v>
      </c>
      <c r="Y4" s="34">
        <f t="shared" si="4"/>
        <v>1781.0000000000002</v>
      </c>
      <c r="Z4" s="34">
        <f t="shared" si="5"/>
        <v>1560.0000000000036</v>
      </c>
      <c r="AA4" s="38">
        <v>0</v>
      </c>
      <c r="AB4" s="34">
        <v>0</v>
      </c>
      <c r="AC4" s="34">
        <v>0</v>
      </c>
      <c r="AD4" s="34">
        <f t="shared" si="6"/>
        <v>0</v>
      </c>
      <c r="AE4" s="34">
        <f t="shared" si="7"/>
        <v>0</v>
      </c>
      <c r="AF4" s="34">
        <f t="shared" si="8"/>
        <v>0</v>
      </c>
      <c r="AG4" s="34">
        <f t="shared" si="9"/>
        <v>0</v>
      </c>
      <c r="AH4" s="38">
        <v>0</v>
      </c>
      <c r="AI4" s="34">
        <v>0</v>
      </c>
      <c r="AJ4" s="34">
        <v>0</v>
      </c>
      <c r="AK4" s="34">
        <f t="shared" si="10"/>
        <v>0</v>
      </c>
      <c r="AL4" s="34">
        <f t="shared" si="11"/>
        <v>0</v>
      </c>
      <c r="AM4" s="34">
        <f t="shared" si="12"/>
        <v>0</v>
      </c>
      <c r="AN4" s="34">
        <f t="shared" si="13"/>
        <v>0</v>
      </c>
      <c r="AO4" s="38">
        <v>-54</v>
      </c>
      <c r="AP4" s="34">
        <v>3000</v>
      </c>
      <c r="AQ4" s="34">
        <v>0.2</v>
      </c>
      <c r="AR4" s="34">
        <f t="shared" si="14"/>
        <v>600</v>
      </c>
      <c r="AS4" s="34">
        <f t="shared" si="15"/>
        <v>1380</v>
      </c>
      <c r="AT4" s="34">
        <f t="shared" si="16"/>
        <v>276</v>
      </c>
      <c r="AU4" s="34">
        <f t="shared" si="17"/>
        <v>2760</v>
      </c>
      <c r="AV4" s="38">
        <v>146</v>
      </c>
      <c r="AW4" s="34">
        <v>2000</v>
      </c>
      <c r="AX4" s="34">
        <f t="shared" si="18"/>
        <v>4920</v>
      </c>
      <c r="AY4" s="38">
        <v>0</v>
      </c>
      <c r="AZ4" s="34">
        <v>0</v>
      </c>
      <c r="BA4" s="34">
        <f t="shared" si="19"/>
        <v>0</v>
      </c>
      <c r="BB4" s="38">
        <v>-48.2</v>
      </c>
      <c r="BC4" s="34">
        <v>1000</v>
      </c>
      <c r="BD4" s="34">
        <f t="shared" si="20"/>
        <v>518</v>
      </c>
      <c r="BE4" s="34">
        <f t="shared" si="21"/>
        <v>-9433.9999999999964</v>
      </c>
      <c r="BF4" s="39">
        <f t="shared" si="22"/>
        <v>-0.29052722345405263</v>
      </c>
      <c r="BG4" s="34" t="str">
        <f t="shared" si="23"/>
        <v>Payback period not applicable: the investment does not recover its cost under current conditions.</v>
      </c>
      <c r="BH4" s="40" t="str">
        <f t="shared" si="24"/>
        <v>NO</v>
      </c>
    </row>
    <row r="5" spans="1:61" ht="409.6" thickBot="1" x14ac:dyDescent="0.3">
      <c r="A5" s="25" t="s">
        <v>69</v>
      </c>
      <c r="B5" s="26" t="s">
        <v>70</v>
      </c>
      <c r="C5" s="48" t="s">
        <v>89</v>
      </c>
      <c r="D5" s="49" t="s">
        <v>90</v>
      </c>
      <c r="E5" s="29" t="s">
        <v>91</v>
      </c>
      <c r="F5" s="42" t="s">
        <v>92</v>
      </c>
      <c r="G5" s="31" t="s">
        <v>93</v>
      </c>
      <c r="H5" s="50" t="s">
        <v>94</v>
      </c>
      <c r="I5" s="51" t="s">
        <v>95</v>
      </c>
      <c r="J5" s="52" t="s">
        <v>96</v>
      </c>
      <c r="K5" s="47" t="s">
        <v>97</v>
      </c>
      <c r="L5" s="34">
        <v>10</v>
      </c>
      <c r="M5" s="35">
        <v>3</v>
      </c>
      <c r="N5" s="34">
        <v>0</v>
      </c>
      <c r="O5" s="36">
        <v>0</v>
      </c>
      <c r="P5" s="34">
        <v>0</v>
      </c>
      <c r="Q5" s="34">
        <v>0</v>
      </c>
      <c r="R5" s="35">
        <f t="shared" si="0"/>
        <v>0</v>
      </c>
      <c r="S5" s="35">
        <f t="shared" si="1"/>
        <v>0</v>
      </c>
      <c r="T5" s="38">
        <v>-8.9</v>
      </c>
      <c r="U5" s="34">
        <v>5</v>
      </c>
      <c r="V5" s="34">
        <v>200</v>
      </c>
      <c r="W5" s="34">
        <f t="shared" si="2"/>
        <v>10000</v>
      </c>
      <c r="X5" s="34">
        <f t="shared" si="3"/>
        <v>4.5549999999999997</v>
      </c>
      <c r="Y5" s="34">
        <f t="shared" si="4"/>
        <v>911</v>
      </c>
      <c r="Z5" s="34">
        <f t="shared" si="5"/>
        <v>-890</v>
      </c>
      <c r="AA5" s="38">
        <v>-14</v>
      </c>
      <c r="AB5" s="34">
        <v>130</v>
      </c>
      <c r="AC5" s="34">
        <v>0.5</v>
      </c>
      <c r="AD5" s="34">
        <f t="shared" si="6"/>
        <v>65</v>
      </c>
      <c r="AE5" s="34">
        <f t="shared" si="7"/>
        <v>111.8</v>
      </c>
      <c r="AF5" s="34">
        <f t="shared" si="8"/>
        <v>55.9</v>
      </c>
      <c r="AG5" s="34">
        <f t="shared" si="9"/>
        <v>559</v>
      </c>
      <c r="AH5" s="38">
        <v>-35</v>
      </c>
      <c r="AI5" s="34">
        <v>4</v>
      </c>
      <c r="AJ5" s="34">
        <v>10</v>
      </c>
      <c r="AK5" s="34">
        <f t="shared" si="10"/>
        <v>40</v>
      </c>
      <c r="AL5" s="34">
        <f t="shared" si="11"/>
        <v>2.6</v>
      </c>
      <c r="AM5" s="34">
        <f t="shared" si="12"/>
        <v>26</v>
      </c>
      <c r="AN5" s="34">
        <f t="shared" si="13"/>
        <v>260</v>
      </c>
      <c r="AO5" s="38">
        <v>0</v>
      </c>
      <c r="AP5" s="34">
        <v>0</v>
      </c>
      <c r="AQ5" s="34">
        <v>0</v>
      </c>
      <c r="AR5" s="34">
        <f t="shared" si="14"/>
        <v>0</v>
      </c>
      <c r="AS5" s="34">
        <f t="shared" si="15"/>
        <v>0</v>
      </c>
      <c r="AT5" s="34">
        <f t="shared" si="16"/>
        <v>0</v>
      </c>
      <c r="AU5" s="34">
        <f t="shared" si="17"/>
        <v>0</v>
      </c>
      <c r="AV5" s="38">
        <v>-13.6</v>
      </c>
      <c r="AW5" s="34">
        <v>2000</v>
      </c>
      <c r="AX5" s="34">
        <f t="shared" si="18"/>
        <v>1728</v>
      </c>
      <c r="AY5" s="38">
        <v>5.0999999999999996</v>
      </c>
      <c r="AZ5" s="34">
        <v>300</v>
      </c>
      <c r="BA5" s="34">
        <f t="shared" si="19"/>
        <v>315.29999999999995</v>
      </c>
      <c r="BB5" s="38">
        <v>0</v>
      </c>
      <c r="BC5" s="34">
        <v>0</v>
      </c>
      <c r="BD5" s="34">
        <f t="shared" si="20"/>
        <v>0</v>
      </c>
      <c r="BE5" s="34">
        <f t="shared" si="21"/>
        <v>-402.29999999999995</v>
      </c>
      <c r="BF5" s="39" t="str">
        <f t="shared" si="22"/>
        <v>The DAT is free</v>
      </c>
      <c r="BG5" s="34" t="str">
        <f t="shared" si="23"/>
        <v>Payback period not applicable: the investment does not recover its cost under current conditions.</v>
      </c>
      <c r="BH5" s="40" t="str">
        <f t="shared" si="24"/>
        <v>NO</v>
      </c>
    </row>
    <row r="6" spans="1:61" ht="409.6" thickBot="1" x14ac:dyDescent="0.3">
      <c r="A6" s="25" t="s">
        <v>69</v>
      </c>
      <c r="B6" s="26" t="s">
        <v>70</v>
      </c>
      <c r="C6" s="48" t="s">
        <v>89</v>
      </c>
      <c r="D6" s="49" t="s">
        <v>98</v>
      </c>
      <c r="E6" s="29" t="s">
        <v>91</v>
      </c>
      <c r="F6" s="42" t="s">
        <v>99</v>
      </c>
      <c r="G6" s="31" t="s">
        <v>93</v>
      </c>
      <c r="H6" s="50" t="s">
        <v>94</v>
      </c>
      <c r="I6" s="51" t="s">
        <v>95</v>
      </c>
      <c r="J6" s="52" t="s">
        <v>96</v>
      </c>
      <c r="K6" s="47" t="s">
        <v>100</v>
      </c>
      <c r="L6" s="34">
        <v>10</v>
      </c>
      <c r="M6" s="35">
        <v>3</v>
      </c>
      <c r="N6" s="34">
        <v>0</v>
      </c>
      <c r="O6" s="36">
        <v>0</v>
      </c>
      <c r="P6" s="34">
        <v>0</v>
      </c>
      <c r="Q6" s="34">
        <v>0</v>
      </c>
      <c r="R6" s="35">
        <f t="shared" si="0"/>
        <v>0</v>
      </c>
      <c r="S6" s="35">
        <f t="shared" si="1"/>
        <v>0</v>
      </c>
      <c r="T6" s="38">
        <v>-15.6</v>
      </c>
      <c r="U6" s="34">
        <v>5</v>
      </c>
      <c r="V6" s="34">
        <v>200</v>
      </c>
      <c r="W6" s="34">
        <f t="shared" si="2"/>
        <v>10000</v>
      </c>
      <c r="X6" s="34">
        <f t="shared" si="3"/>
        <v>4.22</v>
      </c>
      <c r="Y6" s="34">
        <f t="shared" si="4"/>
        <v>844</v>
      </c>
      <c r="Z6" s="34">
        <f t="shared" si="5"/>
        <v>-1560</v>
      </c>
      <c r="AA6" s="38">
        <v>-18.3</v>
      </c>
      <c r="AB6" s="34">
        <v>130</v>
      </c>
      <c r="AC6" s="34">
        <v>0.5</v>
      </c>
      <c r="AD6" s="34">
        <f t="shared" si="6"/>
        <v>65</v>
      </c>
      <c r="AE6" s="34">
        <f t="shared" si="7"/>
        <v>106.21</v>
      </c>
      <c r="AF6" s="34">
        <f t="shared" si="8"/>
        <v>53.104999999999997</v>
      </c>
      <c r="AG6" s="34">
        <f t="shared" si="9"/>
        <v>531.04999999999995</v>
      </c>
      <c r="AH6" s="38">
        <v>-4.4000000000000004</v>
      </c>
      <c r="AI6" s="34">
        <v>4</v>
      </c>
      <c r="AJ6" s="34">
        <v>10</v>
      </c>
      <c r="AK6" s="34">
        <f t="shared" si="10"/>
        <v>40</v>
      </c>
      <c r="AL6" s="34">
        <f t="shared" si="11"/>
        <v>3.8239999999999998</v>
      </c>
      <c r="AM6" s="34">
        <f t="shared" si="12"/>
        <v>38.239999999999995</v>
      </c>
      <c r="AN6" s="34">
        <f t="shared" si="13"/>
        <v>382.4</v>
      </c>
      <c r="AO6" s="38">
        <v>0</v>
      </c>
      <c r="AP6" s="34">
        <v>0</v>
      </c>
      <c r="AQ6" s="34">
        <v>0</v>
      </c>
      <c r="AR6" s="34">
        <f t="shared" si="14"/>
        <v>0</v>
      </c>
      <c r="AS6" s="34">
        <f t="shared" si="15"/>
        <v>0</v>
      </c>
      <c r="AT6" s="34">
        <f t="shared" si="16"/>
        <v>0</v>
      </c>
      <c r="AU6" s="34">
        <f t="shared" si="17"/>
        <v>0</v>
      </c>
      <c r="AV6" s="38">
        <v>17.7</v>
      </c>
      <c r="AW6" s="34">
        <v>2000</v>
      </c>
      <c r="AX6" s="34">
        <f t="shared" si="18"/>
        <v>2354</v>
      </c>
      <c r="AY6" s="38">
        <v>3.1</v>
      </c>
      <c r="AZ6" s="34">
        <v>300</v>
      </c>
      <c r="BA6" s="34">
        <f t="shared" si="19"/>
        <v>309.29999999999995</v>
      </c>
      <c r="BB6" s="38">
        <v>0</v>
      </c>
      <c r="BC6" s="34">
        <v>0</v>
      </c>
      <c r="BD6" s="34">
        <f t="shared" si="20"/>
        <v>0</v>
      </c>
      <c r="BE6" s="34">
        <f t="shared" si="21"/>
        <v>-1786.7499999999998</v>
      </c>
      <c r="BF6" s="39" t="str">
        <f t="shared" si="22"/>
        <v>The DAT is free</v>
      </c>
      <c r="BG6" s="34" t="str">
        <f t="shared" si="23"/>
        <v>Payback period not applicable: the investment does not recover its cost under current conditions.</v>
      </c>
      <c r="BH6" s="40" t="str">
        <f t="shared" si="24"/>
        <v>NO</v>
      </c>
    </row>
    <row r="7" spans="1:61" ht="90.75" customHeight="1" thickBot="1" x14ac:dyDescent="0.3">
      <c r="A7" s="25" t="s">
        <v>69</v>
      </c>
      <c r="B7" s="53" t="s">
        <v>101</v>
      </c>
      <c r="C7" s="54" t="s">
        <v>102</v>
      </c>
      <c r="D7" s="54" t="s">
        <v>103</v>
      </c>
      <c r="E7" s="55" t="s">
        <v>73</v>
      </c>
      <c r="F7" s="56" t="s">
        <v>83</v>
      </c>
      <c r="G7" s="31" t="s">
        <v>104</v>
      </c>
      <c r="H7" s="50" t="s">
        <v>105</v>
      </c>
      <c r="I7" s="51" t="s">
        <v>106</v>
      </c>
      <c r="J7" s="52" t="s">
        <v>107</v>
      </c>
      <c r="K7" s="47" t="s">
        <v>108</v>
      </c>
      <c r="L7" s="34">
        <v>10</v>
      </c>
      <c r="M7" s="35">
        <v>3</v>
      </c>
      <c r="N7" s="57">
        <v>0</v>
      </c>
      <c r="O7" s="57">
        <v>24000</v>
      </c>
      <c r="P7" s="34">
        <v>50</v>
      </c>
      <c r="Q7" s="34">
        <v>1.97</v>
      </c>
      <c r="R7" s="35">
        <f t="shared" si="0"/>
        <v>80023.233333333337</v>
      </c>
      <c r="S7" s="35">
        <f t="shared" si="1"/>
        <v>240069.7</v>
      </c>
      <c r="T7" s="38">
        <v>-5.0999999999999996</v>
      </c>
      <c r="U7" s="34">
        <v>8</v>
      </c>
      <c r="V7" s="34">
        <v>230</v>
      </c>
      <c r="W7" s="34">
        <f t="shared" si="2"/>
        <v>18400</v>
      </c>
      <c r="X7" s="34">
        <f t="shared" si="3"/>
        <v>7.5919999999999996</v>
      </c>
      <c r="Y7" s="34">
        <f t="shared" si="4"/>
        <v>1746.1599999999999</v>
      </c>
      <c r="Z7" s="34">
        <f t="shared" si="5"/>
        <v>-938.40000000000146</v>
      </c>
      <c r="AA7" s="38">
        <v>-13.6</v>
      </c>
      <c r="AB7" s="34">
        <v>140</v>
      </c>
      <c r="AC7" s="34">
        <v>0.65</v>
      </c>
      <c r="AD7" s="34">
        <f t="shared" si="6"/>
        <v>91</v>
      </c>
      <c r="AE7" s="34">
        <f t="shared" si="7"/>
        <v>120.96</v>
      </c>
      <c r="AF7" s="34">
        <f t="shared" si="8"/>
        <v>78.623999999999995</v>
      </c>
      <c r="AG7" s="34">
        <f t="shared" si="9"/>
        <v>786.24</v>
      </c>
      <c r="AH7" s="38">
        <v>-23</v>
      </c>
      <c r="AI7" s="34">
        <v>5</v>
      </c>
      <c r="AJ7" s="34">
        <v>12</v>
      </c>
      <c r="AK7" s="34">
        <f t="shared" si="10"/>
        <v>60</v>
      </c>
      <c r="AL7" s="34">
        <f t="shared" si="11"/>
        <v>3.85</v>
      </c>
      <c r="AM7" s="34">
        <f t="shared" si="12"/>
        <v>46.2</v>
      </c>
      <c r="AN7" s="34">
        <f t="shared" si="13"/>
        <v>462</v>
      </c>
      <c r="AO7" s="38">
        <v>0</v>
      </c>
      <c r="AP7" s="34">
        <v>0</v>
      </c>
      <c r="AQ7" s="34">
        <v>0</v>
      </c>
      <c r="AR7" s="34">
        <f t="shared" si="14"/>
        <v>0</v>
      </c>
      <c r="AS7" s="34">
        <f t="shared" si="15"/>
        <v>0</v>
      </c>
      <c r="AT7" s="34">
        <f t="shared" si="16"/>
        <v>0</v>
      </c>
      <c r="AU7" s="34">
        <f t="shared" si="17"/>
        <v>0</v>
      </c>
      <c r="AV7" s="38">
        <v>0</v>
      </c>
      <c r="AW7" s="34">
        <v>0</v>
      </c>
      <c r="AX7" s="34">
        <f t="shared" si="18"/>
        <v>0</v>
      </c>
      <c r="AY7" s="38">
        <v>0</v>
      </c>
      <c r="AZ7" s="34">
        <v>0</v>
      </c>
      <c r="BA7" s="34">
        <f t="shared" si="19"/>
        <v>0</v>
      </c>
      <c r="BB7" s="38">
        <v>0</v>
      </c>
      <c r="BC7" s="34">
        <v>0</v>
      </c>
      <c r="BD7" s="34">
        <f t="shared" si="20"/>
        <v>0</v>
      </c>
      <c r="BE7" s="34">
        <f t="shared" si="21"/>
        <v>-80769.573333333334</v>
      </c>
      <c r="BF7" s="39">
        <f t="shared" si="22"/>
        <v>-0.33644218047231006</v>
      </c>
      <c r="BG7" s="34" t="str">
        <f t="shared" si="23"/>
        <v>Payback period not applicable: the investment does not recover its cost under current conditions.</v>
      </c>
      <c r="BH7" s="40" t="str">
        <f t="shared" si="24"/>
        <v>NO</v>
      </c>
    </row>
    <row r="8" spans="1:61" ht="409.6" thickBot="1" x14ac:dyDescent="0.3">
      <c r="A8" s="25" t="s">
        <v>69</v>
      </c>
      <c r="B8" s="26" t="s">
        <v>70</v>
      </c>
      <c r="C8" s="58" t="s">
        <v>109</v>
      </c>
      <c r="D8" s="58" t="s">
        <v>110</v>
      </c>
      <c r="E8" s="29" t="s">
        <v>111</v>
      </c>
      <c r="F8" s="30" t="s">
        <v>99</v>
      </c>
      <c r="G8" s="31" t="s">
        <v>112</v>
      </c>
      <c r="H8" s="50" t="s">
        <v>113</v>
      </c>
      <c r="I8" s="59" t="s">
        <v>114</v>
      </c>
      <c r="J8" s="52" t="s">
        <v>115</v>
      </c>
      <c r="K8" s="47" t="s">
        <v>116</v>
      </c>
      <c r="L8" s="34">
        <v>10</v>
      </c>
      <c r="M8" s="35">
        <v>3</v>
      </c>
      <c r="N8" s="34">
        <v>0</v>
      </c>
      <c r="O8" s="34">
        <v>0</v>
      </c>
      <c r="P8" s="34">
        <v>158</v>
      </c>
      <c r="Q8" s="34">
        <v>4</v>
      </c>
      <c r="R8" s="35">
        <f t="shared" si="0"/>
        <v>0</v>
      </c>
      <c r="S8" s="35">
        <f t="shared" si="1"/>
        <v>198</v>
      </c>
      <c r="T8" s="38">
        <v>3.5</v>
      </c>
      <c r="U8" s="34">
        <v>7</v>
      </c>
      <c r="V8" s="34">
        <v>200</v>
      </c>
      <c r="W8" s="34">
        <f t="shared" si="2"/>
        <v>14000</v>
      </c>
      <c r="X8" s="34">
        <f t="shared" si="3"/>
        <v>7.2449999999999992</v>
      </c>
      <c r="Y8" s="34">
        <f t="shared" si="4"/>
        <v>1448.9999999999998</v>
      </c>
      <c r="Z8" s="34">
        <f t="shared" si="5"/>
        <v>489.99999999999818</v>
      </c>
      <c r="AA8" s="38">
        <v>-29.2</v>
      </c>
      <c r="AB8" s="34">
        <v>160</v>
      </c>
      <c r="AC8" s="34">
        <v>0.8</v>
      </c>
      <c r="AD8" s="34">
        <f t="shared" si="6"/>
        <v>128</v>
      </c>
      <c r="AE8" s="34">
        <f t="shared" si="7"/>
        <v>113.28</v>
      </c>
      <c r="AF8" s="34">
        <f t="shared" si="8"/>
        <v>90.624000000000009</v>
      </c>
      <c r="AG8" s="34">
        <f t="shared" si="9"/>
        <v>906.24000000000012</v>
      </c>
      <c r="AH8" s="38">
        <v>12.5</v>
      </c>
      <c r="AI8" s="34">
        <v>3</v>
      </c>
      <c r="AJ8" s="34">
        <v>11</v>
      </c>
      <c r="AK8" s="34">
        <f t="shared" si="10"/>
        <v>33</v>
      </c>
      <c r="AL8" s="34">
        <f t="shared" si="11"/>
        <v>3.375</v>
      </c>
      <c r="AM8" s="34">
        <f t="shared" si="12"/>
        <v>37.125</v>
      </c>
      <c r="AN8" s="34">
        <f t="shared" si="13"/>
        <v>371.25</v>
      </c>
      <c r="AO8" s="38">
        <v>54</v>
      </c>
      <c r="AP8" s="34">
        <v>2000</v>
      </c>
      <c r="AQ8" s="34">
        <v>0.15</v>
      </c>
      <c r="AR8" s="34">
        <f t="shared" si="14"/>
        <v>300</v>
      </c>
      <c r="AS8" s="34">
        <f t="shared" si="15"/>
        <v>3080</v>
      </c>
      <c r="AT8" s="34">
        <f t="shared" si="16"/>
        <v>462</v>
      </c>
      <c r="AU8" s="34">
        <f t="shared" si="17"/>
        <v>4620</v>
      </c>
      <c r="AV8" s="38">
        <v>-21.1</v>
      </c>
      <c r="AW8" s="34">
        <v>2000</v>
      </c>
      <c r="AX8" s="34">
        <f t="shared" si="18"/>
        <v>1577.9999999999998</v>
      </c>
      <c r="AY8" s="38">
        <v>8.3000000000000007</v>
      </c>
      <c r="AZ8" s="34">
        <v>300</v>
      </c>
      <c r="BA8" s="34">
        <f t="shared" si="19"/>
        <v>324.89999999999998</v>
      </c>
      <c r="BB8" s="38">
        <v>0</v>
      </c>
      <c r="BC8" s="34">
        <v>0</v>
      </c>
      <c r="BD8" s="34">
        <f t="shared" si="20"/>
        <v>0</v>
      </c>
      <c r="BE8" s="34">
        <f t="shared" si="21"/>
        <v>-598.39000000000169</v>
      </c>
      <c r="BF8" s="39">
        <f t="shared" si="22"/>
        <v>-3.0221717171717257</v>
      </c>
      <c r="BG8" s="34" t="str">
        <f t="shared" si="23"/>
        <v>Payback period not applicable: the investment does not recover its cost under current conditions.</v>
      </c>
      <c r="BH8" s="40" t="str">
        <f t="shared" si="24"/>
        <v>NO</v>
      </c>
    </row>
    <row r="9" spans="1:61" ht="409.6" thickBot="1" x14ac:dyDescent="0.3">
      <c r="A9" s="25" t="s">
        <v>69</v>
      </c>
      <c r="B9" s="26" t="s">
        <v>70</v>
      </c>
      <c r="C9" s="27" t="s">
        <v>117</v>
      </c>
      <c r="D9" s="49" t="s">
        <v>118</v>
      </c>
      <c r="E9" s="29" t="s">
        <v>119</v>
      </c>
      <c r="F9" s="30" t="s">
        <v>120</v>
      </c>
      <c r="G9" s="43" t="s">
        <v>121</v>
      </c>
      <c r="H9" s="44" t="s">
        <v>122</v>
      </c>
      <c r="I9" s="46" t="s">
        <v>123</v>
      </c>
      <c r="J9" s="60" t="s">
        <v>124</v>
      </c>
      <c r="K9" s="47" t="s">
        <v>125</v>
      </c>
      <c r="L9" s="34">
        <v>10</v>
      </c>
      <c r="M9" s="35">
        <v>3</v>
      </c>
      <c r="N9" s="57">
        <v>0</v>
      </c>
      <c r="O9" s="57">
        <v>125</v>
      </c>
      <c r="P9" s="34">
        <v>214</v>
      </c>
      <c r="Q9" s="34">
        <v>0</v>
      </c>
      <c r="R9" s="35">
        <f t="shared" si="0"/>
        <v>488</v>
      </c>
      <c r="S9" s="35">
        <f t="shared" si="1"/>
        <v>1464</v>
      </c>
      <c r="T9" s="38">
        <v>36.5</v>
      </c>
      <c r="U9" s="34">
        <v>30</v>
      </c>
      <c r="V9" s="34">
        <v>200</v>
      </c>
      <c r="W9" s="34">
        <f t="shared" si="2"/>
        <v>60000</v>
      </c>
      <c r="X9" s="34">
        <f t="shared" si="3"/>
        <v>40.950000000000003</v>
      </c>
      <c r="Y9" s="34">
        <f t="shared" si="4"/>
        <v>8190.0000000000009</v>
      </c>
      <c r="Z9" s="34">
        <f t="shared" si="5"/>
        <v>21900.000000000015</v>
      </c>
      <c r="AA9" s="38">
        <v>0</v>
      </c>
      <c r="AB9" s="34">
        <v>0</v>
      </c>
      <c r="AC9" s="34">
        <v>0</v>
      </c>
      <c r="AD9" s="34">
        <f t="shared" si="6"/>
        <v>0</v>
      </c>
      <c r="AE9" s="34">
        <f t="shared" si="7"/>
        <v>0</v>
      </c>
      <c r="AF9" s="34">
        <f t="shared" si="8"/>
        <v>0</v>
      </c>
      <c r="AG9" s="34">
        <f t="shared" si="9"/>
        <v>0</v>
      </c>
      <c r="AH9" s="38">
        <v>0</v>
      </c>
      <c r="AI9" s="34">
        <v>0</v>
      </c>
      <c r="AJ9" s="34">
        <v>0</v>
      </c>
      <c r="AK9" s="34">
        <f t="shared" si="10"/>
        <v>0</v>
      </c>
      <c r="AL9" s="34">
        <f t="shared" si="11"/>
        <v>0</v>
      </c>
      <c r="AM9" s="34">
        <f t="shared" si="12"/>
        <v>0</v>
      </c>
      <c r="AN9" s="34">
        <f t="shared" si="13"/>
        <v>0</v>
      </c>
      <c r="AO9" s="38">
        <v>8</v>
      </c>
      <c r="AP9" s="34">
        <v>2000</v>
      </c>
      <c r="AQ9" s="34">
        <v>0.3</v>
      </c>
      <c r="AR9" s="34">
        <f t="shared" si="14"/>
        <v>600</v>
      </c>
      <c r="AS9" s="34">
        <f t="shared" si="15"/>
        <v>2160</v>
      </c>
      <c r="AT9" s="34">
        <f t="shared" si="16"/>
        <v>648</v>
      </c>
      <c r="AU9" s="34">
        <f t="shared" si="17"/>
        <v>6480</v>
      </c>
      <c r="AV9" s="38">
        <v>230</v>
      </c>
      <c r="AW9" s="34">
        <v>2000</v>
      </c>
      <c r="AX9" s="34">
        <f t="shared" si="18"/>
        <v>6600</v>
      </c>
      <c r="AY9" s="38">
        <v>0</v>
      </c>
      <c r="AZ9" s="34">
        <v>0</v>
      </c>
      <c r="BA9" s="34">
        <f t="shared" si="19"/>
        <v>0</v>
      </c>
      <c r="BB9" s="38">
        <v>7.8</v>
      </c>
      <c r="BC9" s="34">
        <v>1000</v>
      </c>
      <c r="BD9" s="34">
        <f t="shared" si="20"/>
        <v>1078</v>
      </c>
      <c r="BE9" s="34">
        <f t="shared" si="21"/>
        <v>16040.000000000015</v>
      </c>
      <c r="BF9" s="39">
        <f t="shared" si="22"/>
        <v>10.956284153005475</v>
      </c>
      <c r="BG9" s="34">
        <f t="shared" si="23"/>
        <v>9.1271820448877716E-2</v>
      </c>
      <c r="BH9" s="40" t="str">
        <f t="shared" si="24"/>
        <v>YES</v>
      </c>
    </row>
    <row r="10" spans="1:61" ht="409.6" thickBot="1" x14ac:dyDescent="0.3">
      <c r="A10" s="25" t="s">
        <v>69</v>
      </c>
      <c r="B10" s="26" t="s">
        <v>70</v>
      </c>
      <c r="C10" s="27" t="s">
        <v>117</v>
      </c>
      <c r="D10" s="49" t="s">
        <v>126</v>
      </c>
      <c r="E10" s="29" t="s">
        <v>119</v>
      </c>
      <c r="F10" s="30" t="s">
        <v>83</v>
      </c>
      <c r="G10" s="43" t="s">
        <v>127</v>
      </c>
      <c r="H10" s="44" t="s">
        <v>128</v>
      </c>
      <c r="I10" s="46" t="s">
        <v>123</v>
      </c>
      <c r="J10" s="60" t="s">
        <v>129</v>
      </c>
      <c r="K10" s="47" t="s">
        <v>130</v>
      </c>
      <c r="L10" s="34">
        <v>10</v>
      </c>
      <c r="M10" s="35">
        <v>3</v>
      </c>
      <c r="N10" s="57">
        <v>0</v>
      </c>
      <c r="O10" s="57">
        <v>125</v>
      </c>
      <c r="P10" s="34">
        <v>214</v>
      </c>
      <c r="Q10" s="34">
        <v>0</v>
      </c>
      <c r="R10" s="35">
        <f t="shared" si="0"/>
        <v>488</v>
      </c>
      <c r="S10" s="35">
        <f t="shared" si="1"/>
        <v>1464</v>
      </c>
      <c r="T10" s="38">
        <v>-8.6</v>
      </c>
      <c r="U10" s="34">
        <v>30</v>
      </c>
      <c r="V10" s="34">
        <v>200</v>
      </c>
      <c r="W10" s="34">
        <f t="shared" si="2"/>
        <v>60000</v>
      </c>
      <c r="X10" s="34">
        <f t="shared" si="3"/>
        <v>27.42</v>
      </c>
      <c r="Y10" s="34">
        <f t="shared" si="4"/>
        <v>5484</v>
      </c>
      <c r="Z10" s="34">
        <f t="shared" si="5"/>
        <v>-5160</v>
      </c>
      <c r="AA10" s="38">
        <v>0</v>
      </c>
      <c r="AB10" s="34">
        <v>0</v>
      </c>
      <c r="AC10" s="34">
        <v>0</v>
      </c>
      <c r="AD10" s="34">
        <f t="shared" si="6"/>
        <v>0</v>
      </c>
      <c r="AE10" s="34">
        <f t="shared" si="7"/>
        <v>0</v>
      </c>
      <c r="AF10" s="34">
        <f t="shared" si="8"/>
        <v>0</v>
      </c>
      <c r="AG10" s="34">
        <f t="shared" si="9"/>
        <v>0</v>
      </c>
      <c r="AH10" s="38">
        <v>0</v>
      </c>
      <c r="AI10" s="34">
        <v>0</v>
      </c>
      <c r="AJ10" s="34">
        <v>100</v>
      </c>
      <c r="AK10" s="34">
        <f t="shared" si="10"/>
        <v>0</v>
      </c>
      <c r="AL10" s="34">
        <f t="shared" si="11"/>
        <v>0</v>
      </c>
      <c r="AM10" s="34">
        <f t="shared" si="12"/>
        <v>0</v>
      </c>
      <c r="AN10" s="34">
        <f t="shared" si="13"/>
        <v>0</v>
      </c>
      <c r="AO10" s="38">
        <v>-8</v>
      </c>
      <c r="AP10" s="34">
        <v>2000</v>
      </c>
      <c r="AQ10" s="34">
        <v>0.3</v>
      </c>
      <c r="AR10" s="34">
        <f t="shared" si="14"/>
        <v>600</v>
      </c>
      <c r="AS10" s="34">
        <f t="shared" si="15"/>
        <v>1840</v>
      </c>
      <c r="AT10" s="34">
        <f t="shared" si="16"/>
        <v>552</v>
      </c>
      <c r="AU10" s="34">
        <f t="shared" si="17"/>
        <v>5520</v>
      </c>
      <c r="AV10" s="38">
        <v>100</v>
      </c>
      <c r="AW10" s="34">
        <v>2000</v>
      </c>
      <c r="AX10" s="34">
        <f t="shared" si="18"/>
        <v>4000</v>
      </c>
      <c r="AY10" s="38">
        <v>0</v>
      </c>
      <c r="AZ10" s="34">
        <v>0</v>
      </c>
      <c r="BA10" s="34">
        <f t="shared" si="19"/>
        <v>0</v>
      </c>
      <c r="BB10" s="38">
        <v>-35.6</v>
      </c>
      <c r="BC10" s="34">
        <v>1000</v>
      </c>
      <c r="BD10" s="34">
        <f t="shared" si="20"/>
        <v>643.99999999999989</v>
      </c>
      <c r="BE10" s="34">
        <f t="shared" si="21"/>
        <v>-7026</v>
      </c>
      <c r="BF10" s="39">
        <f t="shared" si="22"/>
        <v>-4.7991803278688527</v>
      </c>
      <c r="BG10" s="34" t="str">
        <f t="shared" si="23"/>
        <v>Payback period not applicable: the investment does not recover its cost under current conditions.</v>
      </c>
      <c r="BH10" s="40" t="str">
        <f t="shared" si="24"/>
        <v>NO</v>
      </c>
    </row>
    <row r="11" spans="1:61" ht="409.6" thickBot="1" x14ac:dyDescent="0.3">
      <c r="A11" s="25" t="s">
        <v>69</v>
      </c>
      <c r="B11" s="26" t="s">
        <v>70</v>
      </c>
      <c r="C11" s="27" t="s">
        <v>117</v>
      </c>
      <c r="D11" s="49" t="s">
        <v>131</v>
      </c>
      <c r="E11" s="29" t="s">
        <v>119</v>
      </c>
      <c r="F11" s="30" t="s">
        <v>132</v>
      </c>
      <c r="G11" s="43" t="s">
        <v>127</v>
      </c>
      <c r="H11" s="44" t="s">
        <v>133</v>
      </c>
      <c r="I11" s="46" t="s">
        <v>123</v>
      </c>
      <c r="J11" s="60" t="s">
        <v>134</v>
      </c>
      <c r="K11" s="47" t="s">
        <v>130</v>
      </c>
      <c r="L11" s="34">
        <v>10</v>
      </c>
      <c r="M11" s="35">
        <v>3</v>
      </c>
      <c r="N11" s="57">
        <v>0</v>
      </c>
      <c r="O11" s="57">
        <v>125</v>
      </c>
      <c r="P11" s="34">
        <v>214</v>
      </c>
      <c r="Q11" s="34">
        <v>0</v>
      </c>
      <c r="R11" s="35">
        <f t="shared" si="0"/>
        <v>488</v>
      </c>
      <c r="S11" s="35">
        <f t="shared" si="1"/>
        <v>1464</v>
      </c>
      <c r="T11" s="38">
        <v>-8.6</v>
      </c>
      <c r="U11" s="34">
        <v>30</v>
      </c>
      <c r="V11" s="34">
        <v>200</v>
      </c>
      <c r="W11" s="34">
        <f t="shared" si="2"/>
        <v>60000</v>
      </c>
      <c r="X11" s="34">
        <f t="shared" si="3"/>
        <v>27.42</v>
      </c>
      <c r="Y11" s="34">
        <f t="shared" si="4"/>
        <v>5484</v>
      </c>
      <c r="Z11" s="34">
        <f t="shared" si="5"/>
        <v>-5160</v>
      </c>
      <c r="AA11" s="38">
        <v>0</v>
      </c>
      <c r="AB11" s="34">
        <v>0</v>
      </c>
      <c r="AC11" s="34">
        <v>0</v>
      </c>
      <c r="AD11" s="34">
        <f t="shared" si="6"/>
        <v>0</v>
      </c>
      <c r="AE11" s="34">
        <f t="shared" si="7"/>
        <v>0</v>
      </c>
      <c r="AF11" s="34">
        <f t="shared" si="8"/>
        <v>0</v>
      </c>
      <c r="AG11" s="34">
        <f t="shared" si="9"/>
        <v>0</v>
      </c>
      <c r="AH11" s="38">
        <v>0</v>
      </c>
      <c r="AI11" s="34">
        <v>0</v>
      </c>
      <c r="AJ11" s="34">
        <v>100</v>
      </c>
      <c r="AK11" s="34">
        <f t="shared" si="10"/>
        <v>0</v>
      </c>
      <c r="AL11" s="34">
        <f t="shared" si="11"/>
        <v>0</v>
      </c>
      <c r="AM11" s="34">
        <f t="shared" si="12"/>
        <v>0</v>
      </c>
      <c r="AN11" s="34">
        <f t="shared" si="13"/>
        <v>0</v>
      </c>
      <c r="AO11" s="38">
        <v>-8</v>
      </c>
      <c r="AP11" s="34">
        <v>2000</v>
      </c>
      <c r="AQ11" s="34">
        <v>0.3</v>
      </c>
      <c r="AR11" s="34">
        <f t="shared" si="14"/>
        <v>600</v>
      </c>
      <c r="AS11" s="34">
        <f t="shared" si="15"/>
        <v>1840</v>
      </c>
      <c r="AT11" s="34">
        <f t="shared" si="16"/>
        <v>552</v>
      </c>
      <c r="AU11" s="34">
        <f t="shared" si="17"/>
        <v>5520</v>
      </c>
      <c r="AV11" s="38">
        <v>100</v>
      </c>
      <c r="AW11" s="34">
        <v>2000</v>
      </c>
      <c r="AX11" s="34">
        <f t="shared" si="18"/>
        <v>4000</v>
      </c>
      <c r="AY11" s="38">
        <v>0</v>
      </c>
      <c r="AZ11" s="34">
        <v>0</v>
      </c>
      <c r="BA11" s="34">
        <f t="shared" si="19"/>
        <v>0</v>
      </c>
      <c r="BB11" s="38">
        <v>-35.6</v>
      </c>
      <c r="BC11" s="34">
        <v>1000</v>
      </c>
      <c r="BD11" s="34">
        <f t="shared" si="20"/>
        <v>643.99999999999989</v>
      </c>
      <c r="BE11" s="34">
        <f t="shared" si="21"/>
        <v>-7026</v>
      </c>
      <c r="BF11" s="39">
        <f t="shared" si="22"/>
        <v>-4.7991803278688527</v>
      </c>
      <c r="BG11" s="34" t="str">
        <f t="shared" si="23"/>
        <v>Payback period not applicable: the investment does not recover its cost under current conditions.</v>
      </c>
      <c r="BH11" s="40" t="str">
        <f t="shared" si="24"/>
        <v>NO</v>
      </c>
    </row>
    <row r="12" spans="1:61" ht="409.6" thickBot="1" x14ac:dyDescent="0.3">
      <c r="A12" s="25" t="s">
        <v>69</v>
      </c>
      <c r="B12" s="26" t="s">
        <v>70</v>
      </c>
      <c r="C12" s="58" t="s">
        <v>135</v>
      </c>
      <c r="D12" s="49" t="s">
        <v>136</v>
      </c>
      <c r="E12" s="29" t="s">
        <v>137</v>
      </c>
      <c r="F12" s="30" t="s">
        <v>132</v>
      </c>
      <c r="G12" s="31" t="s">
        <v>138</v>
      </c>
      <c r="H12" s="50" t="s">
        <v>76</v>
      </c>
      <c r="I12" s="61" t="s">
        <v>77</v>
      </c>
      <c r="J12" s="52" t="s">
        <v>139</v>
      </c>
      <c r="K12" s="47" t="s">
        <v>140</v>
      </c>
      <c r="L12" s="34">
        <v>10</v>
      </c>
      <c r="M12" s="35">
        <v>3</v>
      </c>
      <c r="N12" s="34">
        <v>0</v>
      </c>
      <c r="O12" s="34">
        <v>0</v>
      </c>
      <c r="P12" s="34">
        <v>0</v>
      </c>
      <c r="Q12" s="34">
        <v>50</v>
      </c>
      <c r="R12" s="35">
        <f t="shared" si="0"/>
        <v>166.66666666666666</v>
      </c>
      <c r="S12" s="35">
        <f t="shared" si="1"/>
        <v>500</v>
      </c>
      <c r="T12" s="38">
        <v>-5.6</v>
      </c>
      <c r="U12" s="34">
        <v>60</v>
      </c>
      <c r="V12" s="34">
        <v>350</v>
      </c>
      <c r="W12" s="34">
        <f t="shared" si="2"/>
        <v>210000</v>
      </c>
      <c r="X12" s="34">
        <f t="shared" si="3"/>
        <v>56.64</v>
      </c>
      <c r="Y12" s="34">
        <f t="shared" si="4"/>
        <v>19824</v>
      </c>
      <c r="Z12" s="34">
        <f t="shared" si="5"/>
        <v>-11760</v>
      </c>
      <c r="AA12" s="38">
        <v>-35</v>
      </c>
      <c r="AB12" s="34">
        <v>190</v>
      </c>
      <c r="AC12" s="34">
        <v>1</v>
      </c>
      <c r="AD12" s="34">
        <f t="shared" si="6"/>
        <v>190</v>
      </c>
      <c r="AE12" s="34">
        <f t="shared" si="7"/>
        <v>123.5</v>
      </c>
      <c r="AF12" s="34">
        <f t="shared" si="8"/>
        <v>123.5</v>
      </c>
      <c r="AG12" s="34">
        <f t="shared" si="9"/>
        <v>1235</v>
      </c>
      <c r="AH12" s="38">
        <v>0</v>
      </c>
      <c r="AI12" s="34">
        <v>0</v>
      </c>
      <c r="AJ12" s="34">
        <v>0</v>
      </c>
      <c r="AK12" s="34">
        <f t="shared" si="10"/>
        <v>0</v>
      </c>
      <c r="AL12" s="34">
        <f t="shared" si="11"/>
        <v>0</v>
      </c>
      <c r="AM12" s="34">
        <f t="shared" si="12"/>
        <v>0</v>
      </c>
      <c r="AN12" s="34">
        <f t="shared" si="13"/>
        <v>0</v>
      </c>
      <c r="AO12" s="38">
        <v>-11</v>
      </c>
      <c r="AP12" s="34">
        <v>7000</v>
      </c>
      <c r="AQ12" s="34">
        <v>0.2</v>
      </c>
      <c r="AR12" s="34">
        <f t="shared" si="14"/>
        <v>1400</v>
      </c>
      <c r="AS12" s="34">
        <f t="shared" si="15"/>
        <v>6230</v>
      </c>
      <c r="AT12" s="34">
        <f t="shared" si="16"/>
        <v>1246</v>
      </c>
      <c r="AU12" s="34">
        <f t="shared" si="17"/>
        <v>12460</v>
      </c>
      <c r="AV12" s="38">
        <v>0</v>
      </c>
      <c r="AW12" s="34">
        <v>0</v>
      </c>
      <c r="AX12" s="34">
        <f t="shared" si="18"/>
        <v>0</v>
      </c>
      <c r="AY12" s="38">
        <v>0</v>
      </c>
      <c r="AZ12" s="34">
        <v>0</v>
      </c>
      <c r="BA12" s="34">
        <f t="shared" si="19"/>
        <v>0</v>
      </c>
      <c r="BB12" s="38">
        <v>0</v>
      </c>
      <c r="BC12" s="34">
        <v>0</v>
      </c>
      <c r="BD12" s="34">
        <f t="shared" si="20"/>
        <v>0</v>
      </c>
      <c r="BE12" s="34">
        <f t="shared" si="21"/>
        <v>-10221.666666666666</v>
      </c>
      <c r="BF12" s="39">
        <f t="shared" si="22"/>
        <v>-20.443333333333332</v>
      </c>
      <c r="BG12" s="34" t="str">
        <f t="shared" si="23"/>
        <v>Payback period not applicable: the investment does not recover its cost under current conditions.</v>
      </c>
      <c r="BH12" s="40" t="str">
        <f t="shared" si="24"/>
        <v>NO</v>
      </c>
    </row>
    <row r="13" spans="1:61" ht="409.6" thickBot="1" x14ac:dyDescent="0.3">
      <c r="A13" s="25" t="s">
        <v>69</v>
      </c>
      <c r="B13" s="26" t="s">
        <v>70</v>
      </c>
      <c r="C13" s="27" t="s">
        <v>141</v>
      </c>
      <c r="D13" s="49" t="s">
        <v>142</v>
      </c>
      <c r="E13" s="29" t="s">
        <v>143</v>
      </c>
      <c r="F13" s="30" t="s">
        <v>83</v>
      </c>
      <c r="G13" s="31" t="s">
        <v>144</v>
      </c>
      <c r="H13" s="50" t="s">
        <v>145</v>
      </c>
      <c r="I13" s="61" t="s">
        <v>146</v>
      </c>
      <c r="J13" s="52" t="s">
        <v>147</v>
      </c>
      <c r="K13" s="47" t="s">
        <v>148</v>
      </c>
      <c r="L13" s="34">
        <v>10</v>
      </c>
      <c r="M13" s="35">
        <v>3</v>
      </c>
      <c r="N13" s="34">
        <v>0</v>
      </c>
      <c r="O13" s="34">
        <v>20000</v>
      </c>
      <c r="P13" s="34">
        <v>120</v>
      </c>
      <c r="Q13" s="34">
        <v>0</v>
      </c>
      <c r="R13" s="35">
        <f t="shared" si="0"/>
        <v>66706.666666666672</v>
      </c>
      <c r="S13" s="35">
        <f t="shared" si="1"/>
        <v>200120</v>
      </c>
      <c r="T13" s="38">
        <v>220</v>
      </c>
      <c r="U13" s="34">
        <v>11</v>
      </c>
      <c r="V13" s="34">
        <v>220</v>
      </c>
      <c r="W13" s="34">
        <f t="shared" si="2"/>
        <v>24200</v>
      </c>
      <c r="X13" s="34">
        <f t="shared" si="3"/>
        <v>35.200000000000003</v>
      </c>
      <c r="Y13" s="34">
        <f t="shared" si="4"/>
        <v>7744.0000000000009</v>
      </c>
      <c r="Z13" s="34">
        <f t="shared" si="5"/>
        <v>53240.000000000015</v>
      </c>
      <c r="AA13" s="38">
        <v>0</v>
      </c>
      <c r="AB13" s="34">
        <v>0</v>
      </c>
      <c r="AC13" s="34">
        <v>0</v>
      </c>
      <c r="AD13" s="34">
        <f t="shared" si="6"/>
        <v>0</v>
      </c>
      <c r="AE13" s="34">
        <f t="shared" si="7"/>
        <v>0</v>
      </c>
      <c r="AF13" s="34">
        <f t="shared" si="8"/>
        <v>0</v>
      </c>
      <c r="AG13" s="34">
        <f t="shared" si="9"/>
        <v>0</v>
      </c>
      <c r="AH13" s="38">
        <v>0</v>
      </c>
      <c r="AI13" s="34">
        <v>0</v>
      </c>
      <c r="AJ13" s="34">
        <v>0</v>
      </c>
      <c r="AK13" s="34">
        <f t="shared" si="10"/>
        <v>0</v>
      </c>
      <c r="AL13" s="34">
        <f t="shared" si="11"/>
        <v>0</v>
      </c>
      <c r="AM13" s="34">
        <f t="shared" si="12"/>
        <v>0</v>
      </c>
      <c r="AN13" s="34">
        <f t="shared" si="13"/>
        <v>0</v>
      </c>
      <c r="AO13" s="38">
        <v>0</v>
      </c>
      <c r="AP13" s="34">
        <v>0</v>
      </c>
      <c r="AQ13" s="34">
        <v>0</v>
      </c>
      <c r="AR13" s="34">
        <f t="shared" si="14"/>
        <v>0</v>
      </c>
      <c r="AS13" s="34">
        <f t="shared" si="15"/>
        <v>0</v>
      </c>
      <c r="AT13" s="34">
        <f t="shared" si="16"/>
        <v>0</v>
      </c>
      <c r="AU13" s="34">
        <f t="shared" si="17"/>
        <v>0</v>
      </c>
      <c r="AV13" s="38">
        <v>-69</v>
      </c>
      <c r="AW13" s="34">
        <v>2000</v>
      </c>
      <c r="AX13" s="34">
        <f t="shared" si="18"/>
        <v>620.00000000000011</v>
      </c>
      <c r="AY13" s="38">
        <v>0</v>
      </c>
      <c r="AZ13" s="34">
        <v>0</v>
      </c>
      <c r="BA13" s="34">
        <f t="shared" si="19"/>
        <v>0</v>
      </c>
      <c r="BB13" s="38">
        <v>0</v>
      </c>
      <c r="BC13" s="34">
        <v>0</v>
      </c>
      <c r="BD13" s="34">
        <f t="shared" si="20"/>
        <v>0</v>
      </c>
      <c r="BE13" s="34">
        <f t="shared" si="21"/>
        <v>-12206.666666666657</v>
      </c>
      <c r="BF13" s="39">
        <f t="shared" si="22"/>
        <v>-6.0996735292157989E-2</v>
      </c>
      <c r="BG13" s="34" t="str">
        <f t="shared" si="23"/>
        <v>Payback period not applicable: the investment does not recover its cost under current conditions.</v>
      </c>
      <c r="BH13" s="40" t="str">
        <f t="shared" si="24"/>
        <v>NO</v>
      </c>
    </row>
    <row r="14" spans="1:61" ht="409.6" thickBot="1" x14ac:dyDescent="0.3">
      <c r="A14" s="25" t="s">
        <v>69</v>
      </c>
      <c r="B14" s="26" t="s">
        <v>70</v>
      </c>
      <c r="C14" s="48" t="s">
        <v>149</v>
      </c>
      <c r="D14" s="49" t="s">
        <v>150</v>
      </c>
      <c r="E14" s="29" t="s">
        <v>151</v>
      </c>
      <c r="F14" s="30" t="s">
        <v>83</v>
      </c>
      <c r="G14" s="62" t="s">
        <v>152</v>
      </c>
      <c r="H14" s="50" t="s">
        <v>153</v>
      </c>
      <c r="I14" s="61" t="s">
        <v>154</v>
      </c>
      <c r="J14" s="52" t="s">
        <v>96</v>
      </c>
      <c r="K14" s="47" t="s">
        <v>155</v>
      </c>
      <c r="L14" s="34">
        <v>10</v>
      </c>
      <c r="M14" s="35">
        <v>3</v>
      </c>
      <c r="N14" s="34">
        <v>0</v>
      </c>
      <c r="O14" s="34">
        <v>0</v>
      </c>
      <c r="P14" s="34">
        <v>0</v>
      </c>
      <c r="Q14" s="34">
        <v>0</v>
      </c>
      <c r="R14" s="35">
        <f t="shared" si="0"/>
        <v>0</v>
      </c>
      <c r="S14" s="35">
        <f t="shared" si="1"/>
        <v>0</v>
      </c>
      <c r="T14" s="38">
        <v>-42.9</v>
      </c>
      <c r="U14" s="34">
        <v>8</v>
      </c>
      <c r="V14" s="34">
        <v>230</v>
      </c>
      <c r="W14" s="34">
        <f t="shared" si="2"/>
        <v>18400</v>
      </c>
      <c r="X14" s="34">
        <f t="shared" si="3"/>
        <v>4.5679999999999996</v>
      </c>
      <c r="Y14" s="34">
        <f t="shared" si="4"/>
        <v>1050.6399999999999</v>
      </c>
      <c r="Z14" s="34">
        <f t="shared" si="5"/>
        <v>-7893.6000000000022</v>
      </c>
      <c r="AA14" s="38">
        <v>-74.900000000000006</v>
      </c>
      <c r="AB14" s="34">
        <v>160</v>
      </c>
      <c r="AC14" s="34">
        <v>0.9</v>
      </c>
      <c r="AD14" s="34">
        <f t="shared" si="6"/>
        <v>144</v>
      </c>
      <c r="AE14" s="34">
        <f t="shared" si="7"/>
        <v>40.159999999999982</v>
      </c>
      <c r="AF14" s="34">
        <f t="shared" si="8"/>
        <v>36.143999999999984</v>
      </c>
      <c r="AG14" s="34">
        <f t="shared" si="9"/>
        <v>361.43999999999983</v>
      </c>
      <c r="AH14" s="38">
        <v>-61.5</v>
      </c>
      <c r="AI14" s="34">
        <v>2.5</v>
      </c>
      <c r="AJ14" s="34">
        <v>13</v>
      </c>
      <c r="AK14" s="34">
        <f t="shared" si="10"/>
        <v>32.5</v>
      </c>
      <c r="AL14" s="34">
        <f t="shared" si="11"/>
        <v>0.96250000000000002</v>
      </c>
      <c r="AM14" s="34">
        <f t="shared" si="12"/>
        <v>12.512500000000001</v>
      </c>
      <c r="AN14" s="34">
        <f t="shared" si="13"/>
        <v>125.12500000000001</v>
      </c>
      <c r="AO14" s="38">
        <v>0</v>
      </c>
      <c r="AP14" s="34">
        <v>0</v>
      </c>
      <c r="AQ14" s="34">
        <v>0</v>
      </c>
      <c r="AR14" s="34">
        <f t="shared" si="14"/>
        <v>0</v>
      </c>
      <c r="AS14" s="34">
        <f t="shared" si="15"/>
        <v>0</v>
      </c>
      <c r="AT14" s="34">
        <f t="shared" si="16"/>
        <v>0</v>
      </c>
      <c r="AU14" s="34">
        <f t="shared" si="17"/>
        <v>0</v>
      </c>
      <c r="AV14" s="38">
        <v>-1.7</v>
      </c>
      <c r="AW14" s="34">
        <v>2000</v>
      </c>
      <c r="AX14" s="34">
        <f t="shared" si="18"/>
        <v>1966</v>
      </c>
      <c r="AY14" s="38">
        <v>-47.2</v>
      </c>
      <c r="AZ14" s="34">
        <v>2000</v>
      </c>
      <c r="BA14" s="34">
        <f t="shared" si="19"/>
        <v>1056</v>
      </c>
      <c r="BB14" s="38">
        <v>0</v>
      </c>
      <c r="BC14" s="34">
        <v>0</v>
      </c>
      <c r="BD14" s="34">
        <f t="shared" si="20"/>
        <v>0</v>
      </c>
      <c r="BE14" s="34">
        <f t="shared" si="21"/>
        <v>-5637.1650000000018</v>
      </c>
      <c r="BF14" s="39" t="str">
        <f t="shared" si="22"/>
        <v>The DAT is free</v>
      </c>
      <c r="BG14" s="34" t="str">
        <f t="shared" si="23"/>
        <v>Payback period not applicable: the investment does not recover its cost under current conditions.</v>
      </c>
      <c r="BH14" s="40" t="str">
        <f t="shared" si="24"/>
        <v>NO</v>
      </c>
    </row>
    <row r="15" spans="1:61" ht="409.6" thickBot="1" x14ac:dyDescent="0.3">
      <c r="A15" s="25" t="s">
        <v>69</v>
      </c>
      <c r="B15" s="26" t="s">
        <v>70</v>
      </c>
      <c r="C15" s="48" t="s">
        <v>149</v>
      </c>
      <c r="D15" s="49" t="s">
        <v>156</v>
      </c>
      <c r="E15" s="29" t="s">
        <v>151</v>
      </c>
      <c r="F15" s="30" t="s">
        <v>83</v>
      </c>
      <c r="G15" s="62" t="s">
        <v>152</v>
      </c>
      <c r="H15" s="50" t="s">
        <v>153</v>
      </c>
      <c r="I15" s="61" t="s">
        <v>154</v>
      </c>
      <c r="J15" s="52" t="s">
        <v>96</v>
      </c>
      <c r="K15" s="47" t="s">
        <v>157</v>
      </c>
      <c r="L15" s="34">
        <v>10</v>
      </c>
      <c r="M15" s="35">
        <v>3</v>
      </c>
      <c r="N15" s="34">
        <v>0</v>
      </c>
      <c r="O15" s="34">
        <v>0</v>
      </c>
      <c r="P15" s="34">
        <v>0</v>
      </c>
      <c r="Q15" s="34">
        <v>0</v>
      </c>
      <c r="R15" s="35">
        <f t="shared" si="0"/>
        <v>0</v>
      </c>
      <c r="S15" s="35">
        <f t="shared" si="1"/>
        <v>0</v>
      </c>
      <c r="T15" s="38">
        <v>-19.5</v>
      </c>
      <c r="U15" s="34">
        <v>8</v>
      </c>
      <c r="V15" s="34">
        <v>230</v>
      </c>
      <c r="W15" s="34">
        <f t="shared" si="2"/>
        <v>18400</v>
      </c>
      <c r="X15" s="34">
        <f t="shared" si="3"/>
        <v>6.4399999999999995</v>
      </c>
      <c r="Y15" s="34">
        <f t="shared" si="4"/>
        <v>1481.1999999999998</v>
      </c>
      <c r="Z15" s="34">
        <f t="shared" si="5"/>
        <v>-3588.0000000000018</v>
      </c>
      <c r="AA15" s="38">
        <v>-47.1</v>
      </c>
      <c r="AB15" s="34">
        <v>160</v>
      </c>
      <c r="AC15" s="34">
        <v>0.9</v>
      </c>
      <c r="AD15" s="34">
        <f t="shared" si="6"/>
        <v>144</v>
      </c>
      <c r="AE15" s="34">
        <f t="shared" si="7"/>
        <v>84.639999999999986</v>
      </c>
      <c r="AF15" s="34">
        <f t="shared" si="8"/>
        <v>76.175999999999988</v>
      </c>
      <c r="AG15" s="34">
        <f t="shared" si="9"/>
        <v>761.75999999999988</v>
      </c>
      <c r="AH15" s="38">
        <v>0</v>
      </c>
      <c r="AI15" s="34">
        <v>0</v>
      </c>
      <c r="AJ15" s="34">
        <v>0</v>
      </c>
      <c r="AK15" s="34">
        <f t="shared" si="10"/>
        <v>0</v>
      </c>
      <c r="AL15" s="34">
        <f t="shared" si="11"/>
        <v>0</v>
      </c>
      <c r="AM15" s="34">
        <f t="shared" si="12"/>
        <v>0</v>
      </c>
      <c r="AN15" s="34">
        <f t="shared" si="13"/>
        <v>0</v>
      </c>
      <c r="AO15" s="38">
        <v>24.2</v>
      </c>
      <c r="AP15" s="34">
        <v>2000</v>
      </c>
      <c r="AQ15" s="34">
        <v>0.7</v>
      </c>
      <c r="AR15" s="34">
        <f t="shared" si="14"/>
        <v>1400</v>
      </c>
      <c r="AS15" s="34">
        <f t="shared" si="15"/>
        <v>2484</v>
      </c>
      <c r="AT15" s="34">
        <f t="shared" si="16"/>
        <v>1738.8</v>
      </c>
      <c r="AU15" s="34">
        <f t="shared" si="17"/>
        <v>17388</v>
      </c>
      <c r="AV15" s="38">
        <v>0</v>
      </c>
      <c r="AW15" s="34">
        <v>0</v>
      </c>
      <c r="AX15" s="34">
        <f t="shared" si="18"/>
        <v>0</v>
      </c>
      <c r="AY15" s="38">
        <v>3.1</v>
      </c>
      <c r="AZ15" s="34">
        <v>2000</v>
      </c>
      <c r="BA15" s="34">
        <f t="shared" si="19"/>
        <v>2062</v>
      </c>
      <c r="BB15" s="38">
        <v>0</v>
      </c>
      <c r="BC15" s="34">
        <v>0</v>
      </c>
      <c r="BD15" s="34">
        <f t="shared" si="20"/>
        <v>0</v>
      </c>
      <c r="BE15" s="34">
        <f t="shared" si="21"/>
        <v>-6359.7600000000011</v>
      </c>
      <c r="BF15" s="39" t="str">
        <f t="shared" si="22"/>
        <v>The DAT is free</v>
      </c>
      <c r="BG15" s="34" t="str">
        <f t="shared" si="23"/>
        <v>Payback period not applicable: the investment does not recover its cost under current conditions.</v>
      </c>
      <c r="BH15" s="40" t="str">
        <f t="shared" si="24"/>
        <v>NO</v>
      </c>
    </row>
    <row r="16" spans="1:61" ht="409.6" thickBot="1" x14ac:dyDescent="0.3">
      <c r="A16" s="25" t="s">
        <v>69</v>
      </c>
      <c r="B16" s="26" t="s">
        <v>70</v>
      </c>
      <c r="C16" s="48" t="s">
        <v>149</v>
      </c>
      <c r="D16" s="49" t="s">
        <v>158</v>
      </c>
      <c r="E16" s="29" t="s">
        <v>151</v>
      </c>
      <c r="F16" s="30" t="s">
        <v>132</v>
      </c>
      <c r="G16" s="62" t="s">
        <v>152</v>
      </c>
      <c r="H16" s="50" t="s">
        <v>153</v>
      </c>
      <c r="I16" s="61" t="s">
        <v>154</v>
      </c>
      <c r="J16" s="52" t="s">
        <v>96</v>
      </c>
      <c r="K16" s="47" t="s">
        <v>159</v>
      </c>
      <c r="L16" s="34">
        <v>10</v>
      </c>
      <c r="M16" s="35">
        <v>3</v>
      </c>
      <c r="N16" s="34">
        <v>0</v>
      </c>
      <c r="O16" s="34">
        <v>0</v>
      </c>
      <c r="P16" s="34">
        <v>0</v>
      </c>
      <c r="Q16" s="34">
        <v>0</v>
      </c>
      <c r="R16" s="35">
        <f t="shared" si="0"/>
        <v>0</v>
      </c>
      <c r="S16" s="35">
        <f t="shared" si="1"/>
        <v>0</v>
      </c>
      <c r="T16" s="38">
        <v>-42.9</v>
      </c>
      <c r="U16" s="34">
        <v>8</v>
      </c>
      <c r="V16" s="34">
        <v>230</v>
      </c>
      <c r="W16" s="34">
        <f t="shared" si="2"/>
        <v>18400</v>
      </c>
      <c r="X16" s="34">
        <f t="shared" si="3"/>
        <v>4.5679999999999996</v>
      </c>
      <c r="Y16" s="34">
        <f t="shared" si="4"/>
        <v>1050.6399999999999</v>
      </c>
      <c r="Z16" s="34">
        <f t="shared" si="5"/>
        <v>-7893.6000000000022</v>
      </c>
      <c r="AA16" s="38">
        <v>-74.900000000000006</v>
      </c>
      <c r="AB16" s="34">
        <v>160</v>
      </c>
      <c r="AC16" s="34">
        <v>0.9</v>
      </c>
      <c r="AD16" s="34">
        <f t="shared" si="6"/>
        <v>144</v>
      </c>
      <c r="AE16" s="34">
        <f t="shared" si="7"/>
        <v>40.159999999999982</v>
      </c>
      <c r="AF16" s="34">
        <f t="shared" si="8"/>
        <v>36.143999999999984</v>
      </c>
      <c r="AG16" s="34">
        <f t="shared" si="9"/>
        <v>361.43999999999983</v>
      </c>
      <c r="AH16" s="38">
        <v>-61.5</v>
      </c>
      <c r="AI16" s="34">
        <v>2.5</v>
      </c>
      <c r="AJ16" s="34">
        <v>13</v>
      </c>
      <c r="AK16" s="34">
        <f t="shared" si="10"/>
        <v>32.5</v>
      </c>
      <c r="AL16" s="34">
        <f t="shared" si="11"/>
        <v>0.96250000000000002</v>
      </c>
      <c r="AM16" s="34">
        <f t="shared" si="12"/>
        <v>12.512500000000001</v>
      </c>
      <c r="AN16" s="34">
        <f t="shared" si="13"/>
        <v>125.12500000000001</v>
      </c>
      <c r="AO16" s="38">
        <v>0</v>
      </c>
      <c r="AP16" s="34">
        <v>0</v>
      </c>
      <c r="AQ16" s="34">
        <v>0</v>
      </c>
      <c r="AR16" s="34">
        <f t="shared" si="14"/>
        <v>0</v>
      </c>
      <c r="AS16" s="34">
        <f t="shared" si="15"/>
        <v>0</v>
      </c>
      <c r="AT16" s="34">
        <f t="shared" si="16"/>
        <v>0</v>
      </c>
      <c r="AU16" s="34">
        <f t="shared" si="17"/>
        <v>0</v>
      </c>
      <c r="AV16" s="38">
        <v>-1.7</v>
      </c>
      <c r="AW16" s="34">
        <v>2000</v>
      </c>
      <c r="AX16" s="34">
        <f t="shared" si="18"/>
        <v>1966</v>
      </c>
      <c r="AY16" s="38">
        <v>-47.2</v>
      </c>
      <c r="AZ16" s="34">
        <v>2000</v>
      </c>
      <c r="BA16" s="34">
        <f t="shared" si="19"/>
        <v>1056</v>
      </c>
      <c r="BB16" s="38">
        <v>0</v>
      </c>
      <c r="BC16" s="34">
        <v>0</v>
      </c>
      <c r="BD16" s="34">
        <f t="shared" si="20"/>
        <v>0</v>
      </c>
      <c r="BE16" s="34">
        <f t="shared" si="21"/>
        <v>-5637.1650000000018</v>
      </c>
      <c r="BF16" s="39" t="str">
        <f t="shared" si="22"/>
        <v>The DAT is free</v>
      </c>
      <c r="BG16" s="34" t="str">
        <f t="shared" si="23"/>
        <v>Payback period not applicable: the investment does not recover its cost under current conditions.</v>
      </c>
      <c r="BH16" s="40" t="str">
        <f t="shared" si="24"/>
        <v>NO</v>
      </c>
    </row>
    <row r="17" spans="1:60" ht="409.6" thickBot="1" x14ac:dyDescent="0.3">
      <c r="A17" s="25" t="s">
        <v>69</v>
      </c>
      <c r="B17" s="26" t="s">
        <v>70</v>
      </c>
      <c r="C17" s="48" t="s">
        <v>160</v>
      </c>
      <c r="D17" s="49" t="s">
        <v>161</v>
      </c>
      <c r="E17" s="29" t="s">
        <v>162</v>
      </c>
      <c r="F17" s="30" t="s">
        <v>83</v>
      </c>
      <c r="G17" s="63" t="s">
        <v>163</v>
      </c>
      <c r="H17" s="50" t="s">
        <v>164</v>
      </c>
      <c r="I17" s="45" t="s">
        <v>165</v>
      </c>
      <c r="J17" s="52" t="s">
        <v>166</v>
      </c>
      <c r="K17" s="47" t="s">
        <v>167</v>
      </c>
      <c r="L17" s="34">
        <v>10</v>
      </c>
      <c r="M17" s="35">
        <v>3</v>
      </c>
      <c r="N17" s="34">
        <v>70000</v>
      </c>
      <c r="O17" s="34">
        <v>0</v>
      </c>
      <c r="P17" s="34">
        <v>0</v>
      </c>
      <c r="Q17" s="34">
        <v>5.43</v>
      </c>
      <c r="R17" s="35">
        <f t="shared" si="0"/>
        <v>23351.433333333334</v>
      </c>
      <c r="S17" s="35">
        <f t="shared" si="1"/>
        <v>70054.3</v>
      </c>
      <c r="T17" s="38">
        <v>13.7</v>
      </c>
      <c r="U17" s="34">
        <v>13</v>
      </c>
      <c r="V17" s="34">
        <v>200</v>
      </c>
      <c r="W17" s="34">
        <f t="shared" si="2"/>
        <v>26000</v>
      </c>
      <c r="X17" s="34">
        <f t="shared" si="3"/>
        <v>14.781000000000001</v>
      </c>
      <c r="Y17" s="34">
        <f t="shared" si="4"/>
        <v>2956.2000000000003</v>
      </c>
      <c r="Z17" s="34">
        <f t="shared" si="5"/>
        <v>3562.0000000000036</v>
      </c>
      <c r="AA17" s="38">
        <v>62.4</v>
      </c>
      <c r="AB17" s="34">
        <v>180</v>
      </c>
      <c r="AC17" s="34">
        <v>0.8</v>
      </c>
      <c r="AD17" s="34">
        <f t="shared" si="6"/>
        <v>144</v>
      </c>
      <c r="AE17" s="34">
        <f t="shared" si="7"/>
        <v>292.32</v>
      </c>
      <c r="AF17" s="34">
        <f t="shared" si="8"/>
        <v>233.85599999999999</v>
      </c>
      <c r="AG17" s="34">
        <f t="shared" si="9"/>
        <v>2338.56</v>
      </c>
      <c r="AH17" s="38">
        <v>-52.7</v>
      </c>
      <c r="AI17" s="34">
        <v>3</v>
      </c>
      <c r="AJ17" s="34">
        <v>15</v>
      </c>
      <c r="AK17" s="34">
        <f t="shared" si="10"/>
        <v>45</v>
      </c>
      <c r="AL17" s="34">
        <f t="shared" si="11"/>
        <v>1.419</v>
      </c>
      <c r="AM17" s="34">
        <f t="shared" si="12"/>
        <v>21.285</v>
      </c>
      <c r="AN17" s="34">
        <f t="shared" si="13"/>
        <v>212.85</v>
      </c>
      <c r="AO17" s="38">
        <v>0</v>
      </c>
      <c r="AP17" s="34">
        <v>3500</v>
      </c>
      <c r="AQ17" s="34">
        <v>2</v>
      </c>
      <c r="AR17" s="34">
        <f t="shared" si="14"/>
        <v>7000</v>
      </c>
      <c r="AS17" s="34">
        <f t="shared" si="15"/>
        <v>3500</v>
      </c>
      <c r="AT17" s="34">
        <f t="shared" si="16"/>
        <v>7000</v>
      </c>
      <c r="AU17" s="34">
        <f t="shared" si="17"/>
        <v>70000</v>
      </c>
      <c r="AV17" s="38">
        <v>-33.1</v>
      </c>
      <c r="AW17" s="34">
        <v>2000</v>
      </c>
      <c r="AX17" s="34">
        <f t="shared" si="18"/>
        <v>1338</v>
      </c>
      <c r="AY17" s="38">
        <v>-7.6</v>
      </c>
      <c r="AZ17" s="34">
        <v>3000</v>
      </c>
      <c r="BA17" s="34">
        <f t="shared" si="19"/>
        <v>2772</v>
      </c>
      <c r="BB17" s="38">
        <v>-40.299999999999997</v>
      </c>
      <c r="BC17" s="34">
        <v>1000</v>
      </c>
      <c r="BD17" s="34">
        <f t="shared" si="20"/>
        <v>597</v>
      </c>
      <c r="BE17" s="34">
        <f t="shared" si="21"/>
        <v>-19212.14333333333</v>
      </c>
      <c r="BF17" s="39">
        <f t="shared" si="22"/>
        <v>-0.27424645358433858</v>
      </c>
      <c r="BG17" s="34" t="str">
        <f t="shared" si="23"/>
        <v>Payback period not applicable: the investment does not recover its cost under current conditions.</v>
      </c>
      <c r="BH17" s="40" t="str">
        <f t="shared" si="24"/>
        <v>NO</v>
      </c>
    </row>
    <row r="18" spans="1:60" ht="409.6" thickBot="1" x14ac:dyDescent="0.3">
      <c r="A18" s="25" t="s">
        <v>69</v>
      </c>
      <c r="B18" s="26" t="s">
        <v>70</v>
      </c>
      <c r="C18" s="58" t="s">
        <v>168</v>
      </c>
      <c r="D18" s="58" t="s">
        <v>169</v>
      </c>
      <c r="E18" s="29" t="s">
        <v>73</v>
      </c>
      <c r="F18" s="30" t="s">
        <v>170</v>
      </c>
      <c r="G18" s="62" t="s">
        <v>138</v>
      </c>
      <c r="H18" s="50" t="s">
        <v>76</v>
      </c>
      <c r="I18" s="61" t="s">
        <v>77</v>
      </c>
      <c r="J18" s="52" t="s">
        <v>171</v>
      </c>
      <c r="K18" s="47" t="s">
        <v>172</v>
      </c>
      <c r="L18" s="34">
        <v>10</v>
      </c>
      <c r="M18" s="35">
        <v>3</v>
      </c>
      <c r="N18" s="34">
        <v>0</v>
      </c>
      <c r="O18" s="34">
        <v>0</v>
      </c>
      <c r="P18" s="34">
        <v>260</v>
      </c>
      <c r="Q18" s="34">
        <v>0</v>
      </c>
      <c r="R18" s="35">
        <f t="shared" si="0"/>
        <v>0</v>
      </c>
      <c r="S18" s="35">
        <f t="shared" si="1"/>
        <v>260</v>
      </c>
      <c r="T18" s="38">
        <v>0</v>
      </c>
      <c r="U18" s="34">
        <v>0</v>
      </c>
      <c r="V18" s="34">
        <v>0</v>
      </c>
      <c r="W18" s="34">
        <f t="shared" si="2"/>
        <v>0</v>
      </c>
      <c r="X18" s="34">
        <f t="shared" si="3"/>
        <v>0</v>
      </c>
      <c r="Y18" s="34">
        <f t="shared" si="4"/>
        <v>0</v>
      </c>
      <c r="Z18" s="34">
        <f t="shared" si="5"/>
        <v>0</v>
      </c>
      <c r="AA18" s="38">
        <v>-13.3</v>
      </c>
      <c r="AB18" s="34">
        <v>200</v>
      </c>
      <c r="AC18" s="34">
        <v>1</v>
      </c>
      <c r="AD18" s="34">
        <f t="shared" si="6"/>
        <v>200</v>
      </c>
      <c r="AE18" s="34">
        <f t="shared" si="7"/>
        <v>173.4</v>
      </c>
      <c r="AF18" s="34">
        <f t="shared" si="8"/>
        <v>173.4</v>
      </c>
      <c r="AG18" s="34">
        <f t="shared" si="9"/>
        <v>1734</v>
      </c>
      <c r="AH18" s="38">
        <v>3</v>
      </c>
      <c r="AI18" s="34">
        <v>2.8</v>
      </c>
      <c r="AJ18" s="34">
        <v>13</v>
      </c>
      <c r="AK18" s="34">
        <f t="shared" si="10"/>
        <v>36.4</v>
      </c>
      <c r="AL18" s="34">
        <f t="shared" si="11"/>
        <v>2.8839999999999999</v>
      </c>
      <c r="AM18" s="34">
        <f t="shared" si="12"/>
        <v>37.491999999999997</v>
      </c>
      <c r="AN18" s="34">
        <f t="shared" si="13"/>
        <v>374.91999999999996</v>
      </c>
      <c r="AO18" s="38">
        <v>-59</v>
      </c>
      <c r="AP18" s="34">
        <v>3000</v>
      </c>
      <c r="AQ18" s="34">
        <v>2.2999999999999998</v>
      </c>
      <c r="AR18" s="34">
        <f t="shared" si="14"/>
        <v>6899.9999999999991</v>
      </c>
      <c r="AS18" s="34">
        <f t="shared" si="15"/>
        <v>1230</v>
      </c>
      <c r="AT18" s="34">
        <f t="shared" si="16"/>
        <v>2829</v>
      </c>
      <c r="AU18" s="34">
        <f t="shared" si="17"/>
        <v>28290</v>
      </c>
      <c r="AV18" s="38">
        <v>-32.1</v>
      </c>
      <c r="AW18" s="34">
        <v>2000</v>
      </c>
      <c r="AX18" s="34">
        <f t="shared" si="18"/>
        <v>1358</v>
      </c>
      <c r="AY18" s="38">
        <v>0</v>
      </c>
      <c r="AZ18" s="34">
        <v>0</v>
      </c>
      <c r="BA18" s="34">
        <f t="shared" si="19"/>
        <v>0</v>
      </c>
      <c r="BB18" s="38">
        <v>-46.6</v>
      </c>
      <c r="BC18" s="34">
        <v>1000</v>
      </c>
      <c r="BD18" s="34">
        <f t="shared" si="20"/>
        <v>534</v>
      </c>
      <c r="BE18" s="34">
        <f t="shared" si="21"/>
        <v>41813.079999999994</v>
      </c>
      <c r="BF18" s="39">
        <f t="shared" si="22"/>
        <v>160.81953846153843</v>
      </c>
      <c r="BG18" s="34">
        <f t="shared" si="23"/>
        <v>6.2181499186379011E-3</v>
      </c>
      <c r="BH18" s="40" t="str">
        <f t="shared" si="24"/>
        <v>YES</v>
      </c>
    </row>
    <row r="19" spans="1:60" ht="409.6" thickBot="1" x14ac:dyDescent="0.3">
      <c r="A19" s="25" t="s">
        <v>69</v>
      </c>
      <c r="B19" s="26" t="s">
        <v>70</v>
      </c>
      <c r="C19" s="27" t="s">
        <v>173</v>
      </c>
      <c r="D19" s="49" t="s">
        <v>174</v>
      </c>
      <c r="E19" s="29" t="s">
        <v>137</v>
      </c>
      <c r="F19" s="30" t="s">
        <v>175</v>
      </c>
      <c r="G19" s="31" t="s">
        <v>176</v>
      </c>
      <c r="H19" s="44" t="s">
        <v>177</v>
      </c>
      <c r="I19" s="52" t="s">
        <v>178</v>
      </c>
      <c r="J19" s="46" t="s">
        <v>179</v>
      </c>
      <c r="K19" s="47" t="s">
        <v>180</v>
      </c>
      <c r="L19" s="34">
        <v>10</v>
      </c>
      <c r="M19" s="35">
        <v>3</v>
      </c>
      <c r="N19" s="34">
        <v>2250</v>
      </c>
      <c r="O19" s="34">
        <v>0</v>
      </c>
      <c r="P19" s="34">
        <v>350</v>
      </c>
      <c r="Q19" s="34">
        <v>0</v>
      </c>
      <c r="R19" s="35">
        <f t="shared" si="0"/>
        <v>866.66666666666663</v>
      </c>
      <c r="S19" s="35">
        <f t="shared" si="1"/>
        <v>2600</v>
      </c>
      <c r="T19" s="38">
        <v>1.3</v>
      </c>
      <c r="U19" s="34">
        <v>15</v>
      </c>
      <c r="V19" s="34">
        <v>400</v>
      </c>
      <c r="W19" s="34">
        <f t="shared" si="2"/>
        <v>60000</v>
      </c>
      <c r="X19" s="34">
        <f t="shared" si="3"/>
        <v>15.194999999999999</v>
      </c>
      <c r="Y19" s="34">
        <f t="shared" si="4"/>
        <v>6077.9999999999991</v>
      </c>
      <c r="Z19" s="34">
        <f t="shared" si="5"/>
        <v>779.99999999999272</v>
      </c>
      <c r="AA19" s="38">
        <v>0</v>
      </c>
      <c r="AB19" s="34">
        <v>0</v>
      </c>
      <c r="AC19" s="34">
        <v>0</v>
      </c>
      <c r="AD19" s="34">
        <f t="shared" si="6"/>
        <v>0</v>
      </c>
      <c r="AE19" s="34">
        <f t="shared" si="7"/>
        <v>0</v>
      </c>
      <c r="AF19" s="34">
        <f t="shared" si="8"/>
        <v>0</v>
      </c>
      <c r="AG19" s="34">
        <f t="shared" si="9"/>
        <v>0</v>
      </c>
      <c r="AH19" s="38">
        <v>0</v>
      </c>
      <c r="AI19" s="34">
        <v>0</v>
      </c>
      <c r="AJ19" s="34">
        <v>0</v>
      </c>
      <c r="AK19" s="34">
        <f t="shared" si="10"/>
        <v>0</v>
      </c>
      <c r="AL19" s="34">
        <f t="shared" si="11"/>
        <v>0</v>
      </c>
      <c r="AM19" s="34">
        <f t="shared" si="12"/>
        <v>0</v>
      </c>
      <c r="AN19" s="34">
        <f t="shared" si="13"/>
        <v>0</v>
      </c>
      <c r="AO19" s="38">
        <v>0</v>
      </c>
      <c r="AP19" s="34">
        <v>0</v>
      </c>
      <c r="AQ19" s="34">
        <v>0</v>
      </c>
      <c r="AR19" s="34">
        <f t="shared" si="14"/>
        <v>0</v>
      </c>
      <c r="AS19" s="34">
        <f t="shared" si="15"/>
        <v>0</v>
      </c>
      <c r="AT19" s="34">
        <f t="shared" si="16"/>
        <v>0</v>
      </c>
      <c r="AU19" s="34">
        <f t="shared" si="17"/>
        <v>0</v>
      </c>
      <c r="AV19" s="38">
        <v>10.7</v>
      </c>
      <c r="AW19" s="34">
        <v>2000</v>
      </c>
      <c r="AX19" s="34">
        <f t="shared" si="18"/>
        <v>2214</v>
      </c>
      <c r="AY19" s="38">
        <v>0.8</v>
      </c>
      <c r="AZ19" s="34">
        <v>300</v>
      </c>
      <c r="BA19" s="34">
        <f t="shared" si="19"/>
        <v>302.39999999999998</v>
      </c>
      <c r="BB19" s="38">
        <v>-8.1</v>
      </c>
      <c r="BC19" s="34">
        <v>1000</v>
      </c>
      <c r="BD19" s="34">
        <f t="shared" si="20"/>
        <v>919</v>
      </c>
      <c r="BE19" s="34">
        <f t="shared" si="21"/>
        <v>-572.06666666667388</v>
      </c>
      <c r="BF19" s="39">
        <f t="shared" si="22"/>
        <v>-0.22002564102564381</v>
      </c>
      <c r="BG19" s="34" t="str">
        <f t="shared" si="23"/>
        <v>Payback period not applicable: the investment does not recover its cost under current conditions.</v>
      </c>
      <c r="BH19" s="40" t="str">
        <f t="shared" si="24"/>
        <v>NO</v>
      </c>
    </row>
    <row r="20" spans="1:60" ht="409.6" thickBot="1" x14ac:dyDescent="0.3">
      <c r="A20" s="25" t="s">
        <v>69</v>
      </c>
      <c r="B20" s="26" t="s">
        <v>70</v>
      </c>
      <c r="C20" s="58" t="s">
        <v>181</v>
      </c>
      <c r="D20" s="58" t="s">
        <v>182</v>
      </c>
      <c r="E20" s="29" t="s">
        <v>183</v>
      </c>
      <c r="F20" s="30" t="s">
        <v>184</v>
      </c>
      <c r="G20" s="31" t="s">
        <v>185</v>
      </c>
      <c r="H20" s="50" t="s">
        <v>186</v>
      </c>
      <c r="I20" s="45" t="s">
        <v>187</v>
      </c>
      <c r="J20" s="52" t="s">
        <v>188</v>
      </c>
      <c r="K20" s="47" t="s">
        <v>189</v>
      </c>
      <c r="L20" s="34">
        <v>10</v>
      </c>
      <c r="M20" s="35">
        <v>3</v>
      </c>
      <c r="N20" s="34">
        <v>0</v>
      </c>
      <c r="O20" s="34">
        <v>0</v>
      </c>
      <c r="P20" s="34">
        <v>0</v>
      </c>
      <c r="Q20" s="34">
        <v>63</v>
      </c>
      <c r="R20" s="35">
        <f t="shared" si="0"/>
        <v>210</v>
      </c>
      <c r="S20" s="35">
        <f t="shared" si="1"/>
        <v>630</v>
      </c>
      <c r="T20" s="38">
        <v>11.3</v>
      </c>
      <c r="U20" s="34">
        <v>10</v>
      </c>
      <c r="V20" s="34">
        <v>600</v>
      </c>
      <c r="W20" s="34">
        <f t="shared" si="2"/>
        <v>60000</v>
      </c>
      <c r="X20" s="34">
        <f t="shared" si="3"/>
        <v>11.129999999999999</v>
      </c>
      <c r="Y20" s="34">
        <f t="shared" si="4"/>
        <v>6677.9999999999991</v>
      </c>
      <c r="Z20" s="34">
        <f t="shared" si="5"/>
        <v>6779.9999999999854</v>
      </c>
      <c r="AA20" s="38">
        <v>0</v>
      </c>
      <c r="AB20" s="34">
        <v>0</v>
      </c>
      <c r="AC20" s="34">
        <v>0</v>
      </c>
      <c r="AD20" s="34">
        <f t="shared" si="6"/>
        <v>0</v>
      </c>
      <c r="AE20" s="34">
        <f t="shared" si="7"/>
        <v>0</v>
      </c>
      <c r="AF20" s="34">
        <f t="shared" si="8"/>
        <v>0</v>
      </c>
      <c r="AG20" s="34">
        <f t="shared" si="9"/>
        <v>0</v>
      </c>
      <c r="AH20" s="38">
        <v>-26.6</v>
      </c>
      <c r="AI20" s="34">
        <v>5</v>
      </c>
      <c r="AJ20" s="34">
        <v>10</v>
      </c>
      <c r="AK20" s="34">
        <f t="shared" si="10"/>
        <v>50</v>
      </c>
      <c r="AL20" s="34">
        <f t="shared" si="11"/>
        <v>3.67</v>
      </c>
      <c r="AM20" s="34">
        <f t="shared" si="12"/>
        <v>36.700000000000003</v>
      </c>
      <c r="AN20" s="34">
        <f t="shared" si="13"/>
        <v>367</v>
      </c>
      <c r="AO20" s="38">
        <v>-75</v>
      </c>
      <c r="AP20" s="34">
        <v>1500</v>
      </c>
      <c r="AQ20" s="34">
        <v>2</v>
      </c>
      <c r="AR20" s="34">
        <f t="shared" si="14"/>
        <v>3000</v>
      </c>
      <c r="AS20" s="34">
        <f t="shared" si="15"/>
        <v>375</v>
      </c>
      <c r="AT20" s="34">
        <f t="shared" si="16"/>
        <v>750</v>
      </c>
      <c r="AU20" s="34">
        <f t="shared" si="17"/>
        <v>7500</v>
      </c>
      <c r="AV20" s="38">
        <v>-13</v>
      </c>
      <c r="AW20" s="34">
        <v>2000</v>
      </c>
      <c r="AX20" s="34">
        <f t="shared" si="18"/>
        <v>1740</v>
      </c>
      <c r="AY20" s="38">
        <v>-17.7</v>
      </c>
      <c r="AZ20" s="34">
        <v>2000</v>
      </c>
      <c r="BA20" s="34">
        <f t="shared" si="19"/>
        <v>1646</v>
      </c>
      <c r="BB20" s="38">
        <v>0</v>
      </c>
      <c r="BC20" s="34">
        <v>0</v>
      </c>
      <c r="BD20" s="34">
        <f t="shared" si="20"/>
        <v>0</v>
      </c>
      <c r="BE20" s="34">
        <f t="shared" si="21"/>
        <v>29186.999999999985</v>
      </c>
      <c r="BF20" s="39">
        <f t="shared" si="22"/>
        <v>46.328571428571408</v>
      </c>
      <c r="BG20" s="34">
        <f t="shared" si="23"/>
        <v>2.1584952204748702E-2</v>
      </c>
      <c r="BH20" s="40" t="str">
        <f t="shared" si="24"/>
        <v>YES</v>
      </c>
    </row>
    <row r="21" spans="1:60" ht="409.6" thickBot="1" x14ac:dyDescent="0.3">
      <c r="A21" s="25" t="s">
        <v>69</v>
      </c>
      <c r="B21" s="26" t="s">
        <v>70</v>
      </c>
      <c r="C21" s="27" t="s">
        <v>190</v>
      </c>
      <c r="D21" s="49" t="s">
        <v>191</v>
      </c>
      <c r="E21" s="29" t="s">
        <v>192</v>
      </c>
      <c r="F21" s="30" t="s">
        <v>170</v>
      </c>
      <c r="G21" s="43" t="s">
        <v>193</v>
      </c>
      <c r="H21" s="50" t="s">
        <v>194</v>
      </c>
      <c r="I21" s="64" t="s">
        <v>195</v>
      </c>
      <c r="J21" s="52" t="s">
        <v>196</v>
      </c>
      <c r="K21" s="47" t="s">
        <v>197</v>
      </c>
      <c r="L21" s="34">
        <v>10</v>
      </c>
      <c r="M21" s="35">
        <v>3</v>
      </c>
      <c r="N21" s="34">
        <v>60000</v>
      </c>
      <c r="O21" s="34">
        <v>0</v>
      </c>
      <c r="P21" s="34">
        <v>120</v>
      </c>
      <c r="Q21" s="34">
        <v>0</v>
      </c>
      <c r="R21" s="35">
        <f t="shared" si="0"/>
        <v>20040</v>
      </c>
      <c r="S21" s="35">
        <f t="shared" si="1"/>
        <v>60120</v>
      </c>
      <c r="T21" s="38">
        <v>12.1</v>
      </c>
      <c r="U21" s="34">
        <v>20</v>
      </c>
      <c r="V21" s="34">
        <v>500</v>
      </c>
      <c r="W21" s="34">
        <f t="shared" si="2"/>
        <v>100000</v>
      </c>
      <c r="X21" s="34">
        <f t="shared" si="3"/>
        <v>22.42</v>
      </c>
      <c r="Y21" s="34">
        <f t="shared" si="4"/>
        <v>11210</v>
      </c>
      <c r="Z21" s="34">
        <f t="shared" si="5"/>
        <v>12100</v>
      </c>
      <c r="AA21" s="38">
        <v>44</v>
      </c>
      <c r="AB21" s="34">
        <v>210</v>
      </c>
      <c r="AC21" s="34">
        <v>1</v>
      </c>
      <c r="AD21" s="34">
        <f t="shared" si="6"/>
        <v>210</v>
      </c>
      <c r="AE21" s="34">
        <f t="shared" si="7"/>
        <v>302.39999999999998</v>
      </c>
      <c r="AF21" s="34">
        <f t="shared" si="8"/>
        <v>302.39999999999998</v>
      </c>
      <c r="AG21" s="34">
        <f t="shared" si="9"/>
        <v>3024</v>
      </c>
      <c r="AH21" s="38">
        <v>250</v>
      </c>
      <c r="AI21" s="34">
        <v>6</v>
      </c>
      <c r="AJ21" s="34">
        <v>12</v>
      </c>
      <c r="AK21" s="34">
        <f t="shared" si="10"/>
        <v>72</v>
      </c>
      <c r="AL21" s="34">
        <f t="shared" si="11"/>
        <v>21</v>
      </c>
      <c r="AM21" s="34">
        <f t="shared" si="12"/>
        <v>252</v>
      </c>
      <c r="AN21" s="34">
        <f t="shared" si="13"/>
        <v>2520</v>
      </c>
      <c r="AO21" s="38">
        <v>-15</v>
      </c>
      <c r="AP21" s="34">
        <v>3000</v>
      </c>
      <c r="AQ21" s="34">
        <v>2.2999999999999998</v>
      </c>
      <c r="AR21" s="34">
        <f t="shared" si="14"/>
        <v>6899.9999999999991</v>
      </c>
      <c r="AS21" s="34">
        <f t="shared" si="15"/>
        <v>2550</v>
      </c>
      <c r="AT21" s="34">
        <f t="shared" si="16"/>
        <v>5865</v>
      </c>
      <c r="AU21" s="34">
        <f t="shared" si="17"/>
        <v>58650</v>
      </c>
      <c r="AV21" s="38">
        <v>-19.7</v>
      </c>
      <c r="AW21" s="34">
        <v>2000</v>
      </c>
      <c r="AX21" s="34">
        <f t="shared" si="18"/>
        <v>1606</v>
      </c>
      <c r="AY21" s="38">
        <v>41.3</v>
      </c>
      <c r="AZ21" s="34">
        <v>2500</v>
      </c>
      <c r="BA21" s="34">
        <f t="shared" si="19"/>
        <v>3532.5</v>
      </c>
      <c r="BB21" s="38">
        <v>147.80000000000001</v>
      </c>
      <c r="BC21" s="34">
        <v>1000</v>
      </c>
      <c r="BD21" s="34">
        <f t="shared" si="20"/>
        <v>2478</v>
      </c>
      <c r="BE21" s="34">
        <f t="shared" si="21"/>
        <v>-2550.5000000000073</v>
      </c>
      <c r="BF21" s="39">
        <f t="shared" si="22"/>
        <v>-4.2423486360612231E-2</v>
      </c>
      <c r="BG21" s="34" t="str">
        <f t="shared" si="23"/>
        <v>Payback period not applicable: the investment does not recover its cost under current conditions.</v>
      </c>
      <c r="BH21" s="40" t="str">
        <f t="shared" si="24"/>
        <v>NO</v>
      </c>
    </row>
    <row r="22" spans="1:60" ht="409.6" thickBot="1" x14ac:dyDescent="0.3">
      <c r="A22" s="25" t="s">
        <v>69</v>
      </c>
      <c r="B22" s="26" t="s">
        <v>70</v>
      </c>
      <c r="C22" s="27" t="s">
        <v>190</v>
      </c>
      <c r="D22" s="49" t="s">
        <v>198</v>
      </c>
      <c r="E22" s="29" t="s">
        <v>192</v>
      </c>
      <c r="F22" s="30" t="s">
        <v>170</v>
      </c>
      <c r="G22" s="43" t="s">
        <v>193</v>
      </c>
      <c r="H22" s="50" t="s">
        <v>199</v>
      </c>
      <c r="I22" s="64" t="s">
        <v>195</v>
      </c>
      <c r="J22" s="52" t="s">
        <v>200</v>
      </c>
      <c r="K22" s="47" t="s">
        <v>201</v>
      </c>
      <c r="L22" s="34">
        <v>10</v>
      </c>
      <c r="M22" s="35">
        <v>3</v>
      </c>
      <c r="N22" s="57">
        <v>0</v>
      </c>
      <c r="O22" s="57">
        <v>60000</v>
      </c>
      <c r="P22" s="34">
        <v>2000</v>
      </c>
      <c r="Q22" s="34">
        <v>0</v>
      </c>
      <c r="R22" s="35">
        <f t="shared" si="0"/>
        <v>200666.66666666666</v>
      </c>
      <c r="S22" s="35">
        <f t="shared" si="1"/>
        <v>602000</v>
      </c>
      <c r="T22" s="38">
        <v>212.5</v>
      </c>
      <c r="U22" s="34">
        <v>20</v>
      </c>
      <c r="V22" s="34">
        <v>500</v>
      </c>
      <c r="W22" s="34">
        <f t="shared" si="2"/>
        <v>100000</v>
      </c>
      <c r="X22" s="34">
        <f t="shared" si="3"/>
        <v>62.5</v>
      </c>
      <c r="Y22" s="34">
        <f t="shared" si="4"/>
        <v>31250</v>
      </c>
      <c r="Z22" s="34">
        <f t="shared" si="5"/>
        <v>212500</v>
      </c>
      <c r="AA22" s="38">
        <v>4.3</v>
      </c>
      <c r="AB22" s="34">
        <v>210</v>
      </c>
      <c r="AC22" s="34">
        <v>1</v>
      </c>
      <c r="AD22" s="34">
        <f t="shared" si="6"/>
        <v>210</v>
      </c>
      <c r="AE22" s="34">
        <f t="shared" si="7"/>
        <v>219.02999999999997</v>
      </c>
      <c r="AF22" s="34">
        <f t="shared" si="8"/>
        <v>219.02999999999997</v>
      </c>
      <c r="AG22" s="34">
        <f t="shared" si="9"/>
        <v>2190.2999999999997</v>
      </c>
      <c r="AH22" s="38">
        <v>-28.2</v>
      </c>
      <c r="AI22" s="34">
        <v>6</v>
      </c>
      <c r="AJ22" s="34">
        <v>12</v>
      </c>
      <c r="AK22" s="34">
        <f t="shared" si="10"/>
        <v>72</v>
      </c>
      <c r="AL22" s="34">
        <f t="shared" si="11"/>
        <v>4.3079999999999998</v>
      </c>
      <c r="AM22" s="34">
        <f t="shared" si="12"/>
        <v>51.695999999999998</v>
      </c>
      <c r="AN22" s="34">
        <f t="shared" si="13"/>
        <v>516.96</v>
      </c>
      <c r="AO22" s="38">
        <v>9</v>
      </c>
      <c r="AP22" s="34">
        <v>3000</v>
      </c>
      <c r="AQ22" s="34">
        <v>2.2999999999999998</v>
      </c>
      <c r="AR22" s="34">
        <f t="shared" si="14"/>
        <v>6899.9999999999991</v>
      </c>
      <c r="AS22" s="34">
        <f t="shared" si="15"/>
        <v>3270.0000000000005</v>
      </c>
      <c r="AT22" s="34">
        <f t="shared" si="16"/>
        <v>7521.0000000000009</v>
      </c>
      <c r="AU22" s="34">
        <f t="shared" si="17"/>
        <v>75210.000000000015</v>
      </c>
      <c r="AV22" s="38">
        <v>146</v>
      </c>
      <c r="AW22" s="34">
        <v>2000</v>
      </c>
      <c r="AX22" s="34">
        <f t="shared" si="18"/>
        <v>4920</v>
      </c>
      <c r="AY22" s="38">
        <v>-100</v>
      </c>
      <c r="AZ22" s="34">
        <v>2500</v>
      </c>
      <c r="BA22" s="34">
        <f t="shared" si="19"/>
        <v>0</v>
      </c>
      <c r="BB22" s="38">
        <v>275</v>
      </c>
      <c r="BC22" s="34">
        <v>1000</v>
      </c>
      <c r="BD22" s="34">
        <f t="shared" si="20"/>
        <v>3750</v>
      </c>
      <c r="BE22" s="34">
        <f t="shared" si="21"/>
        <v>566.07333333333372</v>
      </c>
      <c r="BF22" s="39">
        <f t="shared" si="22"/>
        <v>9.4032115171650116E-4</v>
      </c>
      <c r="BG22" s="34">
        <f t="shared" si="23"/>
        <v>1063.466453109726</v>
      </c>
      <c r="BH22" s="40" t="str">
        <f t="shared" si="24"/>
        <v>NO</v>
      </c>
    </row>
    <row r="23" spans="1:60" ht="409.6" thickBot="1" x14ac:dyDescent="0.3">
      <c r="A23" s="25" t="s">
        <v>69</v>
      </c>
      <c r="B23" s="26" t="s">
        <v>70</v>
      </c>
      <c r="C23" s="58" t="s">
        <v>202</v>
      </c>
      <c r="D23" s="58" t="s">
        <v>169</v>
      </c>
      <c r="E23" s="29" t="s">
        <v>203</v>
      </c>
      <c r="F23" s="30" t="s">
        <v>170</v>
      </c>
      <c r="G23" s="31" t="s">
        <v>138</v>
      </c>
      <c r="H23" s="50" t="s">
        <v>76</v>
      </c>
      <c r="I23" s="61" t="s">
        <v>77</v>
      </c>
      <c r="J23" s="52" t="s">
        <v>204</v>
      </c>
      <c r="K23" s="47" t="s">
        <v>205</v>
      </c>
      <c r="L23" s="34">
        <v>10</v>
      </c>
      <c r="M23" s="35">
        <v>3</v>
      </c>
      <c r="N23" s="34">
        <v>0</v>
      </c>
      <c r="O23" s="34">
        <v>0</v>
      </c>
      <c r="P23" s="34">
        <v>180</v>
      </c>
      <c r="Q23" s="34">
        <v>0</v>
      </c>
      <c r="R23" s="35">
        <f t="shared" si="0"/>
        <v>0</v>
      </c>
      <c r="S23" s="35">
        <f t="shared" si="1"/>
        <v>180</v>
      </c>
      <c r="T23" s="38">
        <v>-41.3</v>
      </c>
      <c r="U23" s="34">
        <v>22</v>
      </c>
      <c r="V23" s="34">
        <v>420</v>
      </c>
      <c r="W23" s="34">
        <f t="shared" si="2"/>
        <v>92400</v>
      </c>
      <c r="X23" s="34">
        <f t="shared" si="3"/>
        <v>12.914</v>
      </c>
      <c r="Y23" s="34">
        <f t="shared" si="4"/>
        <v>5423.88</v>
      </c>
      <c r="Z23" s="34">
        <f t="shared" si="5"/>
        <v>-38161.199999999997</v>
      </c>
      <c r="AA23" s="38">
        <v>-13.9</v>
      </c>
      <c r="AB23" s="34">
        <v>250</v>
      </c>
      <c r="AC23" s="34">
        <v>1.1000000000000001</v>
      </c>
      <c r="AD23" s="34">
        <f t="shared" si="6"/>
        <v>275</v>
      </c>
      <c r="AE23" s="34">
        <f t="shared" si="7"/>
        <v>215.25</v>
      </c>
      <c r="AF23" s="34">
        <f t="shared" si="8"/>
        <v>236.77500000000001</v>
      </c>
      <c r="AG23" s="34">
        <f t="shared" si="9"/>
        <v>2367.75</v>
      </c>
      <c r="AH23" s="38">
        <v>-19.5</v>
      </c>
      <c r="AI23" s="34">
        <v>8</v>
      </c>
      <c r="AJ23" s="34">
        <v>15</v>
      </c>
      <c r="AK23" s="34">
        <f t="shared" si="10"/>
        <v>120</v>
      </c>
      <c r="AL23" s="34">
        <f t="shared" si="11"/>
        <v>6.4399999999999995</v>
      </c>
      <c r="AM23" s="34">
        <f t="shared" si="12"/>
        <v>96.6</v>
      </c>
      <c r="AN23" s="34">
        <f t="shared" si="13"/>
        <v>966</v>
      </c>
      <c r="AO23" s="38">
        <v>-48</v>
      </c>
      <c r="AP23" s="34">
        <v>2500</v>
      </c>
      <c r="AQ23" s="34">
        <v>2.1</v>
      </c>
      <c r="AR23" s="34">
        <f t="shared" si="14"/>
        <v>5250</v>
      </c>
      <c r="AS23" s="34">
        <f t="shared" si="15"/>
        <v>1300</v>
      </c>
      <c r="AT23" s="34">
        <f t="shared" si="16"/>
        <v>2730</v>
      </c>
      <c r="AU23" s="34">
        <f t="shared" si="17"/>
        <v>27300</v>
      </c>
      <c r="AV23" s="38">
        <v>-54.4</v>
      </c>
      <c r="AW23" s="34">
        <v>2000</v>
      </c>
      <c r="AX23" s="34">
        <f t="shared" si="18"/>
        <v>911.99999999999989</v>
      </c>
      <c r="AY23" s="38">
        <v>-61.3</v>
      </c>
      <c r="AZ23" s="34">
        <v>3000</v>
      </c>
      <c r="BA23" s="34">
        <f t="shared" si="19"/>
        <v>1161</v>
      </c>
      <c r="BB23" s="38">
        <v>-29.6</v>
      </c>
      <c r="BC23" s="34">
        <v>1000</v>
      </c>
      <c r="BD23" s="34">
        <f t="shared" si="20"/>
        <v>704</v>
      </c>
      <c r="BE23" s="34">
        <f t="shared" si="21"/>
        <v>-9301.9499999999971</v>
      </c>
      <c r="BF23" s="39">
        <f t="shared" si="22"/>
        <v>-51.677499999999981</v>
      </c>
      <c r="BG23" s="34" t="str">
        <f t="shared" si="23"/>
        <v>Payback period not applicable: the investment does not recover its cost under current conditions.</v>
      </c>
      <c r="BH23" s="40" t="str">
        <f t="shared" si="24"/>
        <v>NO</v>
      </c>
    </row>
    <row r="24" spans="1:60" ht="409.6" thickBot="1" x14ac:dyDescent="0.3">
      <c r="A24" s="25" t="s">
        <v>69</v>
      </c>
      <c r="B24" s="26" t="s">
        <v>70</v>
      </c>
      <c r="C24" s="27" t="s">
        <v>206</v>
      </c>
      <c r="D24" s="49" t="s">
        <v>207</v>
      </c>
      <c r="E24" s="29" t="s">
        <v>119</v>
      </c>
      <c r="F24" s="30" t="s">
        <v>175</v>
      </c>
      <c r="G24" s="31" t="s">
        <v>176</v>
      </c>
      <c r="H24" s="44" t="s">
        <v>208</v>
      </c>
      <c r="I24" s="52" t="s">
        <v>178</v>
      </c>
      <c r="J24" s="46" t="s">
        <v>209</v>
      </c>
      <c r="K24" s="47" t="s">
        <v>210</v>
      </c>
      <c r="L24" s="34">
        <v>10</v>
      </c>
      <c r="M24" s="35">
        <v>3</v>
      </c>
      <c r="N24" s="34">
        <v>4850</v>
      </c>
      <c r="O24" s="34">
        <v>0</v>
      </c>
      <c r="P24" s="34">
        <v>400</v>
      </c>
      <c r="Q24" s="34">
        <v>0</v>
      </c>
      <c r="R24" s="35">
        <f t="shared" si="0"/>
        <v>1750</v>
      </c>
      <c r="S24" s="35">
        <f t="shared" si="1"/>
        <v>5250</v>
      </c>
      <c r="T24" s="38">
        <v>1.3</v>
      </c>
      <c r="U24" s="34">
        <v>20</v>
      </c>
      <c r="V24" s="34">
        <v>400</v>
      </c>
      <c r="W24" s="34">
        <f t="shared" si="2"/>
        <v>80000</v>
      </c>
      <c r="X24" s="34">
        <f t="shared" si="3"/>
        <v>20.259999999999998</v>
      </c>
      <c r="Y24" s="34">
        <f t="shared" si="4"/>
        <v>8103.9999999999991</v>
      </c>
      <c r="Z24" s="34">
        <f t="shared" si="5"/>
        <v>1039.9999999999854</v>
      </c>
      <c r="AA24" s="38">
        <v>0</v>
      </c>
      <c r="AB24" s="34">
        <v>0</v>
      </c>
      <c r="AC24" s="34">
        <v>0</v>
      </c>
      <c r="AD24" s="34">
        <f t="shared" si="6"/>
        <v>0</v>
      </c>
      <c r="AE24" s="34">
        <f t="shared" si="7"/>
        <v>0</v>
      </c>
      <c r="AF24" s="34">
        <f t="shared" si="8"/>
        <v>0</v>
      </c>
      <c r="AG24" s="34">
        <f t="shared" si="9"/>
        <v>0</v>
      </c>
      <c r="AH24" s="38">
        <v>0</v>
      </c>
      <c r="AI24" s="34">
        <v>0</v>
      </c>
      <c r="AJ24" s="34">
        <v>0</v>
      </c>
      <c r="AK24" s="34">
        <f t="shared" si="10"/>
        <v>0</v>
      </c>
      <c r="AL24" s="34">
        <f t="shared" si="11"/>
        <v>0</v>
      </c>
      <c r="AM24" s="34">
        <f t="shared" si="12"/>
        <v>0</v>
      </c>
      <c r="AN24" s="34">
        <f t="shared" si="13"/>
        <v>0</v>
      </c>
      <c r="AO24" s="38">
        <v>6</v>
      </c>
      <c r="AP24" s="34">
        <v>0</v>
      </c>
      <c r="AQ24" s="34">
        <v>0</v>
      </c>
      <c r="AR24" s="34">
        <f t="shared" si="14"/>
        <v>0</v>
      </c>
      <c r="AS24" s="34">
        <f t="shared" si="15"/>
        <v>0</v>
      </c>
      <c r="AT24" s="34">
        <f t="shared" si="16"/>
        <v>0</v>
      </c>
      <c r="AU24" s="34">
        <f t="shared" si="17"/>
        <v>0</v>
      </c>
      <c r="AV24" s="38">
        <v>19.3</v>
      </c>
      <c r="AW24" s="34">
        <v>2000</v>
      </c>
      <c r="AX24" s="34">
        <f t="shared" si="18"/>
        <v>2386</v>
      </c>
      <c r="AY24" s="38">
        <v>2</v>
      </c>
      <c r="AZ24" s="34">
        <v>3000</v>
      </c>
      <c r="BA24" s="34">
        <f t="shared" si="19"/>
        <v>3060</v>
      </c>
      <c r="BB24" s="38">
        <v>19.8</v>
      </c>
      <c r="BC24" s="34">
        <v>1000</v>
      </c>
      <c r="BD24" s="34">
        <f t="shared" si="20"/>
        <v>1198</v>
      </c>
      <c r="BE24" s="34">
        <f t="shared" si="21"/>
        <v>-1754.0000000000146</v>
      </c>
      <c r="BF24" s="39">
        <f t="shared" si="22"/>
        <v>-0.33409523809524089</v>
      </c>
      <c r="BG24" s="34" t="str">
        <f t="shared" si="23"/>
        <v>Payback period not applicable: the investment does not recover its cost under current conditions.</v>
      </c>
      <c r="BH24" s="40" t="str">
        <f t="shared" si="24"/>
        <v>NO</v>
      </c>
    </row>
    <row r="25" spans="1:60" ht="270.75" thickBot="1" x14ac:dyDescent="0.3">
      <c r="A25" s="25" t="s">
        <v>69</v>
      </c>
      <c r="B25" s="26" t="s">
        <v>70</v>
      </c>
      <c r="C25" s="48" t="s">
        <v>211</v>
      </c>
      <c r="D25" s="49" t="s">
        <v>212</v>
      </c>
      <c r="E25" s="29" t="s">
        <v>162</v>
      </c>
      <c r="F25" s="30" t="s">
        <v>184</v>
      </c>
      <c r="G25" s="31" t="s">
        <v>213</v>
      </c>
      <c r="H25" s="50" t="s">
        <v>214</v>
      </c>
      <c r="I25" s="64" t="s">
        <v>215</v>
      </c>
      <c r="J25" s="65" t="s">
        <v>216</v>
      </c>
      <c r="K25" s="47" t="s">
        <v>217</v>
      </c>
      <c r="L25" s="34">
        <v>10</v>
      </c>
      <c r="M25" s="35">
        <v>3</v>
      </c>
      <c r="N25" s="34">
        <v>4400</v>
      </c>
      <c r="O25" s="34">
        <v>0</v>
      </c>
      <c r="P25" s="34">
        <v>563</v>
      </c>
      <c r="Q25" s="34">
        <v>0</v>
      </c>
      <c r="R25" s="35">
        <f t="shared" si="0"/>
        <v>1654.3333333333333</v>
      </c>
      <c r="S25" s="35">
        <f t="shared" si="1"/>
        <v>4963</v>
      </c>
      <c r="T25" s="38">
        <v>0</v>
      </c>
      <c r="U25" s="34">
        <v>0</v>
      </c>
      <c r="V25" s="34">
        <v>0</v>
      </c>
      <c r="W25" s="34">
        <f t="shared" si="2"/>
        <v>0</v>
      </c>
      <c r="X25" s="34">
        <f t="shared" si="3"/>
        <v>0</v>
      </c>
      <c r="Y25" s="34">
        <f t="shared" si="4"/>
        <v>0</v>
      </c>
      <c r="Z25" s="34">
        <f t="shared" si="5"/>
        <v>0</v>
      </c>
      <c r="AA25" s="38">
        <v>0</v>
      </c>
      <c r="AB25" s="34">
        <v>0</v>
      </c>
      <c r="AC25" s="34">
        <v>0</v>
      </c>
      <c r="AD25" s="34">
        <f t="shared" si="6"/>
        <v>0</v>
      </c>
      <c r="AE25" s="34">
        <f t="shared" si="7"/>
        <v>0</v>
      </c>
      <c r="AF25" s="34">
        <f t="shared" si="8"/>
        <v>0</v>
      </c>
      <c r="AG25" s="34">
        <f t="shared" si="9"/>
        <v>0</v>
      </c>
      <c r="AH25" s="38">
        <v>60</v>
      </c>
      <c r="AI25" s="34">
        <v>9</v>
      </c>
      <c r="AJ25" s="34">
        <v>12</v>
      </c>
      <c r="AK25" s="34">
        <f t="shared" si="10"/>
        <v>108</v>
      </c>
      <c r="AL25" s="34">
        <f t="shared" si="11"/>
        <v>14.4</v>
      </c>
      <c r="AM25" s="34">
        <f t="shared" si="12"/>
        <v>172.8</v>
      </c>
      <c r="AN25" s="34">
        <f t="shared" si="13"/>
        <v>1728</v>
      </c>
      <c r="AO25" s="38">
        <v>0</v>
      </c>
      <c r="AP25" s="34">
        <v>0</v>
      </c>
      <c r="AQ25" s="34">
        <v>0</v>
      </c>
      <c r="AR25" s="34">
        <f t="shared" si="14"/>
        <v>0</v>
      </c>
      <c r="AS25" s="34">
        <f t="shared" si="15"/>
        <v>0</v>
      </c>
      <c r="AT25" s="34">
        <f t="shared" si="16"/>
        <v>0</v>
      </c>
      <c r="AU25" s="34">
        <f t="shared" si="17"/>
        <v>0</v>
      </c>
      <c r="AV25" s="38">
        <v>-90.8</v>
      </c>
      <c r="AW25" s="34">
        <v>2000</v>
      </c>
      <c r="AX25" s="34">
        <f t="shared" si="18"/>
        <v>184.00000000000017</v>
      </c>
      <c r="AY25" s="38">
        <v>-94.6</v>
      </c>
      <c r="AZ25" s="34">
        <v>2500</v>
      </c>
      <c r="BA25" s="34">
        <f t="shared" si="19"/>
        <v>135.00000000000011</v>
      </c>
      <c r="BB25" s="38">
        <v>0</v>
      </c>
      <c r="BC25" s="34">
        <v>0</v>
      </c>
      <c r="BD25" s="34">
        <f t="shared" si="20"/>
        <v>0</v>
      </c>
      <c r="BE25" s="34">
        <f t="shared" si="21"/>
        <v>1315.6666666666663</v>
      </c>
      <c r="BF25" s="39">
        <f t="shared" si="22"/>
        <v>0.26509503660420436</v>
      </c>
      <c r="BG25" s="34">
        <f t="shared" si="23"/>
        <v>3.7722320749936671</v>
      </c>
      <c r="BH25" s="40" t="str">
        <f t="shared" si="24"/>
        <v>YES</v>
      </c>
    </row>
    <row r="26" spans="1:60" ht="409.6" thickBot="1" x14ac:dyDescent="0.3">
      <c r="A26" s="25" t="s">
        <v>69</v>
      </c>
      <c r="B26" s="26" t="s">
        <v>70</v>
      </c>
      <c r="C26" s="58" t="s">
        <v>218</v>
      </c>
      <c r="D26" s="58" t="s">
        <v>219</v>
      </c>
      <c r="E26" s="29" t="s">
        <v>183</v>
      </c>
      <c r="F26" s="30" t="s">
        <v>132</v>
      </c>
      <c r="G26" s="31" t="s">
        <v>220</v>
      </c>
      <c r="H26" s="50" t="s">
        <v>221</v>
      </c>
      <c r="I26" s="51" t="s">
        <v>222</v>
      </c>
      <c r="J26" s="52" t="s">
        <v>223</v>
      </c>
      <c r="K26" s="47" t="s">
        <v>224</v>
      </c>
      <c r="L26" s="34">
        <v>10</v>
      </c>
      <c r="M26" s="35">
        <v>3</v>
      </c>
      <c r="N26" s="34">
        <v>0</v>
      </c>
      <c r="O26" s="34">
        <v>0</v>
      </c>
      <c r="P26" s="34">
        <v>0</v>
      </c>
      <c r="Q26" s="34">
        <v>45</v>
      </c>
      <c r="R26" s="35">
        <f t="shared" si="0"/>
        <v>0</v>
      </c>
      <c r="S26" s="35">
        <f t="shared" si="1"/>
        <v>450</v>
      </c>
      <c r="T26" s="38">
        <v>21</v>
      </c>
      <c r="U26" s="34">
        <v>50</v>
      </c>
      <c r="V26" s="34">
        <v>500</v>
      </c>
      <c r="W26" s="34">
        <f t="shared" si="2"/>
        <v>250000</v>
      </c>
      <c r="X26" s="34">
        <f t="shared" si="3"/>
        <v>60.5</v>
      </c>
      <c r="Y26" s="34">
        <f t="shared" si="4"/>
        <v>30250</v>
      </c>
      <c r="Z26" s="34">
        <f t="shared" si="5"/>
        <v>52500</v>
      </c>
      <c r="AA26" s="38">
        <v>4.5</v>
      </c>
      <c r="AB26" s="34">
        <v>300</v>
      </c>
      <c r="AC26" s="34">
        <v>1.2</v>
      </c>
      <c r="AD26" s="34">
        <f t="shared" si="6"/>
        <v>360</v>
      </c>
      <c r="AE26" s="34">
        <f t="shared" si="7"/>
        <v>313.5</v>
      </c>
      <c r="AF26" s="34">
        <f t="shared" si="8"/>
        <v>376.2</v>
      </c>
      <c r="AG26" s="34">
        <f t="shared" si="9"/>
        <v>3762</v>
      </c>
      <c r="AH26" s="38">
        <v>4.8</v>
      </c>
      <c r="AI26" s="34">
        <v>5</v>
      </c>
      <c r="AJ26" s="34">
        <v>12</v>
      </c>
      <c r="AK26" s="34">
        <f t="shared" si="10"/>
        <v>60</v>
      </c>
      <c r="AL26" s="34">
        <f t="shared" si="11"/>
        <v>5.24</v>
      </c>
      <c r="AM26" s="34">
        <f t="shared" si="12"/>
        <v>62.88</v>
      </c>
      <c r="AN26" s="34">
        <f t="shared" si="13"/>
        <v>628.80000000000007</v>
      </c>
      <c r="AO26" s="38">
        <v>-21</v>
      </c>
      <c r="AP26" s="34">
        <v>4500</v>
      </c>
      <c r="AQ26" s="34">
        <v>2.2999999999999998</v>
      </c>
      <c r="AR26" s="34">
        <f t="shared" si="14"/>
        <v>10350</v>
      </c>
      <c r="AS26" s="34">
        <f t="shared" si="15"/>
        <v>3555</v>
      </c>
      <c r="AT26" s="34">
        <f t="shared" si="16"/>
        <v>8176.4999999999991</v>
      </c>
      <c r="AU26" s="34">
        <f t="shared" si="17"/>
        <v>81764.999999999985</v>
      </c>
      <c r="AV26" s="38">
        <v>28</v>
      </c>
      <c r="AW26" s="34">
        <v>2000</v>
      </c>
      <c r="AX26" s="34">
        <f t="shared" si="18"/>
        <v>2560</v>
      </c>
      <c r="AY26" s="38">
        <v>5.8</v>
      </c>
      <c r="AZ26" s="34">
        <v>2500</v>
      </c>
      <c r="BA26" s="34">
        <f t="shared" si="19"/>
        <v>2645</v>
      </c>
      <c r="BB26" s="38">
        <v>0</v>
      </c>
      <c r="BC26" s="34">
        <v>0</v>
      </c>
      <c r="BD26" s="34">
        <f t="shared" si="20"/>
        <v>0</v>
      </c>
      <c r="BE26" s="34">
        <f t="shared" si="21"/>
        <v>72889.200000000012</v>
      </c>
      <c r="BF26" s="39">
        <f t="shared" si="22"/>
        <v>161.97600000000003</v>
      </c>
      <c r="BG26" s="34">
        <f t="shared" si="23"/>
        <v>6.1737541364152706E-3</v>
      </c>
      <c r="BH26" s="40" t="str">
        <f t="shared" si="24"/>
        <v>YES</v>
      </c>
    </row>
    <row r="27" spans="1:60" ht="405" x14ac:dyDescent="0.25">
      <c r="A27" s="25" t="s">
        <v>69</v>
      </c>
      <c r="B27" s="26" t="s">
        <v>70</v>
      </c>
      <c r="C27" s="48" t="s">
        <v>225</v>
      </c>
      <c r="D27" s="66" t="s">
        <v>226</v>
      </c>
      <c r="E27" s="29" t="s">
        <v>119</v>
      </c>
      <c r="F27" s="30" t="s">
        <v>132</v>
      </c>
      <c r="G27" s="31" t="s">
        <v>227</v>
      </c>
      <c r="H27" s="50" t="s">
        <v>228</v>
      </c>
      <c r="I27" s="51" t="s">
        <v>229</v>
      </c>
      <c r="J27" s="65" t="s">
        <v>230</v>
      </c>
      <c r="K27" s="47" t="s">
        <v>231</v>
      </c>
      <c r="L27" s="34">
        <v>10</v>
      </c>
      <c r="M27" s="35">
        <v>3</v>
      </c>
      <c r="N27" s="34">
        <v>8000</v>
      </c>
      <c r="O27" s="34">
        <v>0</v>
      </c>
      <c r="P27" s="34">
        <v>300</v>
      </c>
      <c r="Q27" s="34">
        <v>0</v>
      </c>
      <c r="R27" s="35">
        <f t="shared" si="0"/>
        <v>2766.6666666666665</v>
      </c>
      <c r="S27" s="35">
        <f t="shared" si="1"/>
        <v>8300</v>
      </c>
      <c r="T27" s="38">
        <v>1.5</v>
      </c>
      <c r="U27" s="34">
        <v>60</v>
      </c>
      <c r="V27" s="34">
        <v>600</v>
      </c>
      <c r="W27" s="34">
        <f t="shared" si="2"/>
        <v>360000</v>
      </c>
      <c r="X27" s="34">
        <f t="shared" si="3"/>
        <v>60.899999999999991</v>
      </c>
      <c r="Y27" s="34">
        <f t="shared" si="4"/>
        <v>36539.999999999993</v>
      </c>
      <c r="Z27" s="34">
        <f t="shared" si="5"/>
        <v>5399.9999999999418</v>
      </c>
      <c r="AA27" s="38">
        <v>0</v>
      </c>
      <c r="AB27" s="34">
        <v>0</v>
      </c>
      <c r="AC27" s="34">
        <v>0</v>
      </c>
      <c r="AD27" s="34">
        <f t="shared" si="6"/>
        <v>0</v>
      </c>
      <c r="AE27" s="34">
        <f t="shared" si="7"/>
        <v>0</v>
      </c>
      <c r="AF27" s="34">
        <f t="shared" si="8"/>
        <v>0</v>
      </c>
      <c r="AG27" s="34">
        <f t="shared" si="9"/>
        <v>0</v>
      </c>
      <c r="AH27" s="38">
        <v>0</v>
      </c>
      <c r="AI27" s="34">
        <v>0</v>
      </c>
      <c r="AJ27" s="34">
        <v>0</v>
      </c>
      <c r="AK27" s="34">
        <f t="shared" si="10"/>
        <v>0</v>
      </c>
      <c r="AL27" s="34">
        <f t="shared" si="11"/>
        <v>0</v>
      </c>
      <c r="AM27" s="34">
        <f t="shared" si="12"/>
        <v>0</v>
      </c>
      <c r="AN27" s="34">
        <f t="shared" si="13"/>
        <v>0</v>
      </c>
      <c r="AO27" s="38">
        <v>-27</v>
      </c>
      <c r="AP27" s="34">
        <v>3000</v>
      </c>
      <c r="AQ27" s="34">
        <v>1.8</v>
      </c>
      <c r="AR27" s="34">
        <f t="shared" si="14"/>
        <v>5400</v>
      </c>
      <c r="AS27" s="34">
        <f t="shared" si="15"/>
        <v>2190</v>
      </c>
      <c r="AT27" s="34">
        <f t="shared" si="16"/>
        <v>3942</v>
      </c>
      <c r="AU27" s="34">
        <f t="shared" si="17"/>
        <v>39420</v>
      </c>
      <c r="AV27" s="38">
        <v>0</v>
      </c>
      <c r="AW27" s="34">
        <v>0</v>
      </c>
      <c r="AX27" s="34">
        <f t="shared" si="18"/>
        <v>0</v>
      </c>
      <c r="AY27" s="38">
        <v>-15.6</v>
      </c>
      <c r="AZ27" s="34">
        <v>3000</v>
      </c>
      <c r="BA27" s="34">
        <f t="shared" si="19"/>
        <v>2532</v>
      </c>
      <c r="BB27" s="38">
        <v>-60</v>
      </c>
      <c r="BC27" s="34">
        <v>1000</v>
      </c>
      <c r="BD27" s="34">
        <f t="shared" si="20"/>
        <v>400</v>
      </c>
      <c r="BE27" s="34">
        <f t="shared" si="21"/>
        <v>17981.333333333274</v>
      </c>
      <c r="BF27" s="39">
        <f t="shared" si="22"/>
        <v>2.1664257028112379</v>
      </c>
      <c r="BG27" s="34">
        <f t="shared" si="23"/>
        <v>0.46158979682633994</v>
      </c>
      <c r="BH27" s="40" t="str">
        <f t="shared" si="24"/>
        <v>YES</v>
      </c>
    </row>
    <row r="28" spans="1:60" ht="315" x14ac:dyDescent="0.25">
      <c r="A28" s="25" t="s">
        <v>69</v>
      </c>
      <c r="B28" s="26" t="s">
        <v>70</v>
      </c>
      <c r="C28" s="27" t="s">
        <v>232</v>
      </c>
      <c r="D28" s="27" t="s">
        <v>233</v>
      </c>
      <c r="E28" s="27" t="s">
        <v>82</v>
      </c>
      <c r="F28" s="30" t="s">
        <v>132</v>
      </c>
      <c r="G28" s="31" t="s">
        <v>234</v>
      </c>
      <c r="H28" s="50" t="s">
        <v>235</v>
      </c>
      <c r="I28" s="45" t="s">
        <v>236</v>
      </c>
      <c r="J28" s="52" t="s">
        <v>237</v>
      </c>
      <c r="K28" s="47" t="s">
        <v>238</v>
      </c>
      <c r="L28" s="34">
        <v>10</v>
      </c>
      <c r="M28" s="35">
        <v>3</v>
      </c>
      <c r="N28" s="57">
        <v>0</v>
      </c>
      <c r="O28" s="57">
        <v>15000</v>
      </c>
      <c r="P28" s="34">
        <v>0</v>
      </c>
      <c r="Q28" s="67">
        <v>0</v>
      </c>
      <c r="R28" s="35">
        <f t="shared" si="0"/>
        <v>50000</v>
      </c>
      <c r="S28" s="35">
        <f t="shared" si="1"/>
        <v>150000</v>
      </c>
      <c r="T28" s="38">
        <v>3</v>
      </c>
      <c r="U28" s="34">
        <v>40</v>
      </c>
      <c r="V28" s="34">
        <v>800</v>
      </c>
      <c r="W28" s="34">
        <f t="shared" si="2"/>
        <v>320000</v>
      </c>
      <c r="X28" s="34">
        <f t="shared" si="3"/>
        <v>41.2</v>
      </c>
      <c r="Y28" s="34">
        <f t="shared" si="4"/>
        <v>32960</v>
      </c>
      <c r="Z28" s="34">
        <f t="shared" si="5"/>
        <v>9600</v>
      </c>
      <c r="AA28" s="38">
        <v>0</v>
      </c>
      <c r="AB28" s="34">
        <v>0</v>
      </c>
      <c r="AC28" s="34">
        <v>0</v>
      </c>
      <c r="AD28" s="34">
        <f t="shared" si="6"/>
        <v>0</v>
      </c>
      <c r="AE28" s="34">
        <f t="shared" si="7"/>
        <v>0</v>
      </c>
      <c r="AF28" s="34">
        <f t="shared" si="8"/>
        <v>0</v>
      </c>
      <c r="AG28" s="34">
        <f t="shared" si="9"/>
        <v>0</v>
      </c>
      <c r="AH28" s="38">
        <v>46.9</v>
      </c>
      <c r="AI28" s="34">
        <v>5</v>
      </c>
      <c r="AJ28" s="34">
        <v>13</v>
      </c>
      <c r="AK28" s="34">
        <f t="shared" si="10"/>
        <v>65</v>
      </c>
      <c r="AL28" s="34">
        <f t="shared" si="11"/>
        <v>7.3449999999999989</v>
      </c>
      <c r="AM28" s="34">
        <f t="shared" si="12"/>
        <v>95.484999999999985</v>
      </c>
      <c r="AN28" s="34">
        <f t="shared" si="13"/>
        <v>954.84999999999991</v>
      </c>
      <c r="AO28" s="38">
        <v>-2</v>
      </c>
      <c r="AP28" s="34">
        <v>2800</v>
      </c>
      <c r="AQ28" s="34">
        <v>2</v>
      </c>
      <c r="AR28" s="34">
        <f t="shared" si="14"/>
        <v>5600</v>
      </c>
      <c r="AS28" s="34">
        <f t="shared" si="15"/>
        <v>2744</v>
      </c>
      <c r="AT28" s="34">
        <f t="shared" si="16"/>
        <v>5488</v>
      </c>
      <c r="AU28" s="34">
        <f t="shared" si="17"/>
        <v>54880</v>
      </c>
      <c r="AV28" s="38">
        <v>0</v>
      </c>
      <c r="AW28" s="34">
        <v>0</v>
      </c>
      <c r="AX28" s="34">
        <f t="shared" si="18"/>
        <v>0</v>
      </c>
      <c r="AY28" s="38">
        <v>0</v>
      </c>
      <c r="AZ28" s="34">
        <v>0</v>
      </c>
      <c r="BA28" s="34">
        <f t="shared" si="19"/>
        <v>0</v>
      </c>
      <c r="BB28" s="38">
        <v>0</v>
      </c>
      <c r="BC28" s="34">
        <v>0</v>
      </c>
      <c r="BD28" s="34">
        <f t="shared" si="20"/>
        <v>0</v>
      </c>
      <c r="BE28" s="34">
        <f t="shared" si="21"/>
        <v>-39584.85</v>
      </c>
      <c r="BF28" s="39">
        <f t="shared" si="22"/>
        <v>-0.26389899999999999</v>
      </c>
      <c r="BG28" s="34" t="str">
        <f t="shared" si="23"/>
        <v>Payback period not applicable: the investment does not recover its cost under current conditions.</v>
      </c>
      <c r="BH28" s="40" t="str">
        <f t="shared" si="24"/>
        <v>NO</v>
      </c>
    </row>
    <row r="29" spans="1:60" ht="409.5" x14ac:dyDescent="0.25">
      <c r="A29" s="25" t="s">
        <v>69</v>
      </c>
      <c r="B29" s="26" t="s">
        <v>70</v>
      </c>
      <c r="C29" s="48" t="s">
        <v>239</v>
      </c>
      <c r="D29" s="48" t="s">
        <v>240</v>
      </c>
      <c r="E29" s="48" t="s">
        <v>241</v>
      </c>
      <c r="F29" s="48" t="s">
        <v>132</v>
      </c>
      <c r="G29" s="68" t="s">
        <v>242</v>
      </c>
      <c r="H29" s="69" t="s">
        <v>243</v>
      </c>
      <c r="I29" s="70" t="s">
        <v>244</v>
      </c>
      <c r="J29" s="71" t="s">
        <v>245</v>
      </c>
      <c r="K29" s="47" t="s">
        <v>246</v>
      </c>
      <c r="L29" s="34">
        <v>10</v>
      </c>
      <c r="M29" s="35">
        <v>3</v>
      </c>
      <c r="N29" s="34">
        <v>1579000</v>
      </c>
      <c r="O29" s="34">
        <v>0</v>
      </c>
      <c r="P29" s="34">
        <v>2500</v>
      </c>
      <c r="Q29" s="34">
        <v>0</v>
      </c>
      <c r="R29" s="35">
        <f t="shared" si="0"/>
        <v>527166.66666666663</v>
      </c>
      <c r="S29" s="35">
        <f t="shared" si="1"/>
        <v>1581500</v>
      </c>
      <c r="T29" s="38">
        <v>9.5</v>
      </c>
      <c r="U29" s="34">
        <v>30</v>
      </c>
      <c r="V29" s="34">
        <v>1000</v>
      </c>
      <c r="W29" s="34">
        <f t="shared" si="2"/>
        <v>300000</v>
      </c>
      <c r="X29" s="34">
        <f t="shared" si="3"/>
        <v>32.85</v>
      </c>
      <c r="Y29" s="34">
        <f t="shared" si="4"/>
        <v>32850</v>
      </c>
      <c r="Z29" s="34">
        <f t="shared" si="5"/>
        <v>28500</v>
      </c>
      <c r="AA29" s="38">
        <v>-33.299999999999997</v>
      </c>
      <c r="AB29" s="34">
        <v>200</v>
      </c>
      <c r="AC29" s="34">
        <v>1</v>
      </c>
      <c r="AD29" s="34">
        <f t="shared" si="6"/>
        <v>200</v>
      </c>
      <c r="AE29" s="34">
        <f t="shared" si="7"/>
        <v>133.4</v>
      </c>
      <c r="AF29" s="34">
        <f t="shared" si="8"/>
        <v>133.4</v>
      </c>
      <c r="AG29" s="34">
        <f t="shared" si="9"/>
        <v>1334</v>
      </c>
      <c r="AH29" s="38">
        <v>66.3</v>
      </c>
      <c r="AI29" s="34">
        <v>4</v>
      </c>
      <c r="AJ29" s="34">
        <v>11</v>
      </c>
      <c r="AK29" s="34">
        <f t="shared" si="10"/>
        <v>44</v>
      </c>
      <c r="AL29" s="34">
        <f t="shared" si="11"/>
        <v>6.6519999999999992</v>
      </c>
      <c r="AM29" s="34">
        <f t="shared" si="12"/>
        <v>73.171999999999997</v>
      </c>
      <c r="AN29" s="34">
        <f t="shared" si="13"/>
        <v>731.72</v>
      </c>
      <c r="AO29" s="38">
        <v>-96</v>
      </c>
      <c r="AP29" s="34">
        <v>3000</v>
      </c>
      <c r="AQ29" s="34">
        <v>2.2000000000000002</v>
      </c>
      <c r="AR29" s="34">
        <f t="shared" si="14"/>
        <v>6600.0000000000009</v>
      </c>
      <c r="AS29" s="34">
        <f t="shared" si="15"/>
        <v>120.00000000000011</v>
      </c>
      <c r="AT29" s="34">
        <f t="shared" si="16"/>
        <v>264.00000000000028</v>
      </c>
      <c r="AU29" s="34">
        <f t="shared" si="17"/>
        <v>2640.0000000000027</v>
      </c>
      <c r="AV29" s="38">
        <v>60</v>
      </c>
      <c r="AW29" s="34">
        <v>2000</v>
      </c>
      <c r="AX29" s="34">
        <f t="shared" si="18"/>
        <v>3200</v>
      </c>
      <c r="AY29" s="38">
        <v>874.3</v>
      </c>
      <c r="AZ29" s="34">
        <v>3200</v>
      </c>
      <c r="BA29" s="34">
        <f t="shared" si="19"/>
        <v>31177.600000000002</v>
      </c>
      <c r="BB29" s="38">
        <v>-52.2</v>
      </c>
      <c r="BC29" s="34">
        <v>1000</v>
      </c>
      <c r="BD29" s="34">
        <f t="shared" si="20"/>
        <v>478</v>
      </c>
      <c r="BE29" s="34">
        <f t="shared" si="21"/>
        <v>-466087.98666666663</v>
      </c>
      <c r="BF29" s="39">
        <f t="shared" si="22"/>
        <v>-0.29471260617557171</v>
      </c>
      <c r="BG29" s="34" t="str">
        <f t="shared" si="23"/>
        <v>Payback period not applicable: the investment does not recover its cost under current conditions.</v>
      </c>
      <c r="BH29" s="40" t="str">
        <f t="shared" si="24"/>
        <v>NO</v>
      </c>
    </row>
  </sheetData>
  <mergeCells count="9">
    <mergeCell ref="BB1:BD1"/>
    <mergeCell ref="BE1:BH1"/>
    <mergeCell ref="L1:S1"/>
    <mergeCell ref="T1:Y1"/>
    <mergeCell ref="AA1:AG1"/>
    <mergeCell ref="AH1:AN1"/>
    <mergeCell ref="AO1:AU1"/>
    <mergeCell ref="AV1:AX1"/>
    <mergeCell ref="AY1:BA1"/>
  </mergeCells>
  <hyperlinks>
    <hyperlink ref="I3" r:id="rId1" xr:uid="{00000000-0004-0000-0000-000000000000}"/>
    <hyperlink ref="I4" r:id="rId2" xr:uid="{00000000-0004-0000-0000-000001000000}"/>
    <hyperlink ref="I5" r:id="rId3" xr:uid="{00000000-0004-0000-0000-000002000000}"/>
    <hyperlink ref="I6" r:id="rId4" xr:uid="{00000000-0004-0000-0000-000003000000}"/>
    <hyperlink ref="I8" r:id="rId5" xr:uid="{00000000-0004-0000-0000-000004000000}"/>
    <hyperlink ref="I12" r:id="rId6" xr:uid="{00000000-0004-0000-0000-000005000000}"/>
    <hyperlink ref="I13" r:id="rId7" xr:uid="{00000000-0004-0000-0000-000006000000}"/>
    <hyperlink ref="I14" r:id="rId8" xr:uid="{00000000-0004-0000-0000-000007000000}"/>
    <hyperlink ref="I15" r:id="rId9" xr:uid="{00000000-0004-0000-0000-000008000000}"/>
    <hyperlink ref="I16" r:id="rId10" xr:uid="{00000000-0004-0000-0000-000009000000}"/>
    <hyperlink ref="I17" r:id="rId11" xr:uid="{00000000-0004-0000-0000-00000A000000}"/>
    <hyperlink ref="I18" r:id="rId12" xr:uid="{00000000-0004-0000-0000-00000B000000}"/>
    <hyperlink ref="I20" r:id="rId13" xr:uid="{00000000-0004-0000-0000-00000C000000}"/>
    <hyperlink ref="I23" r:id="rId14" xr:uid="{00000000-0004-0000-0000-00000D000000}"/>
    <hyperlink ref="I26" r:id="rId15" location="functions" xr:uid="{00000000-0004-0000-0000-00000E000000}"/>
    <hyperlink ref="I27" r:id="rId16" xr:uid="{00000000-0004-0000-0000-00000F000000}"/>
    <hyperlink ref="I28" r:id="rId17" xr:uid="{00000000-0004-0000-0000-000010000000}"/>
    <hyperlink ref="I29" r:id="rId18" xr:uid="{00000000-0004-0000-0000-000011000000}"/>
  </hyperlinks>
  <pageMargins left="0.7" right="0.7" top="0.75" bottom="0.75" header="0.3" footer="0.3"/>
  <drawing r:id="rId19"/>
  <mc:AlternateContent xmlns:mc="http://schemas.openxmlformats.org/markup-compatibility/2006">
    <mc:Choice Requires="v">
      <legacyDrawing r:id="rId20"/>
    </mc:Choice>
  </mc:AlternateContent>
</worksheet>
</file>

<file path=xl/worksheets/sheet2.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45DC5-743C-4F8B-B939-AB93F380BBE4}">
  <dimension ref="A1:BH28"/>
  <sheetViews>
    <sheetView workbookViewId="0">
      <selection activeCell="N5" sqref="N5"/>
    </sheetView>
  </sheetViews>
  <sheetFormatPr defaultRowHeight="43.5" customHeight="1" x14ac:dyDescent="0.2"/>
  <sheetData>
    <row r="1" spans="1:60" s="163" customFormat="1" ht="43.5" customHeight="1" thickBot="1" x14ac:dyDescent="0.25">
      <c r="A1" s="158" t="s">
        <v>386</v>
      </c>
      <c r="B1" s="158" t="s">
        <v>11</v>
      </c>
      <c r="C1" s="159" t="s">
        <v>12</v>
      </c>
      <c r="D1" s="160" t="s">
        <v>13</v>
      </c>
      <c r="E1" s="160" t="s">
        <v>14</v>
      </c>
      <c r="F1" s="160" t="s">
        <v>15</v>
      </c>
      <c r="G1" s="160" t="s">
        <v>16</v>
      </c>
      <c r="H1" s="160" t="s">
        <v>17</v>
      </c>
      <c r="I1" s="160" t="s">
        <v>18</v>
      </c>
      <c r="J1" s="161" t="s">
        <v>387</v>
      </c>
      <c r="K1" s="162" t="s">
        <v>388</v>
      </c>
      <c r="L1" s="154" t="s">
        <v>389</v>
      </c>
      <c r="M1" s="141" t="s">
        <v>390</v>
      </c>
      <c r="N1" s="142" t="s">
        <v>391</v>
      </c>
      <c r="O1" s="142" t="s">
        <v>392</v>
      </c>
      <c r="P1" s="143" t="s">
        <v>393</v>
      </c>
      <c r="Q1" s="143" t="s">
        <v>394</v>
      </c>
      <c r="R1" s="144" t="s">
        <v>395</v>
      </c>
      <c r="S1" s="145" t="s">
        <v>396</v>
      </c>
      <c r="T1" s="146" t="s">
        <v>397</v>
      </c>
      <c r="U1" s="147" t="s">
        <v>398</v>
      </c>
      <c r="V1" s="147" t="s">
        <v>399</v>
      </c>
      <c r="W1" s="148" t="s">
        <v>400</v>
      </c>
      <c r="X1" s="149" t="s">
        <v>401</v>
      </c>
      <c r="Y1" s="150" t="s">
        <v>402</v>
      </c>
      <c r="Z1" s="151" t="s">
        <v>403</v>
      </c>
      <c r="AA1" s="146" t="s">
        <v>404</v>
      </c>
      <c r="AB1" s="147" t="s">
        <v>405</v>
      </c>
      <c r="AC1" s="147" t="s">
        <v>406</v>
      </c>
      <c r="AD1" s="148" t="s">
        <v>407</v>
      </c>
      <c r="AE1" s="149" t="s">
        <v>408</v>
      </c>
      <c r="AF1" s="149" t="s">
        <v>409</v>
      </c>
      <c r="AG1" s="152" t="s">
        <v>410</v>
      </c>
      <c r="AH1" s="146" t="s">
        <v>411</v>
      </c>
      <c r="AI1" s="147" t="s">
        <v>412</v>
      </c>
      <c r="AJ1" s="147" t="s">
        <v>413</v>
      </c>
      <c r="AK1" s="148" t="s">
        <v>377</v>
      </c>
      <c r="AL1" s="149" t="s">
        <v>414</v>
      </c>
      <c r="AM1" s="149" t="s">
        <v>415</v>
      </c>
      <c r="AN1" s="152" t="s">
        <v>416</v>
      </c>
      <c r="AO1" s="146" t="s">
        <v>417</v>
      </c>
      <c r="AP1" s="147" t="s">
        <v>418</v>
      </c>
      <c r="AQ1" s="147" t="s">
        <v>419</v>
      </c>
      <c r="AR1" s="148" t="s">
        <v>420</v>
      </c>
      <c r="AS1" s="149" t="s">
        <v>421</v>
      </c>
      <c r="AT1" s="149" t="s">
        <v>422</v>
      </c>
      <c r="AU1" s="152" t="s">
        <v>423</v>
      </c>
      <c r="AV1" s="146" t="s">
        <v>424</v>
      </c>
      <c r="AW1" s="147" t="s">
        <v>425</v>
      </c>
      <c r="AX1" s="152" t="s">
        <v>426</v>
      </c>
      <c r="AY1" s="146" t="s">
        <v>427</v>
      </c>
      <c r="AZ1" s="147" t="s">
        <v>428</v>
      </c>
      <c r="BA1" s="152" t="s">
        <v>429</v>
      </c>
      <c r="BB1" s="153" t="s">
        <v>430</v>
      </c>
      <c r="BC1" s="147" t="s">
        <v>431</v>
      </c>
      <c r="BD1" s="152" t="s">
        <v>432</v>
      </c>
      <c r="BE1" s="155" t="s">
        <v>433</v>
      </c>
      <c r="BF1" s="156" t="s">
        <v>434</v>
      </c>
      <c r="BG1" s="157" t="s">
        <v>435</v>
      </c>
      <c r="BH1" s="157" t="s">
        <v>436</v>
      </c>
    </row>
    <row r="2" spans="1:60" ht="43.5" customHeight="1" thickBot="1" x14ac:dyDescent="0.3">
      <c r="A2" s="25" t="s">
        <v>69</v>
      </c>
      <c r="B2" s="26" t="s">
        <v>378</v>
      </c>
      <c r="C2" s="27" t="s">
        <v>71</v>
      </c>
      <c r="D2" s="28" t="s">
        <v>72</v>
      </c>
      <c r="E2" s="29" t="s">
        <v>73</v>
      </c>
      <c r="F2" s="30" t="s">
        <v>74</v>
      </c>
      <c r="G2" s="31" t="s">
        <v>75</v>
      </c>
      <c r="H2" s="26" t="s">
        <v>437</v>
      </c>
      <c r="I2" s="32" t="s">
        <v>77</v>
      </c>
      <c r="J2" s="26" t="s">
        <v>438</v>
      </c>
      <c r="K2" s="33" t="s">
        <v>439</v>
      </c>
      <c r="L2" s="34">
        <v>10</v>
      </c>
      <c r="M2" s="35">
        <v>5</v>
      </c>
      <c r="N2" s="36">
        <v>450</v>
      </c>
      <c r="O2" s="36">
        <v>0</v>
      </c>
      <c r="P2" s="36">
        <v>300</v>
      </c>
      <c r="Q2" s="36">
        <v>60</v>
      </c>
      <c r="R2" s="35">
        <f t="shared" ref="R2:R28" si="0">IF(S2&lt;500,0,S2/M2)</f>
        <v>270</v>
      </c>
      <c r="S2" s="35">
        <f t="shared" ref="S2:S28" si="1">N2+(O2*L2)+P2+(Q2*L2)</f>
        <v>1350</v>
      </c>
      <c r="T2" s="37">
        <v>1.9</v>
      </c>
      <c r="U2" s="34">
        <v>12</v>
      </c>
      <c r="V2" s="34">
        <v>160</v>
      </c>
      <c r="W2" s="34">
        <f t="shared" ref="W2:W28" si="2">U2*V2*L2</f>
        <v>19200</v>
      </c>
      <c r="X2" s="34">
        <f t="shared" ref="X2:X28" si="3">U2*(1+T2%)</f>
        <v>12.227999999999998</v>
      </c>
      <c r="Y2" s="34">
        <f t="shared" ref="Y2:Y28" si="4">X2*V2</f>
        <v>1956.4799999999996</v>
      </c>
      <c r="Z2" s="34">
        <f t="shared" ref="Z2:Z28" si="5">(Y2*L2)-W2</f>
        <v>364.79999999999563</v>
      </c>
      <c r="AA2" s="38">
        <v>54.4</v>
      </c>
      <c r="AB2" s="34">
        <v>160</v>
      </c>
      <c r="AC2" s="34">
        <v>0.8</v>
      </c>
      <c r="AD2" s="34">
        <f t="shared" ref="AD2:AD28" si="6">AB2*AC2</f>
        <v>128</v>
      </c>
      <c r="AE2" s="34">
        <f t="shared" ref="AE2:AE28" si="7">AB2*(1+AA2%)</f>
        <v>247.04000000000002</v>
      </c>
      <c r="AF2" s="34">
        <f t="shared" ref="AF2:AF28" si="8">AE2*AC2</f>
        <v>197.63200000000003</v>
      </c>
      <c r="AG2" s="34">
        <f t="shared" ref="AG2:AG28" si="9">AF2*L2</f>
        <v>1976.3200000000004</v>
      </c>
      <c r="AH2" s="38">
        <v>161.30000000000001</v>
      </c>
      <c r="AI2" s="34">
        <v>2.5</v>
      </c>
      <c r="AJ2" s="34">
        <v>14</v>
      </c>
      <c r="AK2" s="34">
        <f t="shared" ref="AK2:AK28" si="10">AI2*AJ2</f>
        <v>35</v>
      </c>
      <c r="AL2" s="34">
        <f t="shared" ref="AL2:AL28" si="11">AI2*(1+AH2%)</f>
        <v>6.5325000000000006</v>
      </c>
      <c r="AM2" s="34">
        <f t="shared" ref="AM2:AM28" si="12">AL2*AJ2</f>
        <v>91.455000000000013</v>
      </c>
      <c r="AN2" s="34">
        <f t="shared" ref="AN2:AN28" si="13">AM2*L2</f>
        <v>914.55000000000018</v>
      </c>
      <c r="AO2" s="38">
        <v>-27</v>
      </c>
      <c r="AP2" s="34">
        <v>2500</v>
      </c>
      <c r="AQ2" s="34">
        <v>0.2</v>
      </c>
      <c r="AR2" s="34">
        <f t="shared" ref="AR2:AR28" si="14">AP2*AQ2</f>
        <v>500</v>
      </c>
      <c r="AS2" s="34">
        <f t="shared" ref="AS2:AS28" si="15">AP2*(1+AO2%)</f>
        <v>1825</v>
      </c>
      <c r="AT2" s="34">
        <f t="shared" ref="AT2:AT28" si="16">AS2*AQ2</f>
        <v>365</v>
      </c>
      <c r="AU2" s="34">
        <f t="shared" ref="AU2:AU28" si="17">AT2*L2</f>
        <v>3650</v>
      </c>
      <c r="AV2" s="38">
        <v>-12.5</v>
      </c>
      <c r="AW2" s="34">
        <v>2000</v>
      </c>
      <c r="AX2" s="34">
        <f t="shared" ref="AX2:AX28" si="18">AW2*(1+AV2%)</f>
        <v>1750</v>
      </c>
      <c r="AY2" s="38">
        <v>-19.3</v>
      </c>
      <c r="AZ2" s="34">
        <v>3000</v>
      </c>
      <c r="BA2" s="34">
        <f t="shared" ref="BA2:BA28" si="19">AZ2*(1+AY2%)</f>
        <v>2421</v>
      </c>
      <c r="BB2" s="38">
        <v>-26.7</v>
      </c>
      <c r="BC2" s="34">
        <v>1000</v>
      </c>
      <c r="BD2" s="34">
        <f t="shared" ref="BD2:BD28" si="20">BC2*(1+BB2%)</f>
        <v>733</v>
      </c>
      <c r="BE2" s="34">
        <f t="shared" ref="BE2:BE28" si="21">Z2+((AD2-AF2)*L2)+((AK2-AM2)*L2)+((AR2-AT2)*L2)+(AW2-AX2)+(AZ2-BA2)+(BC2-BD2)-P2-(Q2*L2)-R2</f>
        <v>379.92999999999506</v>
      </c>
      <c r="BF2" s="39">
        <f t="shared" ref="BF2:BF28" si="22">IF(S2&gt;0,((BE2/S2)),"The DAT is free")</f>
        <v>0.28142962962962598</v>
      </c>
      <c r="BG2" s="34">
        <f t="shared" ref="BG2:BG28" si="23">IF(BE2&gt;0,(S2/BE2),"Payback period not applicable: the investment does not recover its cost under current conditions.")</f>
        <v>3.5532861316558777</v>
      </c>
      <c r="BH2" s="40" t="str">
        <f t="shared" ref="BH2:BH28" si="24">IF(BG2&lt;6,"YES","NO")</f>
        <v>YES</v>
      </c>
    </row>
    <row r="3" spans="1:60" ht="43.5" customHeight="1" thickBot="1" x14ac:dyDescent="0.3">
      <c r="A3" s="25" t="s">
        <v>69</v>
      </c>
      <c r="B3" s="26" t="s">
        <v>378</v>
      </c>
      <c r="C3" s="27" t="s">
        <v>80</v>
      </c>
      <c r="D3" s="41" t="s">
        <v>81</v>
      </c>
      <c r="E3" s="42" t="s">
        <v>82</v>
      </c>
      <c r="F3" s="42" t="s">
        <v>83</v>
      </c>
      <c r="G3" s="43" t="s">
        <v>84</v>
      </c>
      <c r="H3" s="44" t="s">
        <v>440</v>
      </c>
      <c r="I3" s="45" t="s">
        <v>86</v>
      </c>
      <c r="J3" s="46" t="s">
        <v>441</v>
      </c>
      <c r="K3" s="47" t="s">
        <v>442</v>
      </c>
      <c r="L3" s="34">
        <v>10</v>
      </c>
      <c r="M3" s="35">
        <v>3</v>
      </c>
      <c r="N3" s="34">
        <v>31500</v>
      </c>
      <c r="O3" s="36">
        <v>0</v>
      </c>
      <c r="P3" s="34">
        <v>0</v>
      </c>
      <c r="Q3" s="34">
        <v>97.2</v>
      </c>
      <c r="R3" s="35">
        <f t="shared" si="0"/>
        <v>10824</v>
      </c>
      <c r="S3" s="35">
        <f t="shared" si="1"/>
        <v>32472</v>
      </c>
      <c r="T3" s="38">
        <v>9.6</v>
      </c>
      <c r="U3" s="34">
        <v>6.5</v>
      </c>
      <c r="V3" s="34">
        <v>250</v>
      </c>
      <c r="W3" s="34">
        <f t="shared" si="2"/>
        <v>16250</v>
      </c>
      <c r="X3" s="34">
        <f t="shared" si="3"/>
        <v>7.1240000000000006</v>
      </c>
      <c r="Y3" s="34">
        <f t="shared" si="4"/>
        <v>1781.0000000000002</v>
      </c>
      <c r="Z3" s="34">
        <f t="shared" si="5"/>
        <v>1560.0000000000036</v>
      </c>
      <c r="AA3" s="38">
        <v>0</v>
      </c>
      <c r="AB3" s="34">
        <v>0</v>
      </c>
      <c r="AC3" s="34">
        <v>0</v>
      </c>
      <c r="AD3" s="34">
        <f t="shared" si="6"/>
        <v>0</v>
      </c>
      <c r="AE3" s="34">
        <f t="shared" si="7"/>
        <v>0</v>
      </c>
      <c r="AF3" s="34">
        <f t="shared" si="8"/>
        <v>0</v>
      </c>
      <c r="AG3" s="34">
        <f t="shared" si="9"/>
        <v>0</v>
      </c>
      <c r="AH3" s="38">
        <v>0</v>
      </c>
      <c r="AI3" s="34">
        <v>0</v>
      </c>
      <c r="AJ3" s="34">
        <v>0</v>
      </c>
      <c r="AK3" s="34">
        <f t="shared" si="10"/>
        <v>0</v>
      </c>
      <c r="AL3" s="34">
        <f t="shared" si="11"/>
        <v>0</v>
      </c>
      <c r="AM3" s="34">
        <f t="shared" si="12"/>
        <v>0</v>
      </c>
      <c r="AN3" s="34">
        <f t="shared" si="13"/>
        <v>0</v>
      </c>
      <c r="AO3" s="38">
        <v>-54</v>
      </c>
      <c r="AP3" s="34">
        <v>3000</v>
      </c>
      <c r="AQ3" s="34">
        <v>0.2</v>
      </c>
      <c r="AR3" s="34">
        <f t="shared" si="14"/>
        <v>600</v>
      </c>
      <c r="AS3" s="34">
        <f t="shared" si="15"/>
        <v>1380</v>
      </c>
      <c r="AT3" s="34">
        <f t="shared" si="16"/>
        <v>276</v>
      </c>
      <c r="AU3" s="34">
        <f t="shared" si="17"/>
        <v>2760</v>
      </c>
      <c r="AV3" s="38">
        <v>146</v>
      </c>
      <c r="AW3" s="34">
        <v>2000</v>
      </c>
      <c r="AX3" s="34">
        <f t="shared" si="18"/>
        <v>4920</v>
      </c>
      <c r="AY3" s="38">
        <v>0</v>
      </c>
      <c r="AZ3" s="34">
        <v>0</v>
      </c>
      <c r="BA3" s="34">
        <f t="shared" si="19"/>
        <v>0</v>
      </c>
      <c r="BB3" s="38">
        <v>-48.2</v>
      </c>
      <c r="BC3" s="34">
        <v>1000</v>
      </c>
      <c r="BD3" s="34">
        <f t="shared" si="20"/>
        <v>518</v>
      </c>
      <c r="BE3" s="34">
        <f t="shared" si="21"/>
        <v>-9433.9999999999964</v>
      </c>
      <c r="BF3" s="39">
        <f t="shared" si="22"/>
        <v>-0.29052722345405263</v>
      </c>
      <c r="BG3" s="34" t="str">
        <f t="shared" si="23"/>
        <v>Payback period not applicable: the investment does not recover its cost under current conditions.</v>
      </c>
      <c r="BH3" s="40" t="str">
        <f t="shared" si="24"/>
        <v>NO</v>
      </c>
    </row>
    <row r="4" spans="1:60" ht="43.5" customHeight="1" thickBot="1" x14ac:dyDescent="0.3">
      <c r="A4" s="25" t="s">
        <v>69</v>
      </c>
      <c r="B4" s="26" t="s">
        <v>378</v>
      </c>
      <c r="C4" s="48" t="s">
        <v>89</v>
      </c>
      <c r="D4" s="49" t="s">
        <v>90</v>
      </c>
      <c r="E4" s="29" t="s">
        <v>91</v>
      </c>
      <c r="F4" s="42" t="s">
        <v>92</v>
      </c>
      <c r="G4" s="31" t="s">
        <v>93</v>
      </c>
      <c r="H4" s="50" t="s">
        <v>443</v>
      </c>
      <c r="I4" s="51" t="s">
        <v>95</v>
      </c>
      <c r="J4" s="52" t="s">
        <v>96</v>
      </c>
      <c r="K4" s="47" t="s">
        <v>444</v>
      </c>
      <c r="L4" s="34">
        <v>10</v>
      </c>
      <c r="M4" s="35">
        <v>3</v>
      </c>
      <c r="N4" s="34">
        <v>0</v>
      </c>
      <c r="O4" s="36">
        <v>0</v>
      </c>
      <c r="P4" s="34">
        <v>0</v>
      </c>
      <c r="Q4" s="34">
        <v>0</v>
      </c>
      <c r="R4" s="35">
        <f t="shared" si="0"/>
        <v>0</v>
      </c>
      <c r="S4" s="35">
        <f t="shared" si="1"/>
        <v>0</v>
      </c>
      <c r="T4" s="38">
        <v>-8.9</v>
      </c>
      <c r="U4" s="34">
        <v>5</v>
      </c>
      <c r="V4" s="34">
        <v>200</v>
      </c>
      <c r="W4" s="34">
        <f t="shared" si="2"/>
        <v>10000</v>
      </c>
      <c r="X4" s="34">
        <f t="shared" si="3"/>
        <v>4.5549999999999997</v>
      </c>
      <c r="Y4" s="34">
        <f t="shared" si="4"/>
        <v>911</v>
      </c>
      <c r="Z4" s="34">
        <f t="shared" si="5"/>
        <v>-890</v>
      </c>
      <c r="AA4" s="38">
        <v>-14</v>
      </c>
      <c r="AB4" s="34">
        <v>130</v>
      </c>
      <c r="AC4" s="34">
        <v>0.5</v>
      </c>
      <c r="AD4" s="34">
        <f t="shared" si="6"/>
        <v>65</v>
      </c>
      <c r="AE4" s="34">
        <f t="shared" si="7"/>
        <v>111.8</v>
      </c>
      <c r="AF4" s="34">
        <f t="shared" si="8"/>
        <v>55.9</v>
      </c>
      <c r="AG4" s="34">
        <f t="shared" si="9"/>
        <v>559</v>
      </c>
      <c r="AH4" s="38">
        <v>-35</v>
      </c>
      <c r="AI4" s="34">
        <v>4</v>
      </c>
      <c r="AJ4" s="34">
        <v>10</v>
      </c>
      <c r="AK4" s="34">
        <f t="shared" si="10"/>
        <v>40</v>
      </c>
      <c r="AL4" s="34">
        <f t="shared" si="11"/>
        <v>2.6</v>
      </c>
      <c r="AM4" s="34">
        <f t="shared" si="12"/>
        <v>26</v>
      </c>
      <c r="AN4" s="34">
        <f t="shared" si="13"/>
        <v>260</v>
      </c>
      <c r="AO4" s="38">
        <v>0</v>
      </c>
      <c r="AP4" s="34">
        <v>0</v>
      </c>
      <c r="AQ4" s="34">
        <v>0</v>
      </c>
      <c r="AR4" s="34">
        <f t="shared" si="14"/>
        <v>0</v>
      </c>
      <c r="AS4" s="34">
        <f t="shared" si="15"/>
        <v>0</v>
      </c>
      <c r="AT4" s="34">
        <f t="shared" si="16"/>
        <v>0</v>
      </c>
      <c r="AU4" s="34">
        <f t="shared" si="17"/>
        <v>0</v>
      </c>
      <c r="AV4" s="38">
        <v>-13.6</v>
      </c>
      <c r="AW4" s="34">
        <v>2000</v>
      </c>
      <c r="AX4" s="34">
        <f t="shared" si="18"/>
        <v>1728</v>
      </c>
      <c r="AY4" s="38">
        <v>5.0999999999999996</v>
      </c>
      <c r="AZ4" s="34">
        <v>300</v>
      </c>
      <c r="BA4" s="34">
        <f t="shared" si="19"/>
        <v>315.29999999999995</v>
      </c>
      <c r="BB4" s="38">
        <v>0</v>
      </c>
      <c r="BC4" s="34">
        <v>0</v>
      </c>
      <c r="BD4" s="34">
        <f t="shared" si="20"/>
        <v>0</v>
      </c>
      <c r="BE4" s="34">
        <f t="shared" si="21"/>
        <v>-402.29999999999995</v>
      </c>
      <c r="BF4" s="39" t="str">
        <f t="shared" si="22"/>
        <v>The DAT is free</v>
      </c>
      <c r="BG4" s="34" t="str">
        <f t="shared" si="23"/>
        <v>Payback period not applicable: the investment does not recover its cost under current conditions.</v>
      </c>
      <c r="BH4" s="40" t="str">
        <f t="shared" si="24"/>
        <v>NO</v>
      </c>
    </row>
    <row r="5" spans="1:60" ht="43.5" customHeight="1" thickBot="1" x14ac:dyDescent="0.3">
      <c r="A5" s="25" t="s">
        <v>69</v>
      </c>
      <c r="B5" s="26" t="s">
        <v>378</v>
      </c>
      <c r="C5" s="48" t="s">
        <v>89</v>
      </c>
      <c r="D5" s="49" t="s">
        <v>98</v>
      </c>
      <c r="E5" s="29" t="s">
        <v>91</v>
      </c>
      <c r="F5" s="42" t="s">
        <v>99</v>
      </c>
      <c r="G5" s="31" t="s">
        <v>93</v>
      </c>
      <c r="H5" s="50" t="s">
        <v>443</v>
      </c>
      <c r="I5" s="51" t="s">
        <v>95</v>
      </c>
      <c r="J5" s="52" t="s">
        <v>96</v>
      </c>
      <c r="K5" s="47" t="s">
        <v>445</v>
      </c>
      <c r="L5" s="34">
        <v>10</v>
      </c>
      <c r="M5" s="35">
        <v>3</v>
      </c>
      <c r="N5" s="34">
        <v>0</v>
      </c>
      <c r="O5" s="36">
        <v>0</v>
      </c>
      <c r="P5" s="34">
        <v>0</v>
      </c>
      <c r="Q5" s="34">
        <v>0</v>
      </c>
      <c r="R5" s="35">
        <f t="shared" si="0"/>
        <v>0</v>
      </c>
      <c r="S5" s="35">
        <f t="shared" si="1"/>
        <v>0</v>
      </c>
      <c r="T5" s="38">
        <v>-15.6</v>
      </c>
      <c r="U5" s="34">
        <v>5</v>
      </c>
      <c r="V5" s="34">
        <v>200</v>
      </c>
      <c r="W5" s="34">
        <f t="shared" si="2"/>
        <v>10000</v>
      </c>
      <c r="X5" s="34">
        <f t="shared" si="3"/>
        <v>4.22</v>
      </c>
      <c r="Y5" s="34">
        <f t="shared" si="4"/>
        <v>844</v>
      </c>
      <c r="Z5" s="34">
        <f t="shared" si="5"/>
        <v>-1560</v>
      </c>
      <c r="AA5" s="38">
        <v>-18.3</v>
      </c>
      <c r="AB5" s="34">
        <v>130</v>
      </c>
      <c r="AC5" s="34">
        <v>0.5</v>
      </c>
      <c r="AD5" s="34">
        <f t="shared" si="6"/>
        <v>65</v>
      </c>
      <c r="AE5" s="34">
        <f t="shared" si="7"/>
        <v>106.21</v>
      </c>
      <c r="AF5" s="34">
        <f t="shared" si="8"/>
        <v>53.104999999999997</v>
      </c>
      <c r="AG5" s="34">
        <f t="shared" si="9"/>
        <v>531.04999999999995</v>
      </c>
      <c r="AH5" s="38">
        <v>-4.4000000000000004</v>
      </c>
      <c r="AI5" s="34">
        <v>4</v>
      </c>
      <c r="AJ5" s="34">
        <v>10</v>
      </c>
      <c r="AK5" s="34">
        <f t="shared" si="10"/>
        <v>40</v>
      </c>
      <c r="AL5" s="34">
        <f t="shared" si="11"/>
        <v>3.8239999999999998</v>
      </c>
      <c r="AM5" s="34">
        <f t="shared" si="12"/>
        <v>38.239999999999995</v>
      </c>
      <c r="AN5" s="34">
        <f t="shared" si="13"/>
        <v>382.4</v>
      </c>
      <c r="AO5" s="38">
        <v>0</v>
      </c>
      <c r="AP5" s="34">
        <v>0</v>
      </c>
      <c r="AQ5" s="34">
        <v>0</v>
      </c>
      <c r="AR5" s="34">
        <f t="shared" si="14"/>
        <v>0</v>
      </c>
      <c r="AS5" s="34">
        <f t="shared" si="15"/>
        <v>0</v>
      </c>
      <c r="AT5" s="34">
        <f t="shared" si="16"/>
        <v>0</v>
      </c>
      <c r="AU5" s="34">
        <f t="shared" si="17"/>
        <v>0</v>
      </c>
      <c r="AV5" s="38">
        <v>17.7</v>
      </c>
      <c r="AW5" s="34">
        <v>2000</v>
      </c>
      <c r="AX5" s="34">
        <f t="shared" si="18"/>
        <v>2354</v>
      </c>
      <c r="AY5" s="38">
        <v>3.1</v>
      </c>
      <c r="AZ5" s="34">
        <v>300</v>
      </c>
      <c r="BA5" s="34">
        <f t="shared" si="19"/>
        <v>309.29999999999995</v>
      </c>
      <c r="BB5" s="38">
        <v>0</v>
      </c>
      <c r="BC5" s="34">
        <v>0</v>
      </c>
      <c r="BD5" s="34">
        <f t="shared" si="20"/>
        <v>0</v>
      </c>
      <c r="BE5" s="34">
        <f t="shared" si="21"/>
        <v>-1786.7499999999998</v>
      </c>
      <c r="BF5" s="39" t="str">
        <f t="shared" si="22"/>
        <v>The DAT is free</v>
      </c>
      <c r="BG5" s="34" t="str">
        <f t="shared" si="23"/>
        <v>Payback period not applicable: the investment does not recover its cost under current conditions.</v>
      </c>
      <c r="BH5" s="40" t="str">
        <f t="shared" si="24"/>
        <v>NO</v>
      </c>
    </row>
    <row r="6" spans="1:60" ht="43.5" customHeight="1" thickBot="1" x14ac:dyDescent="0.3">
      <c r="A6" s="25" t="s">
        <v>69</v>
      </c>
      <c r="B6" s="53" t="s">
        <v>101</v>
      </c>
      <c r="C6" s="54" t="s">
        <v>102</v>
      </c>
      <c r="D6" s="54" t="s">
        <v>103</v>
      </c>
      <c r="E6" s="55" t="s">
        <v>73</v>
      </c>
      <c r="F6" s="56" t="s">
        <v>83</v>
      </c>
      <c r="G6" s="31" t="s">
        <v>104</v>
      </c>
      <c r="H6" s="50" t="s">
        <v>379</v>
      </c>
      <c r="I6" s="51" t="s">
        <v>106</v>
      </c>
      <c r="J6" s="52" t="s">
        <v>446</v>
      </c>
      <c r="K6" s="47" t="s">
        <v>447</v>
      </c>
      <c r="L6" s="34">
        <v>10</v>
      </c>
      <c r="M6" s="35">
        <v>3</v>
      </c>
      <c r="N6" s="57">
        <v>0</v>
      </c>
      <c r="O6" s="57">
        <v>24000</v>
      </c>
      <c r="P6" s="34">
        <v>50</v>
      </c>
      <c r="Q6" s="34">
        <v>1.97</v>
      </c>
      <c r="R6" s="35">
        <f t="shared" si="0"/>
        <v>80023.233333333337</v>
      </c>
      <c r="S6" s="35">
        <f t="shared" si="1"/>
        <v>240069.7</v>
      </c>
      <c r="T6" s="38">
        <v>-5.0999999999999996</v>
      </c>
      <c r="U6" s="34">
        <v>8</v>
      </c>
      <c r="V6" s="34">
        <v>230</v>
      </c>
      <c r="W6" s="34">
        <f t="shared" si="2"/>
        <v>18400</v>
      </c>
      <c r="X6" s="34">
        <f t="shared" si="3"/>
        <v>7.5919999999999996</v>
      </c>
      <c r="Y6" s="34">
        <f t="shared" si="4"/>
        <v>1746.1599999999999</v>
      </c>
      <c r="Z6" s="34">
        <f t="shared" si="5"/>
        <v>-938.40000000000146</v>
      </c>
      <c r="AA6" s="38">
        <v>-13.6</v>
      </c>
      <c r="AB6" s="34">
        <v>140</v>
      </c>
      <c r="AC6" s="34">
        <v>0.65</v>
      </c>
      <c r="AD6" s="34">
        <f t="shared" si="6"/>
        <v>91</v>
      </c>
      <c r="AE6" s="34">
        <f t="shared" si="7"/>
        <v>120.96</v>
      </c>
      <c r="AF6" s="34">
        <f t="shared" si="8"/>
        <v>78.623999999999995</v>
      </c>
      <c r="AG6" s="34">
        <f t="shared" si="9"/>
        <v>786.24</v>
      </c>
      <c r="AH6" s="38">
        <v>-23</v>
      </c>
      <c r="AI6" s="34">
        <v>5</v>
      </c>
      <c r="AJ6" s="34">
        <v>12</v>
      </c>
      <c r="AK6" s="34">
        <f t="shared" si="10"/>
        <v>60</v>
      </c>
      <c r="AL6" s="34">
        <f t="shared" si="11"/>
        <v>3.85</v>
      </c>
      <c r="AM6" s="34">
        <f t="shared" si="12"/>
        <v>46.2</v>
      </c>
      <c r="AN6" s="34">
        <f t="shared" si="13"/>
        <v>462</v>
      </c>
      <c r="AO6" s="38">
        <v>0</v>
      </c>
      <c r="AP6" s="34">
        <v>0</v>
      </c>
      <c r="AQ6" s="34">
        <v>0</v>
      </c>
      <c r="AR6" s="34">
        <f t="shared" si="14"/>
        <v>0</v>
      </c>
      <c r="AS6" s="34">
        <f t="shared" si="15"/>
        <v>0</v>
      </c>
      <c r="AT6" s="34">
        <f t="shared" si="16"/>
        <v>0</v>
      </c>
      <c r="AU6" s="34">
        <f t="shared" si="17"/>
        <v>0</v>
      </c>
      <c r="AV6" s="38">
        <v>0</v>
      </c>
      <c r="AW6" s="34">
        <v>0</v>
      </c>
      <c r="AX6" s="34">
        <f t="shared" si="18"/>
        <v>0</v>
      </c>
      <c r="AY6" s="38">
        <v>0</v>
      </c>
      <c r="AZ6" s="34">
        <v>0</v>
      </c>
      <c r="BA6" s="34">
        <f t="shared" si="19"/>
        <v>0</v>
      </c>
      <c r="BB6" s="38">
        <v>0</v>
      </c>
      <c r="BC6" s="34">
        <v>0</v>
      </c>
      <c r="BD6" s="34">
        <f t="shared" si="20"/>
        <v>0</v>
      </c>
      <c r="BE6" s="34">
        <f t="shared" si="21"/>
        <v>-80769.573333333334</v>
      </c>
      <c r="BF6" s="39">
        <f t="shared" si="22"/>
        <v>-0.33644218047231006</v>
      </c>
      <c r="BG6" s="34" t="str">
        <f t="shared" si="23"/>
        <v>Payback period not applicable: the investment does not recover its cost under current conditions.</v>
      </c>
      <c r="BH6" s="40" t="str">
        <f t="shared" si="24"/>
        <v>NO</v>
      </c>
    </row>
    <row r="7" spans="1:60" ht="43.5" customHeight="1" thickBot="1" x14ac:dyDescent="0.3">
      <c r="A7" s="25" t="s">
        <v>69</v>
      </c>
      <c r="B7" s="26" t="s">
        <v>378</v>
      </c>
      <c r="C7" s="58" t="s">
        <v>109</v>
      </c>
      <c r="D7" s="58" t="s">
        <v>110</v>
      </c>
      <c r="E7" s="29" t="s">
        <v>111</v>
      </c>
      <c r="F7" s="30" t="s">
        <v>99</v>
      </c>
      <c r="G7" s="31" t="s">
        <v>112</v>
      </c>
      <c r="H7" s="50" t="s">
        <v>380</v>
      </c>
      <c r="I7" s="59" t="s">
        <v>114</v>
      </c>
      <c r="J7" s="52" t="s">
        <v>448</v>
      </c>
      <c r="K7" s="47" t="s">
        <v>449</v>
      </c>
      <c r="L7" s="34">
        <v>10</v>
      </c>
      <c r="M7" s="35">
        <v>3</v>
      </c>
      <c r="N7" s="34">
        <v>0</v>
      </c>
      <c r="O7" s="34">
        <v>0</v>
      </c>
      <c r="P7" s="34">
        <v>158</v>
      </c>
      <c r="Q7" s="34">
        <v>4</v>
      </c>
      <c r="R7" s="35">
        <f t="shared" si="0"/>
        <v>0</v>
      </c>
      <c r="S7" s="35">
        <f t="shared" si="1"/>
        <v>198</v>
      </c>
      <c r="T7" s="38">
        <v>3.5</v>
      </c>
      <c r="U7" s="34">
        <v>7</v>
      </c>
      <c r="V7" s="34">
        <v>200</v>
      </c>
      <c r="W7" s="34">
        <f t="shared" si="2"/>
        <v>14000</v>
      </c>
      <c r="X7" s="34">
        <f t="shared" si="3"/>
        <v>7.2449999999999992</v>
      </c>
      <c r="Y7" s="34">
        <f t="shared" si="4"/>
        <v>1448.9999999999998</v>
      </c>
      <c r="Z7" s="34">
        <f t="shared" si="5"/>
        <v>489.99999999999818</v>
      </c>
      <c r="AA7" s="38">
        <v>-29.2</v>
      </c>
      <c r="AB7" s="34">
        <v>160</v>
      </c>
      <c r="AC7" s="34">
        <v>0.8</v>
      </c>
      <c r="AD7" s="34">
        <f t="shared" si="6"/>
        <v>128</v>
      </c>
      <c r="AE7" s="34">
        <f t="shared" si="7"/>
        <v>113.28</v>
      </c>
      <c r="AF7" s="34">
        <f t="shared" si="8"/>
        <v>90.624000000000009</v>
      </c>
      <c r="AG7" s="34">
        <f t="shared" si="9"/>
        <v>906.24000000000012</v>
      </c>
      <c r="AH7" s="38">
        <v>12.5</v>
      </c>
      <c r="AI7" s="34">
        <v>3</v>
      </c>
      <c r="AJ7" s="34">
        <v>11</v>
      </c>
      <c r="AK7" s="34">
        <f t="shared" si="10"/>
        <v>33</v>
      </c>
      <c r="AL7" s="34">
        <f t="shared" si="11"/>
        <v>3.375</v>
      </c>
      <c r="AM7" s="34">
        <f t="shared" si="12"/>
        <v>37.125</v>
      </c>
      <c r="AN7" s="34">
        <f t="shared" si="13"/>
        <v>371.25</v>
      </c>
      <c r="AO7" s="38">
        <v>54</v>
      </c>
      <c r="AP7" s="34">
        <v>2000</v>
      </c>
      <c r="AQ7" s="34">
        <v>0.15</v>
      </c>
      <c r="AR7" s="34">
        <f t="shared" si="14"/>
        <v>300</v>
      </c>
      <c r="AS7" s="34">
        <f t="shared" si="15"/>
        <v>3080</v>
      </c>
      <c r="AT7" s="34">
        <f t="shared" si="16"/>
        <v>462</v>
      </c>
      <c r="AU7" s="34">
        <f t="shared" si="17"/>
        <v>4620</v>
      </c>
      <c r="AV7" s="38">
        <v>-21.1</v>
      </c>
      <c r="AW7" s="34">
        <v>2000</v>
      </c>
      <c r="AX7" s="34">
        <f t="shared" si="18"/>
        <v>1577.9999999999998</v>
      </c>
      <c r="AY7" s="38">
        <v>8.3000000000000007</v>
      </c>
      <c r="AZ7" s="34">
        <v>300</v>
      </c>
      <c r="BA7" s="34">
        <f t="shared" si="19"/>
        <v>324.89999999999998</v>
      </c>
      <c r="BB7" s="38">
        <v>0</v>
      </c>
      <c r="BC7" s="34">
        <v>0</v>
      </c>
      <c r="BD7" s="34">
        <f t="shared" si="20"/>
        <v>0</v>
      </c>
      <c r="BE7" s="34">
        <f t="shared" si="21"/>
        <v>-598.39000000000169</v>
      </c>
      <c r="BF7" s="39">
        <f t="shared" si="22"/>
        <v>-3.0221717171717257</v>
      </c>
      <c r="BG7" s="34" t="str">
        <f t="shared" si="23"/>
        <v>Payback period not applicable: the investment does not recover its cost under current conditions.</v>
      </c>
      <c r="BH7" s="40" t="str">
        <f t="shared" si="24"/>
        <v>NO</v>
      </c>
    </row>
    <row r="8" spans="1:60" ht="43.5" customHeight="1" thickBot="1" x14ac:dyDescent="0.3">
      <c r="A8" s="25" t="s">
        <v>69</v>
      </c>
      <c r="B8" s="26" t="s">
        <v>378</v>
      </c>
      <c r="C8" s="27" t="s">
        <v>117</v>
      </c>
      <c r="D8" s="49" t="s">
        <v>118</v>
      </c>
      <c r="E8" s="29" t="s">
        <v>119</v>
      </c>
      <c r="F8" s="30" t="s">
        <v>120</v>
      </c>
      <c r="G8" s="43" t="s">
        <v>450</v>
      </c>
      <c r="H8" s="44" t="s">
        <v>451</v>
      </c>
      <c r="I8" s="46" t="s">
        <v>452</v>
      </c>
      <c r="J8" s="60" t="s">
        <v>453</v>
      </c>
      <c r="K8" s="47" t="s">
        <v>454</v>
      </c>
      <c r="L8" s="34">
        <v>10</v>
      </c>
      <c r="M8" s="35">
        <v>3</v>
      </c>
      <c r="N8" s="57">
        <v>0</v>
      </c>
      <c r="O8" s="57">
        <v>125</v>
      </c>
      <c r="P8" s="34">
        <v>214</v>
      </c>
      <c r="Q8" s="34">
        <v>0</v>
      </c>
      <c r="R8" s="35">
        <f t="shared" si="0"/>
        <v>488</v>
      </c>
      <c r="S8" s="35">
        <f t="shared" si="1"/>
        <v>1464</v>
      </c>
      <c r="T8" s="38">
        <v>36.5</v>
      </c>
      <c r="U8" s="34">
        <v>30</v>
      </c>
      <c r="V8" s="34">
        <v>200</v>
      </c>
      <c r="W8" s="34">
        <f t="shared" si="2"/>
        <v>60000</v>
      </c>
      <c r="X8" s="34">
        <f t="shared" si="3"/>
        <v>40.950000000000003</v>
      </c>
      <c r="Y8" s="34">
        <f t="shared" si="4"/>
        <v>8190.0000000000009</v>
      </c>
      <c r="Z8" s="34">
        <f t="shared" si="5"/>
        <v>21900.000000000015</v>
      </c>
      <c r="AA8" s="38">
        <v>0</v>
      </c>
      <c r="AB8" s="34">
        <v>0</v>
      </c>
      <c r="AC8" s="34">
        <v>0</v>
      </c>
      <c r="AD8" s="34">
        <f t="shared" si="6"/>
        <v>0</v>
      </c>
      <c r="AE8" s="34">
        <f t="shared" si="7"/>
        <v>0</v>
      </c>
      <c r="AF8" s="34">
        <f t="shared" si="8"/>
        <v>0</v>
      </c>
      <c r="AG8" s="34">
        <f t="shared" si="9"/>
        <v>0</v>
      </c>
      <c r="AH8" s="38">
        <v>0</v>
      </c>
      <c r="AI8" s="34">
        <v>0</v>
      </c>
      <c r="AJ8" s="34">
        <v>0</v>
      </c>
      <c r="AK8" s="34">
        <f t="shared" si="10"/>
        <v>0</v>
      </c>
      <c r="AL8" s="34">
        <f t="shared" si="11"/>
        <v>0</v>
      </c>
      <c r="AM8" s="34">
        <f t="shared" si="12"/>
        <v>0</v>
      </c>
      <c r="AN8" s="34">
        <f t="shared" si="13"/>
        <v>0</v>
      </c>
      <c r="AO8" s="38">
        <v>8</v>
      </c>
      <c r="AP8" s="34">
        <v>2000</v>
      </c>
      <c r="AQ8" s="34">
        <v>0.3</v>
      </c>
      <c r="AR8" s="34">
        <f t="shared" si="14"/>
        <v>600</v>
      </c>
      <c r="AS8" s="34">
        <f t="shared" si="15"/>
        <v>2160</v>
      </c>
      <c r="AT8" s="34">
        <f t="shared" si="16"/>
        <v>648</v>
      </c>
      <c r="AU8" s="34">
        <f t="shared" si="17"/>
        <v>6480</v>
      </c>
      <c r="AV8" s="38">
        <v>230</v>
      </c>
      <c r="AW8" s="34">
        <v>2000</v>
      </c>
      <c r="AX8" s="34">
        <f t="shared" si="18"/>
        <v>6600</v>
      </c>
      <c r="AY8" s="38">
        <v>0</v>
      </c>
      <c r="AZ8" s="34">
        <v>0</v>
      </c>
      <c r="BA8" s="34">
        <f t="shared" si="19"/>
        <v>0</v>
      </c>
      <c r="BB8" s="38">
        <v>7.8</v>
      </c>
      <c r="BC8" s="34">
        <v>1000</v>
      </c>
      <c r="BD8" s="34">
        <f t="shared" si="20"/>
        <v>1078</v>
      </c>
      <c r="BE8" s="34">
        <f t="shared" si="21"/>
        <v>16040.000000000015</v>
      </c>
      <c r="BF8" s="39">
        <f t="shared" si="22"/>
        <v>10.956284153005475</v>
      </c>
      <c r="BG8" s="34">
        <f t="shared" si="23"/>
        <v>9.1271820448877716E-2</v>
      </c>
      <c r="BH8" s="40" t="str">
        <f t="shared" si="24"/>
        <v>YES</v>
      </c>
    </row>
    <row r="9" spans="1:60" ht="43.5" customHeight="1" thickBot="1" x14ac:dyDescent="0.3">
      <c r="A9" s="25" t="s">
        <v>69</v>
      </c>
      <c r="B9" s="26" t="s">
        <v>378</v>
      </c>
      <c r="C9" s="27" t="s">
        <v>117</v>
      </c>
      <c r="D9" s="49" t="s">
        <v>126</v>
      </c>
      <c r="E9" s="29" t="s">
        <v>119</v>
      </c>
      <c r="F9" s="30" t="s">
        <v>83</v>
      </c>
      <c r="G9" s="43" t="s">
        <v>455</v>
      </c>
      <c r="H9" s="44" t="s">
        <v>451</v>
      </c>
      <c r="I9" s="46" t="s">
        <v>452</v>
      </c>
      <c r="J9" s="60" t="s">
        <v>453</v>
      </c>
      <c r="K9" s="47" t="s">
        <v>456</v>
      </c>
      <c r="L9" s="34">
        <v>10</v>
      </c>
      <c r="M9" s="35">
        <v>3</v>
      </c>
      <c r="N9" s="57">
        <v>0</v>
      </c>
      <c r="O9" s="57">
        <v>125</v>
      </c>
      <c r="P9" s="34">
        <v>214</v>
      </c>
      <c r="Q9" s="34">
        <v>0</v>
      </c>
      <c r="R9" s="35">
        <f t="shared" si="0"/>
        <v>488</v>
      </c>
      <c r="S9" s="35">
        <f t="shared" si="1"/>
        <v>1464</v>
      </c>
      <c r="T9" s="38">
        <v>-8.6</v>
      </c>
      <c r="U9" s="34">
        <v>30</v>
      </c>
      <c r="V9" s="34">
        <v>200</v>
      </c>
      <c r="W9" s="34">
        <f t="shared" si="2"/>
        <v>60000</v>
      </c>
      <c r="X9" s="34">
        <f t="shared" si="3"/>
        <v>27.42</v>
      </c>
      <c r="Y9" s="34">
        <f t="shared" si="4"/>
        <v>5484</v>
      </c>
      <c r="Z9" s="34">
        <f t="shared" si="5"/>
        <v>-5160</v>
      </c>
      <c r="AA9" s="38">
        <v>0</v>
      </c>
      <c r="AB9" s="34">
        <v>0</v>
      </c>
      <c r="AC9" s="34">
        <v>0</v>
      </c>
      <c r="AD9" s="34">
        <f t="shared" si="6"/>
        <v>0</v>
      </c>
      <c r="AE9" s="34">
        <f t="shared" si="7"/>
        <v>0</v>
      </c>
      <c r="AF9" s="34">
        <f t="shared" si="8"/>
        <v>0</v>
      </c>
      <c r="AG9" s="34">
        <f t="shared" si="9"/>
        <v>0</v>
      </c>
      <c r="AH9" s="38">
        <v>0</v>
      </c>
      <c r="AI9" s="34">
        <v>0</v>
      </c>
      <c r="AJ9" s="34">
        <v>100</v>
      </c>
      <c r="AK9" s="34">
        <f t="shared" si="10"/>
        <v>0</v>
      </c>
      <c r="AL9" s="34">
        <f t="shared" si="11"/>
        <v>0</v>
      </c>
      <c r="AM9" s="34">
        <f t="shared" si="12"/>
        <v>0</v>
      </c>
      <c r="AN9" s="34">
        <f t="shared" si="13"/>
        <v>0</v>
      </c>
      <c r="AO9" s="38">
        <v>-8</v>
      </c>
      <c r="AP9" s="34">
        <v>2000</v>
      </c>
      <c r="AQ9" s="34">
        <v>0.3</v>
      </c>
      <c r="AR9" s="34">
        <f t="shared" si="14"/>
        <v>600</v>
      </c>
      <c r="AS9" s="34">
        <f t="shared" si="15"/>
        <v>1840</v>
      </c>
      <c r="AT9" s="34">
        <f t="shared" si="16"/>
        <v>552</v>
      </c>
      <c r="AU9" s="34">
        <f t="shared" si="17"/>
        <v>5520</v>
      </c>
      <c r="AV9" s="38">
        <v>100</v>
      </c>
      <c r="AW9" s="34">
        <v>2000</v>
      </c>
      <c r="AX9" s="34">
        <f t="shared" si="18"/>
        <v>4000</v>
      </c>
      <c r="AY9" s="38">
        <v>0</v>
      </c>
      <c r="AZ9" s="34">
        <v>0</v>
      </c>
      <c r="BA9" s="34">
        <f t="shared" si="19"/>
        <v>0</v>
      </c>
      <c r="BB9" s="38">
        <v>-35.6</v>
      </c>
      <c r="BC9" s="34">
        <v>1000</v>
      </c>
      <c r="BD9" s="34">
        <f t="shared" si="20"/>
        <v>643.99999999999989</v>
      </c>
      <c r="BE9" s="34">
        <f t="shared" si="21"/>
        <v>-7026</v>
      </c>
      <c r="BF9" s="39">
        <f t="shared" si="22"/>
        <v>-4.7991803278688527</v>
      </c>
      <c r="BG9" s="34" t="str">
        <f t="shared" si="23"/>
        <v>Payback period not applicable: the investment does not recover its cost under current conditions.</v>
      </c>
      <c r="BH9" s="40" t="str">
        <f t="shared" si="24"/>
        <v>NO</v>
      </c>
    </row>
    <row r="10" spans="1:60" ht="43.5" customHeight="1" thickBot="1" x14ac:dyDescent="0.3">
      <c r="A10" s="25" t="s">
        <v>69</v>
      </c>
      <c r="B10" s="26" t="s">
        <v>378</v>
      </c>
      <c r="C10" s="27" t="s">
        <v>117</v>
      </c>
      <c r="D10" s="49" t="s">
        <v>131</v>
      </c>
      <c r="E10" s="29" t="s">
        <v>119</v>
      </c>
      <c r="F10" s="30" t="s">
        <v>132</v>
      </c>
      <c r="G10" s="43" t="s">
        <v>455</v>
      </c>
      <c r="H10" s="44" t="s">
        <v>451</v>
      </c>
      <c r="I10" s="46" t="s">
        <v>452</v>
      </c>
      <c r="J10" s="60" t="s">
        <v>453</v>
      </c>
      <c r="K10" s="47" t="s">
        <v>456</v>
      </c>
      <c r="L10" s="34">
        <v>10</v>
      </c>
      <c r="M10" s="35">
        <v>3</v>
      </c>
      <c r="N10" s="57">
        <v>0</v>
      </c>
      <c r="O10" s="57">
        <v>125</v>
      </c>
      <c r="P10" s="34">
        <v>214</v>
      </c>
      <c r="Q10" s="34">
        <v>0</v>
      </c>
      <c r="R10" s="35">
        <f t="shared" si="0"/>
        <v>488</v>
      </c>
      <c r="S10" s="35">
        <f t="shared" si="1"/>
        <v>1464</v>
      </c>
      <c r="T10" s="38">
        <v>-8.6</v>
      </c>
      <c r="U10" s="34">
        <v>30</v>
      </c>
      <c r="V10" s="34">
        <v>200</v>
      </c>
      <c r="W10" s="34">
        <f t="shared" si="2"/>
        <v>60000</v>
      </c>
      <c r="X10" s="34">
        <f t="shared" si="3"/>
        <v>27.42</v>
      </c>
      <c r="Y10" s="34">
        <f t="shared" si="4"/>
        <v>5484</v>
      </c>
      <c r="Z10" s="34">
        <f t="shared" si="5"/>
        <v>-5160</v>
      </c>
      <c r="AA10" s="38">
        <v>0</v>
      </c>
      <c r="AB10" s="34">
        <v>0</v>
      </c>
      <c r="AC10" s="34">
        <v>0</v>
      </c>
      <c r="AD10" s="34">
        <f t="shared" si="6"/>
        <v>0</v>
      </c>
      <c r="AE10" s="34">
        <f t="shared" si="7"/>
        <v>0</v>
      </c>
      <c r="AF10" s="34">
        <f t="shared" si="8"/>
        <v>0</v>
      </c>
      <c r="AG10" s="34">
        <f t="shared" si="9"/>
        <v>0</v>
      </c>
      <c r="AH10" s="38">
        <v>0</v>
      </c>
      <c r="AI10" s="34">
        <v>0</v>
      </c>
      <c r="AJ10" s="34">
        <v>100</v>
      </c>
      <c r="AK10" s="34">
        <f t="shared" si="10"/>
        <v>0</v>
      </c>
      <c r="AL10" s="34">
        <f t="shared" si="11"/>
        <v>0</v>
      </c>
      <c r="AM10" s="34">
        <f t="shared" si="12"/>
        <v>0</v>
      </c>
      <c r="AN10" s="34">
        <f t="shared" si="13"/>
        <v>0</v>
      </c>
      <c r="AO10" s="38">
        <v>-8</v>
      </c>
      <c r="AP10" s="34">
        <v>2000</v>
      </c>
      <c r="AQ10" s="34">
        <v>0.3</v>
      </c>
      <c r="AR10" s="34">
        <f t="shared" si="14"/>
        <v>600</v>
      </c>
      <c r="AS10" s="34">
        <f t="shared" si="15"/>
        <v>1840</v>
      </c>
      <c r="AT10" s="34">
        <f t="shared" si="16"/>
        <v>552</v>
      </c>
      <c r="AU10" s="34">
        <f t="shared" si="17"/>
        <v>5520</v>
      </c>
      <c r="AV10" s="38">
        <v>100</v>
      </c>
      <c r="AW10" s="34">
        <v>2000</v>
      </c>
      <c r="AX10" s="34">
        <f t="shared" si="18"/>
        <v>4000</v>
      </c>
      <c r="AY10" s="38">
        <v>0</v>
      </c>
      <c r="AZ10" s="34">
        <v>0</v>
      </c>
      <c r="BA10" s="34">
        <f t="shared" si="19"/>
        <v>0</v>
      </c>
      <c r="BB10" s="38">
        <v>-35.6</v>
      </c>
      <c r="BC10" s="34">
        <v>1000</v>
      </c>
      <c r="BD10" s="34">
        <f t="shared" si="20"/>
        <v>643.99999999999989</v>
      </c>
      <c r="BE10" s="34">
        <f t="shared" si="21"/>
        <v>-7026</v>
      </c>
      <c r="BF10" s="39">
        <f t="shared" si="22"/>
        <v>-4.7991803278688527</v>
      </c>
      <c r="BG10" s="34" t="str">
        <f t="shared" si="23"/>
        <v>Payback period not applicable: the investment does not recover its cost under current conditions.</v>
      </c>
      <c r="BH10" s="40" t="str">
        <f t="shared" si="24"/>
        <v>NO</v>
      </c>
    </row>
    <row r="11" spans="1:60" ht="43.5" customHeight="1" thickBot="1" x14ac:dyDescent="0.3">
      <c r="A11" s="25" t="s">
        <v>69</v>
      </c>
      <c r="B11" s="26" t="s">
        <v>378</v>
      </c>
      <c r="C11" s="58" t="s">
        <v>135</v>
      </c>
      <c r="D11" s="49" t="s">
        <v>136</v>
      </c>
      <c r="E11" s="29" t="s">
        <v>137</v>
      </c>
      <c r="F11" s="30" t="s">
        <v>132</v>
      </c>
      <c r="G11" s="31" t="s">
        <v>138</v>
      </c>
      <c r="H11" s="50" t="s">
        <v>437</v>
      </c>
      <c r="I11" s="61" t="s">
        <v>77</v>
      </c>
      <c r="J11" s="52" t="s">
        <v>457</v>
      </c>
      <c r="K11" s="47" t="s">
        <v>458</v>
      </c>
      <c r="L11" s="34">
        <v>10</v>
      </c>
      <c r="M11" s="35">
        <v>3</v>
      </c>
      <c r="N11" s="34">
        <v>0</v>
      </c>
      <c r="O11" s="34">
        <v>0</v>
      </c>
      <c r="P11" s="34">
        <v>0</v>
      </c>
      <c r="Q11" s="34">
        <v>50</v>
      </c>
      <c r="R11" s="35">
        <f t="shared" si="0"/>
        <v>166.66666666666666</v>
      </c>
      <c r="S11" s="35">
        <f t="shared" si="1"/>
        <v>500</v>
      </c>
      <c r="T11" s="38">
        <v>-5.6</v>
      </c>
      <c r="U11" s="34">
        <v>60</v>
      </c>
      <c r="V11" s="34">
        <v>350</v>
      </c>
      <c r="W11" s="34">
        <f t="shared" si="2"/>
        <v>210000</v>
      </c>
      <c r="X11" s="34">
        <f t="shared" si="3"/>
        <v>56.64</v>
      </c>
      <c r="Y11" s="34">
        <f t="shared" si="4"/>
        <v>19824</v>
      </c>
      <c r="Z11" s="34">
        <f t="shared" si="5"/>
        <v>-11760</v>
      </c>
      <c r="AA11" s="38">
        <v>-35</v>
      </c>
      <c r="AB11" s="34">
        <v>190</v>
      </c>
      <c r="AC11" s="34">
        <v>1</v>
      </c>
      <c r="AD11" s="34">
        <f t="shared" si="6"/>
        <v>190</v>
      </c>
      <c r="AE11" s="34">
        <f t="shared" si="7"/>
        <v>123.5</v>
      </c>
      <c r="AF11" s="34">
        <f t="shared" si="8"/>
        <v>123.5</v>
      </c>
      <c r="AG11" s="34">
        <f t="shared" si="9"/>
        <v>1235</v>
      </c>
      <c r="AH11" s="38">
        <v>0</v>
      </c>
      <c r="AI11" s="34">
        <v>0</v>
      </c>
      <c r="AJ11" s="34">
        <v>0</v>
      </c>
      <c r="AK11" s="34">
        <f t="shared" si="10"/>
        <v>0</v>
      </c>
      <c r="AL11" s="34">
        <f t="shared" si="11"/>
        <v>0</v>
      </c>
      <c r="AM11" s="34">
        <f t="shared" si="12"/>
        <v>0</v>
      </c>
      <c r="AN11" s="34">
        <f t="shared" si="13"/>
        <v>0</v>
      </c>
      <c r="AO11" s="38">
        <v>-11</v>
      </c>
      <c r="AP11" s="34">
        <v>7000</v>
      </c>
      <c r="AQ11" s="34">
        <v>0.2</v>
      </c>
      <c r="AR11" s="34">
        <f t="shared" si="14"/>
        <v>1400</v>
      </c>
      <c r="AS11" s="34">
        <f t="shared" si="15"/>
        <v>6230</v>
      </c>
      <c r="AT11" s="34">
        <f t="shared" si="16"/>
        <v>1246</v>
      </c>
      <c r="AU11" s="34">
        <f t="shared" si="17"/>
        <v>12460</v>
      </c>
      <c r="AV11" s="38">
        <v>0</v>
      </c>
      <c r="AW11" s="34">
        <v>0</v>
      </c>
      <c r="AX11" s="34">
        <f t="shared" si="18"/>
        <v>0</v>
      </c>
      <c r="AY11" s="38">
        <v>0</v>
      </c>
      <c r="AZ11" s="34">
        <v>0</v>
      </c>
      <c r="BA11" s="34">
        <f t="shared" si="19"/>
        <v>0</v>
      </c>
      <c r="BB11" s="38">
        <v>0</v>
      </c>
      <c r="BC11" s="34">
        <v>0</v>
      </c>
      <c r="BD11" s="34">
        <f t="shared" si="20"/>
        <v>0</v>
      </c>
      <c r="BE11" s="34">
        <f t="shared" si="21"/>
        <v>-10221.666666666666</v>
      </c>
      <c r="BF11" s="39">
        <f t="shared" si="22"/>
        <v>-20.443333333333332</v>
      </c>
      <c r="BG11" s="34" t="str">
        <f t="shared" si="23"/>
        <v>Payback period not applicable: the investment does not recover its cost under current conditions.</v>
      </c>
      <c r="BH11" s="40" t="str">
        <f t="shared" si="24"/>
        <v>NO</v>
      </c>
    </row>
    <row r="12" spans="1:60" ht="43.5" customHeight="1" thickBot="1" x14ac:dyDescent="0.3">
      <c r="A12" s="25" t="s">
        <v>69</v>
      </c>
      <c r="B12" s="26" t="s">
        <v>378</v>
      </c>
      <c r="C12" s="27" t="s">
        <v>141</v>
      </c>
      <c r="D12" s="49" t="s">
        <v>142</v>
      </c>
      <c r="E12" s="29" t="s">
        <v>143</v>
      </c>
      <c r="F12" s="30" t="s">
        <v>83</v>
      </c>
      <c r="G12" s="31" t="s">
        <v>144</v>
      </c>
      <c r="H12" s="50" t="s">
        <v>459</v>
      </c>
      <c r="I12" s="61" t="s">
        <v>146</v>
      </c>
      <c r="J12" s="52" t="s">
        <v>460</v>
      </c>
      <c r="K12" s="47" t="s">
        <v>461</v>
      </c>
      <c r="L12" s="34">
        <v>10</v>
      </c>
      <c r="M12" s="35">
        <v>3</v>
      </c>
      <c r="N12" s="34">
        <v>0</v>
      </c>
      <c r="O12" s="34">
        <v>20000</v>
      </c>
      <c r="P12" s="34">
        <v>120</v>
      </c>
      <c r="Q12" s="34">
        <v>0</v>
      </c>
      <c r="R12" s="35">
        <f t="shared" si="0"/>
        <v>66706.666666666672</v>
      </c>
      <c r="S12" s="35">
        <f t="shared" si="1"/>
        <v>200120</v>
      </c>
      <c r="T12" s="38">
        <v>220</v>
      </c>
      <c r="U12" s="34">
        <v>11</v>
      </c>
      <c r="V12" s="34">
        <v>220</v>
      </c>
      <c r="W12" s="34">
        <f t="shared" si="2"/>
        <v>24200</v>
      </c>
      <c r="X12" s="34">
        <f t="shared" si="3"/>
        <v>35.200000000000003</v>
      </c>
      <c r="Y12" s="34">
        <f t="shared" si="4"/>
        <v>7744.0000000000009</v>
      </c>
      <c r="Z12" s="34">
        <f t="shared" si="5"/>
        <v>53240.000000000015</v>
      </c>
      <c r="AA12" s="38">
        <v>0</v>
      </c>
      <c r="AB12" s="34">
        <v>0</v>
      </c>
      <c r="AC12" s="34">
        <v>0</v>
      </c>
      <c r="AD12" s="34">
        <f t="shared" si="6"/>
        <v>0</v>
      </c>
      <c r="AE12" s="34">
        <f t="shared" si="7"/>
        <v>0</v>
      </c>
      <c r="AF12" s="34">
        <f t="shared" si="8"/>
        <v>0</v>
      </c>
      <c r="AG12" s="34">
        <f t="shared" si="9"/>
        <v>0</v>
      </c>
      <c r="AH12" s="38">
        <v>0</v>
      </c>
      <c r="AI12" s="34">
        <v>0</v>
      </c>
      <c r="AJ12" s="34">
        <v>0</v>
      </c>
      <c r="AK12" s="34">
        <f t="shared" si="10"/>
        <v>0</v>
      </c>
      <c r="AL12" s="34">
        <f t="shared" si="11"/>
        <v>0</v>
      </c>
      <c r="AM12" s="34">
        <f t="shared" si="12"/>
        <v>0</v>
      </c>
      <c r="AN12" s="34">
        <f t="shared" si="13"/>
        <v>0</v>
      </c>
      <c r="AO12" s="38">
        <v>0</v>
      </c>
      <c r="AP12" s="34">
        <v>0</v>
      </c>
      <c r="AQ12" s="34">
        <v>0</v>
      </c>
      <c r="AR12" s="34">
        <f t="shared" si="14"/>
        <v>0</v>
      </c>
      <c r="AS12" s="34">
        <f t="shared" si="15"/>
        <v>0</v>
      </c>
      <c r="AT12" s="34">
        <f t="shared" si="16"/>
        <v>0</v>
      </c>
      <c r="AU12" s="34">
        <f t="shared" si="17"/>
        <v>0</v>
      </c>
      <c r="AV12" s="38">
        <v>-69</v>
      </c>
      <c r="AW12" s="34">
        <v>2000</v>
      </c>
      <c r="AX12" s="34">
        <f t="shared" si="18"/>
        <v>620.00000000000011</v>
      </c>
      <c r="AY12" s="38">
        <v>0</v>
      </c>
      <c r="AZ12" s="34">
        <v>0</v>
      </c>
      <c r="BA12" s="34">
        <f t="shared" si="19"/>
        <v>0</v>
      </c>
      <c r="BB12" s="38">
        <v>0</v>
      </c>
      <c r="BC12" s="34">
        <v>0</v>
      </c>
      <c r="BD12" s="34">
        <f t="shared" si="20"/>
        <v>0</v>
      </c>
      <c r="BE12" s="34">
        <f t="shared" si="21"/>
        <v>-12206.666666666657</v>
      </c>
      <c r="BF12" s="39">
        <f t="shared" si="22"/>
        <v>-6.0996735292157989E-2</v>
      </c>
      <c r="BG12" s="34" t="str">
        <f t="shared" si="23"/>
        <v>Payback period not applicable: the investment does not recover its cost under current conditions.</v>
      </c>
      <c r="BH12" s="40" t="str">
        <f t="shared" si="24"/>
        <v>NO</v>
      </c>
    </row>
    <row r="13" spans="1:60" ht="43.5" customHeight="1" thickBot="1" x14ac:dyDescent="0.3">
      <c r="A13" s="25" t="s">
        <v>69</v>
      </c>
      <c r="B13" s="26" t="s">
        <v>378</v>
      </c>
      <c r="C13" s="48" t="s">
        <v>149</v>
      </c>
      <c r="D13" s="49" t="s">
        <v>150</v>
      </c>
      <c r="E13" s="29" t="s">
        <v>151</v>
      </c>
      <c r="F13" s="30" t="s">
        <v>83</v>
      </c>
      <c r="G13" s="62" t="s">
        <v>152</v>
      </c>
      <c r="H13" s="50" t="s">
        <v>462</v>
      </c>
      <c r="I13" s="61" t="s">
        <v>154</v>
      </c>
      <c r="J13" s="52" t="s">
        <v>96</v>
      </c>
      <c r="K13" s="47" t="s">
        <v>463</v>
      </c>
      <c r="L13" s="34">
        <v>10</v>
      </c>
      <c r="M13" s="35">
        <v>3</v>
      </c>
      <c r="N13" s="34">
        <v>0</v>
      </c>
      <c r="O13" s="34">
        <v>0</v>
      </c>
      <c r="P13" s="34">
        <v>0</v>
      </c>
      <c r="Q13" s="34">
        <v>0</v>
      </c>
      <c r="R13" s="35">
        <f t="shared" si="0"/>
        <v>0</v>
      </c>
      <c r="S13" s="35">
        <f t="shared" si="1"/>
        <v>0</v>
      </c>
      <c r="T13" s="38">
        <v>-42.9</v>
      </c>
      <c r="U13" s="34">
        <v>8</v>
      </c>
      <c r="V13" s="34">
        <v>230</v>
      </c>
      <c r="W13" s="34">
        <f t="shared" si="2"/>
        <v>18400</v>
      </c>
      <c r="X13" s="34">
        <f t="shared" si="3"/>
        <v>4.5679999999999996</v>
      </c>
      <c r="Y13" s="34">
        <f t="shared" si="4"/>
        <v>1050.6399999999999</v>
      </c>
      <c r="Z13" s="34">
        <f t="shared" si="5"/>
        <v>-7893.6000000000022</v>
      </c>
      <c r="AA13" s="38">
        <v>-74.900000000000006</v>
      </c>
      <c r="AB13" s="34">
        <v>160</v>
      </c>
      <c r="AC13" s="34">
        <v>0.9</v>
      </c>
      <c r="AD13" s="34">
        <f t="shared" si="6"/>
        <v>144</v>
      </c>
      <c r="AE13" s="34">
        <f t="shared" si="7"/>
        <v>40.159999999999982</v>
      </c>
      <c r="AF13" s="34">
        <f t="shared" si="8"/>
        <v>36.143999999999984</v>
      </c>
      <c r="AG13" s="34">
        <f t="shared" si="9"/>
        <v>361.43999999999983</v>
      </c>
      <c r="AH13" s="38">
        <v>-61.5</v>
      </c>
      <c r="AI13" s="34">
        <v>2.5</v>
      </c>
      <c r="AJ13" s="34">
        <v>13</v>
      </c>
      <c r="AK13" s="34">
        <f t="shared" si="10"/>
        <v>32.5</v>
      </c>
      <c r="AL13" s="34">
        <f t="shared" si="11"/>
        <v>0.96250000000000002</v>
      </c>
      <c r="AM13" s="34">
        <f t="shared" si="12"/>
        <v>12.512500000000001</v>
      </c>
      <c r="AN13" s="34">
        <f t="shared" si="13"/>
        <v>125.12500000000001</v>
      </c>
      <c r="AO13" s="38">
        <v>0</v>
      </c>
      <c r="AP13" s="34">
        <v>0</v>
      </c>
      <c r="AQ13" s="34">
        <v>0</v>
      </c>
      <c r="AR13" s="34">
        <f t="shared" si="14"/>
        <v>0</v>
      </c>
      <c r="AS13" s="34">
        <f t="shared" si="15"/>
        <v>0</v>
      </c>
      <c r="AT13" s="34">
        <f t="shared" si="16"/>
        <v>0</v>
      </c>
      <c r="AU13" s="34">
        <f t="shared" si="17"/>
        <v>0</v>
      </c>
      <c r="AV13" s="38">
        <v>-1.7</v>
      </c>
      <c r="AW13" s="34">
        <v>2000</v>
      </c>
      <c r="AX13" s="34">
        <f t="shared" si="18"/>
        <v>1966</v>
      </c>
      <c r="AY13" s="38">
        <v>-47.2</v>
      </c>
      <c r="AZ13" s="34">
        <v>2000</v>
      </c>
      <c r="BA13" s="34">
        <f t="shared" si="19"/>
        <v>1056</v>
      </c>
      <c r="BB13" s="38">
        <v>0</v>
      </c>
      <c r="BC13" s="34">
        <v>0</v>
      </c>
      <c r="BD13" s="34">
        <f t="shared" si="20"/>
        <v>0</v>
      </c>
      <c r="BE13" s="34">
        <f t="shared" si="21"/>
        <v>-5637.1650000000018</v>
      </c>
      <c r="BF13" s="39" t="str">
        <f t="shared" si="22"/>
        <v>The DAT is free</v>
      </c>
      <c r="BG13" s="34" t="str">
        <f t="shared" si="23"/>
        <v>Payback period not applicable: the investment does not recover its cost under current conditions.</v>
      </c>
      <c r="BH13" s="40" t="str">
        <f t="shared" si="24"/>
        <v>NO</v>
      </c>
    </row>
    <row r="14" spans="1:60" ht="43.5" customHeight="1" thickBot="1" x14ac:dyDescent="0.3">
      <c r="A14" s="25" t="s">
        <v>69</v>
      </c>
      <c r="B14" s="26" t="s">
        <v>378</v>
      </c>
      <c r="C14" s="48" t="s">
        <v>149</v>
      </c>
      <c r="D14" s="49" t="s">
        <v>156</v>
      </c>
      <c r="E14" s="29" t="s">
        <v>151</v>
      </c>
      <c r="F14" s="30" t="s">
        <v>83</v>
      </c>
      <c r="G14" s="62" t="s">
        <v>152</v>
      </c>
      <c r="H14" s="50" t="s">
        <v>462</v>
      </c>
      <c r="I14" s="61" t="s">
        <v>154</v>
      </c>
      <c r="J14" s="52" t="s">
        <v>96</v>
      </c>
      <c r="K14" s="47" t="s">
        <v>464</v>
      </c>
      <c r="L14" s="34">
        <v>10</v>
      </c>
      <c r="M14" s="35">
        <v>3</v>
      </c>
      <c r="N14" s="34">
        <v>0</v>
      </c>
      <c r="O14" s="34">
        <v>0</v>
      </c>
      <c r="P14" s="34">
        <v>0</v>
      </c>
      <c r="Q14" s="34">
        <v>0</v>
      </c>
      <c r="R14" s="35">
        <f t="shared" si="0"/>
        <v>0</v>
      </c>
      <c r="S14" s="35">
        <f t="shared" si="1"/>
        <v>0</v>
      </c>
      <c r="T14" s="38">
        <v>-19.5</v>
      </c>
      <c r="U14" s="34">
        <v>8</v>
      </c>
      <c r="V14" s="34">
        <v>230</v>
      </c>
      <c r="W14" s="34">
        <f t="shared" si="2"/>
        <v>18400</v>
      </c>
      <c r="X14" s="34">
        <f t="shared" si="3"/>
        <v>6.4399999999999995</v>
      </c>
      <c r="Y14" s="34">
        <f t="shared" si="4"/>
        <v>1481.1999999999998</v>
      </c>
      <c r="Z14" s="34">
        <f t="shared" si="5"/>
        <v>-3588.0000000000018</v>
      </c>
      <c r="AA14" s="38">
        <v>-47.1</v>
      </c>
      <c r="AB14" s="34">
        <v>160</v>
      </c>
      <c r="AC14" s="34">
        <v>0.9</v>
      </c>
      <c r="AD14" s="34">
        <f t="shared" si="6"/>
        <v>144</v>
      </c>
      <c r="AE14" s="34">
        <f t="shared" si="7"/>
        <v>84.639999999999986</v>
      </c>
      <c r="AF14" s="34">
        <f t="shared" si="8"/>
        <v>76.175999999999988</v>
      </c>
      <c r="AG14" s="34">
        <f t="shared" si="9"/>
        <v>761.75999999999988</v>
      </c>
      <c r="AH14" s="38">
        <v>0</v>
      </c>
      <c r="AI14" s="34">
        <v>0</v>
      </c>
      <c r="AJ14" s="34">
        <v>0</v>
      </c>
      <c r="AK14" s="34">
        <f t="shared" si="10"/>
        <v>0</v>
      </c>
      <c r="AL14" s="34">
        <f t="shared" si="11"/>
        <v>0</v>
      </c>
      <c r="AM14" s="34">
        <f t="shared" si="12"/>
        <v>0</v>
      </c>
      <c r="AN14" s="34">
        <f t="shared" si="13"/>
        <v>0</v>
      </c>
      <c r="AO14" s="38">
        <v>24.2</v>
      </c>
      <c r="AP14" s="34">
        <v>2000</v>
      </c>
      <c r="AQ14" s="34">
        <v>0.7</v>
      </c>
      <c r="AR14" s="34">
        <f t="shared" si="14"/>
        <v>1400</v>
      </c>
      <c r="AS14" s="34">
        <f t="shared" si="15"/>
        <v>2484</v>
      </c>
      <c r="AT14" s="34">
        <f t="shared" si="16"/>
        <v>1738.8</v>
      </c>
      <c r="AU14" s="34">
        <f t="shared" si="17"/>
        <v>17388</v>
      </c>
      <c r="AV14" s="38">
        <v>0</v>
      </c>
      <c r="AW14" s="34">
        <v>0</v>
      </c>
      <c r="AX14" s="34">
        <f t="shared" si="18"/>
        <v>0</v>
      </c>
      <c r="AY14" s="38">
        <v>3.1</v>
      </c>
      <c r="AZ14" s="34">
        <v>2000</v>
      </c>
      <c r="BA14" s="34">
        <f t="shared" si="19"/>
        <v>2062</v>
      </c>
      <c r="BB14" s="38">
        <v>0</v>
      </c>
      <c r="BC14" s="34">
        <v>0</v>
      </c>
      <c r="BD14" s="34">
        <f t="shared" si="20"/>
        <v>0</v>
      </c>
      <c r="BE14" s="34">
        <f t="shared" si="21"/>
        <v>-6359.7600000000011</v>
      </c>
      <c r="BF14" s="39" t="str">
        <f t="shared" si="22"/>
        <v>The DAT is free</v>
      </c>
      <c r="BG14" s="34" t="str">
        <f t="shared" si="23"/>
        <v>Payback period not applicable: the investment does not recover its cost under current conditions.</v>
      </c>
      <c r="BH14" s="40" t="str">
        <f t="shared" si="24"/>
        <v>NO</v>
      </c>
    </row>
    <row r="15" spans="1:60" ht="43.5" customHeight="1" thickBot="1" x14ac:dyDescent="0.3">
      <c r="A15" s="25" t="s">
        <v>69</v>
      </c>
      <c r="B15" s="26" t="s">
        <v>378</v>
      </c>
      <c r="C15" s="48" t="s">
        <v>149</v>
      </c>
      <c r="D15" s="49" t="s">
        <v>158</v>
      </c>
      <c r="E15" s="29" t="s">
        <v>151</v>
      </c>
      <c r="F15" s="30" t="s">
        <v>132</v>
      </c>
      <c r="G15" s="62" t="s">
        <v>152</v>
      </c>
      <c r="H15" s="50" t="s">
        <v>462</v>
      </c>
      <c r="I15" s="61" t="s">
        <v>154</v>
      </c>
      <c r="J15" s="52" t="s">
        <v>96</v>
      </c>
      <c r="K15" s="47" t="s">
        <v>465</v>
      </c>
      <c r="L15" s="34">
        <v>10</v>
      </c>
      <c r="M15" s="35">
        <v>3</v>
      </c>
      <c r="N15" s="34">
        <v>0</v>
      </c>
      <c r="O15" s="34">
        <v>0</v>
      </c>
      <c r="P15" s="34">
        <v>0</v>
      </c>
      <c r="Q15" s="34">
        <v>0</v>
      </c>
      <c r="R15" s="35">
        <f t="shared" si="0"/>
        <v>0</v>
      </c>
      <c r="S15" s="35">
        <f t="shared" si="1"/>
        <v>0</v>
      </c>
      <c r="T15" s="38">
        <v>-42.9</v>
      </c>
      <c r="U15" s="34">
        <v>8</v>
      </c>
      <c r="V15" s="34">
        <v>230</v>
      </c>
      <c r="W15" s="34">
        <f t="shared" si="2"/>
        <v>18400</v>
      </c>
      <c r="X15" s="34">
        <f t="shared" si="3"/>
        <v>4.5679999999999996</v>
      </c>
      <c r="Y15" s="34">
        <f t="shared" si="4"/>
        <v>1050.6399999999999</v>
      </c>
      <c r="Z15" s="34">
        <f t="shared" si="5"/>
        <v>-7893.6000000000022</v>
      </c>
      <c r="AA15" s="38">
        <v>-74.900000000000006</v>
      </c>
      <c r="AB15" s="34">
        <v>160</v>
      </c>
      <c r="AC15" s="34">
        <v>0.9</v>
      </c>
      <c r="AD15" s="34">
        <f t="shared" si="6"/>
        <v>144</v>
      </c>
      <c r="AE15" s="34">
        <f t="shared" si="7"/>
        <v>40.159999999999982</v>
      </c>
      <c r="AF15" s="34">
        <f t="shared" si="8"/>
        <v>36.143999999999984</v>
      </c>
      <c r="AG15" s="34">
        <f t="shared" si="9"/>
        <v>361.43999999999983</v>
      </c>
      <c r="AH15" s="38">
        <v>-61.5</v>
      </c>
      <c r="AI15" s="34">
        <v>2.5</v>
      </c>
      <c r="AJ15" s="34">
        <v>13</v>
      </c>
      <c r="AK15" s="34">
        <f t="shared" si="10"/>
        <v>32.5</v>
      </c>
      <c r="AL15" s="34">
        <f t="shared" si="11"/>
        <v>0.96250000000000002</v>
      </c>
      <c r="AM15" s="34">
        <f t="shared" si="12"/>
        <v>12.512500000000001</v>
      </c>
      <c r="AN15" s="34">
        <f t="shared" si="13"/>
        <v>125.12500000000001</v>
      </c>
      <c r="AO15" s="38">
        <v>0</v>
      </c>
      <c r="AP15" s="34">
        <v>0</v>
      </c>
      <c r="AQ15" s="34">
        <v>0</v>
      </c>
      <c r="AR15" s="34">
        <f t="shared" si="14"/>
        <v>0</v>
      </c>
      <c r="AS15" s="34">
        <f t="shared" si="15"/>
        <v>0</v>
      </c>
      <c r="AT15" s="34">
        <f t="shared" si="16"/>
        <v>0</v>
      </c>
      <c r="AU15" s="34">
        <f t="shared" si="17"/>
        <v>0</v>
      </c>
      <c r="AV15" s="38">
        <v>-1.7</v>
      </c>
      <c r="AW15" s="34">
        <v>2000</v>
      </c>
      <c r="AX15" s="34">
        <f t="shared" si="18"/>
        <v>1966</v>
      </c>
      <c r="AY15" s="38">
        <v>-47.2</v>
      </c>
      <c r="AZ15" s="34">
        <v>2000</v>
      </c>
      <c r="BA15" s="34">
        <f t="shared" si="19"/>
        <v>1056</v>
      </c>
      <c r="BB15" s="38">
        <v>0</v>
      </c>
      <c r="BC15" s="34">
        <v>0</v>
      </c>
      <c r="BD15" s="34">
        <f t="shared" si="20"/>
        <v>0</v>
      </c>
      <c r="BE15" s="34">
        <f t="shared" si="21"/>
        <v>-5637.1650000000018</v>
      </c>
      <c r="BF15" s="39" t="str">
        <f t="shared" si="22"/>
        <v>The DAT is free</v>
      </c>
      <c r="BG15" s="34" t="str">
        <f t="shared" si="23"/>
        <v>Payback period not applicable: the investment does not recover its cost under current conditions.</v>
      </c>
      <c r="BH15" s="40" t="str">
        <f t="shared" si="24"/>
        <v>NO</v>
      </c>
    </row>
    <row r="16" spans="1:60" ht="43.5" customHeight="1" thickBot="1" x14ac:dyDescent="0.3">
      <c r="A16" s="25" t="s">
        <v>69</v>
      </c>
      <c r="B16" s="26" t="s">
        <v>378</v>
      </c>
      <c r="C16" s="48" t="s">
        <v>160</v>
      </c>
      <c r="D16" s="49" t="s">
        <v>161</v>
      </c>
      <c r="E16" s="29" t="s">
        <v>162</v>
      </c>
      <c r="F16" s="30" t="s">
        <v>83</v>
      </c>
      <c r="G16" s="63" t="s">
        <v>163</v>
      </c>
      <c r="H16" s="50" t="s">
        <v>466</v>
      </c>
      <c r="I16" s="45" t="s">
        <v>165</v>
      </c>
      <c r="J16" s="52" t="s">
        <v>467</v>
      </c>
      <c r="K16" s="47" t="s">
        <v>468</v>
      </c>
      <c r="L16" s="34">
        <v>10</v>
      </c>
      <c r="M16" s="35">
        <v>3</v>
      </c>
      <c r="N16" s="34">
        <v>70000</v>
      </c>
      <c r="O16" s="34">
        <v>0</v>
      </c>
      <c r="P16" s="34">
        <v>0</v>
      </c>
      <c r="Q16" s="34">
        <v>5.43</v>
      </c>
      <c r="R16" s="35">
        <f t="shared" si="0"/>
        <v>23351.433333333334</v>
      </c>
      <c r="S16" s="35">
        <f t="shared" si="1"/>
        <v>70054.3</v>
      </c>
      <c r="T16" s="38">
        <v>13.7</v>
      </c>
      <c r="U16" s="34">
        <v>13</v>
      </c>
      <c r="V16" s="34">
        <v>200</v>
      </c>
      <c r="W16" s="34">
        <f t="shared" si="2"/>
        <v>26000</v>
      </c>
      <c r="X16" s="34">
        <f t="shared" si="3"/>
        <v>14.781000000000001</v>
      </c>
      <c r="Y16" s="34">
        <f t="shared" si="4"/>
        <v>2956.2000000000003</v>
      </c>
      <c r="Z16" s="34">
        <f t="shared" si="5"/>
        <v>3562.0000000000036</v>
      </c>
      <c r="AA16" s="38">
        <v>62.4</v>
      </c>
      <c r="AB16" s="34">
        <v>180</v>
      </c>
      <c r="AC16" s="34">
        <v>0.8</v>
      </c>
      <c r="AD16" s="34">
        <f t="shared" si="6"/>
        <v>144</v>
      </c>
      <c r="AE16" s="34">
        <f t="shared" si="7"/>
        <v>292.32</v>
      </c>
      <c r="AF16" s="34">
        <f t="shared" si="8"/>
        <v>233.85599999999999</v>
      </c>
      <c r="AG16" s="34">
        <f t="shared" si="9"/>
        <v>2338.56</v>
      </c>
      <c r="AH16" s="38">
        <v>-52.7</v>
      </c>
      <c r="AI16" s="34">
        <v>3</v>
      </c>
      <c r="AJ16" s="34">
        <v>15</v>
      </c>
      <c r="AK16" s="34">
        <f t="shared" si="10"/>
        <v>45</v>
      </c>
      <c r="AL16" s="34">
        <f t="shared" si="11"/>
        <v>1.419</v>
      </c>
      <c r="AM16" s="34">
        <f t="shared" si="12"/>
        <v>21.285</v>
      </c>
      <c r="AN16" s="34">
        <f t="shared" si="13"/>
        <v>212.85</v>
      </c>
      <c r="AO16" s="38">
        <v>0</v>
      </c>
      <c r="AP16" s="34">
        <v>3500</v>
      </c>
      <c r="AQ16" s="34">
        <v>2</v>
      </c>
      <c r="AR16" s="34">
        <f t="shared" si="14"/>
        <v>7000</v>
      </c>
      <c r="AS16" s="34">
        <f t="shared" si="15"/>
        <v>3500</v>
      </c>
      <c r="AT16" s="34">
        <f t="shared" si="16"/>
        <v>7000</v>
      </c>
      <c r="AU16" s="34">
        <f t="shared" si="17"/>
        <v>70000</v>
      </c>
      <c r="AV16" s="38">
        <v>-33.1</v>
      </c>
      <c r="AW16" s="34">
        <v>2000</v>
      </c>
      <c r="AX16" s="34">
        <f t="shared" si="18"/>
        <v>1338</v>
      </c>
      <c r="AY16" s="38">
        <v>-7.6</v>
      </c>
      <c r="AZ16" s="34">
        <v>3000</v>
      </c>
      <c r="BA16" s="34">
        <f t="shared" si="19"/>
        <v>2772</v>
      </c>
      <c r="BB16" s="38">
        <v>-40.299999999999997</v>
      </c>
      <c r="BC16" s="34">
        <v>1000</v>
      </c>
      <c r="BD16" s="34">
        <f t="shared" si="20"/>
        <v>597</v>
      </c>
      <c r="BE16" s="34">
        <f t="shared" si="21"/>
        <v>-19212.14333333333</v>
      </c>
      <c r="BF16" s="39">
        <f t="shared" si="22"/>
        <v>-0.27424645358433858</v>
      </c>
      <c r="BG16" s="34" t="str">
        <f t="shared" si="23"/>
        <v>Payback period not applicable: the investment does not recover its cost under current conditions.</v>
      </c>
      <c r="BH16" s="40" t="str">
        <f t="shared" si="24"/>
        <v>NO</v>
      </c>
    </row>
    <row r="17" spans="1:60" ht="43.5" customHeight="1" thickBot="1" x14ac:dyDescent="0.3">
      <c r="A17" s="25" t="s">
        <v>69</v>
      </c>
      <c r="B17" s="26" t="s">
        <v>378</v>
      </c>
      <c r="C17" s="58" t="s">
        <v>168</v>
      </c>
      <c r="D17" s="58" t="s">
        <v>169</v>
      </c>
      <c r="E17" s="29" t="s">
        <v>73</v>
      </c>
      <c r="F17" s="30" t="s">
        <v>170</v>
      </c>
      <c r="G17" s="62" t="s">
        <v>138</v>
      </c>
      <c r="H17" s="50" t="s">
        <v>437</v>
      </c>
      <c r="I17" s="61" t="s">
        <v>77</v>
      </c>
      <c r="J17" s="52" t="s">
        <v>469</v>
      </c>
      <c r="K17" s="47" t="s">
        <v>470</v>
      </c>
      <c r="L17" s="34">
        <v>10</v>
      </c>
      <c r="M17" s="35">
        <v>3</v>
      </c>
      <c r="N17" s="34">
        <v>0</v>
      </c>
      <c r="O17" s="34">
        <v>0</v>
      </c>
      <c r="P17" s="34">
        <v>260</v>
      </c>
      <c r="Q17" s="34">
        <v>0</v>
      </c>
      <c r="R17" s="35">
        <f t="shared" si="0"/>
        <v>0</v>
      </c>
      <c r="S17" s="35">
        <f t="shared" si="1"/>
        <v>260</v>
      </c>
      <c r="T17" s="38">
        <v>0</v>
      </c>
      <c r="U17" s="34">
        <v>0</v>
      </c>
      <c r="V17" s="34">
        <v>0</v>
      </c>
      <c r="W17" s="34">
        <f t="shared" si="2"/>
        <v>0</v>
      </c>
      <c r="X17" s="34">
        <f t="shared" si="3"/>
        <v>0</v>
      </c>
      <c r="Y17" s="34">
        <f t="shared" si="4"/>
        <v>0</v>
      </c>
      <c r="Z17" s="34">
        <f t="shared" si="5"/>
        <v>0</v>
      </c>
      <c r="AA17" s="38">
        <v>-13.3</v>
      </c>
      <c r="AB17" s="34">
        <v>200</v>
      </c>
      <c r="AC17" s="34">
        <v>1</v>
      </c>
      <c r="AD17" s="34">
        <f t="shared" si="6"/>
        <v>200</v>
      </c>
      <c r="AE17" s="34">
        <f t="shared" si="7"/>
        <v>173.4</v>
      </c>
      <c r="AF17" s="34">
        <f t="shared" si="8"/>
        <v>173.4</v>
      </c>
      <c r="AG17" s="34">
        <f t="shared" si="9"/>
        <v>1734</v>
      </c>
      <c r="AH17" s="38">
        <v>3</v>
      </c>
      <c r="AI17" s="34">
        <v>2.8</v>
      </c>
      <c r="AJ17" s="34">
        <v>13</v>
      </c>
      <c r="AK17" s="34">
        <f t="shared" si="10"/>
        <v>36.4</v>
      </c>
      <c r="AL17" s="34">
        <f t="shared" si="11"/>
        <v>2.8839999999999999</v>
      </c>
      <c r="AM17" s="34">
        <f t="shared" si="12"/>
        <v>37.491999999999997</v>
      </c>
      <c r="AN17" s="34">
        <f t="shared" si="13"/>
        <v>374.91999999999996</v>
      </c>
      <c r="AO17" s="38">
        <v>-59</v>
      </c>
      <c r="AP17" s="34">
        <v>3000</v>
      </c>
      <c r="AQ17" s="34">
        <v>2.2999999999999998</v>
      </c>
      <c r="AR17" s="34">
        <f t="shared" si="14"/>
        <v>6899.9999999999991</v>
      </c>
      <c r="AS17" s="34">
        <f t="shared" si="15"/>
        <v>1230</v>
      </c>
      <c r="AT17" s="34">
        <f t="shared" si="16"/>
        <v>2829</v>
      </c>
      <c r="AU17" s="34">
        <f t="shared" si="17"/>
        <v>28290</v>
      </c>
      <c r="AV17" s="38">
        <v>-32.1</v>
      </c>
      <c r="AW17" s="34">
        <v>2000</v>
      </c>
      <c r="AX17" s="34">
        <f t="shared" si="18"/>
        <v>1358</v>
      </c>
      <c r="AY17" s="38">
        <v>0</v>
      </c>
      <c r="AZ17" s="34">
        <v>0</v>
      </c>
      <c r="BA17" s="34">
        <f t="shared" si="19"/>
        <v>0</v>
      </c>
      <c r="BB17" s="38">
        <v>-46.6</v>
      </c>
      <c r="BC17" s="34">
        <v>1000</v>
      </c>
      <c r="BD17" s="34">
        <f t="shared" si="20"/>
        <v>534</v>
      </c>
      <c r="BE17" s="34">
        <f t="shared" si="21"/>
        <v>41813.079999999994</v>
      </c>
      <c r="BF17" s="39">
        <f t="shared" si="22"/>
        <v>160.81953846153843</v>
      </c>
      <c r="BG17" s="34">
        <f t="shared" si="23"/>
        <v>6.2181499186379011E-3</v>
      </c>
      <c r="BH17" s="40" t="str">
        <f t="shared" si="24"/>
        <v>YES</v>
      </c>
    </row>
    <row r="18" spans="1:60" ht="43.5" customHeight="1" thickBot="1" x14ac:dyDescent="0.3">
      <c r="A18" s="25" t="s">
        <v>69</v>
      </c>
      <c r="B18" s="26" t="s">
        <v>378</v>
      </c>
      <c r="C18" s="27" t="s">
        <v>173</v>
      </c>
      <c r="D18" s="49" t="s">
        <v>381</v>
      </c>
      <c r="E18" s="29" t="s">
        <v>137</v>
      </c>
      <c r="F18" s="30" t="s">
        <v>175</v>
      </c>
      <c r="G18" s="31" t="s">
        <v>471</v>
      </c>
      <c r="H18" s="44" t="s">
        <v>472</v>
      </c>
      <c r="I18" s="52" t="s">
        <v>473</v>
      </c>
      <c r="J18" s="46" t="s">
        <v>474</v>
      </c>
      <c r="K18" s="47" t="s">
        <v>475</v>
      </c>
      <c r="L18" s="34">
        <v>10</v>
      </c>
      <c r="M18" s="35">
        <v>3</v>
      </c>
      <c r="N18" s="34">
        <v>2250</v>
      </c>
      <c r="O18" s="34">
        <v>0</v>
      </c>
      <c r="P18" s="34">
        <v>350</v>
      </c>
      <c r="Q18" s="34">
        <v>0</v>
      </c>
      <c r="R18" s="35">
        <f t="shared" si="0"/>
        <v>866.66666666666663</v>
      </c>
      <c r="S18" s="35">
        <f t="shared" si="1"/>
        <v>2600</v>
      </c>
      <c r="T18" s="38">
        <v>1.3</v>
      </c>
      <c r="U18" s="34">
        <v>15</v>
      </c>
      <c r="V18" s="34">
        <v>400</v>
      </c>
      <c r="W18" s="34">
        <f t="shared" si="2"/>
        <v>60000</v>
      </c>
      <c r="X18" s="34">
        <f t="shared" si="3"/>
        <v>15.194999999999999</v>
      </c>
      <c r="Y18" s="34">
        <f t="shared" si="4"/>
        <v>6077.9999999999991</v>
      </c>
      <c r="Z18" s="34">
        <f t="shared" si="5"/>
        <v>779.99999999999272</v>
      </c>
      <c r="AA18" s="38">
        <v>0</v>
      </c>
      <c r="AB18" s="34">
        <v>0</v>
      </c>
      <c r="AC18" s="34">
        <v>0</v>
      </c>
      <c r="AD18" s="34">
        <f t="shared" si="6"/>
        <v>0</v>
      </c>
      <c r="AE18" s="34">
        <f t="shared" si="7"/>
        <v>0</v>
      </c>
      <c r="AF18" s="34">
        <f t="shared" si="8"/>
        <v>0</v>
      </c>
      <c r="AG18" s="34">
        <f t="shared" si="9"/>
        <v>0</v>
      </c>
      <c r="AH18" s="38">
        <v>0</v>
      </c>
      <c r="AI18" s="34">
        <v>0</v>
      </c>
      <c r="AJ18" s="34">
        <v>0</v>
      </c>
      <c r="AK18" s="34">
        <f t="shared" si="10"/>
        <v>0</v>
      </c>
      <c r="AL18" s="34">
        <f t="shared" si="11"/>
        <v>0</v>
      </c>
      <c r="AM18" s="34">
        <f t="shared" si="12"/>
        <v>0</v>
      </c>
      <c r="AN18" s="34">
        <f t="shared" si="13"/>
        <v>0</v>
      </c>
      <c r="AO18" s="38">
        <v>0</v>
      </c>
      <c r="AP18" s="34">
        <v>0</v>
      </c>
      <c r="AQ18" s="34">
        <v>0</v>
      </c>
      <c r="AR18" s="34">
        <f t="shared" si="14"/>
        <v>0</v>
      </c>
      <c r="AS18" s="34">
        <f t="shared" si="15"/>
        <v>0</v>
      </c>
      <c r="AT18" s="34">
        <f t="shared" si="16"/>
        <v>0</v>
      </c>
      <c r="AU18" s="34">
        <f t="shared" si="17"/>
        <v>0</v>
      </c>
      <c r="AV18" s="38">
        <v>10.7</v>
      </c>
      <c r="AW18" s="34">
        <v>2000</v>
      </c>
      <c r="AX18" s="34">
        <f t="shared" si="18"/>
        <v>2214</v>
      </c>
      <c r="AY18" s="38">
        <v>0.8</v>
      </c>
      <c r="AZ18" s="34">
        <v>300</v>
      </c>
      <c r="BA18" s="34">
        <f t="shared" si="19"/>
        <v>302.39999999999998</v>
      </c>
      <c r="BB18" s="38">
        <v>-8.1</v>
      </c>
      <c r="BC18" s="34">
        <v>1000</v>
      </c>
      <c r="BD18" s="34">
        <f t="shared" si="20"/>
        <v>919</v>
      </c>
      <c r="BE18" s="34">
        <f t="shared" si="21"/>
        <v>-572.06666666667388</v>
      </c>
      <c r="BF18" s="39">
        <f t="shared" si="22"/>
        <v>-0.22002564102564381</v>
      </c>
      <c r="BG18" s="34" t="str">
        <f t="shared" si="23"/>
        <v>Payback period not applicable: the investment does not recover its cost under current conditions.</v>
      </c>
      <c r="BH18" s="40" t="str">
        <f t="shared" si="24"/>
        <v>NO</v>
      </c>
    </row>
    <row r="19" spans="1:60" ht="43.5" customHeight="1" thickBot="1" x14ac:dyDescent="0.3">
      <c r="A19" s="25" t="s">
        <v>69</v>
      </c>
      <c r="B19" s="26" t="s">
        <v>378</v>
      </c>
      <c r="C19" s="58" t="s">
        <v>181</v>
      </c>
      <c r="D19" s="58" t="s">
        <v>182</v>
      </c>
      <c r="E19" s="29" t="s">
        <v>183</v>
      </c>
      <c r="F19" s="30" t="s">
        <v>184</v>
      </c>
      <c r="G19" s="31" t="s">
        <v>185</v>
      </c>
      <c r="H19" s="50" t="s">
        <v>382</v>
      </c>
      <c r="I19" s="45" t="s">
        <v>187</v>
      </c>
      <c r="J19" s="52" t="s">
        <v>476</v>
      </c>
      <c r="K19" s="47" t="s">
        <v>477</v>
      </c>
      <c r="L19" s="34">
        <v>10</v>
      </c>
      <c r="M19" s="35">
        <v>3</v>
      </c>
      <c r="N19" s="34">
        <v>0</v>
      </c>
      <c r="O19" s="34">
        <v>0</v>
      </c>
      <c r="P19" s="34">
        <v>0</v>
      </c>
      <c r="Q19" s="34">
        <v>63</v>
      </c>
      <c r="R19" s="35">
        <f t="shared" si="0"/>
        <v>210</v>
      </c>
      <c r="S19" s="35">
        <f t="shared" si="1"/>
        <v>630</v>
      </c>
      <c r="T19" s="38">
        <v>11.3</v>
      </c>
      <c r="U19" s="34">
        <v>10</v>
      </c>
      <c r="V19" s="34">
        <v>600</v>
      </c>
      <c r="W19" s="34">
        <f t="shared" si="2"/>
        <v>60000</v>
      </c>
      <c r="X19" s="34">
        <f t="shared" si="3"/>
        <v>11.129999999999999</v>
      </c>
      <c r="Y19" s="34">
        <f t="shared" si="4"/>
        <v>6677.9999999999991</v>
      </c>
      <c r="Z19" s="34">
        <f t="shared" si="5"/>
        <v>6779.9999999999854</v>
      </c>
      <c r="AA19" s="38">
        <v>0</v>
      </c>
      <c r="AB19" s="34">
        <v>0</v>
      </c>
      <c r="AC19" s="34">
        <v>0</v>
      </c>
      <c r="AD19" s="34">
        <f t="shared" si="6"/>
        <v>0</v>
      </c>
      <c r="AE19" s="34">
        <f t="shared" si="7"/>
        <v>0</v>
      </c>
      <c r="AF19" s="34">
        <f t="shared" si="8"/>
        <v>0</v>
      </c>
      <c r="AG19" s="34">
        <f t="shared" si="9"/>
        <v>0</v>
      </c>
      <c r="AH19" s="38">
        <v>-26.6</v>
      </c>
      <c r="AI19" s="34">
        <v>5</v>
      </c>
      <c r="AJ19" s="34">
        <v>10</v>
      </c>
      <c r="AK19" s="34">
        <f t="shared" si="10"/>
        <v>50</v>
      </c>
      <c r="AL19" s="34">
        <f t="shared" si="11"/>
        <v>3.67</v>
      </c>
      <c r="AM19" s="34">
        <f t="shared" si="12"/>
        <v>36.700000000000003</v>
      </c>
      <c r="AN19" s="34">
        <f t="shared" si="13"/>
        <v>367</v>
      </c>
      <c r="AO19" s="38">
        <v>-75</v>
      </c>
      <c r="AP19" s="34">
        <v>1500</v>
      </c>
      <c r="AQ19" s="34">
        <v>2</v>
      </c>
      <c r="AR19" s="34">
        <f t="shared" si="14"/>
        <v>3000</v>
      </c>
      <c r="AS19" s="34">
        <f t="shared" si="15"/>
        <v>375</v>
      </c>
      <c r="AT19" s="34">
        <f t="shared" si="16"/>
        <v>750</v>
      </c>
      <c r="AU19" s="34">
        <f t="shared" si="17"/>
        <v>7500</v>
      </c>
      <c r="AV19" s="38">
        <v>-13</v>
      </c>
      <c r="AW19" s="34">
        <v>2000</v>
      </c>
      <c r="AX19" s="34">
        <f t="shared" si="18"/>
        <v>1740</v>
      </c>
      <c r="AY19" s="38">
        <v>-17.7</v>
      </c>
      <c r="AZ19" s="34">
        <v>2000</v>
      </c>
      <c r="BA19" s="34">
        <f t="shared" si="19"/>
        <v>1646</v>
      </c>
      <c r="BB19" s="38">
        <v>0</v>
      </c>
      <c r="BC19" s="34">
        <v>0</v>
      </c>
      <c r="BD19" s="34">
        <f t="shared" si="20"/>
        <v>0</v>
      </c>
      <c r="BE19" s="34">
        <f t="shared" si="21"/>
        <v>29186.999999999985</v>
      </c>
      <c r="BF19" s="39">
        <f t="shared" si="22"/>
        <v>46.328571428571408</v>
      </c>
      <c r="BG19" s="34">
        <f t="shared" si="23"/>
        <v>2.1584952204748702E-2</v>
      </c>
      <c r="BH19" s="40" t="str">
        <f t="shared" si="24"/>
        <v>YES</v>
      </c>
    </row>
    <row r="20" spans="1:60" ht="43.5" customHeight="1" thickBot="1" x14ac:dyDescent="0.3">
      <c r="A20" s="25" t="s">
        <v>69</v>
      </c>
      <c r="B20" s="26" t="s">
        <v>378</v>
      </c>
      <c r="C20" s="27" t="s">
        <v>190</v>
      </c>
      <c r="D20" s="49" t="s">
        <v>191</v>
      </c>
      <c r="E20" s="29" t="s">
        <v>192</v>
      </c>
      <c r="F20" s="30" t="s">
        <v>170</v>
      </c>
      <c r="G20" s="43" t="s">
        <v>478</v>
      </c>
      <c r="H20" s="50" t="s">
        <v>479</v>
      </c>
      <c r="I20" s="64" t="s">
        <v>480</v>
      </c>
      <c r="J20" s="52" t="s">
        <v>481</v>
      </c>
      <c r="K20" s="47" t="s">
        <v>482</v>
      </c>
      <c r="L20" s="34">
        <v>10</v>
      </c>
      <c r="M20" s="35">
        <v>3</v>
      </c>
      <c r="N20" s="34">
        <v>60000</v>
      </c>
      <c r="O20" s="34">
        <v>0</v>
      </c>
      <c r="P20" s="34">
        <v>120</v>
      </c>
      <c r="Q20" s="34">
        <v>0</v>
      </c>
      <c r="R20" s="35">
        <f t="shared" si="0"/>
        <v>20040</v>
      </c>
      <c r="S20" s="35">
        <f t="shared" si="1"/>
        <v>60120</v>
      </c>
      <c r="T20" s="38">
        <v>12.1</v>
      </c>
      <c r="U20" s="34">
        <v>20</v>
      </c>
      <c r="V20" s="34">
        <v>500</v>
      </c>
      <c r="W20" s="34">
        <f t="shared" si="2"/>
        <v>100000</v>
      </c>
      <c r="X20" s="34">
        <f t="shared" si="3"/>
        <v>22.42</v>
      </c>
      <c r="Y20" s="34">
        <f t="shared" si="4"/>
        <v>11210</v>
      </c>
      <c r="Z20" s="34">
        <f t="shared" si="5"/>
        <v>12100</v>
      </c>
      <c r="AA20" s="38">
        <v>44</v>
      </c>
      <c r="AB20" s="34">
        <v>210</v>
      </c>
      <c r="AC20" s="34">
        <v>1</v>
      </c>
      <c r="AD20" s="34">
        <f t="shared" si="6"/>
        <v>210</v>
      </c>
      <c r="AE20" s="34">
        <f t="shared" si="7"/>
        <v>302.39999999999998</v>
      </c>
      <c r="AF20" s="34">
        <f t="shared" si="8"/>
        <v>302.39999999999998</v>
      </c>
      <c r="AG20" s="34">
        <f t="shared" si="9"/>
        <v>3024</v>
      </c>
      <c r="AH20" s="38">
        <v>250</v>
      </c>
      <c r="AI20" s="34">
        <v>6</v>
      </c>
      <c r="AJ20" s="34">
        <v>12</v>
      </c>
      <c r="AK20" s="34">
        <f t="shared" si="10"/>
        <v>72</v>
      </c>
      <c r="AL20" s="34">
        <f t="shared" si="11"/>
        <v>21</v>
      </c>
      <c r="AM20" s="34">
        <f t="shared" si="12"/>
        <v>252</v>
      </c>
      <c r="AN20" s="34">
        <f t="shared" si="13"/>
        <v>2520</v>
      </c>
      <c r="AO20" s="38">
        <v>-15</v>
      </c>
      <c r="AP20" s="34">
        <v>3000</v>
      </c>
      <c r="AQ20" s="34">
        <v>2.2999999999999998</v>
      </c>
      <c r="AR20" s="34">
        <f t="shared" si="14"/>
        <v>6899.9999999999991</v>
      </c>
      <c r="AS20" s="34">
        <f t="shared" si="15"/>
        <v>2550</v>
      </c>
      <c r="AT20" s="34">
        <f t="shared" si="16"/>
        <v>5865</v>
      </c>
      <c r="AU20" s="34">
        <f t="shared" si="17"/>
        <v>58650</v>
      </c>
      <c r="AV20" s="38">
        <v>-19.7</v>
      </c>
      <c r="AW20" s="34">
        <v>2000</v>
      </c>
      <c r="AX20" s="34">
        <f t="shared" si="18"/>
        <v>1606</v>
      </c>
      <c r="AY20" s="38">
        <v>41.3</v>
      </c>
      <c r="AZ20" s="34">
        <v>2500</v>
      </c>
      <c r="BA20" s="34">
        <f t="shared" si="19"/>
        <v>3532.5</v>
      </c>
      <c r="BB20" s="38">
        <v>147.80000000000001</v>
      </c>
      <c r="BC20" s="34">
        <v>1000</v>
      </c>
      <c r="BD20" s="34">
        <f t="shared" si="20"/>
        <v>2478</v>
      </c>
      <c r="BE20" s="34">
        <f t="shared" si="21"/>
        <v>-2550.5000000000073</v>
      </c>
      <c r="BF20" s="39">
        <f t="shared" si="22"/>
        <v>-4.2423486360612231E-2</v>
      </c>
      <c r="BG20" s="34" t="str">
        <f t="shared" si="23"/>
        <v>Payback period not applicable: the investment does not recover its cost under current conditions.</v>
      </c>
      <c r="BH20" s="40" t="str">
        <f t="shared" si="24"/>
        <v>NO</v>
      </c>
    </row>
    <row r="21" spans="1:60" ht="43.5" customHeight="1" thickBot="1" x14ac:dyDescent="0.3">
      <c r="A21" s="25" t="s">
        <v>69</v>
      </c>
      <c r="B21" s="26" t="s">
        <v>378</v>
      </c>
      <c r="C21" s="27" t="s">
        <v>190</v>
      </c>
      <c r="D21" s="49" t="s">
        <v>198</v>
      </c>
      <c r="E21" s="29" t="s">
        <v>192</v>
      </c>
      <c r="F21" s="30" t="s">
        <v>170</v>
      </c>
      <c r="G21" s="43" t="s">
        <v>478</v>
      </c>
      <c r="H21" s="50" t="s">
        <v>479</v>
      </c>
      <c r="I21" s="64" t="s">
        <v>480</v>
      </c>
      <c r="J21" s="52" t="s">
        <v>483</v>
      </c>
      <c r="K21" s="47" t="s">
        <v>484</v>
      </c>
      <c r="L21" s="34">
        <v>10</v>
      </c>
      <c r="M21" s="35">
        <v>3</v>
      </c>
      <c r="N21" s="57">
        <v>0</v>
      </c>
      <c r="O21" s="57">
        <v>60000</v>
      </c>
      <c r="P21" s="34">
        <v>2000</v>
      </c>
      <c r="Q21" s="34">
        <v>0</v>
      </c>
      <c r="R21" s="35">
        <f t="shared" si="0"/>
        <v>200666.66666666666</v>
      </c>
      <c r="S21" s="35">
        <f t="shared" si="1"/>
        <v>602000</v>
      </c>
      <c r="T21" s="38">
        <v>212.5</v>
      </c>
      <c r="U21" s="34">
        <v>20</v>
      </c>
      <c r="V21" s="34">
        <v>500</v>
      </c>
      <c r="W21" s="34">
        <f t="shared" si="2"/>
        <v>100000</v>
      </c>
      <c r="X21" s="34">
        <f t="shared" si="3"/>
        <v>62.5</v>
      </c>
      <c r="Y21" s="34">
        <f t="shared" si="4"/>
        <v>31250</v>
      </c>
      <c r="Z21" s="34">
        <f t="shared" si="5"/>
        <v>212500</v>
      </c>
      <c r="AA21" s="38">
        <v>4.3</v>
      </c>
      <c r="AB21" s="34">
        <v>210</v>
      </c>
      <c r="AC21" s="34">
        <v>1</v>
      </c>
      <c r="AD21" s="34">
        <f t="shared" si="6"/>
        <v>210</v>
      </c>
      <c r="AE21" s="34">
        <f t="shared" si="7"/>
        <v>219.02999999999997</v>
      </c>
      <c r="AF21" s="34">
        <f t="shared" si="8"/>
        <v>219.02999999999997</v>
      </c>
      <c r="AG21" s="34">
        <f t="shared" si="9"/>
        <v>2190.2999999999997</v>
      </c>
      <c r="AH21" s="38">
        <v>-28.2</v>
      </c>
      <c r="AI21" s="34">
        <v>6</v>
      </c>
      <c r="AJ21" s="34">
        <v>12</v>
      </c>
      <c r="AK21" s="34">
        <f t="shared" si="10"/>
        <v>72</v>
      </c>
      <c r="AL21" s="34">
        <f t="shared" si="11"/>
        <v>4.3079999999999998</v>
      </c>
      <c r="AM21" s="34">
        <f t="shared" si="12"/>
        <v>51.695999999999998</v>
      </c>
      <c r="AN21" s="34">
        <f t="shared" si="13"/>
        <v>516.96</v>
      </c>
      <c r="AO21" s="38">
        <v>9</v>
      </c>
      <c r="AP21" s="34">
        <v>3000</v>
      </c>
      <c r="AQ21" s="34">
        <v>2.2999999999999998</v>
      </c>
      <c r="AR21" s="34">
        <f t="shared" si="14"/>
        <v>6899.9999999999991</v>
      </c>
      <c r="AS21" s="34">
        <f t="shared" si="15"/>
        <v>3270.0000000000005</v>
      </c>
      <c r="AT21" s="34">
        <f t="shared" si="16"/>
        <v>7521.0000000000009</v>
      </c>
      <c r="AU21" s="34">
        <f t="shared" si="17"/>
        <v>75210.000000000015</v>
      </c>
      <c r="AV21" s="38">
        <v>146</v>
      </c>
      <c r="AW21" s="34">
        <v>2000</v>
      </c>
      <c r="AX21" s="34">
        <f t="shared" si="18"/>
        <v>4920</v>
      </c>
      <c r="AY21" s="38">
        <v>-100</v>
      </c>
      <c r="AZ21" s="34">
        <v>2500</v>
      </c>
      <c r="BA21" s="34">
        <f t="shared" si="19"/>
        <v>0</v>
      </c>
      <c r="BB21" s="38">
        <v>275</v>
      </c>
      <c r="BC21" s="34">
        <v>1000</v>
      </c>
      <c r="BD21" s="34">
        <f t="shared" si="20"/>
        <v>3750</v>
      </c>
      <c r="BE21" s="34">
        <f t="shared" si="21"/>
        <v>566.07333333333372</v>
      </c>
      <c r="BF21" s="39">
        <f t="shared" si="22"/>
        <v>9.4032115171650116E-4</v>
      </c>
      <c r="BG21" s="34">
        <f t="shared" si="23"/>
        <v>1063.466453109726</v>
      </c>
      <c r="BH21" s="40" t="str">
        <f t="shared" si="24"/>
        <v>NO</v>
      </c>
    </row>
    <row r="22" spans="1:60" ht="43.5" customHeight="1" thickBot="1" x14ac:dyDescent="0.3">
      <c r="A22" s="25" t="s">
        <v>69</v>
      </c>
      <c r="B22" s="26" t="s">
        <v>378</v>
      </c>
      <c r="C22" s="58" t="s">
        <v>202</v>
      </c>
      <c r="D22" s="58" t="s">
        <v>169</v>
      </c>
      <c r="E22" s="29" t="s">
        <v>203</v>
      </c>
      <c r="F22" s="30" t="s">
        <v>170</v>
      </c>
      <c r="G22" s="31" t="s">
        <v>138</v>
      </c>
      <c r="H22" s="50" t="s">
        <v>437</v>
      </c>
      <c r="I22" s="61" t="s">
        <v>77</v>
      </c>
      <c r="J22" s="52" t="s">
        <v>485</v>
      </c>
      <c r="K22" s="47" t="s">
        <v>486</v>
      </c>
      <c r="L22" s="34">
        <v>10</v>
      </c>
      <c r="M22" s="35">
        <v>3</v>
      </c>
      <c r="N22" s="34">
        <v>0</v>
      </c>
      <c r="O22" s="34">
        <v>0</v>
      </c>
      <c r="P22" s="34">
        <v>180</v>
      </c>
      <c r="Q22" s="34">
        <v>0</v>
      </c>
      <c r="R22" s="35">
        <f t="shared" si="0"/>
        <v>0</v>
      </c>
      <c r="S22" s="35">
        <f t="shared" si="1"/>
        <v>180</v>
      </c>
      <c r="T22" s="38">
        <v>-41.3</v>
      </c>
      <c r="U22" s="34">
        <v>22</v>
      </c>
      <c r="V22" s="34">
        <v>420</v>
      </c>
      <c r="W22" s="34">
        <f t="shared" si="2"/>
        <v>92400</v>
      </c>
      <c r="X22" s="34">
        <f t="shared" si="3"/>
        <v>12.914</v>
      </c>
      <c r="Y22" s="34">
        <f t="shared" si="4"/>
        <v>5423.88</v>
      </c>
      <c r="Z22" s="34">
        <f t="shared" si="5"/>
        <v>-38161.199999999997</v>
      </c>
      <c r="AA22" s="38">
        <v>-13.9</v>
      </c>
      <c r="AB22" s="34">
        <v>250</v>
      </c>
      <c r="AC22" s="34">
        <v>1.1000000000000001</v>
      </c>
      <c r="AD22" s="34">
        <f t="shared" si="6"/>
        <v>275</v>
      </c>
      <c r="AE22" s="34">
        <f t="shared" si="7"/>
        <v>215.25</v>
      </c>
      <c r="AF22" s="34">
        <f t="shared" si="8"/>
        <v>236.77500000000001</v>
      </c>
      <c r="AG22" s="34">
        <f t="shared" si="9"/>
        <v>2367.75</v>
      </c>
      <c r="AH22" s="38">
        <v>-19.5</v>
      </c>
      <c r="AI22" s="34">
        <v>8</v>
      </c>
      <c r="AJ22" s="34">
        <v>15</v>
      </c>
      <c r="AK22" s="34">
        <f t="shared" si="10"/>
        <v>120</v>
      </c>
      <c r="AL22" s="34">
        <f t="shared" si="11"/>
        <v>6.4399999999999995</v>
      </c>
      <c r="AM22" s="34">
        <f t="shared" si="12"/>
        <v>96.6</v>
      </c>
      <c r="AN22" s="34">
        <f t="shared" si="13"/>
        <v>966</v>
      </c>
      <c r="AO22" s="38">
        <v>-48</v>
      </c>
      <c r="AP22" s="34">
        <v>2500</v>
      </c>
      <c r="AQ22" s="34">
        <v>2.1</v>
      </c>
      <c r="AR22" s="34">
        <f t="shared" si="14"/>
        <v>5250</v>
      </c>
      <c r="AS22" s="34">
        <f t="shared" si="15"/>
        <v>1300</v>
      </c>
      <c r="AT22" s="34">
        <f t="shared" si="16"/>
        <v>2730</v>
      </c>
      <c r="AU22" s="34">
        <f t="shared" si="17"/>
        <v>27300</v>
      </c>
      <c r="AV22" s="38">
        <v>-54.4</v>
      </c>
      <c r="AW22" s="34">
        <v>2000</v>
      </c>
      <c r="AX22" s="34">
        <f t="shared" si="18"/>
        <v>911.99999999999989</v>
      </c>
      <c r="AY22" s="38">
        <v>-61.3</v>
      </c>
      <c r="AZ22" s="34">
        <v>3000</v>
      </c>
      <c r="BA22" s="34">
        <f t="shared" si="19"/>
        <v>1161</v>
      </c>
      <c r="BB22" s="38">
        <v>-29.6</v>
      </c>
      <c r="BC22" s="34">
        <v>1000</v>
      </c>
      <c r="BD22" s="34">
        <f t="shared" si="20"/>
        <v>704</v>
      </c>
      <c r="BE22" s="34">
        <f t="shared" si="21"/>
        <v>-9301.9499999999971</v>
      </c>
      <c r="BF22" s="39">
        <f t="shared" si="22"/>
        <v>-51.677499999999981</v>
      </c>
      <c r="BG22" s="34" t="str">
        <f t="shared" si="23"/>
        <v>Payback period not applicable: the investment does not recover its cost under current conditions.</v>
      </c>
      <c r="BH22" s="40" t="str">
        <f t="shared" si="24"/>
        <v>NO</v>
      </c>
    </row>
    <row r="23" spans="1:60" ht="43.5" customHeight="1" thickBot="1" x14ac:dyDescent="0.3">
      <c r="A23" s="25" t="s">
        <v>69</v>
      </c>
      <c r="B23" s="26" t="s">
        <v>378</v>
      </c>
      <c r="C23" s="27" t="s">
        <v>206</v>
      </c>
      <c r="D23" s="49" t="s">
        <v>383</v>
      </c>
      <c r="E23" s="29" t="s">
        <v>119</v>
      </c>
      <c r="F23" s="30" t="s">
        <v>175</v>
      </c>
      <c r="G23" s="31" t="s">
        <v>471</v>
      </c>
      <c r="H23" s="44" t="s">
        <v>472</v>
      </c>
      <c r="I23" s="52" t="s">
        <v>473</v>
      </c>
      <c r="J23" s="46" t="s">
        <v>487</v>
      </c>
      <c r="K23" s="47" t="s">
        <v>488</v>
      </c>
      <c r="L23" s="34">
        <v>10</v>
      </c>
      <c r="M23" s="35">
        <v>3</v>
      </c>
      <c r="N23" s="34">
        <v>4850</v>
      </c>
      <c r="O23" s="34">
        <v>0</v>
      </c>
      <c r="P23" s="34">
        <v>400</v>
      </c>
      <c r="Q23" s="34">
        <v>0</v>
      </c>
      <c r="R23" s="35">
        <f t="shared" si="0"/>
        <v>1750</v>
      </c>
      <c r="S23" s="35">
        <f t="shared" si="1"/>
        <v>5250</v>
      </c>
      <c r="T23" s="38">
        <v>1.3</v>
      </c>
      <c r="U23" s="34">
        <v>20</v>
      </c>
      <c r="V23" s="34">
        <v>400</v>
      </c>
      <c r="W23" s="34">
        <f t="shared" si="2"/>
        <v>80000</v>
      </c>
      <c r="X23" s="34">
        <f t="shared" si="3"/>
        <v>20.259999999999998</v>
      </c>
      <c r="Y23" s="34">
        <f t="shared" si="4"/>
        <v>8103.9999999999991</v>
      </c>
      <c r="Z23" s="34">
        <f t="shared" si="5"/>
        <v>1039.9999999999854</v>
      </c>
      <c r="AA23" s="38">
        <v>0</v>
      </c>
      <c r="AB23" s="34">
        <v>0</v>
      </c>
      <c r="AC23" s="34">
        <v>0</v>
      </c>
      <c r="AD23" s="34">
        <f t="shared" si="6"/>
        <v>0</v>
      </c>
      <c r="AE23" s="34">
        <f t="shared" si="7"/>
        <v>0</v>
      </c>
      <c r="AF23" s="34">
        <f t="shared" si="8"/>
        <v>0</v>
      </c>
      <c r="AG23" s="34">
        <f t="shared" si="9"/>
        <v>0</v>
      </c>
      <c r="AH23" s="38">
        <v>0</v>
      </c>
      <c r="AI23" s="34">
        <v>0</v>
      </c>
      <c r="AJ23" s="34">
        <v>0</v>
      </c>
      <c r="AK23" s="34">
        <f t="shared" si="10"/>
        <v>0</v>
      </c>
      <c r="AL23" s="34">
        <f t="shared" si="11"/>
        <v>0</v>
      </c>
      <c r="AM23" s="34">
        <f t="shared" si="12"/>
        <v>0</v>
      </c>
      <c r="AN23" s="34">
        <f t="shared" si="13"/>
        <v>0</v>
      </c>
      <c r="AO23" s="38">
        <v>6</v>
      </c>
      <c r="AP23" s="34">
        <v>0</v>
      </c>
      <c r="AQ23" s="34">
        <v>0</v>
      </c>
      <c r="AR23" s="34">
        <f t="shared" si="14"/>
        <v>0</v>
      </c>
      <c r="AS23" s="34">
        <f t="shared" si="15"/>
        <v>0</v>
      </c>
      <c r="AT23" s="34">
        <f t="shared" si="16"/>
        <v>0</v>
      </c>
      <c r="AU23" s="34">
        <f t="shared" si="17"/>
        <v>0</v>
      </c>
      <c r="AV23" s="38">
        <v>19.3</v>
      </c>
      <c r="AW23" s="34">
        <v>2000</v>
      </c>
      <c r="AX23" s="34">
        <f t="shared" si="18"/>
        <v>2386</v>
      </c>
      <c r="AY23" s="38">
        <v>2</v>
      </c>
      <c r="AZ23" s="34">
        <v>3000</v>
      </c>
      <c r="BA23" s="34">
        <f t="shared" si="19"/>
        <v>3060</v>
      </c>
      <c r="BB23" s="38">
        <v>19.8</v>
      </c>
      <c r="BC23" s="34">
        <v>1000</v>
      </c>
      <c r="BD23" s="34">
        <f t="shared" si="20"/>
        <v>1198</v>
      </c>
      <c r="BE23" s="34">
        <f t="shared" si="21"/>
        <v>-1754.0000000000146</v>
      </c>
      <c r="BF23" s="39">
        <f t="shared" si="22"/>
        <v>-0.33409523809524089</v>
      </c>
      <c r="BG23" s="34" t="str">
        <f t="shared" si="23"/>
        <v>Payback period not applicable: the investment does not recover its cost under current conditions.</v>
      </c>
      <c r="BH23" s="40" t="str">
        <f t="shared" si="24"/>
        <v>NO</v>
      </c>
    </row>
    <row r="24" spans="1:60" ht="43.5" customHeight="1" thickBot="1" x14ac:dyDescent="0.3">
      <c r="A24" s="25" t="s">
        <v>69</v>
      </c>
      <c r="B24" s="26" t="s">
        <v>378</v>
      </c>
      <c r="C24" s="48" t="s">
        <v>211</v>
      </c>
      <c r="D24" s="49" t="s">
        <v>212</v>
      </c>
      <c r="E24" s="29" t="s">
        <v>162</v>
      </c>
      <c r="F24" s="30" t="s">
        <v>184</v>
      </c>
      <c r="G24" s="31" t="s">
        <v>213</v>
      </c>
      <c r="H24" s="50" t="s">
        <v>384</v>
      </c>
      <c r="I24" s="64" t="s">
        <v>215</v>
      </c>
      <c r="J24" s="65" t="s">
        <v>489</v>
      </c>
      <c r="K24" s="47" t="s">
        <v>490</v>
      </c>
      <c r="L24" s="34">
        <v>10</v>
      </c>
      <c r="M24" s="35">
        <v>3</v>
      </c>
      <c r="N24" s="34">
        <v>4400</v>
      </c>
      <c r="O24" s="34">
        <v>0</v>
      </c>
      <c r="P24" s="34">
        <v>563</v>
      </c>
      <c r="Q24" s="34">
        <v>0</v>
      </c>
      <c r="R24" s="35">
        <f t="shared" si="0"/>
        <v>1654.3333333333333</v>
      </c>
      <c r="S24" s="35">
        <f t="shared" si="1"/>
        <v>4963</v>
      </c>
      <c r="T24" s="38">
        <v>0</v>
      </c>
      <c r="U24" s="34">
        <v>0</v>
      </c>
      <c r="V24" s="34">
        <v>0</v>
      </c>
      <c r="W24" s="34">
        <f t="shared" si="2"/>
        <v>0</v>
      </c>
      <c r="X24" s="34">
        <f t="shared" si="3"/>
        <v>0</v>
      </c>
      <c r="Y24" s="34">
        <f t="shared" si="4"/>
        <v>0</v>
      </c>
      <c r="Z24" s="34">
        <f t="shared" si="5"/>
        <v>0</v>
      </c>
      <c r="AA24" s="38">
        <v>0</v>
      </c>
      <c r="AB24" s="34">
        <v>0</v>
      </c>
      <c r="AC24" s="34">
        <v>0</v>
      </c>
      <c r="AD24" s="34">
        <f t="shared" si="6"/>
        <v>0</v>
      </c>
      <c r="AE24" s="34">
        <f t="shared" si="7"/>
        <v>0</v>
      </c>
      <c r="AF24" s="34">
        <f t="shared" si="8"/>
        <v>0</v>
      </c>
      <c r="AG24" s="34">
        <f t="shared" si="9"/>
        <v>0</v>
      </c>
      <c r="AH24" s="38">
        <v>60</v>
      </c>
      <c r="AI24" s="34">
        <v>9</v>
      </c>
      <c r="AJ24" s="34">
        <v>12</v>
      </c>
      <c r="AK24" s="34">
        <f t="shared" si="10"/>
        <v>108</v>
      </c>
      <c r="AL24" s="34">
        <f t="shared" si="11"/>
        <v>14.4</v>
      </c>
      <c r="AM24" s="34">
        <f t="shared" si="12"/>
        <v>172.8</v>
      </c>
      <c r="AN24" s="34">
        <f t="shared" si="13"/>
        <v>1728</v>
      </c>
      <c r="AO24" s="38">
        <v>0</v>
      </c>
      <c r="AP24" s="34">
        <v>0</v>
      </c>
      <c r="AQ24" s="34">
        <v>0</v>
      </c>
      <c r="AR24" s="34">
        <f t="shared" si="14"/>
        <v>0</v>
      </c>
      <c r="AS24" s="34">
        <f t="shared" si="15"/>
        <v>0</v>
      </c>
      <c r="AT24" s="34">
        <f t="shared" si="16"/>
        <v>0</v>
      </c>
      <c r="AU24" s="34">
        <f t="shared" si="17"/>
        <v>0</v>
      </c>
      <c r="AV24" s="38">
        <v>-90.8</v>
      </c>
      <c r="AW24" s="34">
        <v>2000</v>
      </c>
      <c r="AX24" s="34">
        <f t="shared" si="18"/>
        <v>184.00000000000017</v>
      </c>
      <c r="AY24" s="38">
        <v>-94.6</v>
      </c>
      <c r="AZ24" s="34">
        <v>2500</v>
      </c>
      <c r="BA24" s="34">
        <f t="shared" si="19"/>
        <v>135.00000000000011</v>
      </c>
      <c r="BB24" s="38">
        <v>0</v>
      </c>
      <c r="BC24" s="34">
        <v>0</v>
      </c>
      <c r="BD24" s="34">
        <f t="shared" si="20"/>
        <v>0</v>
      </c>
      <c r="BE24" s="34">
        <f t="shared" si="21"/>
        <v>1315.6666666666663</v>
      </c>
      <c r="BF24" s="39">
        <f t="shared" si="22"/>
        <v>0.26509503660420436</v>
      </c>
      <c r="BG24" s="34">
        <f t="shared" si="23"/>
        <v>3.7722320749936671</v>
      </c>
      <c r="BH24" s="40" t="str">
        <f t="shared" si="24"/>
        <v>YES</v>
      </c>
    </row>
    <row r="25" spans="1:60" ht="43.5" customHeight="1" thickBot="1" x14ac:dyDescent="0.3">
      <c r="A25" s="25" t="s">
        <v>69</v>
      </c>
      <c r="B25" s="26" t="s">
        <v>378</v>
      </c>
      <c r="C25" s="58" t="s">
        <v>218</v>
      </c>
      <c r="D25" s="58" t="s">
        <v>219</v>
      </c>
      <c r="E25" s="29" t="s">
        <v>183</v>
      </c>
      <c r="F25" s="30" t="s">
        <v>132</v>
      </c>
      <c r="G25" s="31" t="s">
        <v>220</v>
      </c>
      <c r="H25" s="50" t="s">
        <v>385</v>
      </c>
      <c r="I25" s="51" t="s">
        <v>222</v>
      </c>
      <c r="J25" s="52" t="s">
        <v>491</v>
      </c>
      <c r="K25" s="47" t="s">
        <v>492</v>
      </c>
      <c r="L25" s="34">
        <v>10</v>
      </c>
      <c r="M25" s="35">
        <v>3</v>
      </c>
      <c r="N25" s="34">
        <v>0</v>
      </c>
      <c r="O25" s="34">
        <v>0</v>
      </c>
      <c r="P25" s="34">
        <v>0</v>
      </c>
      <c r="Q25" s="34">
        <v>45</v>
      </c>
      <c r="R25" s="35">
        <f t="shared" si="0"/>
        <v>0</v>
      </c>
      <c r="S25" s="35">
        <f t="shared" si="1"/>
        <v>450</v>
      </c>
      <c r="T25" s="38">
        <v>21</v>
      </c>
      <c r="U25" s="34">
        <v>50</v>
      </c>
      <c r="V25" s="34">
        <v>500</v>
      </c>
      <c r="W25" s="34">
        <f t="shared" si="2"/>
        <v>250000</v>
      </c>
      <c r="X25" s="34">
        <f t="shared" si="3"/>
        <v>60.5</v>
      </c>
      <c r="Y25" s="34">
        <f t="shared" si="4"/>
        <v>30250</v>
      </c>
      <c r="Z25" s="34">
        <f t="shared" si="5"/>
        <v>52500</v>
      </c>
      <c r="AA25" s="38">
        <v>4.5</v>
      </c>
      <c r="AB25" s="34">
        <v>300</v>
      </c>
      <c r="AC25" s="34">
        <v>1.2</v>
      </c>
      <c r="AD25" s="34">
        <f t="shared" si="6"/>
        <v>360</v>
      </c>
      <c r="AE25" s="34">
        <f t="shared" si="7"/>
        <v>313.5</v>
      </c>
      <c r="AF25" s="34">
        <f t="shared" si="8"/>
        <v>376.2</v>
      </c>
      <c r="AG25" s="34">
        <f t="shared" si="9"/>
        <v>3762</v>
      </c>
      <c r="AH25" s="38">
        <v>4.8</v>
      </c>
      <c r="AI25" s="34">
        <v>5</v>
      </c>
      <c r="AJ25" s="34">
        <v>12</v>
      </c>
      <c r="AK25" s="34">
        <f t="shared" si="10"/>
        <v>60</v>
      </c>
      <c r="AL25" s="34">
        <f t="shared" si="11"/>
        <v>5.24</v>
      </c>
      <c r="AM25" s="34">
        <f t="shared" si="12"/>
        <v>62.88</v>
      </c>
      <c r="AN25" s="34">
        <f t="shared" si="13"/>
        <v>628.80000000000007</v>
      </c>
      <c r="AO25" s="38">
        <v>-21</v>
      </c>
      <c r="AP25" s="34">
        <v>4500</v>
      </c>
      <c r="AQ25" s="34">
        <v>2.2999999999999998</v>
      </c>
      <c r="AR25" s="34">
        <f t="shared" si="14"/>
        <v>10350</v>
      </c>
      <c r="AS25" s="34">
        <f t="shared" si="15"/>
        <v>3555</v>
      </c>
      <c r="AT25" s="34">
        <f t="shared" si="16"/>
        <v>8176.4999999999991</v>
      </c>
      <c r="AU25" s="34">
        <f t="shared" si="17"/>
        <v>81764.999999999985</v>
      </c>
      <c r="AV25" s="38">
        <v>28</v>
      </c>
      <c r="AW25" s="34">
        <v>2000</v>
      </c>
      <c r="AX25" s="34">
        <f t="shared" si="18"/>
        <v>2560</v>
      </c>
      <c r="AY25" s="38">
        <v>5.8</v>
      </c>
      <c r="AZ25" s="34">
        <v>2500</v>
      </c>
      <c r="BA25" s="34">
        <f t="shared" si="19"/>
        <v>2645</v>
      </c>
      <c r="BB25" s="38">
        <v>0</v>
      </c>
      <c r="BC25" s="34">
        <v>0</v>
      </c>
      <c r="BD25" s="34">
        <f t="shared" si="20"/>
        <v>0</v>
      </c>
      <c r="BE25" s="34">
        <f t="shared" si="21"/>
        <v>72889.200000000012</v>
      </c>
      <c r="BF25" s="39">
        <f t="shared" si="22"/>
        <v>161.97600000000003</v>
      </c>
      <c r="BG25" s="34">
        <f t="shared" si="23"/>
        <v>6.1737541364152706E-3</v>
      </c>
      <c r="BH25" s="40" t="str">
        <f t="shared" si="24"/>
        <v>YES</v>
      </c>
    </row>
    <row r="26" spans="1:60" ht="43.5" customHeight="1" x14ac:dyDescent="0.25">
      <c r="A26" s="25" t="s">
        <v>69</v>
      </c>
      <c r="B26" s="26" t="s">
        <v>378</v>
      </c>
      <c r="C26" s="48" t="s">
        <v>225</v>
      </c>
      <c r="D26" s="66" t="s">
        <v>226</v>
      </c>
      <c r="E26" s="29" t="s">
        <v>119</v>
      </c>
      <c r="F26" s="30" t="s">
        <v>132</v>
      </c>
      <c r="G26" s="31" t="s">
        <v>227</v>
      </c>
      <c r="H26" s="50" t="s">
        <v>493</v>
      </c>
      <c r="I26" s="51" t="s">
        <v>229</v>
      </c>
      <c r="J26" s="65" t="s">
        <v>494</v>
      </c>
      <c r="K26" s="47" t="s">
        <v>495</v>
      </c>
      <c r="L26" s="34">
        <v>10</v>
      </c>
      <c r="M26" s="35">
        <v>3</v>
      </c>
      <c r="N26" s="34">
        <v>8000</v>
      </c>
      <c r="O26" s="34">
        <v>0</v>
      </c>
      <c r="P26" s="34">
        <v>300</v>
      </c>
      <c r="Q26" s="34">
        <v>0</v>
      </c>
      <c r="R26" s="35">
        <f t="shared" si="0"/>
        <v>2766.6666666666665</v>
      </c>
      <c r="S26" s="35">
        <f t="shared" si="1"/>
        <v>8300</v>
      </c>
      <c r="T26" s="38">
        <v>1.5</v>
      </c>
      <c r="U26" s="34">
        <v>60</v>
      </c>
      <c r="V26" s="34">
        <v>600</v>
      </c>
      <c r="W26" s="34">
        <f t="shared" si="2"/>
        <v>360000</v>
      </c>
      <c r="X26" s="34">
        <f t="shared" si="3"/>
        <v>60.899999999999991</v>
      </c>
      <c r="Y26" s="34">
        <f t="shared" si="4"/>
        <v>36539.999999999993</v>
      </c>
      <c r="Z26" s="34">
        <f t="shared" si="5"/>
        <v>5399.9999999999418</v>
      </c>
      <c r="AA26" s="38">
        <v>0</v>
      </c>
      <c r="AB26" s="34">
        <v>0</v>
      </c>
      <c r="AC26" s="34">
        <v>0</v>
      </c>
      <c r="AD26" s="34">
        <f t="shared" si="6"/>
        <v>0</v>
      </c>
      <c r="AE26" s="34">
        <f t="shared" si="7"/>
        <v>0</v>
      </c>
      <c r="AF26" s="34">
        <f t="shared" si="8"/>
        <v>0</v>
      </c>
      <c r="AG26" s="34">
        <f t="shared" si="9"/>
        <v>0</v>
      </c>
      <c r="AH26" s="38">
        <v>0</v>
      </c>
      <c r="AI26" s="34">
        <v>0</v>
      </c>
      <c r="AJ26" s="34">
        <v>0</v>
      </c>
      <c r="AK26" s="34">
        <f t="shared" si="10"/>
        <v>0</v>
      </c>
      <c r="AL26" s="34">
        <f t="shared" si="11"/>
        <v>0</v>
      </c>
      <c r="AM26" s="34">
        <f t="shared" si="12"/>
        <v>0</v>
      </c>
      <c r="AN26" s="34">
        <f t="shared" si="13"/>
        <v>0</v>
      </c>
      <c r="AO26" s="38">
        <v>-27</v>
      </c>
      <c r="AP26" s="34">
        <v>3000</v>
      </c>
      <c r="AQ26" s="34">
        <v>1.8</v>
      </c>
      <c r="AR26" s="34">
        <f t="shared" si="14"/>
        <v>5400</v>
      </c>
      <c r="AS26" s="34">
        <f t="shared" si="15"/>
        <v>2190</v>
      </c>
      <c r="AT26" s="34">
        <f t="shared" si="16"/>
        <v>3942</v>
      </c>
      <c r="AU26" s="34">
        <f t="shared" si="17"/>
        <v>39420</v>
      </c>
      <c r="AV26" s="38">
        <v>0</v>
      </c>
      <c r="AW26" s="34">
        <v>0</v>
      </c>
      <c r="AX26" s="34">
        <f t="shared" si="18"/>
        <v>0</v>
      </c>
      <c r="AY26" s="38">
        <v>-15.6</v>
      </c>
      <c r="AZ26" s="34">
        <v>3000</v>
      </c>
      <c r="BA26" s="34">
        <f t="shared" si="19"/>
        <v>2532</v>
      </c>
      <c r="BB26" s="38">
        <v>-60</v>
      </c>
      <c r="BC26" s="34">
        <v>1000</v>
      </c>
      <c r="BD26" s="34">
        <f t="shared" si="20"/>
        <v>400</v>
      </c>
      <c r="BE26" s="34">
        <f t="shared" si="21"/>
        <v>17981.333333333274</v>
      </c>
      <c r="BF26" s="39">
        <f t="shared" si="22"/>
        <v>2.1664257028112379</v>
      </c>
      <c r="BG26" s="34">
        <f t="shared" si="23"/>
        <v>0.46158979682633994</v>
      </c>
      <c r="BH26" s="40" t="str">
        <f t="shared" si="24"/>
        <v>YES</v>
      </c>
    </row>
    <row r="27" spans="1:60" ht="43.5" customHeight="1" x14ac:dyDescent="0.25">
      <c r="A27" s="25" t="s">
        <v>69</v>
      </c>
      <c r="B27" s="26" t="s">
        <v>378</v>
      </c>
      <c r="C27" s="27" t="s">
        <v>232</v>
      </c>
      <c r="D27" s="27" t="s">
        <v>233</v>
      </c>
      <c r="E27" s="27" t="s">
        <v>82</v>
      </c>
      <c r="F27" s="30" t="s">
        <v>132</v>
      </c>
      <c r="G27" s="31" t="s">
        <v>496</v>
      </c>
      <c r="H27" s="50" t="s">
        <v>497</v>
      </c>
      <c r="I27" s="45" t="s">
        <v>498</v>
      </c>
      <c r="J27" s="52" t="s">
        <v>499</v>
      </c>
      <c r="K27" s="47" t="s">
        <v>500</v>
      </c>
      <c r="L27" s="34">
        <v>10</v>
      </c>
      <c r="M27" s="35">
        <v>3</v>
      </c>
      <c r="N27" s="57">
        <v>0</v>
      </c>
      <c r="O27" s="57">
        <v>15000</v>
      </c>
      <c r="P27" s="34">
        <v>0</v>
      </c>
      <c r="Q27" s="67">
        <v>0</v>
      </c>
      <c r="R27" s="35">
        <f t="shared" si="0"/>
        <v>50000</v>
      </c>
      <c r="S27" s="35">
        <f t="shared" si="1"/>
        <v>150000</v>
      </c>
      <c r="T27" s="38">
        <v>3</v>
      </c>
      <c r="U27" s="34">
        <v>40</v>
      </c>
      <c r="V27" s="34">
        <v>800</v>
      </c>
      <c r="W27" s="34">
        <f t="shared" si="2"/>
        <v>320000</v>
      </c>
      <c r="X27" s="34">
        <f t="shared" si="3"/>
        <v>41.2</v>
      </c>
      <c r="Y27" s="34">
        <f t="shared" si="4"/>
        <v>32960</v>
      </c>
      <c r="Z27" s="34">
        <f t="shared" si="5"/>
        <v>9600</v>
      </c>
      <c r="AA27" s="38">
        <v>0</v>
      </c>
      <c r="AB27" s="34">
        <v>0</v>
      </c>
      <c r="AC27" s="34">
        <v>0</v>
      </c>
      <c r="AD27" s="34">
        <f t="shared" si="6"/>
        <v>0</v>
      </c>
      <c r="AE27" s="34">
        <f t="shared" si="7"/>
        <v>0</v>
      </c>
      <c r="AF27" s="34">
        <f t="shared" si="8"/>
        <v>0</v>
      </c>
      <c r="AG27" s="34">
        <f t="shared" si="9"/>
        <v>0</v>
      </c>
      <c r="AH27" s="38">
        <v>46.9</v>
      </c>
      <c r="AI27" s="34">
        <v>5</v>
      </c>
      <c r="AJ27" s="34">
        <v>13</v>
      </c>
      <c r="AK27" s="34">
        <f t="shared" si="10"/>
        <v>65</v>
      </c>
      <c r="AL27" s="34">
        <f t="shared" si="11"/>
        <v>7.3449999999999989</v>
      </c>
      <c r="AM27" s="34">
        <f t="shared" si="12"/>
        <v>95.484999999999985</v>
      </c>
      <c r="AN27" s="34">
        <f t="shared" si="13"/>
        <v>954.84999999999991</v>
      </c>
      <c r="AO27" s="38">
        <v>-2</v>
      </c>
      <c r="AP27" s="34">
        <v>2800</v>
      </c>
      <c r="AQ27" s="34">
        <v>2</v>
      </c>
      <c r="AR27" s="34">
        <f t="shared" si="14"/>
        <v>5600</v>
      </c>
      <c r="AS27" s="34">
        <f t="shared" si="15"/>
        <v>2744</v>
      </c>
      <c r="AT27" s="34">
        <f t="shared" si="16"/>
        <v>5488</v>
      </c>
      <c r="AU27" s="34">
        <f t="shared" si="17"/>
        <v>54880</v>
      </c>
      <c r="AV27" s="38">
        <v>0</v>
      </c>
      <c r="AW27" s="34">
        <v>0</v>
      </c>
      <c r="AX27" s="34">
        <f t="shared" si="18"/>
        <v>0</v>
      </c>
      <c r="AY27" s="38">
        <v>0</v>
      </c>
      <c r="AZ27" s="34">
        <v>0</v>
      </c>
      <c r="BA27" s="34">
        <f t="shared" si="19"/>
        <v>0</v>
      </c>
      <c r="BB27" s="38">
        <v>0</v>
      </c>
      <c r="BC27" s="34">
        <v>0</v>
      </c>
      <c r="BD27" s="34">
        <f t="shared" si="20"/>
        <v>0</v>
      </c>
      <c r="BE27" s="34">
        <f t="shared" si="21"/>
        <v>-39584.85</v>
      </c>
      <c r="BF27" s="39">
        <f t="shared" si="22"/>
        <v>-0.26389899999999999</v>
      </c>
      <c r="BG27" s="34" t="str">
        <f t="shared" si="23"/>
        <v>Payback period not applicable: the investment does not recover its cost under current conditions.</v>
      </c>
      <c r="BH27" s="40" t="str">
        <f t="shared" si="24"/>
        <v>NO</v>
      </c>
    </row>
    <row r="28" spans="1:60" ht="43.5" customHeight="1" x14ac:dyDescent="0.25">
      <c r="A28" s="25" t="s">
        <v>69</v>
      </c>
      <c r="B28" s="26" t="s">
        <v>378</v>
      </c>
      <c r="C28" s="48" t="s">
        <v>239</v>
      </c>
      <c r="D28" s="48" t="s">
        <v>240</v>
      </c>
      <c r="E28" s="48" t="s">
        <v>241</v>
      </c>
      <c r="F28" s="48" t="s">
        <v>132</v>
      </c>
      <c r="G28" s="68" t="s">
        <v>501</v>
      </c>
      <c r="H28" s="69" t="s">
        <v>502</v>
      </c>
      <c r="I28" s="70" t="s">
        <v>244</v>
      </c>
      <c r="J28" s="71" t="s">
        <v>503</v>
      </c>
      <c r="K28" s="47" t="s">
        <v>504</v>
      </c>
      <c r="L28" s="34">
        <v>10</v>
      </c>
      <c r="M28" s="35">
        <v>3</v>
      </c>
      <c r="N28" s="34">
        <v>1579000</v>
      </c>
      <c r="O28" s="34">
        <v>0</v>
      </c>
      <c r="P28" s="34">
        <v>2500</v>
      </c>
      <c r="Q28" s="34">
        <v>0</v>
      </c>
      <c r="R28" s="35">
        <f t="shared" si="0"/>
        <v>527166.66666666663</v>
      </c>
      <c r="S28" s="35">
        <f t="shared" si="1"/>
        <v>1581500</v>
      </c>
      <c r="T28" s="38">
        <v>9.5</v>
      </c>
      <c r="U28" s="34">
        <v>30</v>
      </c>
      <c r="V28" s="34">
        <v>1000</v>
      </c>
      <c r="W28" s="34">
        <f t="shared" si="2"/>
        <v>300000</v>
      </c>
      <c r="X28" s="34">
        <f t="shared" si="3"/>
        <v>32.85</v>
      </c>
      <c r="Y28" s="34">
        <f t="shared" si="4"/>
        <v>32850</v>
      </c>
      <c r="Z28" s="34">
        <f t="shared" si="5"/>
        <v>28500</v>
      </c>
      <c r="AA28" s="38">
        <v>-33.299999999999997</v>
      </c>
      <c r="AB28" s="34">
        <v>200</v>
      </c>
      <c r="AC28" s="34">
        <v>1</v>
      </c>
      <c r="AD28" s="34">
        <f t="shared" si="6"/>
        <v>200</v>
      </c>
      <c r="AE28" s="34">
        <f t="shared" si="7"/>
        <v>133.4</v>
      </c>
      <c r="AF28" s="34">
        <f t="shared" si="8"/>
        <v>133.4</v>
      </c>
      <c r="AG28" s="34">
        <f t="shared" si="9"/>
        <v>1334</v>
      </c>
      <c r="AH28" s="38">
        <v>66.3</v>
      </c>
      <c r="AI28" s="34">
        <v>4</v>
      </c>
      <c r="AJ28" s="34">
        <v>11</v>
      </c>
      <c r="AK28" s="34">
        <f t="shared" si="10"/>
        <v>44</v>
      </c>
      <c r="AL28" s="34">
        <f t="shared" si="11"/>
        <v>6.6519999999999992</v>
      </c>
      <c r="AM28" s="34">
        <f t="shared" si="12"/>
        <v>73.171999999999997</v>
      </c>
      <c r="AN28" s="34">
        <f t="shared" si="13"/>
        <v>731.72</v>
      </c>
      <c r="AO28" s="38">
        <v>-96</v>
      </c>
      <c r="AP28" s="34">
        <v>3000</v>
      </c>
      <c r="AQ28" s="34">
        <v>2.2000000000000002</v>
      </c>
      <c r="AR28" s="34">
        <f t="shared" si="14"/>
        <v>6600.0000000000009</v>
      </c>
      <c r="AS28" s="34">
        <f t="shared" si="15"/>
        <v>120.00000000000011</v>
      </c>
      <c r="AT28" s="34">
        <f t="shared" si="16"/>
        <v>264.00000000000028</v>
      </c>
      <c r="AU28" s="34">
        <f t="shared" si="17"/>
        <v>2640.0000000000027</v>
      </c>
      <c r="AV28" s="38">
        <v>60</v>
      </c>
      <c r="AW28" s="34">
        <v>2000</v>
      </c>
      <c r="AX28" s="34">
        <f t="shared" si="18"/>
        <v>3200</v>
      </c>
      <c r="AY28" s="38">
        <v>874.3</v>
      </c>
      <c r="AZ28" s="34">
        <v>3200</v>
      </c>
      <c r="BA28" s="34">
        <f t="shared" si="19"/>
        <v>31177.600000000002</v>
      </c>
      <c r="BB28" s="38">
        <v>-52.2</v>
      </c>
      <c r="BC28" s="34">
        <v>1000</v>
      </c>
      <c r="BD28" s="34">
        <f t="shared" si="20"/>
        <v>478</v>
      </c>
      <c r="BE28" s="34">
        <f t="shared" si="21"/>
        <v>-466087.98666666663</v>
      </c>
      <c r="BF28" s="39">
        <f t="shared" si="22"/>
        <v>-0.29471260617557171</v>
      </c>
      <c r="BG28" s="34" t="str">
        <f t="shared" si="23"/>
        <v>Payback period not applicable: the investment does not recover its cost under current conditions.</v>
      </c>
      <c r="BH28" s="40" t="str">
        <f t="shared" si="24"/>
        <v>NO</v>
      </c>
    </row>
  </sheetData>
  <hyperlinks>
    <hyperlink ref="I2" r:id="rId1" xr:uid="{38EA7ABE-1867-422B-907B-082F0DF5301D}"/>
    <hyperlink ref="I3" r:id="rId2" xr:uid="{3BE7FED9-4E5D-453D-9A8F-3F10D4FBDDC7}"/>
    <hyperlink ref="I4" r:id="rId3" xr:uid="{5F641026-DDEC-48B3-8013-760A4BC1606B}"/>
    <hyperlink ref="I5" r:id="rId4" xr:uid="{EA1E655E-777C-4DBE-9CD1-03A0C2FAE1A2}"/>
    <hyperlink ref="I7" r:id="rId5" xr:uid="{777CFED2-0DBF-499F-BF1A-F0BA3FC26563}"/>
    <hyperlink ref="I11" r:id="rId6" xr:uid="{5367F1DA-79AD-45BE-AC6C-4079B4671A46}"/>
    <hyperlink ref="I12" r:id="rId7" xr:uid="{F741B98D-2218-460E-BEE3-43C225B269CB}"/>
    <hyperlink ref="I13" r:id="rId8" xr:uid="{E794F627-2BC6-40BE-96F9-52C55CFCEB0B}"/>
    <hyperlink ref="I14" r:id="rId9" xr:uid="{3B34947A-6E61-493D-ABAA-9CCDF42FA9A7}"/>
    <hyperlink ref="I15" r:id="rId10" xr:uid="{FF0B3D95-A568-45FD-A0C0-FF0168BC1CAF}"/>
    <hyperlink ref="I16" r:id="rId11" xr:uid="{715C2A20-0B51-411F-BD82-33688D1BBD40}"/>
    <hyperlink ref="I17" r:id="rId12" xr:uid="{600E69F6-90DA-49A9-9B4F-F7C1D809B282}"/>
    <hyperlink ref="I19" r:id="rId13" xr:uid="{ECDC63DD-0C38-412C-A7C6-6F21652FE37F}"/>
    <hyperlink ref="I22" r:id="rId14" xr:uid="{A5661288-7954-4135-A098-D82FF52F1D6E}"/>
    <hyperlink ref="I25" r:id="rId15" location="functions" xr:uid="{D79A807E-0CE1-4AFB-8196-7F4A9F8E0ADE}"/>
    <hyperlink ref="I26" r:id="rId16" xr:uid="{B86684BC-95BA-4B9C-8EF6-968043B518ED}"/>
    <hyperlink ref="I27" r:id="rId17" display="http://agroptima.com_x000a_https://www.anysolution.eu/en/productos/" xr:uid="{2B53CED6-98D9-41DB-B831-A70ED98C14EE}"/>
    <hyperlink ref="I28" r:id="rId18" xr:uid="{77F8A41E-A916-4D24-8AE6-177B466F733B}"/>
  </hyperlinks>
  <pageMargins left="0.7" right="0.7" top="0.75" bottom="0.75" header="0.3" footer="0.3"/>
  <drawing r:id="rId19"/>
  <mc:AlternateContent xmlns:mc="http://schemas.openxmlformats.org/markup-compatibility/2006">
    <mc:Choice Requires="v">
      <legacyDrawing r:id="rId20"/>
    </mc:Choice>
  </mc:AlternateContent>
</worksheet>
</file>

<file path=xl/worksheets/sheet3.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Y11"/>
  <sheetViews>
    <sheetView tabSelected="1" zoomScale="85" zoomScaleNormal="85" workbookViewId="0">
      <pane xSplit="3" ySplit="2" topLeftCell="BM4" activePane="bottomRight" state="frozen"/>
      <selection pane="topRight" activeCell="D1" sqref="D1"/>
      <selection pane="bottomLeft" activeCell="A3" sqref="A3"/>
      <selection pane="bottomRight" activeCell="BR4" sqref="BR4"/>
    </sheetView>
  </sheetViews>
  <sheetFormatPr defaultColWidth="12.85546875" defaultRowHeight="15.75" customHeight="1" x14ac:dyDescent="0.2"/>
  <sheetData>
    <row r="1" spans="1:77" ht="39.75" customHeight="1" x14ac:dyDescent="0.25">
      <c r="A1" s="1"/>
      <c r="B1" s="72"/>
      <c r="C1" s="72"/>
      <c r="D1" s="72"/>
      <c r="E1" s="72"/>
      <c r="F1" s="1"/>
      <c r="G1" s="1"/>
      <c r="H1" s="1"/>
      <c r="I1" s="1"/>
      <c r="J1" s="1"/>
      <c r="K1" s="2"/>
      <c r="L1" s="175" t="s">
        <v>0</v>
      </c>
      <c r="M1" s="171"/>
      <c r="N1" s="171"/>
      <c r="O1" s="171"/>
      <c r="P1" s="171"/>
      <c r="Q1" s="171"/>
      <c r="R1" s="171"/>
      <c r="S1" s="171"/>
      <c r="T1" s="73"/>
      <c r="U1" s="176" t="s">
        <v>247</v>
      </c>
      <c r="V1" s="165"/>
      <c r="W1" s="165"/>
      <c r="X1" s="165"/>
      <c r="Y1" s="165"/>
      <c r="Z1" s="165"/>
      <c r="AA1" s="165"/>
      <c r="AB1" s="166"/>
      <c r="AC1" s="164" t="s">
        <v>248</v>
      </c>
      <c r="AD1" s="165"/>
      <c r="AE1" s="165"/>
      <c r="AF1" s="165"/>
      <c r="AG1" s="165"/>
      <c r="AH1" s="165"/>
      <c r="AI1" s="166"/>
      <c r="AJ1" s="164" t="s">
        <v>249</v>
      </c>
      <c r="AK1" s="165"/>
      <c r="AL1" s="165"/>
      <c r="AM1" s="165"/>
      <c r="AN1" s="165"/>
      <c r="AO1" s="166"/>
      <c r="AP1" s="3" t="s">
        <v>250</v>
      </c>
      <c r="AQ1" s="164" t="s">
        <v>251</v>
      </c>
      <c r="AR1" s="165"/>
      <c r="AS1" s="165"/>
      <c r="AT1" s="165"/>
      <c r="AU1" s="165"/>
      <c r="AV1" s="166"/>
      <c r="AW1" s="74" t="s">
        <v>252</v>
      </c>
      <c r="AX1" s="177" t="s">
        <v>253</v>
      </c>
      <c r="AY1" s="178"/>
      <c r="AZ1" s="178"/>
      <c r="BA1" s="178"/>
      <c r="BB1" s="179"/>
      <c r="BC1" s="180" t="s">
        <v>254</v>
      </c>
      <c r="BD1" s="165"/>
      <c r="BE1" s="166"/>
      <c r="BF1" s="180" t="s">
        <v>255</v>
      </c>
      <c r="BG1" s="165"/>
      <c r="BH1" s="166"/>
      <c r="BI1" s="180" t="s">
        <v>256</v>
      </c>
      <c r="BJ1" s="165"/>
      <c r="BK1" s="166"/>
      <c r="BL1" s="174" t="s">
        <v>257</v>
      </c>
      <c r="BM1" s="165"/>
      <c r="BN1" s="166"/>
      <c r="BO1" s="181" t="s">
        <v>258</v>
      </c>
      <c r="BP1" s="165"/>
      <c r="BQ1" s="166"/>
      <c r="BR1" s="182" t="s">
        <v>259</v>
      </c>
      <c r="BS1" s="165"/>
      <c r="BT1" s="166"/>
      <c r="BU1" s="164" t="s">
        <v>260</v>
      </c>
      <c r="BV1" s="165"/>
      <c r="BW1" s="165"/>
      <c r="BX1" s="165"/>
      <c r="BY1" s="75"/>
    </row>
    <row r="2" spans="1:77" ht="107.25" customHeight="1" x14ac:dyDescent="0.2">
      <c r="A2" s="76" t="s">
        <v>10</v>
      </c>
      <c r="B2" s="77" t="s">
        <v>11</v>
      </c>
      <c r="C2" s="78" t="s">
        <v>12</v>
      </c>
      <c r="D2" s="79" t="s">
        <v>13</v>
      </c>
      <c r="E2" s="79" t="s">
        <v>14</v>
      </c>
      <c r="F2" s="80" t="s">
        <v>261</v>
      </c>
      <c r="G2" s="80" t="s">
        <v>16</v>
      </c>
      <c r="H2" s="80" t="s">
        <v>17</v>
      </c>
      <c r="I2" s="80" t="s">
        <v>18</v>
      </c>
      <c r="J2" s="81" t="s">
        <v>262</v>
      </c>
      <c r="K2" s="82" t="s">
        <v>263</v>
      </c>
      <c r="L2" s="83" t="s">
        <v>264</v>
      </c>
      <c r="M2" s="131" t="s">
        <v>265</v>
      </c>
      <c r="N2" s="86" t="s">
        <v>266</v>
      </c>
      <c r="O2" s="84" t="s">
        <v>267</v>
      </c>
      <c r="P2" s="86" t="s">
        <v>268</v>
      </c>
      <c r="Q2" s="132" t="s">
        <v>269</v>
      </c>
      <c r="R2" s="85" t="s">
        <v>270</v>
      </c>
      <c r="S2" s="86" t="s">
        <v>271</v>
      </c>
      <c r="T2" s="14" t="s">
        <v>272</v>
      </c>
      <c r="U2" s="87" t="s">
        <v>273</v>
      </c>
      <c r="V2" s="90" t="s">
        <v>274</v>
      </c>
      <c r="W2" s="88" t="s">
        <v>275</v>
      </c>
      <c r="X2" s="88" t="s">
        <v>276</v>
      </c>
      <c r="Y2" s="133" t="s">
        <v>277</v>
      </c>
      <c r="Z2" s="89" t="s">
        <v>278</v>
      </c>
      <c r="AA2" s="89" t="s">
        <v>279</v>
      </c>
      <c r="AB2" s="91" t="s">
        <v>373</v>
      </c>
      <c r="AC2" s="90" t="s">
        <v>280</v>
      </c>
      <c r="AD2" s="134" t="s">
        <v>281</v>
      </c>
      <c r="AE2" s="134" t="s">
        <v>282</v>
      </c>
      <c r="AF2" s="133" t="s">
        <v>277</v>
      </c>
      <c r="AG2" s="135" t="s">
        <v>283</v>
      </c>
      <c r="AH2" s="135" t="s">
        <v>284</v>
      </c>
      <c r="AI2" s="136" t="s">
        <v>285</v>
      </c>
      <c r="AJ2" s="90" t="s">
        <v>286</v>
      </c>
      <c r="AK2" s="134" t="s">
        <v>287</v>
      </c>
      <c r="AL2" s="134" t="s">
        <v>288</v>
      </c>
      <c r="AM2" s="133" t="s">
        <v>277</v>
      </c>
      <c r="AN2" s="135" t="s">
        <v>289</v>
      </c>
      <c r="AO2" s="135" t="s">
        <v>290</v>
      </c>
      <c r="AP2" s="136" t="s">
        <v>285</v>
      </c>
      <c r="AQ2" s="90" t="s">
        <v>291</v>
      </c>
      <c r="AR2" s="134" t="s">
        <v>292</v>
      </c>
      <c r="AS2" s="134" t="s">
        <v>293</v>
      </c>
      <c r="AT2" s="133" t="s">
        <v>277</v>
      </c>
      <c r="AU2" s="135" t="s">
        <v>294</v>
      </c>
      <c r="AV2" s="135" t="s">
        <v>295</v>
      </c>
      <c r="AW2" s="91" t="s">
        <v>373</v>
      </c>
      <c r="AX2" s="92" t="s">
        <v>296</v>
      </c>
      <c r="AY2" s="93" t="s">
        <v>297</v>
      </c>
      <c r="AZ2" s="93" t="s">
        <v>298</v>
      </c>
      <c r="BA2" s="94" t="s">
        <v>299</v>
      </c>
      <c r="BB2" s="95" t="s">
        <v>300</v>
      </c>
      <c r="BC2" s="90" t="s">
        <v>301</v>
      </c>
      <c r="BD2" s="134" t="s">
        <v>302</v>
      </c>
      <c r="BE2" s="137" t="s">
        <v>303</v>
      </c>
      <c r="BF2" s="138" t="s">
        <v>304</v>
      </c>
      <c r="BG2" s="139" t="s">
        <v>305</v>
      </c>
      <c r="BH2" s="140" t="s">
        <v>306</v>
      </c>
      <c r="BI2" s="138" t="s">
        <v>307</v>
      </c>
      <c r="BJ2" s="139" t="s">
        <v>308</v>
      </c>
      <c r="BK2" s="140" t="s">
        <v>309</v>
      </c>
      <c r="BL2" s="138" t="s">
        <v>310</v>
      </c>
      <c r="BM2" s="139" t="s">
        <v>311</v>
      </c>
      <c r="BN2" s="140" t="s">
        <v>312</v>
      </c>
      <c r="BO2" s="138" t="s">
        <v>313</v>
      </c>
      <c r="BP2" s="139" t="s">
        <v>314</v>
      </c>
      <c r="BQ2" s="140" t="s">
        <v>315</v>
      </c>
      <c r="BR2" s="96" t="s">
        <v>316</v>
      </c>
      <c r="BS2" s="88" t="s">
        <v>317</v>
      </c>
      <c r="BT2" s="97" t="s">
        <v>318</v>
      </c>
      <c r="BU2" s="22" t="s">
        <v>65</v>
      </c>
      <c r="BV2" s="23" t="s">
        <v>374</v>
      </c>
      <c r="BW2" s="24" t="s">
        <v>375</v>
      </c>
      <c r="BX2" s="24" t="s">
        <v>376</v>
      </c>
      <c r="BY2" s="24"/>
    </row>
    <row r="3" spans="1:77" ht="114" x14ac:dyDescent="0.25">
      <c r="A3" s="34" t="s">
        <v>319</v>
      </c>
      <c r="B3" s="26" t="s">
        <v>320</v>
      </c>
      <c r="C3" s="98" t="s">
        <v>321</v>
      </c>
      <c r="D3" s="98" t="s">
        <v>322</v>
      </c>
      <c r="E3" s="98" t="s">
        <v>323</v>
      </c>
      <c r="F3" s="98" t="s">
        <v>324</v>
      </c>
      <c r="G3" s="99" t="s">
        <v>325</v>
      </c>
      <c r="H3" s="100" t="s">
        <v>326</v>
      </c>
      <c r="I3" s="101" t="s">
        <v>327</v>
      </c>
      <c r="J3" s="102" t="s">
        <v>505</v>
      </c>
      <c r="K3" s="103" t="s">
        <v>506</v>
      </c>
      <c r="L3" s="34">
        <v>24000</v>
      </c>
      <c r="M3" s="34">
        <v>5</v>
      </c>
      <c r="N3" s="104">
        <v>40000</v>
      </c>
      <c r="O3" s="104">
        <v>0</v>
      </c>
      <c r="P3" s="34">
        <v>3000</v>
      </c>
      <c r="Q3" s="34">
        <v>0</v>
      </c>
      <c r="R3" s="34">
        <v>0</v>
      </c>
      <c r="S3" s="34">
        <v>0</v>
      </c>
      <c r="T3" s="34">
        <f t="shared" ref="T3:T11" si="0">IF(U3&lt;500,0,U3/M3)</f>
        <v>8000</v>
      </c>
      <c r="U3" s="34">
        <f t="shared" ref="U3:U11" si="1">N3+(Q3*L3)</f>
        <v>40000</v>
      </c>
      <c r="V3" s="105">
        <v>20</v>
      </c>
      <c r="W3" s="104">
        <v>1.8</v>
      </c>
      <c r="X3" s="104">
        <v>300000</v>
      </c>
      <c r="Y3" s="104">
        <f t="shared" ref="Y3:Y5" si="2">W3*X3</f>
        <v>540000</v>
      </c>
      <c r="Z3" s="104">
        <f t="shared" ref="Z3:Z5" si="3">X3*(1+V3%)</f>
        <v>360000</v>
      </c>
      <c r="AA3" s="106">
        <f t="shared" ref="AA3:AA11" si="4">Z3*W3</f>
        <v>648000</v>
      </c>
      <c r="AB3" s="107">
        <f t="shared" ref="AB3:AB11" si="5">AA3-Y3</f>
        <v>108000</v>
      </c>
      <c r="AC3" s="108">
        <v>0</v>
      </c>
      <c r="AD3" s="35">
        <v>0</v>
      </c>
      <c r="AE3" s="35">
        <v>0</v>
      </c>
      <c r="AF3" s="35">
        <f t="shared" ref="AF3:AF11" si="6">AD3*AE3</f>
        <v>0</v>
      </c>
      <c r="AG3" s="35">
        <f t="shared" ref="AG3:AG11" si="7">AE3*(1+AC3%)</f>
        <v>0</v>
      </c>
      <c r="AH3" s="109">
        <f t="shared" ref="AH3:AH11" si="8">AG3*AD3</f>
        <v>0</v>
      </c>
      <c r="AI3" s="110">
        <f t="shared" ref="AI3:AI11" si="9">AH3-AF3</f>
        <v>0</v>
      </c>
      <c r="AJ3" s="38">
        <v>0</v>
      </c>
      <c r="AK3" s="35">
        <v>0</v>
      </c>
      <c r="AL3" s="35">
        <v>0</v>
      </c>
      <c r="AM3" s="35">
        <f t="shared" ref="AM3:AM11" si="10">AK3*AL3</f>
        <v>0</v>
      </c>
      <c r="AN3" s="35">
        <f t="shared" ref="AN3:AN11" si="11">AL3*(1+AJ3%)</f>
        <v>0</v>
      </c>
      <c r="AO3" s="109">
        <f t="shared" ref="AO3:AO11" si="12">AN3*AK3</f>
        <v>0</v>
      </c>
      <c r="AP3" s="110">
        <f t="shared" ref="AP3:AP11" si="13">AO3-AM3</f>
        <v>0</v>
      </c>
      <c r="AQ3" s="38">
        <v>0</v>
      </c>
      <c r="AR3" s="35">
        <v>0</v>
      </c>
      <c r="AS3" s="35">
        <v>0</v>
      </c>
      <c r="AT3" s="111">
        <f t="shared" ref="AT3:AT11" si="14">AS3*AL3*AR3*365</f>
        <v>0</v>
      </c>
      <c r="AU3" s="35">
        <f t="shared" ref="AU3:AU11" si="15">AS3*(1+AQ3%)</f>
        <v>0</v>
      </c>
      <c r="AV3" s="109">
        <f t="shared" ref="AV3:AV11" si="16">AU3*AR3*AL3*365</f>
        <v>0</v>
      </c>
      <c r="AW3" s="110">
        <f t="shared" ref="AW3:AW11" si="17">AV3-AT3</f>
        <v>0</v>
      </c>
      <c r="AX3" s="105">
        <v>43</v>
      </c>
      <c r="AY3" s="104">
        <v>70000</v>
      </c>
      <c r="AZ3" s="104">
        <v>0.25</v>
      </c>
      <c r="BA3" s="104">
        <f t="shared" ref="BA3:BA11" si="18">AY3*AZ3</f>
        <v>17500</v>
      </c>
      <c r="BB3" s="106">
        <f t="shared" ref="BB3:BB11" si="19">BA3*(1+AX3%)</f>
        <v>25025</v>
      </c>
      <c r="BC3" s="112">
        <v>0</v>
      </c>
      <c r="BD3" s="35">
        <v>0</v>
      </c>
      <c r="BE3" s="113">
        <f t="shared" ref="BE3:BE11" si="20">(BD3*(1+BC3%))</f>
        <v>0</v>
      </c>
      <c r="BF3" s="38">
        <v>0</v>
      </c>
      <c r="BG3" s="34">
        <v>0</v>
      </c>
      <c r="BH3" s="113">
        <f t="shared" ref="BH3:BH11" si="21">(BG3*(1+BF3%))</f>
        <v>0</v>
      </c>
      <c r="BI3" s="38">
        <v>0</v>
      </c>
      <c r="BJ3" s="34">
        <v>0</v>
      </c>
      <c r="BK3" s="34">
        <f t="shared" ref="BK3:BK11" si="22">BJ3*(1+BI3%)</f>
        <v>0</v>
      </c>
      <c r="BL3" s="38">
        <v>0</v>
      </c>
      <c r="BM3" s="34">
        <v>0</v>
      </c>
      <c r="BN3" s="34">
        <f t="shared" ref="BN3:BN11" si="23">BM3*(1+BL3%)</f>
        <v>0</v>
      </c>
      <c r="BO3" s="38">
        <v>0</v>
      </c>
      <c r="BP3" s="34">
        <v>0</v>
      </c>
      <c r="BQ3" s="34">
        <f t="shared" ref="BQ3:BQ11" si="24">BP3*(1+BO3%)</f>
        <v>0</v>
      </c>
      <c r="BR3" s="105">
        <v>-88</v>
      </c>
      <c r="BS3" s="104">
        <v>4000</v>
      </c>
      <c r="BT3" s="106">
        <f t="shared" ref="BT3:BT11" si="25">BS3*(1+BR3%)</f>
        <v>480</v>
      </c>
      <c r="BU3" s="34">
        <f t="shared" ref="BU3:BU11" si="26">AB3+AI3+AP3+AW3+(BA3-BB3)+(BD3-BE3)+(BG3-BH3)+(BJ3-BK3)+(BM3-BN3)+(BP3-BQ3)+(BS3-BT3)-O3-P3-(R3*L3)+(S3*L3)-T3</f>
        <v>92995</v>
      </c>
      <c r="BV3" s="114">
        <f t="shared" ref="BV3:BV11" si="27">IF(U3=0, "DAT is FREE", (BU3/U3))</f>
        <v>2.324875</v>
      </c>
      <c r="BW3" s="34">
        <f t="shared" ref="BW3:BW11" si="28">IF(BU3&gt;0,(U3/BU3),"Payback period not applicable: the investment does not recover its cost under current conditions.")</f>
        <v>0.43013065218560137</v>
      </c>
      <c r="BX3" s="40" t="str">
        <f t="shared" ref="BX3:BX11" si="29">IF(BW3&lt;6,"YES","NO")</f>
        <v>YES</v>
      </c>
    </row>
    <row r="4" spans="1:77" ht="273" x14ac:dyDescent="0.25">
      <c r="A4" s="34" t="s">
        <v>319</v>
      </c>
      <c r="B4" s="26" t="s">
        <v>328</v>
      </c>
      <c r="C4" s="98" t="s">
        <v>329</v>
      </c>
      <c r="D4" s="115" t="s">
        <v>330</v>
      </c>
      <c r="E4" s="98" t="s">
        <v>331</v>
      </c>
      <c r="F4" s="98" t="s">
        <v>332</v>
      </c>
      <c r="G4" s="116" t="s">
        <v>507</v>
      </c>
      <c r="H4" s="100" t="s">
        <v>508</v>
      </c>
      <c r="I4" s="117" t="s">
        <v>509</v>
      </c>
      <c r="J4" s="102" t="s">
        <v>510</v>
      </c>
      <c r="K4" s="103" t="s">
        <v>511</v>
      </c>
      <c r="L4" s="34">
        <v>120</v>
      </c>
      <c r="M4" s="34">
        <v>7</v>
      </c>
      <c r="N4" s="118">
        <v>181780</v>
      </c>
      <c r="O4" s="34">
        <v>0</v>
      </c>
      <c r="P4" s="118">
        <v>100</v>
      </c>
      <c r="Q4" s="34">
        <v>0</v>
      </c>
      <c r="R4" s="34">
        <v>0</v>
      </c>
      <c r="S4" s="34">
        <v>0</v>
      </c>
      <c r="T4" s="34">
        <f t="shared" si="0"/>
        <v>25968.571428571428</v>
      </c>
      <c r="U4" s="34">
        <f t="shared" si="1"/>
        <v>181780</v>
      </c>
      <c r="V4" s="108">
        <v>-7.6</v>
      </c>
      <c r="W4" s="104">
        <v>3.8</v>
      </c>
      <c r="X4" s="104">
        <v>24000</v>
      </c>
      <c r="Y4" s="104">
        <f t="shared" si="2"/>
        <v>91200</v>
      </c>
      <c r="Z4" s="35">
        <f t="shared" si="3"/>
        <v>22176</v>
      </c>
      <c r="AA4" s="109">
        <f t="shared" si="4"/>
        <v>84268.800000000003</v>
      </c>
      <c r="AB4" s="107">
        <f t="shared" si="5"/>
        <v>-6931.1999999999971</v>
      </c>
      <c r="AC4" s="119">
        <v>0</v>
      </c>
      <c r="AD4" s="35">
        <v>0</v>
      </c>
      <c r="AE4" s="35">
        <v>0</v>
      </c>
      <c r="AF4" s="35">
        <f t="shared" si="6"/>
        <v>0</v>
      </c>
      <c r="AG4" s="35">
        <f t="shared" si="7"/>
        <v>0</v>
      </c>
      <c r="AH4" s="109">
        <f t="shared" si="8"/>
        <v>0</v>
      </c>
      <c r="AI4" s="110">
        <f t="shared" si="9"/>
        <v>0</v>
      </c>
      <c r="AJ4" s="38">
        <v>0</v>
      </c>
      <c r="AK4" s="35">
        <v>0</v>
      </c>
      <c r="AL4" s="35">
        <v>0</v>
      </c>
      <c r="AM4" s="35">
        <f t="shared" si="10"/>
        <v>0</v>
      </c>
      <c r="AN4" s="35">
        <f t="shared" si="11"/>
        <v>0</v>
      </c>
      <c r="AO4" s="109">
        <f t="shared" si="12"/>
        <v>0</v>
      </c>
      <c r="AP4" s="110">
        <f t="shared" si="13"/>
        <v>0</v>
      </c>
      <c r="AQ4" s="38">
        <v>0</v>
      </c>
      <c r="AR4" s="35">
        <v>0</v>
      </c>
      <c r="AS4" s="35">
        <v>0</v>
      </c>
      <c r="AT4" s="111">
        <f t="shared" si="14"/>
        <v>0</v>
      </c>
      <c r="AU4" s="35">
        <f t="shared" si="15"/>
        <v>0</v>
      </c>
      <c r="AV4" s="109">
        <f t="shared" si="16"/>
        <v>0</v>
      </c>
      <c r="AW4" s="110">
        <f t="shared" si="17"/>
        <v>0</v>
      </c>
      <c r="AX4" s="108">
        <v>19.5</v>
      </c>
      <c r="AY4" s="104">
        <v>40</v>
      </c>
      <c r="AZ4" s="104">
        <v>0.22</v>
      </c>
      <c r="BA4" s="120">
        <f t="shared" si="18"/>
        <v>8.8000000000000007</v>
      </c>
      <c r="BB4" s="106">
        <f t="shared" si="19"/>
        <v>10.516000000000002</v>
      </c>
      <c r="BC4" s="108">
        <v>-39</v>
      </c>
      <c r="BD4" s="35">
        <v>20000</v>
      </c>
      <c r="BE4" s="113">
        <f t="shared" si="20"/>
        <v>12200</v>
      </c>
      <c r="BF4" s="121">
        <v>74</v>
      </c>
      <c r="BG4" s="35">
        <v>96000</v>
      </c>
      <c r="BH4" s="113">
        <f t="shared" si="21"/>
        <v>167040</v>
      </c>
      <c r="BI4" s="38">
        <v>0</v>
      </c>
      <c r="BJ4" s="34">
        <v>0</v>
      </c>
      <c r="BK4" s="34">
        <f t="shared" si="22"/>
        <v>0</v>
      </c>
      <c r="BL4" s="38">
        <v>0</v>
      </c>
      <c r="BM4" s="34">
        <v>0</v>
      </c>
      <c r="BN4" s="34">
        <f t="shared" si="23"/>
        <v>0</v>
      </c>
      <c r="BO4" s="38">
        <v>0</v>
      </c>
      <c r="BP4" s="34">
        <v>0</v>
      </c>
      <c r="BQ4" s="34">
        <f t="shared" si="24"/>
        <v>0</v>
      </c>
      <c r="BR4" s="108">
        <v>-24.2</v>
      </c>
      <c r="BS4" s="35">
        <v>2400</v>
      </c>
      <c r="BT4" s="106">
        <f t="shared" si="25"/>
        <v>1819.2</v>
      </c>
      <c r="BU4" s="34">
        <f t="shared" si="26"/>
        <v>-95660.687428571429</v>
      </c>
      <c r="BV4" s="114">
        <f t="shared" si="27"/>
        <v>-0.52624429215849611</v>
      </c>
      <c r="BW4" s="34" t="str">
        <f t="shared" si="28"/>
        <v>Payback period not applicable: the investment does not recover its cost under current conditions.</v>
      </c>
      <c r="BX4" s="40" t="str">
        <f t="shared" si="29"/>
        <v>NO</v>
      </c>
    </row>
    <row r="5" spans="1:77" s="188" customFormat="1" ht="71.25" x14ac:dyDescent="0.25">
      <c r="A5" s="184" t="s">
        <v>319</v>
      </c>
      <c r="B5" s="183" t="s">
        <v>320</v>
      </c>
      <c r="C5" s="189" t="s">
        <v>333</v>
      </c>
      <c r="D5" s="189" t="s">
        <v>334</v>
      </c>
      <c r="E5" s="189" t="s">
        <v>335</v>
      </c>
      <c r="F5" s="189" t="s">
        <v>336</v>
      </c>
      <c r="G5" s="190" t="s">
        <v>512</v>
      </c>
      <c r="H5" s="191" t="s">
        <v>513</v>
      </c>
      <c r="I5" s="192" t="s">
        <v>337</v>
      </c>
      <c r="J5" s="193" t="s">
        <v>514</v>
      </c>
      <c r="K5" s="194" t="s">
        <v>515</v>
      </c>
      <c r="L5" s="184">
        <v>1200</v>
      </c>
      <c r="M5" s="184">
        <v>10</v>
      </c>
      <c r="N5" s="184">
        <v>100000</v>
      </c>
      <c r="O5" s="184">
        <v>0</v>
      </c>
      <c r="P5" s="184">
        <v>360</v>
      </c>
      <c r="Q5" s="184">
        <v>0</v>
      </c>
      <c r="R5" s="184">
        <v>0</v>
      </c>
      <c r="S5" s="184">
        <v>0</v>
      </c>
      <c r="T5" s="184">
        <f t="shared" si="0"/>
        <v>10000</v>
      </c>
      <c r="U5" s="184">
        <f t="shared" si="1"/>
        <v>100000</v>
      </c>
      <c r="V5" s="186">
        <v>0</v>
      </c>
      <c r="W5" s="195">
        <v>0</v>
      </c>
      <c r="X5" s="195">
        <v>0</v>
      </c>
      <c r="Y5" s="195">
        <f t="shared" si="2"/>
        <v>0</v>
      </c>
      <c r="Z5" s="195">
        <f t="shared" si="3"/>
        <v>0</v>
      </c>
      <c r="AA5" s="196">
        <f t="shared" si="4"/>
        <v>0</v>
      </c>
      <c r="AB5" s="197">
        <f t="shared" si="5"/>
        <v>0</v>
      </c>
      <c r="AC5" s="198">
        <v>0</v>
      </c>
      <c r="AD5" s="185">
        <v>0</v>
      </c>
      <c r="AE5" s="185">
        <v>0</v>
      </c>
      <c r="AF5" s="185">
        <f t="shared" si="6"/>
        <v>0</v>
      </c>
      <c r="AG5" s="185">
        <f t="shared" si="7"/>
        <v>0</v>
      </c>
      <c r="AH5" s="199">
        <f t="shared" si="8"/>
        <v>0</v>
      </c>
      <c r="AI5" s="200">
        <f t="shared" si="9"/>
        <v>0</v>
      </c>
      <c r="AJ5" s="186">
        <v>0</v>
      </c>
      <c r="AK5" s="185">
        <v>0</v>
      </c>
      <c r="AL5" s="185">
        <v>0</v>
      </c>
      <c r="AM5" s="185">
        <f t="shared" si="10"/>
        <v>0</v>
      </c>
      <c r="AN5" s="185">
        <f t="shared" si="11"/>
        <v>0</v>
      </c>
      <c r="AO5" s="199">
        <f t="shared" si="12"/>
        <v>0</v>
      </c>
      <c r="AP5" s="200">
        <f t="shared" si="13"/>
        <v>0</v>
      </c>
      <c r="AQ5" s="186">
        <v>0</v>
      </c>
      <c r="AR5" s="185">
        <v>0</v>
      </c>
      <c r="AS5" s="185">
        <v>0</v>
      </c>
      <c r="AT5" s="201">
        <f t="shared" si="14"/>
        <v>0</v>
      </c>
      <c r="AU5" s="185">
        <f t="shared" si="15"/>
        <v>0</v>
      </c>
      <c r="AV5" s="199">
        <f t="shared" si="16"/>
        <v>0</v>
      </c>
      <c r="AW5" s="200">
        <f t="shared" si="17"/>
        <v>0</v>
      </c>
      <c r="AX5" s="186">
        <v>0</v>
      </c>
      <c r="AY5" s="195">
        <v>0</v>
      </c>
      <c r="AZ5" s="195">
        <v>0</v>
      </c>
      <c r="BA5" s="195">
        <f t="shared" si="18"/>
        <v>0</v>
      </c>
      <c r="BB5" s="196">
        <f t="shared" si="19"/>
        <v>0</v>
      </c>
      <c r="BC5" s="186">
        <v>0</v>
      </c>
      <c r="BD5" s="185">
        <v>0</v>
      </c>
      <c r="BE5" s="202">
        <f t="shared" si="20"/>
        <v>0</v>
      </c>
      <c r="BF5" s="186">
        <v>0</v>
      </c>
      <c r="BG5" s="185">
        <v>0</v>
      </c>
      <c r="BH5" s="202">
        <f t="shared" si="21"/>
        <v>0</v>
      </c>
      <c r="BI5" s="186">
        <v>1592.2</v>
      </c>
      <c r="BJ5" s="184">
        <v>14400</v>
      </c>
      <c r="BK5" s="184">
        <f t="shared" si="22"/>
        <v>243676.80000000002</v>
      </c>
      <c r="BL5" s="186">
        <v>129</v>
      </c>
      <c r="BM5" s="184">
        <v>3000</v>
      </c>
      <c r="BN5" s="184">
        <f t="shared" si="23"/>
        <v>6870</v>
      </c>
      <c r="BO5" s="186">
        <v>-100</v>
      </c>
      <c r="BP5" s="184">
        <v>6500</v>
      </c>
      <c r="BQ5" s="184">
        <f t="shared" si="24"/>
        <v>0</v>
      </c>
      <c r="BR5" s="186">
        <v>-29</v>
      </c>
      <c r="BS5" s="185">
        <v>4500</v>
      </c>
      <c r="BT5" s="196">
        <f t="shared" si="25"/>
        <v>3195</v>
      </c>
      <c r="BU5" s="184">
        <f t="shared" si="26"/>
        <v>-235701.80000000002</v>
      </c>
      <c r="BV5" s="203">
        <f t="shared" si="27"/>
        <v>-2.3570180000000001</v>
      </c>
      <c r="BW5" s="184" t="str">
        <f t="shared" si="28"/>
        <v>Payback period not applicable: the investment does not recover its cost under current conditions.</v>
      </c>
      <c r="BX5" s="187" t="str">
        <f t="shared" si="29"/>
        <v>NO</v>
      </c>
    </row>
    <row r="6" spans="1:77" ht="172.5" x14ac:dyDescent="0.25">
      <c r="A6" s="34" t="s">
        <v>319</v>
      </c>
      <c r="B6" s="26" t="s">
        <v>320</v>
      </c>
      <c r="C6" s="98" t="s">
        <v>338</v>
      </c>
      <c r="D6" s="115" t="s">
        <v>339</v>
      </c>
      <c r="E6" s="98" t="s">
        <v>331</v>
      </c>
      <c r="F6" s="98" t="s">
        <v>340</v>
      </c>
      <c r="G6" s="99" t="s">
        <v>516</v>
      </c>
      <c r="H6" s="100" t="s">
        <v>517</v>
      </c>
      <c r="I6" s="101" t="s">
        <v>518</v>
      </c>
      <c r="J6" s="102" t="s">
        <v>519</v>
      </c>
      <c r="K6" s="103" t="s">
        <v>520</v>
      </c>
      <c r="L6" s="34">
        <v>100</v>
      </c>
      <c r="M6" s="34">
        <v>10</v>
      </c>
      <c r="N6" s="34">
        <v>210000</v>
      </c>
      <c r="O6" s="34">
        <v>0</v>
      </c>
      <c r="P6" s="34">
        <v>2800</v>
      </c>
      <c r="Q6" s="34">
        <v>0</v>
      </c>
      <c r="R6" s="34">
        <v>0</v>
      </c>
      <c r="S6" s="34">
        <v>0</v>
      </c>
      <c r="T6" s="34">
        <f t="shared" si="0"/>
        <v>21000</v>
      </c>
      <c r="U6" s="34">
        <f t="shared" si="1"/>
        <v>210000</v>
      </c>
      <c r="V6" s="38">
        <v>0</v>
      </c>
      <c r="W6" s="104">
        <v>0</v>
      </c>
      <c r="X6" s="104">
        <v>0</v>
      </c>
      <c r="Y6" s="104"/>
      <c r="Z6" s="35"/>
      <c r="AA6" s="109">
        <f t="shared" si="4"/>
        <v>0</v>
      </c>
      <c r="AB6" s="107">
        <f t="shared" si="5"/>
        <v>0</v>
      </c>
      <c r="AC6" s="119">
        <v>0</v>
      </c>
      <c r="AD6" s="35">
        <v>0</v>
      </c>
      <c r="AE6" s="35">
        <v>0</v>
      </c>
      <c r="AF6" s="35">
        <f t="shared" si="6"/>
        <v>0</v>
      </c>
      <c r="AG6" s="35">
        <f t="shared" si="7"/>
        <v>0</v>
      </c>
      <c r="AH6" s="109">
        <f t="shared" si="8"/>
        <v>0</v>
      </c>
      <c r="AI6" s="110">
        <f t="shared" si="9"/>
        <v>0</v>
      </c>
      <c r="AJ6" s="38">
        <v>0</v>
      </c>
      <c r="AK6" s="35">
        <v>0</v>
      </c>
      <c r="AL6" s="35">
        <v>0</v>
      </c>
      <c r="AM6" s="35">
        <f t="shared" si="10"/>
        <v>0</v>
      </c>
      <c r="AN6" s="35">
        <f t="shared" si="11"/>
        <v>0</v>
      </c>
      <c r="AO6" s="109">
        <f t="shared" si="12"/>
        <v>0</v>
      </c>
      <c r="AP6" s="110">
        <f t="shared" si="13"/>
        <v>0</v>
      </c>
      <c r="AQ6" s="38">
        <v>-31.5</v>
      </c>
      <c r="AR6" s="35">
        <v>0.42</v>
      </c>
      <c r="AS6" s="35">
        <v>25</v>
      </c>
      <c r="AT6" s="111">
        <f t="shared" si="14"/>
        <v>0</v>
      </c>
      <c r="AU6" s="35">
        <f t="shared" si="15"/>
        <v>17.125</v>
      </c>
      <c r="AV6" s="109">
        <f t="shared" si="16"/>
        <v>0</v>
      </c>
      <c r="AW6" s="110">
        <f t="shared" si="17"/>
        <v>0</v>
      </c>
      <c r="AX6" s="38">
        <v>60.7</v>
      </c>
      <c r="AY6" s="104">
        <v>45000</v>
      </c>
      <c r="AZ6" s="104">
        <v>0.18</v>
      </c>
      <c r="BA6" s="120">
        <f t="shared" si="18"/>
        <v>8100</v>
      </c>
      <c r="BB6" s="106">
        <f t="shared" si="19"/>
        <v>13016.7</v>
      </c>
      <c r="BC6" s="38">
        <v>-53.9</v>
      </c>
      <c r="BD6" s="35">
        <v>60000</v>
      </c>
      <c r="BE6" s="113">
        <f t="shared" si="20"/>
        <v>27659.999999999996</v>
      </c>
      <c r="BF6" s="38">
        <v>0</v>
      </c>
      <c r="BG6" s="35">
        <v>0</v>
      </c>
      <c r="BH6" s="113">
        <f t="shared" si="21"/>
        <v>0</v>
      </c>
      <c r="BI6" s="38">
        <v>0</v>
      </c>
      <c r="BJ6" s="34">
        <v>0</v>
      </c>
      <c r="BK6" s="34">
        <f t="shared" si="22"/>
        <v>0</v>
      </c>
      <c r="BL6" s="38">
        <v>-22.8</v>
      </c>
      <c r="BM6" s="34">
        <v>1500</v>
      </c>
      <c r="BN6" s="34">
        <f t="shared" si="23"/>
        <v>1158</v>
      </c>
      <c r="BO6" s="38">
        <v>0</v>
      </c>
      <c r="BP6" s="34">
        <v>0</v>
      </c>
      <c r="BQ6" s="34">
        <f t="shared" si="24"/>
        <v>0</v>
      </c>
      <c r="BR6" s="38">
        <v>0</v>
      </c>
      <c r="BS6" s="35">
        <v>0</v>
      </c>
      <c r="BT6" s="106">
        <f t="shared" si="25"/>
        <v>0</v>
      </c>
      <c r="BU6" s="34">
        <f t="shared" si="26"/>
        <v>3965.3000000000029</v>
      </c>
      <c r="BV6" s="114">
        <f t="shared" si="27"/>
        <v>1.8882380952380966E-2</v>
      </c>
      <c r="BW6" s="34">
        <f t="shared" si="28"/>
        <v>52.959422994477052</v>
      </c>
      <c r="BX6" s="40" t="str">
        <f t="shared" si="29"/>
        <v>NO</v>
      </c>
    </row>
    <row r="7" spans="1:77" ht="99.75" x14ac:dyDescent="0.25">
      <c r="A7" s="34" t="s">
        <v>319</v>
      </c>
      <c r="B7" s="122" t="s">
        <v>341</v>
      </c>
      <c r="C7" s="98" t="s">
        <v>342</v>
      </c>
      <c r="D7" s="98" t="s">
        <v>343</v>
      </c>
      <c r="E7" s="98" t="s">
        <v>344</v>
      </c>
      <c r="F7" s="98" t="s">
        <v>340</v>
      </c>
      <c r="G7" s="99" t="s">
        <v>345</v>
      </c>
      <c r="H7" s="100" t="s">
        <v>521</v>
      </c>
      <c r="I7" s="117" t="s">
        <v>346</v>
      </c>
      <c r="J7" s="102" t="s">
        <v>522</v>
      </c>
      <c r="K7" s="103" t="s">
        <v>523</v>
      </c>
      <c r="L7" s="34">
        <v>1</v>
      </c>
      <c r="M7" s="34">
        <v>1</v>
      </c>
      <c r="N7" s="34">
        <v>350000</v>
      </c>
      <c r="O7" s="34">
        <v>0</v>
      </c>
      <c r="P7" s="34">
        <v>0</v>
      </c>
      <c r="Q7" s="34">
        <v>0</v>
      </c>
      <c r="R7" s="34">
        <v>0</v>
      </c>
      <c r="S7" s="34">
        <v>55.55</v>
      </c>
      <c r="T7" s="34">
        <f t="shared" si="0"/>
        <v>350000</v>
      </c>
      <c r="U7" s="34">
        <f t="shared" si="1"/>
        <v>350000</v>
      </c>
      <c r="V7" s="38">
        <v>0</v>
      </c>
      <c r="W7" s="104">
        <v>0</v>
      </c>
      <c r="X7" s="104">
        <v>0</v>
      </c>
      <c r="Y7" s="104">
        <f t="shared" ref="Y7:Y11" si="30">W7*X7</f>
        <v>0</v>
      </c>
      <c r="Z7" s="104">
        <f t="shared" ref="Z7:Z11" si="31">X7*(1+V7%)</f>
        <v>0</v>
      </c>
      <c r="AA7" s="106">
        <f t="shared" si="4"/>
        <v>0</v>
      </c>
      <c r="AB7" s="107">
        <f t="shared" si="5"/>
        <v>0</v>
      </c>
      <c r="AC7" s="119">
        <v>0</v>
      </c>
      <c r="AD7" s="35">
        <v>0</v>
      </c>
      <c r="AE7" s="35">
        <v>0</v>
      </c>
      <c r="AF7" s="35">
        <f t="shared" si="6"/>
        <v>0</v>
      </c>
      <c r="AG7" s="35">
        <f t="shared" si="7"/>
        <v>0</v>
      </c>
      <c r="AH7" s="109">
        <f t="shared" si="8"/>
        <v>0</v>
      </c>
      <c r="AI7" s="110">
        <f t="shared" si="9"/>
        <v>0</v>
      </c>
      <c r="AJ7" s="38">
        <v>0</v>
      </c>
      <c r="AK7" s="35">
        <v>0</v>
      </c>
      <c r="AL7" s="35">
        <v>0</v>
      </c>
      <c r="AM7" s="35">
        <f t="shared" si="10"/>
        <v>0</v>
      </c>
      <c r="AN7" s="35">
        <f t="shared" si="11"/>
        <v>0</v>
      </c>
      <c r="AO7" s="109">
        <f t="shared" si="12"/>
        <v>0</v>
      </c>
      <c r="AP7" s="110">
        <f t="shared" si="13"/>
        <v>0</v>
      </c>
      <c r="AQ7" s="38">
        <v>187</v>
      </c>
      <c r="AR7" s="35">
        <v>0.5</v>
      </c>
      <c r="AS7" s="35">
        <v>20</v>
      </c>
      <c r="AT7" s="111">
        <f t="shared" si="14"/>
        <v>0</v>
      </c>
      <c r="AU7" s="35">
        <f t="shared" si="15"/>
        <v>57.400000000000006</v>
      </c>
      <c r="AV7" s="109">
        <f t="shared" si="16"/>
        <v>0</v>
      </c>
      <c r="AW7" s="110">
        <f t="shared" si="17"/>
        <v>0</v>
      </c>
      <c r="AX7" s="38">
        <v>31.8</v>
      </c>
      <c r="AY7" s="104">
        <v>40</v>
      </c>
      <c r="AZ7" s="104">
        <v>20</v>
      </c>
      <c r="BA7" s="104">
        <f t="shared" si="18"/>
        <v>800</v>
      </c>
      <c r="BB7" s="106">
        <f t="shared" si="19"/>
        <v>1054.4000000000001</v>
      </c>
      <c r="BC7" s="38">
        <v>-76.599999999999994</v>
      </c>
      <c r="BD7" s="35">
        <v>0</v>
      </c>
      <c r="BE7" s="113">
        <f t="shared" si="20"/>
        <v>0</v>
      </c>
      <c r="BF7" s="38">
        <v>0</v>
      </c>
      <c r="BG7" s="35">
        <v>0</v>
      </c>
      <c r="BH7" s="113">
        <f t="shared" si="21"/>
        <v>0</v>
      </c>
      <c r="BI7" s="38">
        <v>0</v>
      </c>
      <c r="BJ7" s="34">
        <v>0</v>
      </c>
      <c r="BK7" s="34">
        <f t="shared" si="22"/>
        <v>0</v>
      </c>
      <c r="BL7" s="38">
        <v>0</v>
      </c>
      <c r="BM7" s="34">
        <v>0</v>
      </c>
      <c r="BN7" s="34">
        <f t="shared" si="23"/>
        <v>0</v>
      </c>
      <c r="BO7" s="38">
        <v>-91.4</v>
      </c>
      <c r="BP7" s="34">
        <v>5000</v>
      </c>
      <c r="BQ7" s="34">
        <f t="shared" si="24"/>
        <v>429.99999999999983</v>
      </c>
      <c r="BR7" s="38">
        <v>0</v>
      </c>
      <c r="BS7" s="35">
        <v>0</v>
      </c>
      <c r="BT7" s="106">
        <f t="shared" si="25"/>
        <v>0</v>
      </c>
      <c r="BU7" s="34">
        <f t="shared" si="26"/>
        <v>-345628.85</v>
      </c>
      <c r="BV7" s="114">
        <f t="shared" si="27"/>
        <v>-0.98751099999999992</v>
      </c>
      <c r="BW7" s="34" t="str">
        <f t="shared" si="28"/>
        <v>Payback period not applicable: the investment does not recover its cost under current conditions.</v>
      </c>
      <c r="BX7" s="40" t="str">
        <f t="shared" si="29"/>
        <v>NO</v>
      </c>
    </row>
    <row r="8" spans="1:77" ht="142.5" x14ac:dyDescent="0.25">
      <c r="A8" s="34" t="s">
        <v>319</v>
      </c>
      <c r="B8" s="26" t="s">
        <v>320</v>
      </c>
      <c r="C8" s="98" t="s">
        <v>347</v>
      </c>
      <c r="D8" s="115" t="s">
        <v>348</v>
      </c>
      <c r="E8" s="98" t="s">
        <v>349</v>
      </c>
      <c r="F8" s="98" t="s">
        <v>340</v>
      </c>
      <c r="G8" s="123" t="s">
        <v>350</v>
      </c>
      <c r="H8" s="100" t="s">
        <v>351</v>
      </c>
      <c r="I8" s="117" t="s">
        <v>352</v>
      </c>
      <c r="J8" s="102" t="s">
        <v>524</v>
      </c>
      <c r="K8" s="103" t="s">
        <v>525</v>
      </c>
      <c r="L8" s="34">
        <v>1</v>
      </c>
      <c r="M8" s="34">
        <v>1</v>
      </c>
      <c r="N8" s="34">
        <v>0</v>
      </c>
      <c r="O8" s="34">
        <v>0</v>
      </c>
      <c r="P8" s="34">
        <v>0</v>
      </c>
      <c r="Q8" s="34">
        <v>80</v>
      </c>
      <c r="R8" s="34">
        <v>26.4</v>
      </c>
      <c r="S8" s="34">
        <v>0</v>
      </c>
      <c r="T8" s="34">
        <f t="shared" si="0"/>
        <v>0</v>
      </c>
      <c r="U8" s="34">
        <f t="shared" si="1"/>
        <v>80</v>
      </c>
      <c r="V8" s="38">
        <v>0</v>
      </c>
      <c r="W8" s="104">
        <v>0</v>
      </c>
      <c r="X8" s="104">
        <v>0</v>
      </c>
      <c r="Y8" s="104">
        <f t="shared" si="30"/>
        <v>0</v>
      </c>
      <c r="Z8" s="35">
        <f t="shared" si="31"/>
        <v>0</v>
      </c>
      <c r="AA8" s="109">
        <f t="shared" si="4"/>
        <v>0</v>
      </c>
      <c r="AB8" s="107">
        <f t="shared" si="5"/>
        <v>0</v>
      </c>
      <c r="AC8" s="119">
        <v>0</v>
      </c>
      <c r="AD8" s="35">
        <v>0</v>
      </c>
      <c r="AE8" s="35">
        <v>0</v>
      </c>
      <c r="AF8" s="35">
        <f t="shared" si="6"/>
        <v>0</v>
      </c>
      <c r="AG8" s="35">
        <f t="shared" si="7"/>
        <v>0</v>
      </c>
      <c r="AH8" s="109">
        <f t="shared" si="8"/>
        <v>0</v>
      </c>
      <c r="AI8" s="110">
        <f t="shared" si="9"/>
        <v>0</v>
      </c>
      <c r="AJ8" s="38">
        <v>0</v>
      </c>
      <c r="AK8" s="35">
        <v>0</v>
      </c>
      <c r="AL8" s="35">
        <v>0</v>
      </c>
      <c r="AM8" s="35">
        <f t="shared" si="10"/>
        <v>0</v>
      </c>
      <c r="AN8" s="35">
        <f t="shared" si="11"/>
        <v>0</v>
      </c>
      <c r="AO8" s="109">
        <f t="shared" si="12"/>
        <v>0</v>
      </c>
      <c r="AP8" s="110">
        <f t="shared" si="13"/>
        <v>0</v>
      </c>
      <c r="AQ8" s="38">
        <v>11.6</v>
      </c>
      <c r="AR8" s="35">
        <v>0.4</v>
      </c>
      <c r="AS8" s="35">
        <v>23</v>
      </c>
      <c r="AT8" s="111">
        <f t="shared" si="14"/>
        <v>0</v>
      </c>
      <c r="AU8" s="35">
        <f t="shared" si="15"/>
        <v>25.668000000000003</v>
      </c>
      <c r="AV8" s="109">
        <f t="shared" si="16"/>
        <v>0</v>
      </c>
      <c r="AW8" s="110">
        <f t="shared" si="17"/>
        <v>0</v>
      </c>
      <c r="AX8" s="38">
        <v>48.9</v>
      </c>
      <c r="AY8" s="104">
        <v>40</v>
      </c>
      <c r="AZ8" s="104">
        <v>20</v>
      </c>
      <c r="BA8" s="120">
        <f t="shared" si="18"/>
        <v>800</v>
      </c>
      <c r="BB8" s="106">
        <f t="shared" si="19"/>
        <v>1191.1999999999998</v>
      </c>
      <c r="BC8" s="38">
        <v>0</v>
      </c>
      <c r="BD8" s="35">
        <v>0</v>
      </c>
      <c r="BE8" s="113">
        <f t="shared" si="20"/>
        <v>0</v>
      </c>
      <c r="BF8" s="38">
        <v>1.3</v>
      </c>
      <c r="BG8" s="35">
        <v>800</v>
      </c>
      <c r="BH8" s="113">
        <f t="shared" si="21"/>
        <v>810.39999999999986</v>
      </c>
      <c r="BI8" s="38">
        <v>-74.2</v>
      </c>
      <c r="BJ8" s="34">
        <v>10000</v>
      </c>
      <c r="BK8" s="34">
        <f t="shared" si="22"/>
        <v>2580</v>
      </c>
      <c r="BL8" s="38">
        <v>12</v>
      </c>
      <c r="BM8" s="34">
        <v>2500</v>
      </c>
      <c r="BN8" s="34">
        <f t="shared" si="23"/>
        <v>2800.0000000000005</v>
      </c>
      <c r="BO8" s="38">
        <v>-24.2</v>
      </c>
      <c r="BP8" s="34">
        <v>4000</v>
      </c>
      <c r="BQ8" s="34">
        <f t="shared" si="24"/>
        <v>3032</v>
      </c>
      <c r="BR8" s="38">
        <v>-27</v>
      </c>
      <c r="BS8" s="35">
        <v>3500</v>
      </c>
      <c r="BT8" s="106">
        <f t="shared" si="25"/>
        <v>2555</v>
      </c>
      <c r="BU8" s="34">
        <f t="shared" si="26"/>
        <v>8605</v>
      </c>
      <c r="BV8" s="114">
        <f t="shared" si="27"/>
        <v>107.5625</v>
      </c>
      <c r="BW8" s="34">
        <f t="shared" si="28"/>
        <v>9.2969203951191164E-3</v>
      </c>
      <c r="BX8" s="40" t="str">
        <f t="shared" si="29"/>
        <v>YES</v>
      </c>
    </row>
    <row r="9" spans="1:77" ht="85.5" x14ac:dyDescent="0.25">
      <c r="A9" s="34" t="s">
        <v>319</v>
      </c>
      <c r="B9" s="26" t="s">
        <v>320</v>
      </c>
      <c r="C9" s="98" t="s">
        <v>353</v>
      </c>
      <c r="D9" s="98" t="s">
        <v>354</v>
      </c>
      <c r="E9" s="98" t="s">
        <v>162</v>
      </c>
      <c r="F9" s="98" t="s">
        <v>340</v>
      </c>
      <c r="G9" s="99" t="s">
        <v>355</v>
      </c>
      <c r="H9" s="100" t="s">
        <v>356</v>
      </c>
      <c r="I9" s="124" t="s">
        <v>357</v>
      </c>
      <c r="J9" s="102" t="s">
        <v>526</v>
      </c>
      <c r="K9" s="103" t="s">
        <v>527</v>
      </c>
      <c r="L9" s="34">
        <v>1</v>
      </c>
      <c r="M9" s="34">
        <v>1</v>
      </c>
      <c r="N9" s="34">
        <v>56000</v>
      </c>
      <c r="O9" s="34">
        <v>0</v>
      </c>
      <c r="P9" s="34">
        <v>0</v>
      </c>
      <c r="Q9" s="34">
        <v>0</v>
      </c>
      <c r="R9" s="34">
        <v>0</v>
      </c>
      <c r="S9" s="34">
        <v>0.25</v>
      </c>
      <c r="T9" s="34">
        <f t="shared" si="0"/>
        <v>56000</v>
      </c>
      <c r="U9" s="34">
        <f t="shared" si="1"/>
        <v>56000</v>
      </c>
      <c r="V9" s="38">
        <v>0</v>
      </c>
      <c r="W9" s="104">
        <v>0</v>
      </c>
      <c r="X9" s="104">
        <v>0</v>
      </c>
      <c r="Y9" s="104">
        <f t="shared" si="30"/>
        <v>0</v>
      </c>
      <c r="Z9" s="104">
        <f t="shared" si="31"/>
        <v>0</v>
      </c>
      <c r="AA9" s="106">
        <f t="shared" si="4"/>
        <v>0</v>
      </c>
      <c r="AB9" s="107">
        <f t="shared" si="5"/>
        <v>0</v>
      </c>
      <c r="AC9" s="119">
        <v>0</v>
      </c>
      <c r="AD9" s="35">
        <v>0</v>
      </c>
      <c r="AE9" s="35">
        <v>0</v>
      </c>
      <c r="AF9" s="35">
        <f t="shared" si="6"/>
        <v>0</v>
      </c>
      <c r="AG9" s="35">
        <f t="shared" si="7"/>
        <v>0</v>
      </c>
      <c r="AH9" s="109">
        <f t="shared" si="8"/>
        <v>0</v>
      </c>
      <c r="AI9" s="110">
        <f t="shared" si="9"/>
        <v>0</v>
      </c>
      <c r="AJ9" s="38">
        <v>0</v>
      </c>
      <c r="AK9" s="35">
        <v>0</v>
      </c>
      <c r="AL9" s="35">
        <v>0</v>
      </c>
      <c r="AM9" s="35">
        <f t="shared" si="10"/>
        <v>0</v>
      </c>
      <c r="AN9" s="35">
        <f t="shared" si="11"/>
        <v>0</v>
      </c>
      <c r="AO9" s="109">
        <f t="shared" si="12"/>
        <v>0</v>
      </c>
      <c r="AP9" s="110">
        <f t="shared" si="13"/>
        <v>0</v>
      </c>
      <c r="AQ9" s="38">
        <v>-70.2</v>
      </c>
      <c r="AR9" s="35">
        <v>0.28000000000000003</v>
      </c>
      <c r="AS9" s="35">
        <v>18</v>
      </c>
      <c r="AT9" s="111">
        <f t="shared" si="14"/>
        <v>0</v>
      </c>
      <c r="AU9" s="35">
        <f t="shared" si="15"/>
        <v>5.363999999999999</v>
      </c>
      <c r="AV9" s="109">
        <f t="shared" si="16"/>
        <v>0</v>
      </c>
      <c r="AW9" s="110">
        <f t="shared" si="17"/>
        <v>0</v>
      </c>
      <c r="AX9" s="38">
        <v>376</v>
      </c>
      <c r="AY9" s="104">
        <v>40</v>
      </c>
      <c r="AZ9" s="104">
        <v>20</v>
      </c>
      <c r="BA9" s="104">
        <f t="shared" si="18"/>
        <v>800</v>
      </c>
      <c r="BB9" s="106">
        <f t="shared" si="19"/>
        <v>3808</v>
      </c>
      <c r="BC9" s="38">
        <v>-23.9</v>
      </c>
      <c r="BD9" s="35">
        <v>15000</v>
      </c>
      <c r="BE9" s="113">
        <f t="shared" si="20"/>
        <v>11415</v>
      </c>
      <c r="BF9" s="38">
        <v>0</v>
      </c>
      <c r="BG9" s="35">
        <v>0</v>
      </c>
      <c r="BH9" s="113">
        <f t="shared" si="21"/>
        <v>0</v>
      </c>
      <c r="BI9" s="38">
        <v>0</v>
      </c>
      <c r="BJ9" s="34">
        <v>0</v>
      </c>
      <c r="BK9" s="34">
        <f t="shared" si="22"/>
        <v>0</v>
      </c>
      <c r="BL9" s="38">
        <v>0</v>
      </c>
      <c r="BM9" s="34">
        <v>0</v>
      </c>
      <c r="BN9" s="34">
        <f t="shared" si="23"/>
        <v>0</v>
      </c>
      <c r="BO9" s="38">
        <v>86.5</v>
      </c>
      <c r="BP9" s="34">
        <v>3500</v>
      </c>
      <c r="BQ9" s="34">
        <f t="shared" si="24"/>
        <v>6527.5</v>
      </c>
      <c r="BR9" s="38">
        <v>-64.3</v>
      </c>
      <c r="BS9" s="35">
        <v>3000</v>
      </c>
      <c r="BT9" s="106">
        <f t="shared" si="25"/>
        <v>1071</v>
      </c>
      <c r="BU9" s="34">
        <f t="shared" si="26"/>
        <v>-56521.25</v>
      </c>
      <c r="BV9" s="114">
        <f t="shared" si="27"/>
        <v>-1.0093080357142856</v>
      </c>
      <c r="BW9" s="34" t="str">
        <f t="shared" si="28"/>
        <v>Payback period not applicable: the investment does not recover its cost under current conditions.</v>
      </c>
      <c r="BX9" s="40" t="str">
        <f t="shared" si="29"/>
        <v>NO</v>
      </c>
    </row>
    <row r="10" spans="1:77" ht="99.75" x14ac:dyDescent="0.25">
      <c r="A10" s="34" t="s">
        <v>319</v>
      </c>
      <c r="B10" s="26" t="s">
        <v>320</v>
      </c>
      <c r="C10" s="98" t="s">
        <v>358</v>
      </c>
      <c r="D10" s="98" t="s">
        <v>359</v>
      </c>
      <c r="E10" s="98" t="s">
        <v>360</v>
      </c>
      <c r="F10" s="98" t="s">
        <v>361</v>
      </c>
      <c r="G10" s="99" t="s">
        <v>362</v>
      </c>
      <c r="H10" s="100" t="s">
        <v>363</v>
      </c>
      <c r="I10" s="117" t="s">
        <v>364</v>
      </c>
      <c r="J10" s="102" t="s">
        <v>528</v>
      </c>
      <c r="K10" s="103" t="s">
        <v>529</v>
      </c>
      <c r="L10" s="34">
        <v>1</v>
      </c>
      <c r="M10" s="34">
        <v>1</v>
      </c>
      <c r="N10" s="34">
        <v>1500</v>
      </c>
      <c r="O10" s="34">
        <v>500</v>
      </c>
      <c r="P10" s="34">
        <v>0</v>
      </c>
      <c r="Q10" s="34">
        <v>0</v>
      </c>
      <c r="R10" s="34">
        <v>0</v>
      </c>
      <c r="S10" s="34">
        <v>0</v>
      </c>
      <c r="T10" s="34">
        <f t="shared" si="0"/>
        <v>1500</v>
      </c>
      <c r="U10" s="34">
        <f t="shared" si="1"/>
        <v>1500</v>
      </c>
      <c r="V10" s="38">
        <v>0</v>
      </c>
      <c r="W10" s="104">
        <v>0</v>
      </c>
      <c r="X10" s="104">
        <v>0</v>
      </c>
      <c r="Y10" s="104">
        <f t="shared" si="30"/>
        <v>0</v>
      </c>
      <c r="Z10" s="35">
        <f t="shared" si="31"/>
        <v>0</v>
      </c>
      <c r="AA10" s="109">
        <f t="shared" si="4"/>
        <v>0</v>
      </c>
      <c r="AB10" s="107">
        <f t="shared" si="5"/>
        <v>0</v>
      </c>
      <c r="AC10" s="119">
        <v>0</v>
      </c>
      <c r="AD10" s="35">
        <v>0</v>
      </c>
      <c r="AE10" s="35">
        <v>0</v>
      </c>
      <c r="AF10" s="35">
        <f t="shared" si="6"/>
        <v>0</v>
      </c>
      <c r="AG10" s="35">
        <f t="shared" si="7"/>
        <v>0</v>
      </c>
      <c r="AH10" s="109">
        <f t="shared" si="8"/>
        <v>0</v>
      </c>
      <c r="AI10" s="110">
        <f t="shared" si="9"/>
        <v>0</v>
      </c>
      <c r="AJ10" s="112">
        <v>2.7</v>
      </c>
      <c r="AK10" s="35">
        <v>6</v>
      </c>
      <c r="AL10" s="35">
        <v>80</v>
      </c>
      <c r="AM10" s="35">
        <f t="shared" si="10"/>
        <v>480</v>
      </c>
      <c r="AN10" s="35">
        <f t="shared" si="11"/>
        <v>82.16</v>
      </c>
      <c r="AO10" s="109">
        <f t="shared" si="12"/>
        <v>492.96</v>
      </c>
      <c r="AP10" s="110">
        <f t="shared" si="13"/>
        <v>12.95999999999998</v>
      </c>
      <c r="AQ10" s="38">
        <v>0</v>
      </c>
      <c r="AR10" s="35">
        <v>0</v>
      </c>
      <c r="AS10" s="35">
        <v>0</v>
      </c>
      <c r="AT10" s="111">
        <f t="shared" si="14"/>
        <v>0</v>
      </c>
      <c r="AU10" s="35">
        <f t="shared" si="15"/>
        <v>0</v>
      </c>
      <c r="AV10" s="109">
        <f t="shared" si="16"/>
        <v>0</v>
      </c>
      <c r="AW10" s="110">
        <f t="shared" si="17"/>
        <v>0</v>
      </c>
      <c r="AX10" s="38">
        <v>0</v>
      </c>
      <c r="AY10" s="104">
        <v>0</v>
      </c>
      <c r="AZ10" s="104">
        <v>0</v>
      </c>
      <c r="BA10" s="120">
        <f t="shared" si="18"/>
        <v>0</v>
      </c>
      <c r="BB10" s="106">
        <f t="shared" si="19"/>
        <v>0</v>
      </c>
      <c r="BC10" s="38">
        <v>-100</v>
      </c>
      <c r="BD10" s="35">
        <v>11000</v>
      </c>
      <c r="BE10" s="113">
        <f t="shared" si="20"/>
        <v>0</v>
      </c>
      <c r="BF10" s="38">
        <v>0</v>
      </c>
      <c r="BG10" s="35">
        <v>0</v>
      </c>
      <c r="BH10" s="113">
        <f t="shared" si="21"/>
        <v>0</v>
      </c>
      <c r="BI10" s="38">
        <v>0</v>
      </c>
      <c r="BJ10" s="34">
        <v>0</v>
      </c>
      <c r="BK10" s="34">
        <f t="shared" si="22"/>
        <v>0</v>
      </c>
      <c r="BL10" s="38">
        <v>0</v>
      </c>
      <c r="BM10" s="34">
        <v>0</v>
      </c>
      <c r="BN10" s="34">
        <f t="shared" si="23"/>
        <v>0</v>
      </c>
      <c r="BO10" s="38">
        <v>-2.7</v>
      </c>
      <c r="BP10" s="34">
        <v>3000</v>
      </c>
      <c r="BQ10" s="34">
        <f t="shared" si="24"/>
        <v>2919</v>
      </c>
      <c r="BR10" s="38">
        <v>0</v>
      </c>
      <c r="BS10" s="35">
        <v>0</v>
      </c>
      <c r="BT10" s="106">
        <f t="shared" si="25"/>
        <v>0</v>
      </c>
      <c r="BU10" s="34">
        <f t="shared" si="26"/>
        <v>9093.9599999999991</v>
      </c>
      <c r="BV10" s="114">
        <f t="shared" si="27"/>
        <v>6.0626399999999991</v>
      </c>
      <c r="BW10" s="34">
        <f t="shared" si="28"/>
        <v>0.16494464457727989</v>
      </c>
      <c r="BX10" s="40" t="str">
        <f t="shared" si="29"/>
        <v>YES</v>
      </c>
    </row>
    <row r="11" spans="1:77" ht="128.25" x14ac:dyDescent="0.25">
      <c r="A11" s="34" t="s">
        <v>319</v>
      </c>
      <c r="B11" s="26" t="s">
        <v>320</v>
      </c>
      <c r="C11" s="98" t="s">
        <v>365</v>
      </c>
      <c r="D11" s="98" t="s">
        <v>366</v>
      </c>
      <c r="E11" s="98" t="s">
        <v>367</v>
      </c>
      <c r="F11" s="98" t="s">
        <v>368</v>
      </c>
      <c r="G11" s="99" t="s">
        <v>369</v>
      </c>
      <c r="H11" s="100" t="s">
        <v>370</v>
      </c>
      <c r="I11" s="117" t="s">
        <v>371</v>
      </c>
      <c r="J11" s="102" t="s">
        <v>530</v>
      </c>
      <c r="K11" s="103" t="s">
        <v>531</v>
      </c>
      <c r="L11" s="34">
        <v>1</v>
      </c>
      <c r="M11" s="34">
        <v>1</v>
      </c>
      <c r="N11" s="34">
        <v>0</v>
      </c>
      <c r="O11" s="34">
        <v>500</v>
      </c>
      <c r="P11" s="34">
        <v>0</v>
      </c>
      <c r="Q11" s="34">
        <v>0</v>
      </c>
      <c r="R11" s="34">
        <v>0</v>
      </c>
      <c r="S11" s="34">
        <v>0</v>
      </c>
      <c r="T11" s="34">
        <f t="shared" si="0"/>
        <v>0</v>
      </c>
      <c r="U11" s="34">
        <f t="shared" si="1"/>
        <v>0</v>
      </c>
      <c r="V11" s="38">
        <v>0</v>
      </c>
      <c r="W11" s="104">
        <v>0</v>
      </c>
      <c r="X11" s="104">
        <v>0</v>
      </c>
      <c r="Y11" s="104">
        <f t="shared" si="30"/>
        <v>0</v>
      </c>
      <c r="Z11" s="104">
        <f t="shared" si="31"/>
        <v>0</v>
      </c>
      <c r="AA11" s="106">
        <f t="shared" si="4"/>
        <v>0</v>
      </c>
      <c r="AB11" s="107">
        <f t="shared" si="5"/>
        <v>0</v>
      </c>
      <c r="AC11" s="112">
        <v>62.5</v>
      </c>
      <c r="AD11" s="35">
        <v>12</v>
      </c>
      <c r="AE11" s="35">
        <v>200</v>
      </c>
      <c r="AF11" s="35">
        <f t="shared" si="6"/>
        <v>2400</v>
      </c>
      <c r="AG11" s="35">
        <f t="shared" si="7"/>
        <v>325</v>
      </c>
      <c r="AH11" s="109">
        <f t="shared" si="8"/>
        <v>3900</v>
      </c>
      <c r="AI11" s="110">
        <f t="shared" si="9"/>
        <v>1500</v>
      </c>
      <c r="AJ11" s="38">
        <v>0</v>
      </c>
      <c r="AK11" s="34">
        <v>0</v>
      </c>
      <c r="AL11" s="34">
        <v>0</v>
      </c>
      <c r="AM11" s="35">
        <f t="shared" si="10"/>
        <v>0</v>
      </c>
      <c r="AN11" s="35">
        <f t="shared" si="11"/>
        <v>0</v>
      </c>
      <c r="AO11" s="109">
        <f t="shared" si="12"/>
        <v>0</v>
      </c>
      <c r="AP11" s="110">
        <f t="shared" si="13"/>
        <v>0</v>
      </c>
      <c r="AQ11" s="38">
        <v>0</v>
      </c>
      <c r="AR11" s="35">
        <v>0</v>
      </c>
      <c r="AS11" s="35">
        <v>0</v>
      </c>
      <c r="AT11" s="111">
        <f t="shared" si="14"/>
        <v>0</v>
      </c>
      <c r="AU11" s="35">
        <f t="shared" si="15"/>
        <v>0</v>
      </c>
      <c r="AV11" s="109">
        <f t="shared" si="16"/>
        <v>0</v>
      </c>
      <c r="AW11" s="110">
        <f t="shared" si="17"/>
        <v>0</v>
      </c>
      <c r="AX11" s="38">
        <v>0</v>
      </c>
      <c r="AY11" s="104">
        <v>0</v>
      </c>
      <c r="AZ11" s="104">
        <v>0</v>
      </c>
      <c r="BA11" s="104">
        <f t="shared" si="18"/>
        <v>0</v>
      </c>
      <c r="BB11" s="106">
        <f t="shared" si="19"/>
        <v>0</v>
      </c>
      <c r="BC11" s="38">
        <v>0</v>
      </c>
      <c r="BD11" s="35">
        <v>0</v>
      </c>
      <c r="BE11" s="113">
        <f t="shared" si="20"/>
        <v>0</v>
      </c>
      <c r="BF11" s="38">
        <v>0</v>
      </c>
      <c r="BG11" s="35">
        <v>0</v>
      </c>
      <c r="BH11" s="113">
        <f t="shared" si="21"/>
        <v>0</v>
      </c>
      <c r="BI11" s="38">
        <v>-79.5</v>
      </c>
      <c r="BJ11" s="34">
        <v>10000</v>
      </c>
      <c r="BK11" s="34">
        <f t="shared" si="22"/>
        <v>2049.9999999999995</v>
      </c>
      <c r="BL11" s="38">
        <v>-8.3000000000000007</v>
      </c>
      <c r="BM11" s="34">
        <v>2500</v>
      </c>
      <c r="BN11" s="34">
        <f t="shared" si="23"/>
        <v>2292.5</v>
      </c>
      <c r="BO11" s="38">
        <v>0</v>
      </c>
      <c r="BP11" s="34">
        <v>0</v>
      </c>
      <c r="BQ11" s="34">
        <f t="shared" si="24"/>
        <v>0</v>
      </c>
      <c r="BR11" s="38">
        <v>0</v>
      </c>
      <c r="BS11" s="35">
        <v>0</v>
      </c>
      <c r="BT11" s="106">
        <f t="shared" si="25"/>
        <v>0</v>
      </c>
      <c r="BU11" s="34">
        <f t="shared" si="26"/>
        <v>9157.5</v>
      </c>
      <c r="BV11" s="114" t="str">
        <f t="shared" si="27"/>
        <v>DAT is FREE</v>
      </c>
      <c r="BW11" s="34">
        <f t="shared" si="28"/>
        <v>0</v>
      </c>
      <c r="BX11" s="40" t="str">
        <f t="shared" si="29"/>
        <v>YES</v>
      </c>
    </row>
  </sheetData>
  <mergeCells count="13">
    <mergeCell ref="BU1:BX1"/>
    <mergeCell ref="L1:S1"/>
    <mergeCell ref="U1:AB1"/>
    <mergeCell ref="AC1:AI1"/>
    <mergeCell ref="AJ1:AO1"/>
    <mergeCell ref="AQ1:AV1"/>
    <mergeCell ref="AX1:BB1"/>
    <mergeCell ref="BC1:BE1"/>
    <mergeCell ref="BF1:BH1"/>
    <mergeCell ref="BI1:BK1"/>
    <mergeCell ref="BL1:BN1"/>
    <mergeCell ref="BO1:BQ1"/>
    <mergeCell ref="BR1:BT1"/>
  </mergeCells>
  <hyperlinks>
    <hyperlink ref="I4" r:id="rId1" display="https://www.lely.com_x000a_" xr:uid="{00000000-0004-0000-0100-000000000000}"/>
    <hyperlink ref="I7" r:id="rId2" xr:uid="{00000000-0004-0000-0100-000001000000}"/>
    <hyperlink ref="I8" r:id="rId3" xr:uid="{00000000-0004-0000-0100-000002000000}"/>
    <hyperlink ref="I9" r:id="rId4" xr:uid="{00000000-0004-0000-0100-000003000000}"/>
    <hyperlink ref="I10" r:id="rId5" xr:uid="{00000000-0004-0000-0100-000004000000}"/>
    <hyperlink ref="I11" r:id="rId6" xr:uid="{00000000-0004-0000-0100-000005000000}"/>
  </hyperlinks>
  <pageMargins left="0.7" right="0.7" top="0.75" bottom="0.75" header="0.3" footer="0.3"/>
  <drawing r:id="rId7"/>
  <mc:AlternateContent xmlns:mc="http://schemas.openxmlformats.org/markup-compatibility/2006">
    <mc:Choice Requires="v">
      <legacyDrawing r:id="rId8"/>
    </mc:Choice>
  </mc:AlternateContent>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Crop TC DATS</vt:lpstr>
      <vt:lpstr>new_crop_output</vt:lpstr>
      <vt:lpstr>Livestock TC DATS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Thanasis Manos</dc:creator>
  <cp:lastModifiedBy>Thanasis  Manos</cp:lastModifiedBy>
  <dcterms:created xsi:type="dcterms:W3CDTF">2025-06-19T11:46:42Z</dcterms:created>
  <dcterms:modified xsi:type="dcterms:W3CDTF">2025-06-23T10:08:42Z</dcterms:modified>
</cp:coreProperties>
</file>