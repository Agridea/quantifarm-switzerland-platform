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Crop DATs- INFO" sheetId="1" r:id="rId4"/>
    <sheet state="visible" name="Arable" sheetId="2" r:id="rId5"/>
    <sheet state="visible" name="Fruits" sheetId="3" r:id="rId6"/>
    <sheet state="visible" name="Vineyards" sheetId="4" r:id="rId7"/>
    <sheet state="visible" name="Vegetables" sheetId="5" r:id="rId8"/>
    <sheet state="visible" name="Orchards" sheetId="6" r:id="rId9"/>
  </sheets>
  <definedNames/>
  <calcPr/>
  <extLst>
    <ext uri="GoogleSheetsCustomDataVersion2">
      <go:sheetsCustomData xmlns:go="http://customooxmlschemas.google.com/" r:id="rId10" roundtripDataChecksum="9ED2Ujdxz9lM219keDcVHvtT3SBXgQKQB4kkr076nY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Maintenance costs are considered operating expenses (OPEX) and should be included in the calculation of net benefits when determining the ROI of an equipment.
======</t>
      </text>
    </comment>
    <comment authorId="0" ref="P2">
      <text>
        <t xml:space="preserve">Includes purchase price, installation or setup costs, and any other INITIAL expenses
======</t>
      </text>
    </comment>
    <comment authorId="0" ref="AZ2">
      <text>
        <t xml:space="preserve">I included both the annual operating expenses—such as maintenance costs—and depreciation
This shows how much more or less money you earn each year after using the equipment,
======</t>
      </text>
    </comment>
    <comment authorId="0" ref="BA2">
      <text>
        <t xml:space="preserve"> The net change in your income per year as a percentage of the equipment's initial cost. 
======</t>
      </text>
    </comment>
    <comment authorId="0" ref="BB2">
      <text>
        <t xml:space="preserve">How many years it will take to earn back the money you spent on the equipment.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Maintenance costs are considered operating expenses (OPEX) and should be included in the calculation of net benefits when determining the ROI of an equipment.
======</t>
      </text>
    </comment>
    <comment authorId="0" ref="P2">
      <text>
        <t xml:space="preserve">Includes purchase price, installation or setup costs, and any other INITIAL expenses
======</t>
      </text>
    </comment>
    <comment authorId="0" ref="AZ2">
      <text>
        <t xml:space="preserve">I included both the annual operating expenses—such as maintenance costs—and depreciation
This shows how much more or less money you earn each year after using the equipment,
======</t>
      </text>
    </comment>
    <comment authorId="0" ref="BA2">
      <text>
        <t xml:space="preserve"> The net change in your income per year as a percentage of the equipment's initial cost. 
======</t>
      </text>
    </comment>
    <comment authorId="0" ref="BB2">
      <text>
        <t xml:space="preserve">How many years it will take to earn back the money you spent on the equipment.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Maintenance costs are considered operating expenses (OPEX) and should be included in the calculation of net benefits when determining the ROI of an equipment.
======</t>
      </text>
    </comment>
    <comment authorId="0" ref="P2">
      <text>
        <t xml:space="preserve">Includes purchase price, installation or setup costs, and any other INITIAL expenses
======</t>
      </text>
    </comment>
    <comment authorId="0" ref="AZ2">
      <text>
        <t xml:space="preserve">I included both the annual operating expenses—such as maintenance costs—and depreciation
This shows how much more or less money you earn each year after using the equipment,
======</t>
      </text>
    </comment>
    <comment authorId="0" ref="BA2">
      <text>
        <t xml:space="preserve"> The net change in your income per year as a percentage of the equipment's initial cost. 
======</t>
      </text>
    </comment>
    <comment authorId="0" ref="BB2">
      <text>
        <t xml:space="preserve">How many years it will take to earn back the money you spent on the equipment.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Maintenance costs are considered operating expenses (OPEX) and should be included in the calculation of net benefits when determining the ROI of an equipment.
======</t>
      </text>
    </comment>
    <comment authorId="0" ref="P2">
      <text>
        <t xml:space="preserve">Includes purchase price, installation or setup costs, and any other INITIAL expenses
======</t>
      </text>
    </comment>
    <comment authorId="0" ref="AZ2">
      <text>
        <t xml:space="preserve">I included both the annual operating expenses—such as maintenance costs—and depreciation
This shows how much more or less money you earn each year after using the equipment,
======</t>
      </text>
    </comment>
    <comment authorId="0" ref="BA2">
      <text>
        <t xml:space="preserve"> The net change in your income per year as a percentage of the equipment's initial cost. 
======</t>
      </text>
    </comment>
    <comment authorId="0" ref="BB2">
      <text>
        <t xml:space="preserve">How many years it will take to earn back the money you spent on the equipment.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Maintenance costs are considered operating expenses (OPEX) and should be included in the calculation of net benefits when determining the ROI of an equipment.
======</t>
      </text>
    </comment>
    <comment authorId="0" ref="P2">
      <text>
        <t xml:space="preserve">Includes purchase price, installation or setup costs, and any other INITIAL expenses
======</t>
      </text>
    </comment>
    <comment authorId="0" ref="AZ2">
      <text>
        <t xml:space="preserve">I included both the annual operating expenses—such as maintenance costs—and depreciation
This shows how much more or less money you earn each year after using the equipment,
======</t>
      </text>
    </comment>
    <comment authorId="0" ref="BA2">
      <text>
        <t xml:space="preserve"> The net change in your income per year as a percentage of the equipment's initial cost. 
======</t>
      </text>
    </comment>
    <comment authorId="0" ref="BB2">
      <text>
        <t xml:space="preserve">How many years it will take to earn back the money you spent on the equipment.
======</t>
      </text>
    </comment>
  </commentList>
</comments>
</file>

<file path=xl/sharedStrings.xml><?xml version="1.0" encoding="utf-8"?>
<sst xmlns="http://schemas.openxmlformats.org/spreadsheetml/2006/main" count="2761" uniqueCount="661">
  <si>
    <t>DAT category</t>
  </si>
  <si>
    <t>Platform</t>
  </si>
  <si>
    <t>For</t>
  </si>
  <si>
    <t>DAT name</t>
  </si>
  <si>
    <t>DAT provider name</t>
  </si>
  <si>
    <t>DAT short Description</t>
  </si>
  <si>
    <t>DAT provider website</t>
  </si>
  <si>
    <t>Platform Link</t>
  </si>
  <si>
    <t>Crop type</t>
  </si>
  <si>
    <t>Cost Info</t>
  </si>
  <si>
    <t>Economic Benefit from DAT provider</t>
  </si>
  <si>
    <t xml:space="preserve">Environmental Benefit from DAT provider </t>
  </si>
  <si>
    <t>Environmental Benefits from Literature Review</t>
  </si>
  <si>
    <t>Farm Management Information Systems (FMIS) and applications (inc. Decision Support Systems (DSS), Quality Management Systems (QMS))</t>
  </si>
  <si>
    <t>NA</t>
  </si>
  <si>
    <t>Irrigation-DSS</t>
  </si>
  <si>
    <t>Plantae manager</t>
  </si>
  <si>
    <t>Plantae</t>
  </si>
  <si>
    <t>Plantae Manager is an irrigation decision support system (DSS) designed to help farmers optimize their irrigation practices and improve water use efficiency. The software collects data on a range of factors that can impact irrigation, including soil moisture, weather conditions, crop growth stage, and more. Based on this data, Plantae Manager provides recommendations on when and how much to irrigate, as well as tools for creating irrigation schedules and monitoring water use. The software is designed to work with a range of irrigation systems, including drip irrigation, sprinkler irrigation, and pivot systems. It can also integrate with weather stations, soil moisture sensors, and other monitoring equipment to provide real-time data and insights. Overall, Plantae Manager is a comprehensive irrigation DSS that can help farmers save water, reduce costs, and improve crop yields.</t>
  </si>
  <si>
    <t>https://plantae.garden/</t>
  </si>
  <si>
    <t>arable,vegetables,orchards</t>
  </si>
  <si>
    <t>700euro/year</t>
  </si>
  <si>
    <t>Zen-Irriware</t>
  </si>
  <si>
    <t xml:space="preserve">Agritask </t>
  </si>
  <si>
    <t>Zen-Irriware and Zen Agro are irrigation management solutions that use sensors, weather data, and other inputs to provide real-time insights into soil moisture, crop water use, and other factors affecting irrigation. These platforms can provide alerts and recommendations for when and how much to irrigate, helping farmers optimize their irrigation practices and improve water use efficiency.</t>
  </si>
  <si>
    <t>https://zenagropc.com/georgia-akriveias/</t>
  </si>
  <si>
    <t>arable crops, fruits, vineyards and vegetables</t>
  </si>
  <si>
    <t>20-30 euros per year for up to five plots or 3.000 euros for private use by a company or cooperative</t>
  </si>
  <si>
    <t xml:space="preserve">30-100% irrigation water saving </t>
  </si>
  <si>
    <t>Zen Agro</t>
  </si>
  <si>
    <t>Multipurpose - DSS/ FMIS</t>
  </si>
  <si>
    <t>AgriTask DSS</t>
  </si>
  <si>
    <t>Agritask is a farm management platform that provides a range of tools and features to help farmers manage their operations more efficiently. The platform includes capabilities for field mapping, crop scouting, pest management, and harvest tracking, among others. Agritask can also integrate with a range of sensors and other data sources to provide real-time insights into crop performance and other factors affecting farm productivity. Zen-Irriware and Zen Agro are irrigation management solutions that use sensors, weather data, and other inputs to provide real-time insights into soil moisture, crop water use, and other factors affecting irrigation. These platforms can provide alerts and recommendations for when and how much to irrigate, helping farmers optimize their irrigation practices and improve water use efficiency.</t>
  </si>
  <si>
    <t>https://start.agritask.com/wp-content/uploads/2021/03/HZPC-case-study.pdf</t>
  </si>
  <si>
    <t>potatos</t>
  </si>
  <si>
    <t xml:space="preserve">950 euros/per year </t>
  </si>
  <si>
    <t>Fairshare</t>
  </si>
  <si>
    <t>Multipurpose- DSS/FMIS</t>
  </si>
  <si>
    <t>VegSyst Decision Support System (VegSyst-DSS)</t>
  </si>
  <si>
    <t xml:space="preserve">Universidad de Almería
</t>
  </si>
  <si>
    <t>The VegSyst Decision Support System (VegSyst-DSS) has been developed to calculate daily N fertilizer and irrigation requirements, and the N concentration of the applied nutrient solution applied for fertigated vegetable crops grown in greenhouses. It can be used for crops grown in soil or substrate. N fertilizer requirements are based on daily crop N uptake and consider soil mineral N at planting, and N mineralized from manure and soil organic matter. Irrigation requirements are based on estimated evapotranspiration (ETc) and consider irrigation application efficiency and the salinity of irrigation water.  ETc can be calculated using the Penman-Monteith equation adapted to greenhouses or the Almeria radiation equation</t>
  </si>
  <si>
    <t>https://w3.ual.es/GruposInv/nitrogeno/VegSyst-DSS.shtml</t>
  </si>
  <si>
    <t>https://fairshare-pnf.eu/tool-details?id=5e33213450aeb3490a24f3a8&amp;flag=true&amp;name=VegSyst-DSS</t>
  </si>
  <si>
    <t>vegetables</t>
  </si>
  <si>
    <t>free</t>
  </si>
  <si>
    <t>Monitoring- FMIS</t>
  </si>
  <si>
    <t>x Growing Support Systems</t>
  </si>
  <si>
    <t>NetSensors</t>
  </si>
  <si>
    <t>N3tSensors AGRO PLUS is the Premium version of N3tSensors AGRO.
The establish partnership between NumbersAgain and Itri Corporation (owner of Hawk-Eye™ Systems) gave us the possibility to expand our scope and advantages.
The N3tSensors AGRO PLUS Platform gives you the power to have:
 - 24/7/365 Real-Time Monitoring and Control;
 - Measurement &amp; Listening to what the Crop has to "Say";
 - Prescribing Irrigation;
 - Remote Scouting Crop; 
 - Integration of new and existing Sensors and Agricultural Systems;
 - Dashboard in a Web Browser (no App needed);
 - Alarms by Email, SMS and Voice;
 - Data Export.
N3tSensors AGRO PLUS has the exact same features and workflow of N3tSensors AGRO with the additional integration, upstream, of the Hawk-Eye™ Systems.</t>
  </si>
  <si>
    <t>http://www.netsensors.pt/ps.html</t>
  </si>
  <si>
    <t>https://fairshare-pnf.eu/tool-details?id=5f6cc0961f68f325af42e155&amp;flag=true&amp;name=N3tSensors%20Agro%20Plus</t>
  </si>
  <si>
    <t>all</t>
  </si>
  <si>
    <t>4.900 euros and 150 euros/month (monthly subscription)</t>
  </si>
  <si>
    <t>Wisecrop</t>
  </si>
  <si>
    <t>wisecrop</t>
  </si>
  <si>
    <t>Recording and evaluation of the water stress of the plantation through the plant, meteorology, soil and/or substrate
Personalized irrigation suggestions (time and quantity) depending on the production method and the data collected from the plantation
Programs, reports Remote control and immediate action in the irrigation system</t>
  </si>
  <si>
    <t>https://www.wisecrop.com/en/apps</t>
  </si>
  <si>
    <t>https://fairshare-pnf.eu/tool-details?id=5f310bfc1f68f325af42e12b&amp;flag=true&amp;name=Wisecrop</t>
  </si>
  <si>
    <t>30 euros/month</t>
  </si>
  <si>
    <t xml:space="preserve">NMP online </t>
  </si>
  <si>
    <t>Teagasc</t>
  </si>
  <si>
    <t>NMP Online is an online web application that allows Agricultural Advisors to prepare Nutrient Management Plans required for farm management purposes.
These plans are required both to show compliance with regulations and as a criteria for participation in farm management schemes.
NMP Online has met the requirements for Nutrient Management Planning (NMP); for participation in the GLAS Scheme and for submission of the NMP element of the Nitrates Derogation application. 
It has been developed to handle the complex legislative and compliance framework that governs the management of nutrients and protection of waters.
The system is used by more than 850 farm advisors nationwide, who now have more than 250k plans on the system for 60k farmers.
The NMP online system was developed by Teagasc in conjunction with Compass Informatics Ltd, starting in 2014. It has continuously evolved since, to comply with changing legislation and to introduce new features.</t>
  </si>
  <si>
    <t>https://www.teagasc.ie/about/our-organisation/connected/pricing--plans/</t>
  </si>
  <si>
    <t>https://fairshare-pnf.eu/tool-details?id=5e79e03ef72ec11a927e1f06&amp;flag=true&amp;name=NMP%20Online</t>
  </si>
  <si>
    <t>250 euros/year</t>
  </si>
  <si>
    <t>EOSDA Crop Monitoring</t>
  </si>
  <si>
    <t>EOS</t>
  </si>
  <si>
    <t>EOSDA Crop Monitoring is an advanced satellite-powered precision farming platform for food producers, insurance companies, input suppliers, and other agricultural players.
Effortlessly access data on crop health, weather conditions, crop rotation, field activities, elevation, soil moisture, and more — all seamlessly embedded into a user-friendly interface.</t>
  </si>
  <si>
    <t>https://eos.com/</t>
  </si>
  <si>
    <t>https://fairshare-pnf.eu/tool-details?id=5e331b3d50aeb3490a24f3a7&amp;flag=true&amp;name=EOS%20Crop%20Monitoring</t>
  </si>
  <si>
    <t>950 euros/year</t>
  </si>
  <si>
    <t xml:space="preserve">My Irrigation </t>
  </si>
  <si>
    <t>aquagri</t>
  </si>
  <si>
    <t>MyIrrigation platform was developed to be a simple tool that integrates different sources of information, to give farmers/advisers/technicians the best available information in order to help them manage their daily operations regarding irrigation management.
MyIrrigation integrates information from soil probes, water probes, weather stations, satellite Imagery and weather forecasting models.
The main Aquagri's objetive when developing MyIrrigation was to create a simple and reliable tool to optimise water utilisation for irrigation</t>
  </si>
  <si>
    <t>https://www.aquagri.eu/myirrigation?lang=en</t>
  </si>
  <si>
    <t>https://fairshare-pnf.eu/tool-details?id=611f775ab96c330883d4d254&amp;flag=true&amp;name=MyIrrigation</t>
  </si>
  <si>
    <t>60 euros/year</t>
  </si>
  <si>
    <t xml:space="preserve">Smartakis </t>
  </si>
  <si>
    <t xml:space="preserve">Monitoring-FMIS </t>
  </si>
  <si>
    <t>TRUAS TrueAgriculturalSensing</t>
  </si>
  <si>
    <t>AgroTechnology</t>
  </si>
  <si>
    <t>Crop monitoring with usage of multispectral camera and small unmanned aerial vehicle (UAV) for nitrogen management and diseases and water stress monitoring. Final product is qualified nitrogen variable application prescription based on agronomical rules.</t>
  </si>
  <si>
    <t>https://agrotechnology.pl/</t>
  </si>
  <si>
    <t>https://smart-akis.com/SFCPPortal/#/app-h/technologies?techid=1604</t>
  </si>
  <si>
    <t>6 euros/ha</t>
  </si>
  <si>
    <t>Irrigation pro</t>
  </si>
  <si>
    <t>IrrigationPro</t>
  </si>
  <si>
    <t>Irrigation Pro is an irrigation management software designed for agricultural operations. The software provides a range of tools and features to help farmers optimize their irrigation practices, including soil moisture monitoring, irrigation scheduling, and real-time data analysis. The software is compatible with a range of sensors and data sources, enabling farmers to monitor soil moisture, weather conditions, and other factors that impact irrigation. With Irrigation Pro, farmers can make informed decisions about when and how much to irrigate their crops, reducing water usage and increasing crop yield. Overall, Irrigation Pro is a powerful tool for improving irrigation management, reducing costs, and improving environmental sustainability.</t>
  </si>
  <si>
    <t>https://www.irrigationpro.mk/</t>
  </si>
  <si>
    <t>arable crops, fruits, vineyards, vegetables</t>
  </si>
  <si>
    <t>200 euros</t>
  </si>
  <si>
    <t>Monitoring-FMIS</t>
  </si>
  <si>
    <t>iFarma</t>
  </si>
  <si>
    <t>Agrostis</t>
  </si>
  <si>
    <t>Ifarma helps the farmers to plan, monitor and keep records of all farming activities during the cultivating season. Producers can also keep records of quantities and cost of all inputs and resources, suchcas workers, machines, seeds, fertilizers, plant protectant. The ifarma app works both as a cloud/web and as a mobile app. It is suitable both for individual farmers and for producer organizations, cooperatives, and agriculture production companies.</t>
  </si>
  <si>
    <t>https://ifarma.agrostis.gr/</t>
  </si>
  <si>
    <t>180 euros/year for basic and 340/year for pro</t>
  </si>
  <si>
    <t>navfarm</t>
  </si>
  <si>
    <t>Navfarm</t>
  </si>
  <si>
    <t xml:space="preserve"> Prudence Technology has built NAVFARM™, an application specifically meant to manage the Farms and livestock. NAVFARM™ not only helps to manage Farms and livestock but also contributes to achieving the production, food processing, and its distribution, bookkeeping along with critical reporting in a scheduled manner. NAVFARM™ is a user-friendly Business solution which is integrated with ERP systems like Microsoft Dynamics etc. It integrates through way- bridges that gives you complete automation and help you to better understand your business and make more confident and informed decisions.</t>
  </si>
  <si>
    <t>https://www.navfarm.com/</t>
  </si>
  <si>
    <t>20 euros/month</t>
  </si>
  <si>
    <t>Granular</t>
  </si>
  <si>
    <t>Corteva</t>
  </si>
  <si>
    <t xml:space="preserve">A portfolio of digital solutions that help agricultural professionals make informed, data-driven decisions. These next-generation digital solutions deliver knowledge and artificial intelligence that producers and agronomists need to run more efficient, profitable and sustainable businesses. They also detect and indicate future opportunities for innovation.  </t>
  </si>
  <si>
    <r>
      <rPr>
        <rFont val="Arial"/>
        <sz val="10.0"/>
      </rPr>
      <t xml:space="preserve">https://www.corteva.com/
</t>
    </r>
    <r>
      <rPr>
        <rFont val="Arial"/>
        <color rgb="FF1155CC"/>
        <sz val="10.0"/>
        <u/>
      </rPr>
      <t>https://www.corteva.gr/content/dam/dpagco/corteva/eu/gr/el/files/granular-club/GRANULAR%20CLUB%20-%20%CE%A6%CE%A5%CE%9B%CE%9B%CE%91%CE%94%CE%99%CE%9F.PDF</t>
    </r>
  </si>
  <si>
    <t>arrable</t>
  </si>
  <si>
    <t>70 euros/year</t>
  </si>
  <si>
    <t>INCOMMAND 800</t>
  </si>
  <si>
    <t xml:space="preserve">Ag Leader </t>
  </si>
  <si>
    <t>The InCommand 800 by Ag Leader is a farm management information system designed to provide real-time monitoring and control for a range of farming operations. The system offers features such as crop monitoring, yield mapping, and data analysis to help farmers make informed decisions about planting, fertilizing, and harvesting their crops. The InCommand 800 integrates with a range of sensors and equipment, including GPS systems, planting and seeding systems, and yield monitors, providing farmers with real-time data and insights into their farming operations. The system also offers a user-friendly interface, allowing farmers to easily access and manage their data, as well as customizable dashboards and reports for tracking performance and progress over time. Overall, the InCommand 800 is a comprehensive farm management solution that helps farmers optimize their operations, increase yields, and reduce costs.</t>
  </si>
  <si>
    <t>https://www.agleader.com/farm-management/displays/incommand/</t>
  </si>
  <si>
    <t>3.300 euros</t>
  </si>
  <si>
    <t>INCOMMAND 1200</t>
  </si>
  <si>
    <t>The InCommand 1200 by Ag Leader is a farm management information system that provides real-time monitoring and control capabilities for a wide range of farming operations. The system offers features such as crop monitoring, yield mapping, and data analysis to help farmers make informed decisions about planting, fertilizing, and harvesting their crops. The InCommand 1200 integrates with a variety of sensors and equipment, including GPS systems, planting and seeding systems, and yield monitors, providing farmers with real-time data and insights into their farming operations. The system also features a large, high-resolution display with a customizable interface that enables easy access and management of data. Farmers can also create customized dashboards and reports for tracking performance and progress over time. Overall, the InCommand 1200 is a powerful farm management solution that helps farmers optimize their operations, increase yields, and reduce costs.</t>
  </si>
  <si>
    <t>https://www.agleader.com/</t>
  </si>
  <si>
    <t>6.300 euros</t>
  </si>
  <si>
    <t xml:space="preserve">eVineyard Management Software </t>
  </si>
  <si>
    <t xml:space="preserve">eVineyard </t>
  </si>
  <si>
    <t xml:space="preserve">eVineyard is an intuitive and easy-to-use vineyard management software that helps you grow better quality grapes more sustainably </t>
  </si>
  <si>
    <t>https://www.evineyardapp.com/vineyard_information_management</t>
  </si>
  <si>
    <t xml:space="preserve">grapes </t>
  </si>
  <si>
    <t xml:space="preserve">495 euros/month </t>
  </si>
  <si>
    <t xml:space="preserve">20% saving costs </t>
  </si>
  <si>
    <t xml:space="preserve">CropX App </t>
  </si>
  <si>
    <t>CropX</t>
  </si>
  <si>
    <t>The CropX agronomic farm management system is an easy-to-use integrated hardware and software system that connects farm data, real-time conditions and agronomic knowledge to provide guidance for successful and sustainable farming, while aggregating all agronomic farm data in one place for easy tracking and sharing</t>
  </si>
  <si>
    <t>https://cropx.com/</t>
  </si>
  <si>
    <t xml:space="preserve">400 euros/sensor/year </t>
  </si>
  <si>
    <t xml:space="preserve">70% yield increase (sugarcane), 27% yield increase, 15% fertilizer use reduction (banana), 14% yield increase and 68% water use reduction (trees) </t>
  </si>
  <si>
    <t>HawkEye</t>
  </si>
  <si>
    <t>HawkEye is a software solution designed for farming operations that provides a range of decision support, data recording, visualization, and reporting tools. The software helps farmers make sense of and visualize their farm activity and environment, allowing them to better understand and manage their operations. With HawkEye, farmers can collect and analyze data on various aspects of their farm, such as soil moisture, crop yield, weather conditions, and more. The software provides tools for creating maps, charts, and other visualizations that make it easier to interpret and act on the data. Overall, HawkEye can help farmers optimize their operations, improve yields, and reduce costs</t>
  </si>
  <si>
    <t>https://www.hawkeye.farm/</t>
  </si>
  <si>
    <t>500 euros/year</t>
  </si>
  <si>
    <t>Multipurpose-FMIS</t>
  </si>
  <si>
    <t>Trimble Ag Software</t>
  </si>
  <si>
    <t>Trimble</t>
  </si>
  <si>
    <t>Trimble Ag Software is a Farm Management Information System (FMIS) designed to help farmers, agronomists, and other agricultural stakeholders manage various aspects of their farming operations. The software provides tools for planning, monitoring, and analyzing data related to crops, livestock, and resources, enabling users to make informed decisions. Key features include field mapping and record keeping, crop planning and management, precision agriculture tools using GPS and GIS technologies, weather tracking and forecasting, financial management, livestock management, and mobile applications for on-the-go access. By centralizing data and offering decision support tools, Trimble Ag Software aims to streamline farm management, optimize operations, and improve profitability.</t>
  </si>
  <si>
    <t>https://agriculture.trimble.com/en/products/software/trimble-agriculture-software</t>
  </si>
  <si>
    <t>1000 euros/year</t>
  </si>
  <si>
    <t>Guidance / Controlled Traffic Farming (CTF) technologies</t>
  </si>
  <si>
    <t>Autosteering</t>
  </si>
  <si>
    <t>FJD AT1 Autosteering Kit</t>
  </si>
  <si>
    <t>FJDynamics</t>
  </si>
  <si>
    <t>FJD AT1 Autosteering Kit uses GNSS and RTK to navigate tractors along straight lines, curves, or concentric circles with sub-inch (2.5cm) accuracy. This auto steer works with a wide array of tractors, harvesters, and other agricultural machines.</t>
  </si>
  <si>
    <t>https://www.fjdynamics.com/product/fjd-at2-auto-steer-system</t>
  </si>
  <si>
    <t>6.290 euros</t>
  </si>
  <si>
    <t>Sveaverken F100 Auto Steer System</t>
  </si>
  <si>
    <t>Sveasverken</t>
  </si>
  <si>
    <t>Sveaverken F100 auto steer system helps farmers to realize the vision of cost reduction and efficiency improvement. It reduces the amount of fuel, seed, fertilizer, and pesticides by optimizing the tractor's path through the field. It also increases yield per hectare by eliminating skips and overlaps in the field with RTK precision navigation technology.</t>
  </si>
  <si>
    <t>https://www.sveaverken.com/products/f100-auto-steer-system?utm_source=google&amp;utm_campaign=2427&amp;utm_medium=cpc-Brand&amp;gclid=CjwKCAiA3KefBhByEiwAi2LDHINNcPP4GXwLATZADq2e9cNj54SShrlbE3ZiVKvlGP7SGnpDzXiLzxoCYWAQAvD_BwE</t>
  </si>
  <si>
    <t>5.100 euros</t>
  </si>
  <si>
    <t>FieldBee GPS tractor system</t>
  </si>
  <si>
    <t xml:space="preserve">FieldBee </t>
  </si>
  <si>
    <t>A simple and affordable tractor navigation and auto steering system for your farm</t>
  </si>
  <si>
    <t>https://products.fieldbee.com/uk/?utm_term=agricultural%20gps%20guidance%20systems&amp;utm_campaign=Search_Categories_NM&amp;utm_source=ga&amp;utm_medium=cpc&amp;hsa_acc=8241340597&amp;hsa_cam=19650867248&amp;hsa_grp=146393769072&amp;hsa_ad=647322757370&amp;hsa_src=g&amp;hsa_tgt=kwd-325766699211&amp;hsa_kw=agricultural%20gps%20guidance%20systems&amp;hsa_mt=p&amp;hsa_net=adwords&amp;hsa_ver=3&amp;gclid=EAIaIQobChMIo7H1kJXb_QIVgwgGAB054gvjEAAYASAAEgK-SPD_BwE#508504786</t>
  </si>
  <si>
    <t>All</t>
  </si>
  <si>
    <t xml:space="preserve">849 euros </t>
  </si>
  <si>
    <t xml:space="preserve">reduce costs up to 15% </t>
  </si>
  <si>
    <t>GPS Guidance System</t>
  </si>
  <si>
    <t>JY100 Tractor GNSS Guidance System</t>
  </si>
  <si>
    <t>SMAJAU</t>
  </si>
  <si>
    <t>JY100 guidance system consists of professional GNSS smart antenna, large display and guidance software. It would be the ultimate guidance solution for today's precision farmer. soft-ware has farmer-friendly GUI and large iconic buttons for each function. It features navigation access within 3-click ideal for minimal training and guidance experience. JY100 is robust, accurate and affordable enabling you to easily perform various farming tasks, extend your operating hours and enhance the productivity of your farm.</t>
  </si>
  <si>
    <t>https://www.smajayu.com/</t>
  </si>
  <si>
    <t>1.500 euros</t>
  </si>
  <si>
    <t xml:space="preserve">Autosteering-FMIS </t>
  </si>
  <si>
    <t>AgriBus-GMiniR</t>
  </si>
  <si>
    <t>AgriBus</t>
  </si>
  <si>
    <t>AgriBus-GMiniR is a powerful GPS receiver and farm management system that provides farmers with real-time data and accurate GPS positioning for a range of farming operations. The system is designed to optimize efficiency, reduce waste, and improve sustainability, with features such as automatic section control, CTF capabilities, and autosteering. The AgriBus-GMiniR, designed for ultra-high precision guidance with AgriBus-NAVI, is equipped with a dual-frequency RTK-GNSS/GPS module from u-blox and is capable of centimeter-level ultra-high precision positioning. The u-blox RTK-GNSS/GPS module can be used as a reference station, and can also be easily switched to a reference station via a dedicated application. The sensor-based path prediction and correction minimize positioning errors. By integrating with a range of agricultural equipment, including tractors and sprayers, the system provides farmers with highly accurate GPS guidance and real-time monitoring, enabling precise control over their operations and minimizing overlaps and soil compaction. The autosteering function further enhances efficiency and accuracy, reducing operator fatigue and the risk of missed areas. Overall, AgriBus-GMiniR is a valuable tool for farmers looking to improve their productivity and profitability while reducing their environmental impact.</t>
  </si>
  <si>
    <t>https://shop.agri-info-design.com/en-eu</t>
  </si>
  <si>
    <t>1.100 euros</t>
  </si>
  <si>
    <t>AutoTrac Controller</t>
  </si>
  <si>
    <t>John Deere</t>
  </si>
  <si>
    <t>Integrated automatic guidance system which can be retrofitted on third party machines</t>
  </si>
  <si>
    <t>https://www.deere.com/en/technology-products/precision-ag-technology/guidance/auto-trac-controller/</t>
  </si>
  <si>
    <t>https://www.smart-akis.com/wp-content/uploads/techhtmpdf/1118.htm</t>
  </si>
  <si>
    <t xml:space="preserve">12.500 euros </t>
  </si>
  <si>
    <t>GPS</t>
  </si>
  <si>
    <t>Tractor Implement Automation</t>
  </si>
  <si>
    <t>Simplified operation: e.g. one touch, one bale
Maximise throughput and higher productivity
Relaxed working and reduced stress for the operator
Consistent bale quality, planting and other work results
Reduced fuel consumption</t>
  </si>
  <si>
    <t>https://www.deere.co.uk/en/precision-agriculture/automation-systems/tractor-implement-automation/</t>
  </si>
  <si>
    <t xml:space="preserve">10.000- 25.000 euros </t>
  </si>
  <si>
    <t>Agribus straight assistance package</t>
  </si>
  <si>
    <t>The AgriBus straight assistance package by AgriBus is an entry-level model in their automatic steering series that allows farmers to add an automatic steering function to their tractors externally. The system is designed to work seamlessly with the AgriBus-GMiniR GNSS/GPS device to provide ultra-high-precision automatic steering at half the price of similar systems. With the AgriBus straight assistance package, farmers can reduce fatigue and increase efficiency by letting the system work straight without error, freeing them up to focus on other tasks. The system is user-friendly and easy to operate, allowing anyone to use it effectively. An entry model in the Agribus automatic steering series that can add an automatic steering function to your tractor externallyAgribus straight assistance packageWas appeared. Acts ultra-high-precision automatic steering by combining with Agribus-Gminir, a GNSS/GPS device. At half the price so far, it will work straight without an error instead of you. Easy operation, anyone can work and reduce fatigue. Overall, the AgriBus straight assistance package represents a major step forward for precision agriculture, making automatic steering accessible to farmers of all sizes and increasing productivity and profitability in the process.</t>
  </si>
  <si>
    <t>https://shop.agri-info-design.com/en-euu</t>
  </si>
  <si>
    <t>4.320 euros</t>
  </si>
  <si>
    <t>Trimple GFX 1060 + NAV 500</t>
  </si>
  <si>
    <t>Tractor GPS</t>
  </si>
  <si>
    <t>Trimble GFX-750 is the long-expected new navigation display by Trimble and continues a strong tradition of sleek, easy‑to‑use displays from Trimble. Thanks to the simplified installation process, the cab will be less cluttered with this automated guidance system. The GFX-750 display comes with a NAV-900 guidance controller. It is Trimble’s most advanced GNSS receiver to date, built for maximum uptime and a wide range of accuracy options from basic to high precision. The GFX-750 display works on most tractor brands or with most implement manufacturers on your farm with ISOBUS control. Ready to work with Trimble Autopilot guidance systems. The Task Controller function with automatic section control, as well as documentation, is fully integrated and easy to use in the working screen. GFX-750 comes with Wi-Fi, Bluetooth, CAN, and for the first time, BroadR-Reach – high-speed communications to allow fast and easy transfer of data between vehicles and the office.</t>
  </si>
  <si>
    <t>Precision Agriculture Solutions - TractorGPS</t>
  </si>
  <si>
    <t>4.100 euros</t>
  </si>
  <si>
    <t>GFX-750, Nav-900, EZ-Pilot Pro, RTK</t>
  </si>
  <si>
    <t xml:space="preserve">The Trimble GFX-350 display is the most compact display from Trimble Agriculture, perfect for a non intrusive installation in vehicles large and small, including ATVs. Easy to install, this display is built to withstand weather conditions and the tough environment associated with agriculture, whilst bringing modern functionality with an Android operating system, Precision IQ guidance and built in WIFI. The GFX 350 is a perfect introduction to Trimble devices and allows you to configure as you see fit, using its modular licensing and hardware compatibility, its your ideal partner for now and in the future. The EZ-Pilot® Pro guidance system offers high-precision navigation on MFWD, 4WD tractors and combos. The added benefit of the EZ-Pilot Pro is that the vehicles are now able to engage in reverse to better align for the next lap (up to 15 seconds reversing). Adding this feature can allow users to take advantage of a high-precision solution once the accessory touches the ground. With hands-free guidance, the EZ-Pilot Pro system allows you to operate easily and safely on your farm. The electric motor allows unlimited manual driving when the autopilot is not engaged.
</t>
  </si>
  <si>
    <t>15.000 euros</t>
  </si>
  <si>
    <t>EZ-STEER WITH GFX-350</t>
  </si>
  <si>
    <t>The Trimble® GFX-350™ is the latest Android™-based, easy-to-use display from Trimble® Agriculture. This cost-effective solution offers great functionality and a simplified installation process, providing access to autosteering and application control for every farm. Add in Bluetooth® and Wi-Fi connectivity to go along with ISOBUS compatibility and any grower can tackle farming applications from every season across all equipment brands.</t>
  </si>
  <si>
    <t>https://infrontag.com/trimble</t>
  </si>
  <si>
    <t>6.000 euros</t>
  </si>
  <si>
    <t>EZ-STEER WITH GFX-750</t>
  </si>
  <si>
    <t xml:space="preserve">The Trimble® GFX-350™ is the latest Android™-based, easy-to-use display from Trimble® Agriculture. This cost-effective solution offers great functionality and a simplified installation process, providing access to autosteering and application control for every farm. Add in Bluetooth® and Wi-Fi connectivity to go along with ISOBUS compatibility and any grower can tackle farming applications from every season across all equipment brands. The Trimble® NAV-500™ guidance controller pairs with all GFX series displays. It is especially suited to the GFX-350 display to create a professional level system at a price usually associated with the entry-level market. With the NAV-500™ guidance controller, you get: Compatibility with five (5) satellite constellations: GPS, GLONASS, BeiDou, QZSS, and Galileo Sub-meter accuracy Trimble ViewPoint RTX™ corrections (subscription required). The Trimble™ EZ-Steer® assisted steering system provides simple, portable, hands-free farming for more than 1200 vehicle models – old and new. The EZ-Steer® system turns the steering wheel for you by combining a friction wheel and a motor with guidance from any Trimble™ display. It keeps your vehicle online for efficient, low stress steering capabilities for your farming applications. This is a complete EZ-Steer Base kit for an EZ-Guide 250 and EZ-Guide 500.  The EZ-Guide 250 will require in addition a 4 Pin CAN Cable PN 65536.  Each system will require a vehicle specific bracket and if you are having trouble finding this for your vehicle please contact us directly.
</t>
  </si>
  <si>
    <t>7.000 euros</t>
  </si>
  <si>
    <t>Outback Rebel Row-Crop</t>
  </si>
  <si>
    <t>REBEL</t>
  </si>
  <si>
    <t xml:space="preserve">All-in-one REBEL™ comes fully-loaded with everything you need for the farming you do at one price No hidden fees or extra unlocks for critical software Easy setup for your equipment Always connected with built-in WiFi Always current with wireless updates of your software Simple-to-use with short-cut keys, LED power button, pinch-to-zoom
</t>
  </si>
  <si>
    <t>https://www.a2bguidance.com/guidance/outback-rebel/outback-rebel-row-crop.html</t>
  </si>
  <si>
    <t>10.000 euros</t>
  </si>
  <si>
    <t xml:space="preserve">Autosteering - VRA seed and fertilizer </t>
  </si>
  <si>
    <t>System 350 with X30 Control Console</t>
  </si>
  <si>
    <t>Topcon</t>
  </si>
  <si>
    <t>The Topcon System 350 with X30 Control Console is a precision farming technology platform that offers a range of tools and features for optimizing planting, fertilization, and harvesting operations. The system includes an advanced control console with autosteer and section control capabilities, yield monitoring, and data management and analysis tools. The System 350 with X30 Control Console is designed to help farmers improve farm efficiency and productivity through precision farming practices.</t>
  </si>
  <si>
    <t>https://www.topconagriculture.com/</t>
  </si>
  <si>
    <t>15.000 - 25.000 euros</t>
  </si>
  <si>
    <t>Trimble Autopilot</t>
  </si>
  <si>
    <t>Trimble Autopilot is a high-precision, automated steering system that offers advanced guidance capabilities for a wide range of agricultural vehicles. It is compatible with many makes and models of tractors, combines, and other farm machinery. The system integrates with the vehicle's hydraulics to provide highly accurate steering control, allowing for optimal field navigation and pass-to-pass repeatability. Trimble Autopilot offers different levels of accuracy, depending on the GPS correction source used, and supports various guidance patterns, enabling farmers to minimize field overlap, save on input costs, and reduce soil compaction.</t>
  </si>
  <si>
    <t>https://agriculture.trimble.com/en</t>
  </si>
  <si>
    <t xml:space="preserve">10.000 - 25.000 euros </t>
  </si>
  <si>
    <t>John Deere AutoTrac</t>
  </si>
  <si>
    <t>John Deere AutoTrac is an automated steering and guidance system designed for use with John Deere and compatible non-John Deere equipment. AutoTrac provides precise and consistent steering control for a range of farming tasks, including planting, spraying, and harvesting. It utilizes GPS technology to maintain the desired guidance path and reduces operator fatigue by automating steering. AutoTrac is compatible with different levels of accuracy, depending on the GPS correction source used, and offers several guidance patterns. By implementing John Deere AutoTrac, farmers can improve efficiency, reduce input costs and minimize soil compaction.</t>
  </si>
  <si>
    <t>https://www.deere.gr/el/smart-farming-solutions/guidance-solutions/autotrac/</t>
  </si>
  <si>
    <t>Reacting or Variable Rate Technologies (VRT)</t>
  </si>
  <si>
    <t>Management Zones &amp; VRA Maps</t>
  </si>
  <si>
    <t>GeoPard Agriculture</t>
  </si>
  <si>
    <t>GeoPard Agriculture Management Zones &amp; VRA Maps is a technology used in precision agriculture. It helps farmers to optimize crop production by providing a detailed analysis of their fields and dividing them into different management zones based on various factors such as soil type, topography, and previous crop yields. The VRA (Variable Rate Application) maps provide recommendations for fertilizer and pesticide application, ensuring that the right amount of resources are used in the right place at the right time, leading to higher yields and reduced costs.</t>
  </si>
  <si>
    <t>https://geopard.tech/management-zones-vra-maps/</t>
  </si>
  <si>
    <t>260 euros/year</t>
  </si>
  <si>
    <t>fertilization</t>
  </si>
  <si>
    <t>M42 ISOBUS SECTION CONTROL 2.0</t>
  </si>
  <si>
    <t>Teagle</t>
  </si>
  <si>
    <t>The range topping M42 ISO offers even greater spreading flexibility and accuracy thanks to the SECTION CONTROL 2.0 system (16 sections).</t>
  </si>
  <si>
    <t>https://www.teagle.co.uk/en-GB/</t>
  </si>
  <si>
    <t>22.300 euros</t>
  </si>
  <si>
    <t xml:space="preserve">irrigation </t>
  </si>
  <si>
    <t>UgMO Soil Moisture Sensor System</t>
  </si>
  <si>
    <t>UgMO</t>
  </si>
  <si>
    <t>The system becomes your outdoor water manager by controlling the irrigation system and monitoring soil moisture. Utilizing real time soil moisture sensor data on a zone-by-zone basis, UgMO always applies the optimal amount of water. Typically achieving irrigation water savings of 30-50%, the UG1000 System redefines smart irrigation management. With the power and flexibility of the new SenLink™ wireless-sensor-network technology, the UG1000 is designed for non-disruptive installation and ease of use. Wireless Sensors are buried in the active root zone completely below ground to measure soil moisture levels at the roots of the plant in real-time, up to six times an hour, 24 hours a day. The sensor data is then wirelessly transmitted to the UgMO Irrigation Controller.</t>
  </si>
  <si>
    <t>https://ugmo.com/solutions/</t>
  </si>
  <si>
    <t>https://smart-akis.com/SFCPPortal/#/app-h/technologies?techid=1391</t>
  </si>
  <si>
    <t>500-1000 euros</t>
  </si>
  <si>
    <t>spraying</t>
  </si>
  <si>
    <t>Geoline CS260 Sprayer Control System</t>
  </si>
  <si>
    <t>The Sprayer Control System 260 CS is a sophisticated technology that offers several features to help farmers optimize their pesticide and fertilizer spraying operations. With up to 7 section valves and 9 hydraulic valves, the system enables precise control of spraying, while offering both automatic and manual operation modes. The system also comes with a large, rear-lit LCD graphic display that is easy to read in all lighting conditions, and can be connected to optional sat nav for even greater precision. The Sprayer Control System 260 CS also includes features such as USB connectivity for data exchange and software updating, customizable nozzle parameters, and visual and acoustic alarms for safety and efficiency. With integrated diagnostic tools and the ability to manage several parameters, such as pressure, speed, and tank level, the system provides farmers with real-time data and insights for optimized spraying operations.</t>
  </si>
  <si>
    <r>
      <rPr>
        <rFont val="Arial"/>
        <color rgb="FF1155CC"/>
        <sz val="10.0"/>
        <u/>
      </rPr>
      <t>https://tractorgps.gr/en/</t>
    </r>
    <r>
      <rPr>
        <rFont val="Arial"/>
        <color rgb="FF000000"/>
        <sz val="10.0"/>
        <u/>
      </rPr>
      <t xml:space="preserve"> </t>
    </r>
  </si>
  <si>
    <t>3.000 euros</t>
  </si>
  <si>
    <t>GeoSystem 240 CS + GPS</t>
  </si>
  <si>
    <t>Geoline by Tecomec</t>
  </si>
  <si>
    <t>The GeoSystem 240 CS + GPS is a computerized system designed for distributing phytosanitary products, suitable for use with sprayers and multi-row machines. The system offers several key features, including up to 5 section valves for precise control of spraying, and both automatic and manual operation modes for maximum flexibility. The system also comes with a GPS speed detector included, allowing for accurate control of spraying operations. Other features include a large, backlit alphanumeric LCD display, a multilingual menu, and simplified work parameter entry for ease of use. The system also offers customizable nozzle parameter storage, configurable units of measurement, and the ability to manage various parameters such as pressure, speed, and tank level. With visual and acoustic alarms, an integrated diagnostic tool, and foam marker management, the GeoSystem 240 CS + GPS provides farmers with real-time data and insights to help optimize their spraying operations for improved efficiency and environmental sustainability.</t>
  </si>
  <si>
    <r>
      <rPr>
        <rFont val="Arial"/>
        <color rgb="FF1155CC"/>
        <sz val="10.0"/>
        <u/>
      </rPr>
      <t>https://www.tecomec.com/en/agriculture</t>
    </r>
    <r>
      <rPr>
        <rFont val="Arial"/>
        <color rgb="FF000000"/>
        <sz val="10.0"/>
        <u/>
      </rPr>
      <t xml:space="preserve"> </t>
    </r>
  </si>
  <si>
    <t>2.500 euros</t>
  </si>
  <si>
    <t>planting and fertilization</t>
  </si>
  <si>
    <t>SeedStar XP system</t>
  </si>
  <si>
    <t>The John Deere SeedStar system is a precision agriculture technology that provides variable-rate planting and fertilization. It uses sensors and GPS technology to adjust the planting and fertilization rates of crops based on soil conditions, moisture levels, and other environmental factors. The system can be integrated with other John Deere equipment, such as planters and tractors, to provide real-time monitoring and control of planting and fertilization operations. Overall, the SeedStar system helps farmers optimize their crop yields and reduce input costs by ensuring that crops are planted and fertilized at the most appropriate rates for their specific growing conditions.</t>
  </si>
  <si>
    <t>https://salesmanual.deere.com/sales/salesmanual/en_AU/seeding/2021/feature/monitor_system/seedstar_xp_monitoringsystem.html</t>
  </si>
  <si>
    <t>arable, vegetable, row crops</t>
  </si>
  <si>
    <t>10.000 - 20.000 euros</t>
  </si>
  <si>
    <t>pesticide application</t>
  </si>
  <si>
    <t>OptiSpray</t>
  </si>
  <si>
    <t>Lemken</t>
  </si>
  <si>
    <t>The Lemken OptiSpray system is a precision agriculture technology designed for variable-rate pesticide application. It uses sensors, GPS, and other data to detect changes in field conditions and adjust the pesticide application rate accordingly. The system enables farmers to optimize the use of pesticides by targeting only areas where pests or diseases are present, reducing the amount of chemicals used and minimizing the environmental impact. The system is designed to be integrated with existing equipment, such as sprayers, and can provide real-time monitoring and control of pesticide application operations. In short, the Lemken OptiSpray system helps farmers improve their crop yields, reduce input costs, and promote more sustainable farming practices.</t>
  </si>
  <si>
    <t>https://lemken.com/de-de/landmaschinen/cropcare</t>
  </si>
  <si>
    <t>arable</t>
  </si>
  <si>
    <t>15.000 - 30.000 euros</t>
  </si>
  <si>
    <t>pesticide and fertilizer application</t>
  </si>
  <si>
    <t>ExactApply</t>
  </si>
  <si>
    <t>The John Deere ExactApply system is a technology used for applying pesticides and fertilizers with precision and efficiency. It uses variable-rate technology to adjust the rate of application based on field conditions, and can be used on a range of crops, including arable crops, vineyards, and trees. The system is designed to improve crop yield and reduce environmental impact, and can be used on a variety of equipment types.</t>
  </si>
  <si>
    <t>https://www.deere.com/en/technology-products/precision-ag-technology/precision-upgrades/sprayer-upgrades/exactapply-precision-upgrades/</t>
  </si>
  <si>
    <t>7.000 - 12.000 euros</t>
  </si>
  <si>
    <t>seed and fertilizer application</t>
  </si>
  <si>
    <t>"X30" platform</t>
  </si>
  <si>
    <t>The Topcon X30 platform is a precision farming technology used for guidance and variable-rate application of seed and fertilizer based on field conditions. It can be used on a variety of crops and equipment types, and offers a range of tools and features to help optimize planting, fertilization, and harvesting operations.</t>
  </si>
  <si>
    <t>5.000 - 10.000 euros</t>
  </si>
  <si>
    <t>Recording or Mapping technologies (inc. monitoring systems, real-time location systems (RTLS))</t>
  </si>
  <si>
    <t>Monitoring</t>
  </si>
  <si>
    <t>Altum-PT</t>
  </si>
  <si>
    <t>Micasense</t>
  </si>
  <si>
    <t>The Altum-PT by Micasense is a powerful multispectral camera system designed for agricultural monitoring applications. The system captures high-quality images in five spectral bands, including red, green, blue, red edge, and near-infrared, providing farmers with detailed information on plant health, growth, and stress. The Altum-PT is capable of covering large areas quickly and accurately, enabling farmers to monitor their crops in real-time and make informed decisions about irrigation, fertilization, and other management practices. The system is also compatible with a range of drones and unmanned aerial vehicles (UAVs), providing farmers with a cost-effective and efficient solution for aerial crop monitoring. Overall, the Altum-PT is a powerful tool for improving crop yields, reducing waste, and optimizing farming operations for maximum productivity and sustainability.</t>
  </si>
  <si>
    <t>https://support.micasense.com/hc/en-us</t>
  </si>
  <si>
    <t>15.500-16.000 euros</t>
  </si>
  <si>
    <t>RedEdge-P</t>
  </si>
  <si>
    <t>The RedEdge-P by Micasense is a multispectral camera system designed for aerial crop monitoring applications. The system captures high-resolution images in five spectral bands, including red, green, blue, red edge, and near-infrared, providing farmers with detailed information on plant health, growth, and stress. The RedEdge-P is ideal for use with unmanned aerial vehicles (UAVs) and other aerial platforms, enabling farmers to quickly and accurately monitor their crops over large areas. The system is also compatible with a range of data analysis and management tools, allowing farmers to generate detailed maps and reports on crop health and productivity. Overall, the RedEdge-P is a powerful tool for improving crop yields, reducing waste, and optimizing farming operations for maximum productivity and sustainability.</t>
  </si>
  <si>
    <t>9-10.000 euros</t>
  </si>
  <si>
    <t>Autel Robotics EVO II Drone - 8k Camera Drone</t>
  </si>
  <si>
    <t>Autel Robotics</t>
  </si>
  <si>
    <t>Autel EVO II is the world’s first 8K foldable drone on the planet! With 48MP interchangeable camera, 1/2” CMOS sensor, EVO II drone capture content at resolutions up to a massive 8000x6000. F/1.8 fixed aperture and 4x lossless zoom allow you shot better image quality in the air. The EVO Ⅱ delivers not only advanced features like obstacle avoidance and intelligent flight modes, but also high-tech muscle that brings home a top speed of 44 mph, up to 35-minute hover time, 40-minute flight time and an operating distance of 9 km (5.6 miles). In-flight performance, however, is just the start. The process of mapping or measuring crops with a drone is relatively simple. Autel Drones are equipped with flight planning software that allows the user to map around the area he needs to cover. The software then automatically maps the flight path and, in some cases, even prepares it for camera shots. As the drone flies, it automatically takes pictures using onboard sensors and a built-in camera, and uses GPS to determine when to take each picture.</t>
  </si>
  <si>
    <t>https://www.autelpilot.eu/?gclid=CjwKCAiA_vKeBhAdEiwAFb_nrW4D4YCiPQYxIaRSBIifhwWtHpSJ6qNXuiNRkYwTVFfW3H_P7cPPFBoCEfUQAvD_BwE</t>
  </si>
  <si>
    <t>1.600-2.000 euros</t>
  </si>
  <si>
    <t>efarmer</t>
  </si>
  <si>
    <t>As our company specializes in GPS farming technologies and tractor equipment, it was quite important for us to provide our customers with a top-notch tool to manage the process of fieldwork easily and efficiently. No need to say that a farmer cannot stick to the laptop for hours as there are lots of work to do in the field. So we’ve decided to provide you with a farm mobile app that will help both getting reports from tractors and their GPS modules, planning and mapping and, of course, it is precise auto-steering that is a gem in the crown of our work.
What makes the eFarmer’s mobile app special?
It is easy-to-install and to work both.
It is provided for all types of Android-based devices.
It is compatible with RTK GPS modules and systems</t>
  </si>
  <si>
    <t>https://www.efarmer.nl/</t>
  </si>
  <si>
    <t>https://fairshare-pnf.eu/tool-details?id=60bf16c52e2a4b141eb3b3b1&amp;flag=true&amp;name=eFarmer</t>
  </si>
  <si>
    <t>Mapping</t>
  </si>
  <si>
    <t>Toro Precision Soil Moisture Sensor</t>
  </si>
  <si>
    <t>Toro</t>
  </si>
  <si>
    <t>The Toro Precision™ Soil Sensor reduces water waste by continuously measuring moisture levels in the soil and determining when to allow your controller to water, maximizing the efficiency of your irrigation system</t>
  </si>
  <si>
    <t>https://www.toro.com/en</t>
  </si>
  <si>
    <t xml:space="preserve">220 euros </t>
  </si>
  <si>
    <t>DJI Phantom 4 Multispectral Drone</t>
  </si>
  <si>
    <t>DJI</t>
  </si>
  <si>
    <t>The P4 Multispectral consolidates the process of capturing data that gives insight into crop health and vegetation management. DJI has created this platform with the same powerful performance standards that DJI is known for, including 27 minutes max flight time and up to 7 km1 transmission range with the OcuSync system.</t>
  </si>
  <si>
    <t>https://www.dji.com/gr/p4-multispectral</t>
  </si>
  <si>
    <t>6.000-7.000 euros</t>
  </si>
  <si>
    <t xml:space="preserve">Monitoring </t>
  </si>
  <si>
    <t>eBee Ag drone</t>
  </si>
  <si>
    <t>eBee Ag</t>
  </si>
  <si>
    <t>The eBee ag system includes eMotion software and a carrying case. The software and cameras enable 2 cm per pixel resolution and produce 3D maps and overlays as well as the capability to lay out (and simulate) a flight path for up to 45 minutes of flying time</t>
  </si>
  <si>
    <t>https://ageagle.com/drones/ebee-ag/</t>
  </si>
  <si>
    <t>12.000 euros</t>
  </si>
  <si>
    <t>A631 RTK Base Station</t>
  </si>
  <si>
    <t>Premium positioning</t>
  </si>
  <si>
    <t>Real Time Kinematics, or RTK for short, is a special technique for satellite positioning that can produce accurate results to the centimeter, making it an invaluable tool for surveyors around the world. The method involves measuring satellite data against a ground station for precise, real time information.</t>
  </si>
  <si>
    <t>https://www.premium-positioning.com/</t>
  </si>
  <si>
    <t>FARMTRX Yield Mapping Kit</t>
  </si>
  <si>
    <t>FarmTRX</t>
  </si>
  <si>
    <t xml:space="preserve">The FarmTRX Yield Monitor can easily be user-installed on any age/model combine in only a few hours using common tools. The yield monitor features a built-in GPS antenna, Bluetooth connectivity, and memory to store 5+ years of yield data. It uses optical sensors mounted on the clean grain elevator to measure yield, which are much more robust, serviceable, &amp; user friendly than impact plate style sensors. It uses your smartphone or tablet as the monitor, saving thousands and the need for an expensive monitor. Raw data is easily exported and ready to move to other farm management systems.
</t>
  </si>
  <si>
    <t>https://www.farmtrx.com/</t>
  </si>
  <si>
    <t>Single Depth sensor</t>
  </si>
  <si>
    <t>Sensotera</t>
  </si>
  <si>
    <t>Sensoterra Soil Moisture Sensors measure volumetric water content of the soil. They are all wireless and use the LoRaWAN network to get your data out of your fields and into your hands. They are manufactured at scale and available globally for you to order today.</t>
  </si>
  <si>
    <t>https://www.sensoterra.com/en/product/single-depth-sensor/</t>
  </si>
  <si>
    <t>165 euros</t>
  </si>
  <si>
    <t>Multi Depth sensor</t>
  </si>
  <si>
    <t>Our new Multi Depth sensor has the same robustness as our Single Depth sensors - hammer it into the ground! No buttons, no screens, no nonsense. The sensor comes with 6 soil moisture sensors in one device. Knowing the soil moisture at several depths will allow you to track the health of your plant at its active root zone during the whole crop cycle. Also, with multiple points of measurement you can measure moisture levels at different soil horizons. They are all wireless and use the LoRaWAN network to get your data out of your fields and into your hands. 2 years of LoRa connectivity is included.</t>
  </si>
  <si>
    <t>https://www.sensoterra.com/en/product/multi-depth-sensor/</t>
  </si>
  <si>
    <t>900 euros</t>
  </si>
  <si>
    <t>Dragino LSPH01 Soil Temperature and pH Sensor</t>
  </si>
  <si>
    <t>Dragino</t>
  </si>
  <si>
    <t>The LSPH01 from Dragino detects the soil temperature and the pH value of the soil. The measured value of the pH sensor is corrected with the values of the temperature sensor before transmission.</t>
  </si>
  <si>
    <t>https://shop.dragino.com/index.php?rt=product/product&amp;product_id=134</t>
  </si>
  <si>
    <t>115 euros</t>
  </si>
  <si>
    <t>Robotic Systems or Smart Machines (inc. Artificial Intelligence (AI))</t>
  </si>
  <si>
    <t>weeding</t>
  </si>
  <si>
    <t>Handheld – RootWave Pro</t>
  </si>
  <si>
    <t>rootwave</t>
  </si>
  <si>
    <t>RootWave Pro is an award-winning hand weeder designed for growers, gardeners and groundskeepers to spot weed and treat invasive species.</t>
  </si>
  <si>
    <t>https://rootwave.com/pro/</t>
  </si>
  <si>
    <t>18.000 euros</t>
  </si>
  <si>
    <t>Horticulture – Fruit</t>
  </si>
  <si>
    <t>RootWave technology will provide full control of weeds in fruit crops without using chemicals.</t>
  </si>
  <si>
    <t>https://rootwave.com/</t>
  </si>
  <si>
    <t>fruits</t>
  </si>
  <si>
    <t>14.000 euros</t>
  </si>
  <si>
    <t>Agriculture – Row crops (Tractor mounted)</t>
  </si>
  <si>
    <t>RootWave is developing revolutionary weed control products that will help to safeguard crop production.</t>
  </si>
  <si>
    <t>10.000 euros - 150.000 euros</t>
  </si>
  <si>
    <t>pruning</t>
  </si>
  <si>
    <t>Wall-Ye 1000 mobile pruning robot</t>
  </si>
  <si>
    <t>Wall-YE</t>
  </si>
  <si>
    <t>autonomous robot for pruning in vineyards</t>
  </si>
  <si>
    <t>http://wall-ye.com/index.html</t>
  </si>
  <si>
    <t>vineyard</t>
  </si>
  <si>
    <t>35.000 euros</t>
  </si>
  <si>
    <t>harvesting</t>
  </si>
  <si>
    <t>Agrobot SW6010</t>
  </si>
  <si>
    <t>Agrobot</t>
  </si>
  <si>
    <t>Agrobot SW6010 and AGSHydro, a bed-on hydroponic growing system customized for strawberry growing and harvesting</t>
  </si>
  <si>
    <t>https://www.agrobot.com/</t>
  </si>
  <si>
    <t>strawberry</t>
  </si>
  <si>
    <t>250.000 euros with 60 arms</t>
  </si>
  <si>
    <t>Lightweight autonomous robots initially for weeding</t>
  </si>
  <si>
    <t>ecorobotix</t>
  </si>
  <si>
    <t>https://ecorobotix.com/fr/</t>
  </si>
  <si>
    <t>Weeding and thinning</t>
  </si>
  <si>
    <t>ROBOVATOR</t>
  </si>
  <si>
    <t>VISIONWEEDING</t>
  </si>
  <si>
    <t>The Robovator is equipped with a special plant detection camera above each row, fitted on each parallelogram continuously monitors the passing plants The Robovater is equipped with a special plant detection camera above each row.It has a mechanical tool which is operated by hydraulic power.</t>
  </si>
  <si>
    <t>https://www.visionweeding.com/</t>
  </si>
  <si>
    <t>lettuce, cabbage, fennel and onions</t>
  </si>
  <si>
    <t>80.000 euros</t>
  </si>
  <si>
    <t>Oz field robot</t>
  </si>
  <si>
    <t>Naio Technologies</t>
  </si>
  <si>
    <t>The Oz robot serves as an autonomous electric tractor which can be used for weeding and as a transport from harvesters to accumulation points. Oz operates as a self-powered robotic implement rather than a towed implement</t>
  </si>
  <si>
    <t>http://www.naio-technologies.com/en/home/</t>
  </si>
  <si>
    <t>350-480 euros/month</t>
  </si>
  <si>
    <t>White Shark DGF80</t>
  </si>
  <si>
    <t>White Shark</t>
  </si>
  <si>
    <t>The White Shark DGF80 is a smart harvesting machine developed by White Shark for use in harvesting olives, almonds, and other tree crops. The machine is designed to be highly efficient and can harvest up to 1,200 kg of olives per hour, reducing labor costs and improving productivity. The White Shark DGF80 features a range of advanced technologies, including a high-speed vibrational system, air blowers, and conveyors, which work together to gently remove the fruit from the trees and transport it to collection bins. The machine is also designed to be environmentally friendly, reducing the amount of waste and damage caused to the trees during harvesting. Overall, the White Shark DGF80 is a powerful tool for farmers looking to improve their efficiency and reduce labor costs in the harvesting of olives and other tree crops.</t>
  </si>
  <si>
    <t>https://www.mascus.co.uk/agriculture/used-olive-harvesting-machines/white-shark-dgf80/oglotoxh.html</t>
  </si>
  <si>
    <t>fruits(olive,almonds,walnuts</t>
  </si>
  <si>
    <t xml:space="preserve">19.000 euros </t>
  </si>
  <si>
    <t>White shark WS 332-86 RC</t>
  </si>
  <si>
    <t>The White Shark Olove Pickers is a smart harvesting machine developed by White Shark for use in harvesting olives. The machine is designed to be highly efficient and can harvest up to 200 kg of olives per hour, reducing labor costs and improving productivity. The White Shark Olove Pickers features a range of advanced technologies, including a combing system that gently removes the olives from the trees and transport them to a collection bin. The machine is also designed to be environmentally friendly, reducing the amount of waste and damage caused to the trees during harvesting. Overall, the White Shark Olove Pickers is a powerful tool for farmers looking to improve their efficiency and reduce labor costs in the harvesting of olives.</t>
  </si>
  <si>
    <t>Olives</t>
  </si>
  <si>
    <t>19.000 euros</t>
  </si>
  <si>
    <t>XAG R150</t>
  </si>
  <si>
    <t>The XAG R150 is an innovative unmanned ground vehicle designed for agricultural use. With its modular design and multiple modes of operation, it offers precision spraying, crop mapping, and on-farm transfer capabilities. The robot's high-speed turbine injection system provides accurate and efficient spraying, while its all-wheel drive and strong momentum allow it to adapt to any type of terrain. The XAG R150 also features GPS RTK precision navigation and autonomous precision guidance, making it a safe and reliable option for farmers. Equipped with the XAG JetSprayer ™ System, the robot can perform fully autonomous spraying with a maximum productivity of around 50 rpm. Its high-pressure turbines emit a focused, high-velocity airflow that can spray spray liquid into micron-level particles, directly on target areas, making it an ideal solution for precision agriculture.</t>
  </si>
  <si>
    <t>30.000 euros</t>
  </si>
  <si>
    <t>Rometron WEED-IT</t>
  </si>
  <si>
    <t xml:space="preserve">Rometron </t>
  </si>
  <si>
    <t>Since 1999, WEED-IT is the most accurate, fastest and most easy to use weed detection and elimination technology available. By spraying only weeds, it helps you save up to 90% on chemical costs</t>
  </si>
  <si>
    <t>https://www.weedit.com.au/</t>
  </si>
  <si>
    <t xml:space="preserve">Arable </t>
  </si>
  <si>
    <t xml:space="preserve">6,500 euros </t>
  </si>
  <si>
    <t xml:space="preserve">90% save on chemical costs, 50-70% save on herbicides used </t>
  </si>
  <si>
    <t>connection</t>
  </si>
  <si>
    <t>ISO BUS CONTROL</t>
  </si>
  <si>
    <t>Agrotopo</t>
  </si>
  <si>
    <t>Το ISOBUS,συντομογραφία του ISO 11783 , είναι ένα ανοιχτό πρότυπο διεθνούς επικοινωνίας που χρησιμοποιείται από τη γεωργική και δασική βιομηχανία. Πιστοποιημένο από τοAgricultural Industry Electronics Foundation (AEF), ορίζεται επίσημα ως τρακτέρ και μηχανήματα για τη γεωργία και τη δασοκομία - Δίκτυο πληροφοριών σειριακού ελέγχου και επικοινωνιών.</t>
  </si>
  <si>
    <t>http://agrotopo.eu/product?productid=2775</t>
  </si>
  <si>
    <t>950 euros</t>
  </si>
  <si>
    <t>multipurpose</t>
  </si>
  <si>
    <t>ROBOTTI 150D</t>
  </si>
  <si>
    <t>Agrointelli</t>
  </si>
  <si>
    <t xml:space="preserve">A powerful field robot for power intensive operations, with 2 engines, a PTO and traditional diesel-hydraulic setup. It is the initial product of AGROINTELLI, blazing a trail for the ROBOTTI platform, operating already in more than 15 countries. </t>
  </si>
  <si>
    <t>https://agrointelli.com/</t>
  </si>
  <si>
    <t>Arable</t>
  </si>
  <si>
    <t>187.000 euros</t>
  </si>
  <si>
    <t xml:space="preserve">Platform </t>
  </si>
  <si>
    <t>Purpose (For:)</t>
  </si>
  <si>
    <t>INVESTMENT Cost Calculator Module</t>
  </si>
  <si>
    <t>YIELD Increase Calculator Module</t>
  </si>
  <si>
    <t>Revenue Increase Calculator Module</t>
  </si>
  <si>
    <t>FERTILIZER Use Reduction Calculator Module</t>
  </si>
  <si>
    <t>WATER Use Reduction Calculator  Module</t>
  </si>
  <si>
    <t>PECTICIDE Use Reduction Calculator Module</t>
  </si>
  <si>
    <t>LABOR Cost Reduction Calculator Module</t>
  </si>
  <si>
    <t>FUEL Cost Reduction Calculator Module</t>
  </si>
  <si>
    <t xml:space="preserve">Crop DATS Investment Decision Calculator Module                        </t>
  </si>
  <si>
    <t>COST INFO</t>
  </si>
  <si>
    <t>YEARS OF USAGE
(input provided by the user)</t>
  </si>
  <si>
    <t>Initial cost of Investment (€)
(Known value from system)</t>
  </si>
  <si>
    <t>Subscription Cost for 1ha (€)
(Known value from system)</t>
  </si>
  <si>
    <t>Monthly Subscription Cost (€)
(Known value from system)</t>
  </si>
  <si>
    <t>Annual Subscription Cost (€)
(Known value from system)</t>
  </si>
  <si>
    <r>
      <rPr>
        <rFont val="Arial"/>
        <b/>
        <color theme="1"/>
        <sz val="10.0"/>
      </rPr>
      <t>Depreciation (i.e.,the annual reduction in the intial value of a tangible fixed asset)</t>
    </r>
    <r>
      <rPr>
        <rFont val="Arial"/>
        <color theme="1"/>
        <sz val="10.0"/>
      </rPr>
      <t xml:space="preserve"> (€)/year
(Result shown after using the calculator module)</t>
    </r>
  </si>
  <si>
    <r>
      <rPr>
        <rFont val="Arial"/>
        <b/>
        <color theme="1"/>
        <sz val="10.0"/>
      </rPr>
      <t xml:space="preserve">Maintainance Costs </t>
    </r>
    <r>
      <rPr>
        <rFont val="Arial"/>
        <color theme="1"/>
        <sz val="10.0"/>
      </rPr>
      <t>(€)/year
(Known value from system)</t>
    </r>
  </si>
  <si>
    <t>Number of Units (sensors etc.)
(input provided by the user)</t>
  </si>
  <si>
    <r>
      <rPr>
        <rFont val="Arial"/>
        <b/>
        <color theme="1"/>
      </rPr>
      <t>Total Initial cost of DATS Purchase</t>
    </r>
    <r>
      <rPr>
        <rFont val="Arial"/>
        <color theme="1"/>
      </rPr>
      <t xml:space="preserve">
(Result shown after using the calculator module)</t>
    </r>
  </si>
  <si>
    <t>Total Area (ha)
(input provided by the user)</t>
  </si>
  <si>
    <t>Yield increase (%)
(Known value from system)</t>
  </si>
  <si>
    <t>Current Yield (tons/ha)
(input provided by the user)</t>
  </si>
  <si>
    <t>Market Price (€/ 1ton)
(input provided by the user)</t>
  </si>
  <si>
    <t>Current Revenue (€ in 1 year)
(Result shown after using the calculator module)</t>
  </si>
  <si>
    <t>Increased Yield (tons/ha)
(Result shown after using the calculator module)</t>
  </si>
  <si>
    <t>Price of Increased Yield (€/ ha)
(Result shown after using the calculator module)</t>
  </si>
  <si>
    <t>Increased Revenue (€ in 1 year)
(Result shown after using the calculator module)</t>
  </si>
  <si>
    <t>Fertilization saving (%)
(Known value from system)</t>
  </si>
  <si>
    <t>Current fertilizer usage (Kg/ ha)
(input provided by the user)</t>
  </si>
  <si>
    <t>Current Fertilizer Cost (€/ 1 Kg)
(input provided by the user)</t>
  </si>
  <si>
    <t>Current Fertilization Cost (€/ ha)
(Result shown after using the calculator module)</t>
  </si>
  <si>
    <t>Reduced Fertilizer usage (kg/ha)
(Result shown after using the calculator module)</t>
  </si>
  <si>
    <t>Fertilizer cost savings (€/ ha)
(Result shown after using the calculator module)</t>
  </si>
  <si>
    <t>Fertilization cost saving (€ in 1 year)
(Result shown after using the calculator module)</t>
  </si>
  <si>
    <t>Water saving (%)
(Known value from system)</t>
  </si>
  <si>
    <t>Current water usage (m3/ha)
(input provided by the user)</t>
  </si>
  <si>
    <t>Current water cost (€/ m3)
(input provided by the user)</t>
  </si>
  <si>
    <t>Current Irrigation Cost (€/ ha)
(Result shown after using the calculator module)</t>
  </si>
  <si>
    <t>Reduced water usage (m3/ha)
(Result shown after using the calculator module)</t>
  </si>
  <si>
    <t>Water cost savings  (€/ ha)
(Result shown after using the calculator module)</t>
  </si>
  <si>
    <t>Water cost savings  (€ in 1 year)
(Result shown after using the calculator module)</t>
  </si>
  <si>
    <t>Pesticide saving (%)
(Known value from system)</t>
  </si>
  <si>
    <t>Current pestcide usage (kg or lt/ ha)
(input provided by the user)</t>
  </si>
  <si>
    <t>Current pesticide cost (€/ kg or lt)
(input provided by the user)</t>
  </si>
  <si>
    <t>Current pesticide cost (€/ ha)</t>
  </si>
  <si>
    <t>Reduced pesticide usage (kg or lt /ha)
(Result shown after using the calculator module)</t>
  </si>
  <si>
    <t>Pesticide cost saving (€/ ha)
(Result shown after using the calculator module)</t>
  </si>
  <si>
    <t>Pesticide cost savings (€ in 1 year)
(Result shown after using the calculator module)</t>
  </si>
  <si>
    <t>Labor saving (%)
(Known value from system)</t>
  </si>
  <si>
    <t>Current Labor Cost (€ in 1 year)
(input provided by the user)</t>
  </si>
  <si>
    <t>Labor cost savings  (€ in 1 year)</t>
  </si>
  <si>
    <t>Fuel Saving (%)
(Known value from system)</t>
  </si>
  <si>
    <t>Current Fuel Cost (€ in 1 year)
(input provided by the user)</t>
  </si>
  <si>
    <t>Fuel cost savings  (€ in 1 year)
(Result shown after using the calculator module)</t>
  </si>
  <si>
    <t>Annual change in Net Income  (€)
(annual total Impact (including addtional annual OPEX[e.g., Subscriptions, Maintenance,etc.]) with DATS usage  
(Result shown after using the calculator module)</t>
  </si>
  <si>
    <r>
      <rPr>
        <rFont val="Arial"/>
        <b/>
        <color theme="1"/>
        <sz val="11.0"/>
      </rPr>
      <t xml:space="preserve">Annual ROI (%) 
(Annual change in Net Income / initial cost of the equipment)
</t>
    </r>
    <r>
      <rPr>
        <rFont val="Arial"/>
        <b val="0"/>
        <color theme="1"/>
        <sz val="11.0"/>
      </rPr>
      <t>(Result shown after using the calculator module)</t>
    </r>
  </si>
  <si>
    <r>
      <rPr>
        <rFont val="Calibri"/>
        <b/>
        <color theme="1"/>
        <sz val="11.0"/>
      </rPr>
      <t xml:space="preserve">Payback Period (years)
</t>
    </r>
    <r>
      <rPr>
        <rFont val="Calibri"/>
        <b val="0"/>
        <color theme="1"/>
        <sz val="11.0"/>
      </rPr>
      <t>(Result shown after using the calculator module)</t>
    </r>
  </si>
  <si>
    <r>
      <rPr>
        <rFont val="Calibri"/>
        <b/>
        <color theme="1"/>
        <sz val="11.0"/>
      </rPr>
      <t xml:space="preserve">Is the DAT Beneficial? 
(6 year payback period threshold)
</t>
    </r>
    <r>
      <rPr>
        <rFont val="Calibri"/>
        <b val="0"/>
        <color theme="1"/>
        <sz val="11.0"/>
      </rPr>
      <t>(Result shown after using the calculator module)</t>
    </r>
  </si>
  <si>
    <t xml:space="preserve">Plantae </t>
  </si>
  <si>
    <t xml:space="preserve">700 euro/year </t>
  </si>
  <si>
    <t>Zen -Irriware</t>
  </si>
  <si>
    <t>AgriTask</t>
  </si>
  <si>
    <t>20-30 euros/year</t>
  </si>
  <si>
    <t xml:space="preserve">Irrigation pro </t>
  </si>
  <si>
    <t xml:space="preserve">IrrigationPro </t>
  </si>
  <si>
    <t xml:space="preserve">200 euros </t>
  </si>
  <si>
    <t>iFarma - Basic</t>
  </si>
  <si>
    <t xml:space="preserve">Agrostis </t>
  </si>
  <si>
    <t xml:space="preserve">180 euros/year </t>
  </si>
  <si>
    <t>iFarma - Pro</t>
  </si>
  <si>
    <t xml:space="preserve"> 340/year</t>
  </si>
  <si>
    <t xml:space="preserve">navfarm </t>
  </si>
  <si>
    <t xml:space="preserve">Navfarm </t>
  </si>
  <si>
    <t xml:space="preserve">20 euros/month </t>
  </si>
  <si>
    <t xml:space="preserve">All </t>
  </si>
  <si>
    <t xml:space="preserve">Granular </t>
  </si>
  <si>
    <t xml:space="preserve">Corteva </t>
  </si>
  <si>
    <t xml:space="preserve">70 euros/year </t>
  </si>
  <si>
    <t xml:space="preserve">30 euros/month </t>
  </si>
  <si>
    <t>NMP Online</t>
  </si>
  <si>
    <t xml:space="preserve">250 euros/year </t>
  </si>
  <si>
    <t>EOS Crop Monitoring</t>
  </si>
  <si>
    <t xml:space="preserve">all </t>
  </si>
  <si>
    <t xml:space="preserve">950 euros/year </t>
  </si>
  <si>
    <t>My Irrigation</t>
  </si>
  <si>
    <t xml:space="preserve">60 euros/year </t>
  </si>
  <si>
    <t xml:space="preserve">6 euros/ha </t>
  </si>
  <si>
    <t xml:space="preserve">500 euros/year </t>
  </si>
  <si>
    <t>INCOMAND 1200</t>
  </si>
  <si>
    <t xml:space="preserve">6.300 euros </t>
  </si>
  <si>
    <t xml:space="preserve">3,300 euros </t>
  </si>
  <si>
    <t xml:space="preserve">6.290 euros </t>
  </si>
  <si>
    <t xml:space="preserve">5.100 euros </t>
  </si>
  <si>
    <t>849 euros</t>
  </si>
  <si>
    <t>GPS Guidance system</t>
  </si>
  <si>
    <t xml:space="preserve">1.500 euros </t>
  </si>
  <si>
    <t>Smartakis</t>
  </si>
  <si>
    <t>10.000- 25.000 euros</t>
  </si>
  <si>
    <t xml:space="preserve">Tractor Implement Automation </t>
  </si>
  <si>
    <t>Autosteering-FMIS</t>
  </si>
  <si>
    <t xml:space="preserve">AgriBus </t>
  </si>
  <si>
    <t xml:space="preserve">1.100 euros </t>
  </si>
  <si>
    <t xml:space="preserve">Autosteering </t>
  </si>
  <si>
    <t xml:space="preserve">4.320 euros </t>
  </si>
  <si>
    <t xml:space="preserve">4.100 euros </t>
  </si>
  <si>
    <t>Autosteering- VRA seed and fertilizer</t>
  </si>
  <si>
    <t xml:space="preserve">Topcon </t>
  </si>
  <si>
    <t xml:space="preserve">15.000-25.000 euros </t>
  </si>
  <si>
    <t xml:space="preserve">15.000 euros </t>
  </si>
  <si>
    <t xml:space="preserve">REBEL </t>
  </si>
  <si>
    <t xml:space="preserve">7.000 euros </t>
  </si>
  <si>
    <t xml:space="preserve">6.000 euros </t>
  </si>
  <si>
    <t>Management Zones</t>
  </si>
  <si>
    <t xml:space="preserve">260 euros/year </t>
  </si>
  <si>
    <t xml:space="preserve">22.300 euros </t>
  </si>
  <si>
    <t xml:space="preserve">spraying </t>
  </si>
  <si>
    <t xml:space="preserve">3.000 euros </t>
  </si>
  <si>
    <t xml:space="preserve">2.500 euros </t>
  </si>
  <si>
    <t xml:space="preserve">7.000-12.000 euros </t>
  </si>
  <si>
    <t xml:space="preserve">planting and fertilization </t>
  </si>
  <si>
    <t xml:space="preserve">SeedStar XP System </t>
  </si>
  <si>
    <t>10.000-20.000 euros</t>
  </si>
  <si>
    <t xml:space="preserve">pesticide application </t>
  </si>
  <si>
    <t xml:space="preserve">OptiSpray </t>
  </si>
  <si>
    <t xml:space="preserve">Lemken </t>
  </si>
  <si>
    <t xml:space="preserve">arable </t>
  </si>
  <si>
    <t xml:space="preserve">15.000-30.000 euros </t>
  </si>
  <si>
    <t xml:space="preserve">seed and fertilizer application </t>
  </si>
  <si>
    <t xml:space="preserve">'X30'' Platform </t>
  </si>
  <si>
    <t xml:space="preserve">5.000-10.000 euros </t>
  </si>
  <si>
    <t>irrigation</t>
  </si>
  <si>
    <t xml:space="preserve">UgMO Soil Moisture Sensor System </t>
  </si>
  <si>
    <t xml:space="preserve">Micasense </t>
  </si>
  <si>
    <t xml:space="preserve">15.500-16.000 euros </t>
  </si>
  <si>
    <t xml:space="preserve">9-10.000 euros </t>
  </si>
  <si>
    <t>MOnitoring</t>
  </si>
  <si>
    <t xml:space="preserve">1.600-2.000 euros </t>
  </si>
  <si>
    <t xml:space="preserve">6.000-7.000 euros </t>
  </si>
  <si>
    <t xml:space="preserve">eBee Ag </t>
  </si>
  <si>
    <t xml:space="preserve">12.000 euros </t>
  </si>
  <si>
    <t xml:space="preserve">efarmer </t>
  </si>
  <si>
    <t>RTK</t>
  </si>
  <si>
    <t xml:space="preserve">Dragino </t>
  </si>
  <si>
    <t xml:space="preserve">115 euros </t>
  </si>
  <si>
    <t xml:space="preserve">900 euros </t>
  </si>
  <si>
    <t>Farm TRX</t>
  </si>
  <si>
    <t xml:space="preserve">165 euros </t>
  </si>
  <si>
    <t xml:space="preserve">rootwave </t>
  </si>
  <si>
    <t xml:space="preserve">18.000 euros </t>
  </si>
  <si>
    <t>Agriculture – Cereals (robot)</t>
  </si>
  <si>
    <t>€3,500 to €5,800</t>
  </si>
  <si>
    <t>10.000 to 30.000 euros</t>
  </si>
  <si>
    <t xml:space="preserve">950 euros </t>
  </si>
  <si>
    <t xml:space="preserve">multipurpose </t>
  </si>
  <si>
    <t xml:space="preserve">Agrointelli </t>
  </si>
  <si>
    <t xml:space="preserve">187.000 euros </t>
  </si>
  <si>
    <t xml:space="preserve">ROBOVATOR </t>
  </si>
  <si>
    <t xml:space="preserve">VISIONWEEDING </t>
  </si>
  <si>
    <t xml:space="preserve">80.000 euros </t>
  </si>
  <si>
    <t xml:space="preserve">weeding </t>
  </si>
  <si>
    <t>Naio Technologies Oz field robot</t>
  </si>
  <si>
    <t xml:space="preserve">Naio Technologies </t>
  </si>
  <si>
    <t xml:space="preserve">350-480 euros/month </t>
  </si>
  <si>
    <t xml:space="preserve">6.500 euros </t>
  </si>
  <si>
    <r>
      <rPr>
        <rFont val="Arial"/>
        <b/>
        <color theme="1"/>
        <sz val="10.0"/>
      </rPr>
      <t>Depreciation (i.e.,the annual reduction in the intial value of a tangible fixed asset)</t>
    </r>
    <r>
      <rPr>
        <rFont val="Arial"/>
        <color theme="1"/>
        <sz val="10.0"/>
      </rPr>
      <t xml:space="preserve"> (€)/year
(Result shown after using the calculator module)</t>
    </r>
  </si>
  <si>
    <r>
      <rPr>
        <rFont val="Arial"/>
        <b/>
        <color theme="1"/>
        <sz val="10.0"/>
      </rPr>
      <t xml:space="preserve">Maintainance Costs </t>
    </r>
    <r>
      <rPr>
        <rFont val="Arial"/>
        <color theme="1"/>
        <sz val="10.0"/>
      </rPr>
      <t>(€)/year
(Known value from system)</t>
    </r>
  </si>
  <si>
    <r>
      <rPr>
        <rFont val="Arial"/>
        <b/>
        <color theme="1"/>
      </rPr>
      <t>Total Initial cost of DATS Purchase</t>
    </r>
    <r>
      <rPr>
        <rFont val="Arial"/>
        <color theme="1"/>
      </rPr>
      <t xml:space="preserve">
(Result shown after using the calculator module)</t>
    </r>
  </si>
  <si>
    <r>
      <rPr>
        <rFont val="Arial"/>
        <b/>
        <color theme="1"/>
        <sz val="11.0"/>
      </rPr>
      <t xml:space="preserve">Annual ROI (%) 
(Annual change in Net Income / initial cost of the equipment)
</t>
    </r>
    <r>
      <rPr>
        <rFont val="Arial"/>
        <b val="0"/>
        <color theme="1"/>
        <sz val="11.0"/>
      </rPr>
      <t>(Result shown after using the calculator module)</t>
    </r>
  </si>
  <si>
    <r>
      <rPr>
        <rFont val="Calibri"/>
        <b/>
        <color theme="1"/>
        <sz val="11.0"/>
      </rPr>
      <t xml:space="preserve">Payback Period (years)
</t>
    </r>
    <r>
      <rPr>
        <rFont val="Calibri"/>
        <b val="0"/>
        <color theme="1"/>
        <sz val="11.0"/>
      </rPr>
      <t>(Result shown after using the calculator module)</t>
    </r>
  </si>
  <si>
    <r>
      <rPr>
        <rFont val="Calibri"/>
        <b/>
        <color theme="1"/>
        <sz val="11.0"/>
      </rPr>
      <t xml:space="preserve">Is the DAT Beneficial? 
(6 year payback period threshold)
</t>
    </r>
    <r>
      <rPr>
        <rFont val="Calibri"/>
        <b val="0"/>
        <color theme="1"/>
        <sz val="11.0"/>
      </rPr>
      <t>(Result shown after using the calculator module)</t>
    </r>
  </si>
  <si>
    <t>180 euros/year for basic</t>
  </si>
  <si>
    <t>iFarma- Pro</t>
  </si>
  <si>
    <t>340/year for pro</t>
  </si>
  <si>
    <t xml:space="preserve">3.300 euros </t>
  </si>
  <si>
    <t xml:space="preserve">1000 euros/year </t>
  </si>
  <si>
    <t>AUtosteering</t>
  </si>
  <si>
    <t>Trimple</t>
  </si>
  <si>
    <t xml:space="preserve">10.000 euros </t>
  </si>
  <si>
    <t>Agribus</t>
  </si>
  <si>
    <t xml:space="preserve">Autosteering- VRA seed and fertilizer </t>
  </si>
  <si>
    <t xml:space="preserve">System 350 with X30 Control Console </t>
  </si>
  <si>
    <t xml:space="preserve">Teagle </t>
  </si>
  <si>
    <t xml:space="preserve">pesticide and fertilizer application </t>
  </si>
  <si>
    <t>7.000-12.000 euros</t>
  </si>
  <si>
    <t xml:space="preserve">'X30'' platform </t>
  </si>
  <si>
    <t xml:space="preserve">Altum-PT </t>
  </si>
  <si>
    <t xml:space="preserve">9.000-10.000 euros </t>
  </si>
  <si>
    <t>Sensoterra</t>
  </si>
  <si>
    <t xml:space="preserve">30.000 euros </t>
  </si>
  <si>
    <t>White Shark Olove Pickers</t>
  </si>
  <si>
    <t>19.000 euros + vat</t>
  </si>
  <si>
    <t xml:space="preserve">strawberry </t>
  </si>
  <si>
    <t xml:space="preserve">fruits </t>
  </si>
  <si>
    <t xml:space="preserve">14.000 euros </t>
  </si>
  <si>
    <r>
      <rPr>
        <rFont val="Arial"/>
        <b/>
        <color theme="1"/>
        <sz val="10.0"/>
      </rPr>
      <t>Depreciation (i.e.,the annual reduction in the intial value of a tangible fixed asset)</t>
    </r>
    <r>
      <rPr>
        <rFont val="Arial"/>
        <color theme="1"/>
        <sz val="10.0"/>
      </rPr>
      <t xml:space="preserve"> (€)/year
(Result shown after using the calculator module)</t>
    </r>
  </si>
  <si>
    <r>
      <rPr>
        <rFont val="Arial"/>
        <b/>
        <color theme="1"/>
        <sz val="10.0"/>
      </rPr>
      <t xml:space="preserve">Maintainance Costs </t>
    </r>
    <r>
      <rPr>
        <rFont val="Arial"/>
        <color theme="1"/>
        <sz val="10.0"/>
      </rPr>
      <t>(€)/year
(Known value from system)</t>
    </r>
  </si>
  <si>
    <r>
      <rPr>
        <rFont val="Arial"/>
        <b/>
        <color theme="1"/>
      </rPr>
      <t>Total Initial cost of DATS Purchase</t>
    </r>
    <r>
      <rPr>
        <rFont val="Arial"/>
        <color theme="1"/>
      </rPr>
      <t xml:space="preserve">
(Result shown after using the calculator module)</t>
    </r>
  </si>
  <si>
    <r>
      <rPr>
        <rFont val="Arial"/>
        <b/>
        <color theme="1"/>
        <sz val="11.0"/>
      </rPr>
      <t xml:space="preserve">Annual ROI (%) 
(Annual change in Net Income / initial cost of the equipment)
</t>
    </r>
    <r>
      <rPr>
        <rFont val="Arial"/>
        <b val="0"/>
        <color theme="1"/>
        <sz val="11.0"/>
      </rPr>
      <t>(Result shown after using the calculator module)</t>
    </r>
  </si>
  <si>
    <r>
      <rPr>
        <rFont val="Calibri"/>
        <b/>
        <color theme="1"/>
        <sz val="11.0"/>
      </rPr>
      <t xml:space="preserve">Payback Period (years)
</t>
    </r>
    <r>
      <rPr>
        <rFont val="Calibri"/>
        <b val="0"/>
        <color theme="1"/>
        <sz val="11.0"/>
      </rPr>
      <t>(Result shown after using the calculator module)</t>
    </r>
  </si>
  <si>
    <r>
      <rPr>
        <rFont val="Calibri"/>
        <b/>
        <color theme="1"/>
        <sz val="11.0"/>
      </rPr>
      <t xml:space="preserve">Is the DAT Beneficial? 
(6 year payback period threshold)
</t>
    </r>
    <r>
      <rPr>
        <rFont val="Calibri"/>
        <b val="0"/>
        <color theme="1"/>
        <sz val="11.0"/>
      </rPr>
      <t>(Result shown after using the calculator module)</t>
    </r>
  </si>
  <si>
    <t>Agritask</t>
  </si>
  <si>
    <t xml:space="preserve">Multipurpose- DSS/FMIS </t>
  </si>
  <si>
    <t>340 euro/year</t>
  </si>
  <si>
    <t xml:space="preserve">GPS Guidance system </t>
  </si>
  <si>
    <t xml:space="preserve">Trimple </t>
  </si>
  <si>
    <t>Reacting or VRT</t>
  </si>
  <si>
    <t>Management zones</t>
  </si>
  <si>
    <t xml:space="preserve">RTK </t>
  </si>
  <si>
    <t xml:space="preserve">2,500 euros </t>
  </si>
  <si>
    <t>Robotic Systems or Smart Machines</t>
  </si>
  <si>
    <t xml:space="preserve">35.000 euros </t>
  </si>
  <si>
    <t xml:space="preserve">Naio technologies </t>
  </si>
  <si>
    <r>
      <rPr>
        <rFont val="Arial"/>
        <b/>
        <color theme="1"/>
        <sz val="10.0"/>
      </rPr>
      <t>Depreciation (i.e.,the annual reduction in the intial value of a tangible fixed asset)</t>
    </r>
    <r>
      <rPr>
        <rFont val="Arial"/>
        <color theme="1"/>
        <sz val="10.0"/>
      </rPr>
      <t xml:space="preserve"> (€)/year
(Result shown after using the calculator module)</t>
    </r>
  </si>
  <si>
    <r>
      <rPr>
        <rFont val="Arial"/>
        <b/>
        <color theme="1"/>
        <sz val="10.0"/>
      </rPr>
      <t xml:space="preserve">Maintainance Costs </t>
    </r>
    <r>
      <rPr>
        <rFont val="Arial"/>
        <color theme="1"/>
        <sz val="10.0"/>
      </rPr>
      <t>(€)/year
(Known value from system)</t>
    </r>
  </si>
  <si>
    <r>
      <rPr>
        <rFont val="Arial"/>
        <b/>
        <color theme="1"/>
      </rPr>
      <t>Total Initial cost of DATS Purchase</t>
    </r>
    <r>
      <rPr>
        <rFont val="Arial"/>
        <color theme="1"/>
      </rPr>
      <t xml:space="preserve">
(Result shown after using the calculator module)</t>
    </r>
  </si>
  <si>
    <r>
      <rPr>
        <rFont val="Arial"/>
        <b/>
        <color theme="1"/>
        <sz val="11.0"/>
      </rPr>
      <t xml:space="preserve">Annual ROI (%) 
(Annual change in Net Income / initial cost of the equipment)
</t>
    </r>
    <r>
      <rPr>
        <rFont val="Arial"/>
        <b val="0"/>
        <color theme="1"/>
        <sz val="11.0"/>
      </rPr>
      <t>(Result shown after using the calculator module)</t>
    </r>
  </si>
  <si>
    <r>
      <rPr>
        <rFont val="Calibri"/>
        <b/>
        <color theme="1"/>
        <sz val="11.0"/>
      </rPr>
      <t xml:space="preserve">Payback Period (years)
</t>
    </r>
    <r>
      <rPr>
        <rFont val="Calibri"/>
        <b val="0"/>
        <color theme="1"/>
        <sz val="11.0"/>
      </rPr>
      <t>(Result shown after using the calculator module)</t>
    </r>
  </si>
  <si>
    <r>
      <rPr>
        <rFont val="Calibri"/>
        <b/>
        <color theme="1"/>
        <sz val="11.0"/>
      </rPr>
      <t xml:space="preserve">Is the DAT Beneficial? 
(6 year payback period threshold)
</t>
    </r>
    <r>
      <rPr>
        <rFont val="Calibri"/>
        <b val="0"/>
        <color theme="1"/>
        <sz val="11.0"/>
      </rPr>
      <t>(Result shown after using the calculator module)</t>
    </r>
  </si>
  <si>
    <t>180 euros/year</t>
  </si>
  <si>
    <t xml:space="preserve">340euros/year </t>
  </si>
  <si>
    <t>Multipurpose-DSS/FMIS</t>
  </si>
  <si>
    <t xml:space="preserve">Universidad de Almeria </t>
  </si>
  <si>
    <t xml:space="preserve">EOS Crop Monitoring </t>
  </si>
  <si>
    <t xml:space="preserve">TRUAS TrueAgriculturalSensing </t>
  </si>
  <si>
    <t xml:space="preserve">700 euros/year </t>
  </si>
  <si>
    <t xml:space="preserve">AgriTask </t>
  </si>
  <si>
    <t xml:space="preserve">20-30 euros/year </t>
  </si>
  <si>
    <t>12.500 euros</t>
  </si>
  <si>
    <t>arable, vegetables, row crops</t>
  </si>
  <si>
    <t xml:space="preserve">10.000-20.000 euros </t>
  </si>
  <si>
    <t xml:space="preserve">Altum- PT </t>
  </si>
  <si>
    <t>1.600-2000 euros</t>
  </si>
  <si>
    <t>12000 euros</t>
  </si>
  <si>
    <t>7000 euros</t>
  </si>
  <si>
    <t>2500 euros</t>
  </si>
  <si>
    <t xml:space="preserve">Tractor GPS </t>
  </si>
  <si>
    <t>weeding and thinning</t>
  </si>
  <si>
    <r>
      <rPr>
        <rFont val="Arial"/>
        <b/>
        <color theme="1"/>
        <sz val="10.0"/>
      </rPr>
      <t>Depreciation (i.e.,the annual reduction in the intial value of a tangible fixed asset)</t>
    </r>
    <r>
      <rPr>
        <rFont val="Arial"/>
        <color theme="1"/>
        <sz val="10.0"/>
      </rPr>
      <t xml:space="preserve"> (€)/year
(Result shown after using the calculator module)</t>
    </r>
  </si>
  <si>
    <r>
      <rPr>
        <rFont val="Arial"/>
        <b/>
        <color theme="1"/>
        <sz val="10.0"/>
      </rPr>
      <t xml:space="preserve">Maintainance Costs </t>
    </r>
    <r>
      <rPr>
        <rFont val="Arial"/>
        <color theme="1"/>
        <sz val="10.0"/>
      </rPr>
      <t>(€)/year
(Known value from system)</t>
    </r>
  </si>
  <si>
    <r>
      <rPr>
        <rFont val="Arial"/>
        <b/>
        <color theme="1"/>
      </rPr>
      <t>Total Initial cost of DATS Purchase</t>
    </r>
    <r>
      <rPr>
        <rFont val="Arial"/>
        <color theme="1"/>
      </rPr>
      <t xml:space="preserve">
(Result shown after using the calculator module)</t>
    </r>
  </si>
  <si>
    <r>
      <rPr>
        <rFont val="Arial"/>
        <b/>
        <color theme="1"/>
        <sz val="11.0"/>
      </rPr>
      <t xml:space="preserve">Annual ROI (%) 
(Annual change in Net Income / initial cost of the equipment)
</t>
    </r>
    <r>
      <rPr>
        <rFont val="Arial"/>
        <b val="0"/>
        <color theme="1"/>
        <sz val="11.0"/>
      </rPr>
      <t>(Result shown after using the calculator module)</t>
    </r>
  </si>
  <si>
    <r>
      <rPr>
        <rFont val="Calibri"/>
        <b/>
        <color theme="1"/>
        <sz val="11.0"/>
      </rPr>
      <t xml:space="preserve">Payback Period (years)
</t>
    </r>
    <r>
      <rPr>
        <rFont val="Calibri"/>
        <b val="0"/>
        <color theme="1"/>
        <sz val="11.0"/>
      </rPr>
      <t>(Result shown after using the calculator module)</t>
    </r>
  </si>
  <si>
    <r>
      <rPr>
        <rFont val="Calibri"/>
        <b/>
        <color theme="1"/>
        <sz val="11.0"/>
      </rPr>
      <t xml:space="preserve">Is the DAT Beneficial? 
(6 year payback period threshold)
</t>
    </r>
    <r>
      <rPr>
        <rFont val="Calibri"/>
        <b val="0"/>
        <color theme="1"/>
        <sz val="11.0"/>
      </rPr>
      <t>(Result shown after using the calculator module)</t>
    </r>
  </si>
  <si>
    <t>700 euros/year</t>
  </si>
  <si>
    <t xml:space="preserve">340 euros/year </t>
  </si>
  <si>
    <t>Ag Leader</t>
  </si>
  <si>
    <t xml:space="preserve">Trimble Ag Software </t>
  </si>
  <si>
    <t xml:space="preserve">AutoTrac Controller </t>
  </si>
  <si>
    <t xml:space="preserve">GPS Guidance System </t>
  </si>
  <si>
    <t xml:space="preserve">Trimble </t>
  </si>
  <si>
    <t xml:space="preserve">Irrigation </t>
  </si>
  <si>
    <t xml:space="preserve">Mapping </t>
  </si>
  <si>
    <t xml:space="preserve">Toro Precision Soil Moisture Sensor </t>
  </si>
  <si>
    <t xml:space="preserve">Toro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</si>
</sst>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1]"/>
    <numFmt numFmtId="165" formatCode="d\.m"/>
  </numFmts>
  <fonts count="16">
    <font>
      <sz val="10.0"/>
      <color rgb="FF000000"/>
      <name val="Arial"/>
      <scheme val="minor"/>
    </font>
    <font>
      <sz val="10.0"/>
      <color theme="1"/>
      <name val="Arial"/>
    </font>
    <font>
      <u/>
      <sz val="10.0"/>
      <color rgb="FF0000FF"/>
      <name val="Arial"/>
    </font>
    <font/>
    <font>
      <u/>
      <sz val="10.0"/>
      <color rgb="FF1155CC"/>
      <name val="Arial"/>
    </font>
    <font>
      <u/>
      <sz val="10.0"/>
      <color rgb="FF0000FF"/>
      <name val="Arial"/>
    </font>
    <font>
      <u/>
      <sz val="10.0"/>
      <color rgb="FF0000FF"/>
      <name val="Arial"/>
    </font>
    <font>
      <u/>
      <sz val="10.0"/>
      <color rgb="FF1155CC"/>
      <name val="Arial"/>
    </font>
    <font>
      <sz val="11.0"/>
      <color theme="1"/>
      <name val="Calibri"/>
    </font>
    <font>
      <u/>
      <sz val="11.0"/>
      <color rgb="FF0563C1"/>
      <name val="Arial"/>
    </font>
    <font>
      <sz val="10.0"/>
      <color rgb="FF000000"/>
      <name val="Arial"/>
    </font>
    <font>
      <color theme="1"/>
      <name val="Arial"/>
    </font>
    <font>
      <b/>
      <sz val="11.0"/>
      <color theme="1"/>
      <name val="Calibri"/>
    </font>
    <font>
      <b/>
      <sz val="11.0"/>
      <color theme="1"/>
      <name val="Arial"/>
    </font>
    <font>
      <sz val="12.0"/>
      <color rgb="FF121212"/>
      <name val="Assistant"/>
    </font>
    <font>
      <sz val="10.0"/>
      <color rgb="FF000000"/>
      <name val="Roboto"/>
    </font>
  </fonts>
  <fills count="15">
    <fill>
      <patternFill patternType="none"/>
    </fill>
    <fill>
      <patternFill patternType="lightGray"/>
    </fill>
    <fill>
      <patternFill patternType="solid">
        <fgColor rgb="FFD2F1DA"/>
        <bgColor rgb="FFD2F1DA"/>
      </patternFill>
    </fill>
    <fill>
      <patternFill patternType="solid">
        <fgColor rgb="FFFFFF00"/>
        <bgColor rgb="FFFFFF00"/>
      </patternFill>
    </fill>
    <fill>
      <patternFill patternType="solid">
        <fgColor rgb="FF00FF00"/>
        <bgColor rgb="FF00FF00"/>
      </patternFill>
    </fill>
    <fill>
      <patternFill patternType="solid">
        <fgColor rgb="FF93C47D"/>
        <bgColor rgb="FF93C47D"/>
      </patternFill>
    </fill>
    <fill>
      <patternFill patternType="solid">
        <fgColor rgb="FFD9D2E9"/>
        <bgColor rgb="FFD9D2E9"/>
      </patternFill>
    </fill>
    <fill>
      <patternFill patternType="solid">
        <fgColor rgb="FFF4CCCC"/>
        <bgColor rgb="FFF4CCCC"/>
      </patternFill>
    </fill>
    <fill>
      <patternFill patternType="solid">
        <fgColor theme="0"/>
        <bgColor theme="0"/>
      </patternFill>
    </fill>
    <fill>
      <patternFill patternType="solid">
        <fgColor rgb="FFD9E2F3"/>
        <bgColor rgb="FFD9E2F3"/>
      </patternFill>
    </fill>
    <fill>
      <patternFill patternType="solid">
        <fgColor rgb="FFFF0000"/>
        <bgColor rgb="FFFF0000"/>
      </patternFill>
    </fill>
    <fill>
      <patternFill patternType="solid">
        <fgColor rgb="FFFFC000"/>
        <bgColor rgb="FFFFC000"/>
      </patternFill>
    </fill>
    <fill>
      <patternFill patternType="solid">
        <fgColor rgb="FFEA9999"/>
        <bgColor rgb="FFEA9999"/>
      </patternFill>
    </fill>
    <fill>
      <patternFill patternType="solid">
        <fgColor rgb="FFB4A7D6"/>
        <bgColor rgb="FFB4A7D6"/>
      </patternFill>
    </fill>
    <fill>
      <patternFill patternType="solid">
        <fgColor rgb="FFFFFFFF"/>
        <bgColor rgb="FFFFFFFF"/>
      </patternFill>
    </fill>
  </fills>
  <borders count="35">
    <border/>
    <border>
      <left/>
      <right/>
      <top/>
      <bottom/>
    </border>
    <border>
      <left style="thin">
        <color rgb="FF000000"/>
      </left>
      <top style="thin">
        <color rgb="FF000000"/>
      </top>
    </border>
    <border>
      <top style="thin">
        <color rgb="FF000000"/>
      </top>
    </border>
    <border>
      <left/>
      <right/>
      <top style="thin">
        <color rgb="FF000000"/>
      </top>
      <bottom/>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left/>
      <right/>
      <top/>
      <bottom style="thin">
        <color rgb="FF000000"/>
      </bottom>
    </border>
    <border>
      <right style="thin">
        <color rgb="FF000000"/>
      </right>
      <bottom style="thin">
        <color rgb="FF000000"/>
      </bottom>
    </border>
    <border>
      <left style="thin">
        <color rgb="FF000000"/>
      </left>
      <top/>
      <bottom/>
    </border>
    <border>
      <top/>
      <bottom/>
    </border>
    <border>
      <right style="thin">
        <color rgb="FF000000"/>
      </right>
      <top/>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left style="thin">
        <color rgb="FF000000"/>
      </left>
      <top style="thin">
        <color rgb="FF000000"/>
      </top>
      <bottom/>
    </border>
    <border>
      <top style="thin">
        <color rgb="FF000000"/>
      </top>
      <bottom/>
    </border>
    <border>
      <right/>
      <top style="thin">
        <color rgb="FF000000"/>
      </top>
      <bottom/>
    </border>
    <border>
      <left/>
      <right style="thin">
        <color rgb="FF000000"/>
      </right>
      <top/>
      <bottom/>
    </border>
    <border>
      <left style="thin">
        <color rgb="FF000000"/>
      </left>
      <right style="thin">
        <color rgb="FF000000"/>
      </right>
      <top style="thin">
        <color rgb="FF000000"/>
      </top>
      <bottom style="medium">
        <color rgb="FF000000"/>
      </bottom>
    </border>
    <border>
      <left style="thin">
        <color rgb="FF000000"/>
      </left>
      <right/>
      <top/>
      <bottom/>
    </border>
    <border>
      <left style="thin">
        <color rgb="FF000000"/>
      </left>
      <right style="thin">
        <color rgb="FF000000"/>
      </right>
      <top/>
      <bottom/>
    </border>
    <border>
      <left style="thin">
        <color rgb="FF000000"/>
      </left>
      <right style="thin">
        <color rgb="FF000000"/>
      </right>
      <top style="thin">
        <color rgb="FF000000"/>
      </top>
    </border>
    <border>
      <left style="thin">
        <color rgb="FF000000"/>
      </left>
      <right/>
      <top style="thin">
        <color rgb="FF000000"/>
      </top>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top/>
      <bottom style="thin">
        <color rgb="FF000000"/>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xf>
    <xf borderId="1" fillId="2" fontId="1" numFmtId="164" xfId="0" applyAlignment="1" applyBorder="1" applyFont="1" applyNumberFormat="1">
      <alignment horizontal="center"/>
    </xf>
    <xf borderId="1" fillId="3" fontId="1" numFmtId="164" xfId="0" applyAlignment="1" applyBorder="1" applyFill="1" applyFont="1" applyNumberFormat="1">
      <alignment horizontal="center"/>
    </xf>
    <xf borderId="1" fillId="4" fontId="1" numFmtId="164" xfId="0" applyAlignment="1" applyBorder="1" applyFill="1" applyFont="1" applyNumberFormat="1">
      <alignment horizontal="center"/>
    </xf>
    <xf borderId="1" fillId="5" fontId="1" numFmtId="164" xfId="0" applyAlignment="1" applyBorder="1" applyFill="1" applyFont="1" applyNumberFormat="1">
      <alignment horizontal="center"/>
    </xf>
    <xf borderId="0" fillId="0" fontId="1" numFmtId="0" xfId="0" applyFont="1"/>
    <xf borderId="2" fillId="0" fontId="1" numFmtId="0" xfId="0" applyAlignment="1" applyBorder="1" applyFont="1">
      <alignment vertical="center"/>
    </xf>
    <xf borderId="3" fillId="0" fontId="1" numFmtId="0" xfId="0" applyBorder="1" applyFont="1"/>
    <xf borderId="4" fillId="6" fontId="2" numFmtId="0" xfId="0" applyBorder="1" applyFill="1" applyFont="1"/>
    <xf borderId="5" fillId="0" fontId="1" numFmtId="0" xfId="0" applyBorder="1" applyFont="1"/>
    <xf borderId="6" fillId="0" fontId="3" numFmtId="0" xfId="0" applyBorder="1" applyFont="1"/>
    <xf borderId="1" fillId="6" fontId="4" numFmtId="0" xfId="0" applyBorder="1" applyFont="1"/>
    <xf borderId="7" fillId="0" fontId="1" numFmtId="0" xfId="0" applyBorder="1" applyFont="1"/>
    <xf borderId="0" fillId="0" fontId="5" numFmtId="0" xfId="0" applyFont="1"/>
    <xf borderId="1" fillId="6" fontId="1" numFmtId="0" xfId="0" applyBorder="1" applyFont="1"/>
    <xf borderId="1" fillId="6" fontId="6" numFmtId="0" xfId="0" applyBorder="1" applyFont="1"/>
    <xf borderId="8" fillId="0" fontId="3" numFmtId="0" xfId="0" applyBorder="1" applyFont="1"/>
    <xf borderId="9" fillId="0" fontId="1" numFmtId="0" xfId="0" applyBorder="1" applyFont="1"/>
    <xf borderId="10" fillId="6" fontId="7" numFmtId="0" xfId="0" applyBorder="1" applyFont="1"/>
    <xf borderId="11" fillId="0" fontId="1" numFmtId="0" xfId="0" applyBorder="1" applyFont="1"/>
    <xf borderId="0" fillId="0" fontId="8" numFmtId="0" xfId="0" applyAlignment="1" applyFont="1">
      <alignment horizontal="left"/>
    </xf>
    <xf borderId="0" fillId="0" fontId="8" numFmtId="0" xfId="0" applyFont="1"/>
    <xf borderId="1" fillId="6" fontId="9" numFmtId="0" xfId="0" applyBorder="1" applyFont="1"/>
    <xf borderId="0" fillId="0" fontId="1" numFmtId="0" xfId="0" applyAlignment="1" applyFont="1">
      <alignment vertical="center"/>
    </xf>
    <xf borderId="0" fillId="0" fontId="1" numFmtId="0" xfId="0" applyAlignment="1" applyFont="1">
      <alignment shrinkToFit="0" vertical="center" wrapText="1"/>
    </xf>
    <xf borderId="1" fillId="2" fontId="1" numFmtId="0" xfId="0" applyAlignment="1" applyBorder="1" applyFont="1">
      <alignment shrinkToFit="0" vertical="center" wrapText="1"/>
    </xf>
    <xf borderId="1" fillId="2" fontId="1" numFmtId="0" xfId="0" applyAlignment="1" applyBorder="1" applyFont="1">
      <alignment vertical="center"/>
    </xf>
    <xf borderId="1" fillId="2" fontId="1" numFmtId="0" xfId="0" applyBorder="1" applyFont="1"/>
    <xf borderId="12" fillId="2" fontId="1" numFmtId="164" xfId="0" applyAlignment="1" applyBorder="1" applyFont="1" applyNumberFormat="1">
      <alignment horizontal="center"/>
    </xf>
    <xf borderId="13" fillId="0" fontId="3" numFmtId="0" xfId="0" applyBorder="1" applyFont="1"/>
    <xf borderId="14" fillId="0" fontId="3" numFmtId="0" xfId="0" applyBorder="1" applyFont="1"/>
    <xf borderId="15" fillId="2" fontId="1" numFmtId="0" xfId="0" applyAlignment="1" applyBorder="1" applyFont="1">
      <alignment horizontal="center"/>
    </xf>
    <xf borderId="16" fillId="0" fontId="3" numFmtId="0" xfId="0" applyBorder="1" applyFont="1"/>
    <xf borderId="17" fillId="0" fontId="3" numFmtId="0" xfId="0" applyBorder="1" applyFont="1"/>
    <xf borderId="18" fillId="2" fontId="1" numFmtId="0" xfId="0" applyAlignment="1" applyBorder="1" applyFont="1">
      <alignment horizontal="center"/>
    </xf>
    <xf borderId="19" fillId="2" fontId="10" numFmtId="0" xfId="0" applyAlignment="1" applyBorder="1" applyFont="1">
      <alignment horizontal="center"/>
    </xf>
    <xf borderId="20" fillId="0" fontId="3" numFmtId="0" xfId="0" applyBorder="1" applyFont="1"/>
    <xf borderId="21" fillId="0" fontId="3" numFmtId="0" xfId="0" applyBorder="1" applyFont="1"/>
    <xf borderId="19" fillId="2" fontId="1" numFmtId="0" xfId="0" applyAlignment="1" applyBorder="1" applyFont="1">
      <alignment horizontal="center"/>
    </xf>
    <xf borderId="22" fillId="2" fontId="10" numFmtId="0" xfId="0" applyAlignment="1" applyBorder="1" applyFont="1">
      <alignment horizontal="center" readingOrder="0"/>
    </xf>
    <xf borderId="23" fillId="0" fontId="3" numFmtId="0" xfId="0" applyBorder="1" applyFont="1"/>
    <xf borderId="24" fillId="0" fontId="3" numFmtId="0" xfId="0" applyBorder="1" applyFont="1"/>
    <xf borderId="1" fillId="2" fontId="10" numFmtId="0" xfId="0" applyBorder="1" applyFont="1"/>
    <xf borderId="0" fillId="0" fontId="1" numFmtId="0" xfId="0" applyAlignment="1" applyFont="1">
      <alignment shrinkToFit="0" wrapText="1"/>
    </xf>
    <xf borderId="6" fillId="0" fontId="1" numFmtId="0" xfId="0" applyAlignment="1" applyBorder="1" applyFont="1">
      <alignment shrinkToFit="0" wrapText="1"/>
    </xf>
    <xf borderId="1" fillId="7" fontId="1" numFmtId="164" xfId="0" applyAlignment="1" applyBorder="1" applyFill="1" applyFont="1" applyNumberFormat="1">
      <alignment shrinkToFit="0" wrapText="1"/>
    </xf>
    <xf borderId="0" fillId="0" fontId="1" numFmtId="164" xfId="0" applyAlignment="1" applyFont="1" applyNumberFormat="1">
      <alignment shrinkToFit="0" wrapText="1"/>
    </xf>
    <xf borderId="0" fillId="0" fontId="10" numFmtId="0" xfId="0" applyAlignment="1" applyFont="1">
      <alignment shrinkToFit="0" wrapText="1"/>
    </xf>
    <xf borderId="1" fillId="8" fontId="1" numFmtId="0" xfId="0" applyAlignment="1" applyBorder="1" applyFill="1" applyFont="1">
      <alignment horizontal="center" readingOrder="0" shrinkToFit="0" vertical="center" wrapText="1"/>
    </xf>
    <xf borderId="1" fillId="9" fontId="1" numFmtId="0" xfId="0" applyAlignment="1" applyBorder="1" applyFill="1" applyFont="1">
      <alignment horizontal="center" readingOrder="0" shrinkToFit="0" vertical="center" wrapText="1"/>
    </xf>
    <xf borderId="1" fillId="7" fontId="1" numFmtId="0" xfId="0" applyAlignment="1" applyBorder="1" applyFont="1">
      <alignment shrinkToFit="0" wrapText="1"/>
    </xf>
    <xf borderId="25" fillId="10" fontId="11" numFmtId="0" xfId="0" applyAlignment="1" applyBorder="1" applyFill="1" applyFont="1">
      <alignment horizontal="center" readingOrder="0" shrinkToFit="0" vertical="center" wrapText="1"/>
    </xf>
    <xf borderId="26" fillId="7" fontId="1" numFmtId="0" xfId="0" applyAlignment="1" applyBorder="1" applyFont="1">
      <alignment horizontal="center"/>
    </xf>
    <xf borderId="27" fillId="3" fontId="1" numFmtId="0" xfId="0" applyAlignment="1" applyBorder="1" applyFont="1">
      <alignment shrinkToFit="0" wrapText="1"/>
    </xf>
    <xf borderId="1" fillId="10" fontId="1" numFmtId="0" xfId="0" applyAlignment="1" applyBorder="1" applyFont="1">
      <alignment shrinkToFit="0" wrapText="1"/>
    </xf>
    <xf borderId="7" fillId="0" fontId="1" numFmtId="0" xfId="0" applyAlignment="1" applyBorder="1" applyFont="1">
      <alignment shrinkToFit="0" wrapText="1"/>
    </xf>
    <xf borderId="28" fillId="4" fontId="10" numFmtId="0" xfId="0" applyAlignment="1" applyBorder="1" applyFont="1">
      <alignment shrinkToFit="0" wrapText="1"/>
    </xf>
    <xf borderId="1" fillId="7" fontId="10" numFmtId="0" xfId="0" applyAlignment="1" applyBorder="1" applyFont="1">
      <alignment shrinkToFit="0" wrapText="1"/>
    </xf>
    <xf borderId="25" fillId="4" fontId="10" numFmtId="0" xfId="0" applyAlignment="1" applyBorder="1" applyFont="1">
      <alignment shrinkToFit="0" wrapText="1"/>
    </xf>
    <xf borderId="25" fillId="4" fontId="1" numFmtId="0" xfId="0" applyAlignment="1" applyBorder="1" applyFont="1">
      <alignment shrinkToFit="0" wrapText="1"/>
    </xf>
    <xf borderId="1" fillId="11" fontId="12" numFmtId="0" xfId="0" applyAlignment="1" applyBorder="1" applyFill="1" applyFont="1">
      <alignment horizontal="center" readingOrder="0" shrinkToFit="0" vertical="center" wrapText="1"/>
    </xf>
    <xf borderId="18" fillId="4" fontId="13" numFmtId="0" xfId="0" applyAlignment="1" applyBorder="1" applyFont="1">
      <alignment horizontal="center" readingOrder="0" shrinkToFit="0" vertical="center" wrapText="1"/>
    </xf>
    <xf borderId="0" fillId="11" fontId="12" numFmtId="0" xfId="0" applyAlignment="1" applyFont="1">
      <alignment horizontal="center" shrinkToFit="0" vertical="center" wrapText="1"/>
    </xf>
    <xf borderId="0" fillId="11" fontId="12" numFmtId="0" xfId="0" applyAlignment="1" applyFont="1">
      <alignment horizontal="center" readingOrder="0" shrinkToFit="0" vertical="center" wrapText="1"/>
    </xf>
    <xf borderId="2" fillId="0" fontId="1" numFmtId="0" xfId="0" applyAlignment="1" applyBorder="1" applyFont="1">
      <alignment shrinkToFit="0" vertical="center" wrapText="1"/>
    </xf>
    <xf borderId="3" fillId="0" fontId="1" numFmtId="0" xfId="0" applyAlignment="1" applyBorder="1" applyFont="1">
      <alignment shrinkToFit="0" vertical="center" wrapText="1"/>
    </xf>
    <xf borderId="3" fillId="0" fontId="1" numFmtId="0" xfId="0" applyAlignment="1" applyBorder="1" applyFont="1">
      <alignment vertical="center"/>
    </xf>
    <xf borderId="29" fillId="0" fontId="1" numFmtId="0" xfId="0" applyBorder="1" applyFont="1"/>
    <xf borderId="5" fillId="0" fontId="1" numFmtId="1" xfId="0" applyBorder="1" applyFont="1" applyNumberFormat="1"/>
    <xf borderId="30" fillId="6" fontId="1" numFmtId="0" xfId="0" applyBorder="1" applyFont="1"/>
    <xf borderId="29" fillId="0" fontId="10" numFmtId="0" xfId="0" applyBorder="1" applyFont="1"/>
    <xf borderId="5" fillId="0" fontId="10" numFmtId="0" xfId="0" applyBorder="1" applyFont="1"/>
    <xf borderId="3" fillId="0" fontId="10" numFmtId="0" xfId="0" applyBorder="1" applyFont="1"/>
    <xf borderId="2" fillId="0" fontId="1" numFmtId="0" xfId="0" applyBorder="1" applyFont="1"/>
    <xf borderId="30" fillId="12" fontId="1" numFmtId="0" xfId="0" applyBorder="1" applyFill="1" applyFont="1"/>
    <xf borderId="31" fillId="6" fontId="1" numFmtId="10" xfId="0" applyBorder="1" applyFont="1" applyNumberFormat="1"/>
    <xf borderId="0" fillId="0" fontId="10" numFmtId="0" xfId="0" applyFont="1"/>
    <xf borderId="32" fillId="0" fontId="1" numFmtId="0" xfId="0" applyBorder="1" applyFont="1"/>
    <xf borderId="27" fillId="6" fontId="1" numFmtId="0" xfId="0" applyBorder="1" applyFont="1"/>
    <xf borderId="6" fillId="0" fontId="10" numFmtId="0" xfId="0" applyBorder="1" applyFont="1"/>
    <xf borderId="27" fillId="12" fontId="1" numFmtId="0" xfId="0" applyBorder="1" applyFont="1"/>
    <xf borderId="7" fillId="0" fontId="10" numFmtId="0" xfId="0" applyBorder="1" applyFont="1"/>
    <xf borderId="6" fillId="0" fontId="1" numFmtId="0" xfId="0" applyBorder="1" applyFont="1"/>
    <xf borderId="9" fillId="0" fontId="1" numFmtId="0" xfId="0" applyAlignment="1" applyBorder="1" applyFont="1">
      <alignment shrinkToFit="0" vertical="center" wrapText="1"/>
    </xf>
    <xf borderId="9" fillId="0" fontId="1" numFmtId="0" xfId="0" applyAlignment="1" applyBorder="1" applyFont="1">
      <alignment vertical="center"/>
    </xf>
    <xf borderId="33" fillId="0" fontId="1" numFmtId="0" xfId="0" applyBorder="1" applyFont="1"/>
    <xf borderId="8" fillId="0" fontId="1" numFmtId="0" xfId="0" applyBorder="1" applyFont="1"/>
    <xf borderId="33" fillId="0" fontId="10" numFmtId="0" xfId="0" applyBorder="1" applyFont="1"/>
    <xf borderId="34" fillId="6" fontId="1" numFmtId="0" xfId="0" applyBorder="1" applyFont="1"/>
    <xf borderId="11" fillId="0" fontId="10" numFmtId="0" xfId="0" applyBorder="1" applyFont="1"/>
    <xf borderId="34" fillId="12" fontId="1" numFmtId="0" xfId="0" applyBorder="1" applyFont="1"/>
    <xf borderId="9" fillId="0" fontId="10" numFmtId="0" xfId="0" applyBorder="1" applyFont="1"/>
    <xf borderId="32" fillId="0" fontId="10" numFmtId="0" xfId="0" applyBorder="1" applyFont="1"/>
    <xf borderId="0" fillId="0" fontId="8" numFmtId="0" xfId="0" applyAlignment="1" applyFont="1">
      <alignment horizontal="center"/>
    </xf>
    <xf borderId="0" fillId="0" fontId="1" numFmtId="0" xfId="0" applyAlignment="1" applyFont="1">
      <alignment readingOrder="0"/>
    </xf>
    <xf quotePrefix="1" borderId="0" fillId="0" fontId="1" numFmtId="0" xfId="0" applyFont="1"/>
    <xf borderId="28" fillId="6" fontId="1" numFmtId="0" xfId="0" applyBorder="1" applyFont="1"/>
    <xf borderId="10" fillId="6" fontId="1" numFmtId="0" xfId="0" applyBorder="1" applyFont="1"/>
    <xf borderId="30" fillId="6" fontId="10" numFmtId="0" xfId="0" applyBorder="1" applyFont="1"/>
    <xf borderId="2" fillId="0" fontId="10" numFmtId="0" xfId="0" applyBorder="1" applyFont="1"/>
    <xf borderId="27" fillId="6" fontId="10" numFmtId="0" xfId="0" applyBorder="1" applyFont="1"/>
    <xf borderId="34" fillId="6" fontId="10" numFmtId="0" xfId="0" applyBorder="1" applyFont="1"/>
    <xf borderId="8" fillId="0" fontId="10" numFmtId="0" xfId="0" applyBorder="1" applyFont="1"/>
    <xf borderId="4" fillId="12" fontId="1" numFmtId="0" xfId="0" applyBorder="1" applyFont="1"/>
    <xf borderId="1" fillId="12" fontId="1" numFmtId="0" xfId="0" applyBorder="1" applyFont="1"/>
    <xf borderId="10" fillId="12" fontId="1" numFmtId="0" xfId="0" applyBorder="1" applyFont="1"/>
    <xf borderId="27" fillId="6" fontId="1" numFmtId="165" xfId="0" applyBorder="1" applyFont="1" applyNumberFormat="1"/>
    <xf borderId="30" fillId="2" fontId="1" numFmtId="0" xfId="0" applyAlignment="1" applyBorder="1" applyFont="1">
      <alignment shrinkToFit="0" vertical="center" wrapText="1"/>
    </xf>
    <xf borderId="4" fillId="2" fontId="1" numFmtId="0" xfId="0" applyAlignment="1" applyBorder="1" applyFont="1">
      <alignment shrinkToFit="0" vertical="center" wrapText="1"/>
    </xf>
    <xf borderId="4" fillId="2" fontId="1" numFmtId="0" xfId="0" applyAlignment="1" applyBorder="1" applyFont="1">
      <alignment vertical="center"/>
    </xf>
    <xf borderId="4" fillId="2" fontId="1" numFmtId="0" xfId="0" applyBorder="1" applyFont="1"/>
    <xf borderId="6" fillId="0" fontId="1" numFmtId="0" xfId="0" applyAlignment="1" applyBorder="1" applyFont="1">
      <alignment vertical="center"/>
    </xf>
    <xf borderId="26" fillId="7" fontId="1" numFmtId="0" xfId="0" applyAlignment="1" applyBorder="1" applyFont="1">
      <alignment horizontal="center" shrinkToFit="0" wrapText="1"/>
    </xf>
    <xf borderId="31" fillId="6" fontId="1" numFmtId="0" xfId="0" applyBorder="1" applyFont="1"/>
    <xf borderId="0" fillId="0" fontId="1" numFmtId="0" xfId="0" applyAlignment="1" applyFont="1">
      <alignment horizontal="right"/>
    </xf>
    <xf borderId="7" fillId="0" fontId="1" numFmtId="0" xfId="0" applyAlignment="1" applyBorder="1" applyFont="1">
      <alignment horizontal="right"/>
    </xf>
    <xf borderId="32" fillId="0" fontId="1" numFmtId="0" xfId="0" applyAlignment="1" applyBorder="1" applyFont="1">
      <alignment horizontal="right"/>
    </xf>
    <xf borderId="6" fillId="0" fontId="1" numFmtId="0" xfId="0" applyAlignment="1" applyBorder="1" applyFont="1">
      <alignment shrinkToFit="0" vertical="center" wrapText="1"/>
    </xf>
    <xf borderId="31" fillId="13" fontId="1" numFmtId="0" xfId="0" applyBorder="1" applyFill="1" applyFont="1"/>
    <xf borderId="6" fillId="0" fontId="1" numFmtId="0" xfId="0" applyAlignment="1" applyBorder="1" applyFont="1">
      <alignment horizontal="right"/>
    </xf>
    <xf borderId="34" fillId="12" fontId="10" numFmtId="0" xfId="0" applyBorder="1" applyFont="1"/>
    <xf borderId="9" fillId="0" fontId="1" numFmtId="0" xfId="0" applyAlignment="1" applyBorder="1" applyFont="1">
      <alignment horizontal="right"/>
    </xf>
    <xf borderId="0" fillId="0" fontId="1" numFmtId="3" xfId="0" applyFont="1" applyNumberFormat="1"/>
    <xf borderId="3" fillId="0" fontId="1" numFmtId="0" xfId="0" applyAlignment="1" applyBorder="1" applyFont="1">
      <alignment horizontal="right"/>
    </xf>
    <xf borderId="31" fillId="2" fontId="1" numFmtId="0" xfId="0" applyAlignment="1" applyBorder="1" applyFont="1">
      <alignment shrinkToFit="0" vertical="center" wrapText="1"/>
    </xf>
    <xf borderId="31" fillId="2" fontId="1" numFmtId="0" xfId="0" applyAlignment="1" applyBorder="1" applyFont="1">
      <alignment vertical="center"/>
    </xf>
    <xf borderId="31" fillId="2" fontId="1" numFmtId="0" xfId="0" applyBorder="1" applyFont="1"/>
    <xf borderId="4" fillId="6" fontId="1" numFmtId="0" xfId="0" applyBorder="1" applyFont="1"/>
    <xf borderId="27" fillId="12" fontId="1" numFmtId="0" xfId="0" applyAlignment="1" applyBorder="1" applyFont="1">
      <alignment horizontal="right"/>
    </xf>
    <xf borderId="1" fillId="14" fontId="14" numFmtId="0" xfId="0" applyBorder="1" applyFill="1" applyFont="1"/>
    <xf borderId="30" fillId="12" fontId="1" numFmtId="0" xfId="0" applyAlignment="1" applyBorder="1" applyFont="1">
      <alignment horizontal="right"/>
    </xf>
    <xf borderId="1" fillId="14" fontId="15" numFmtId="0" xfId="0" applyBorder="1" applyFont="1"/>
    <xf borderId="34" fillId="12" fontId="1"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1228725</xdr:colOff>
      <xdr:row>113</xdr:row>
      <xdr:rowOff>47625</xdr:rowOff>
    </xdr:from>
    <xdr:ext cx="19507200" cy="7410450"/>
    <xdr:pic>
      <xdr:nvPicPr>
        <xdr:cNvPr id="0" name="image1.png" title="Εικόνα"/>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nfrontag.com/trimble" TargetMode="External"/><Relationship Id="rId83" Type="http://schemas.openxmlformats.org/officeDocument/2006/relationships/drawing" Target="../drawings/drawing1.xml"/><Relationship Id="rId42" Type="http://schemas.openxmlformats.org/officeDocument/2006/relationships/hyperlink" Target="https://www.a2bguidance.com/guidance/outback-rebel/outback-rebel-row-crop.html" TargetMode="External"/><Relationship Id="rId41" Type="http://schemas.openxmlformats.org/officeDocument/2006/relationships/hyperlink" Target="https://infrontag.com/trimble" TargetMode="External"/><Relationship Id="rId44" Type="http://schemas.openxmlformats.org/officeDocument/2006/relationships/hyperlink" Target="https://agriculture.trimble.com/en" TargetMode="External"/><Relationship Id="rId43" Type="http://schemas.openxmlformats.org/officeDocument/2006/relationships/hyperlink" Target="https://www.topconagriculture.com/" TargetMode="External"/><Relationship Id="rId46" Type="http://schemas.openxmlformats.org/officeDocument/2006/relationships/hyperlink" Target="https://geopard.tech/management-zones-vra-maps/" TargetMode="External"/><Relationship Id="rId45" Type="http://schemas.openxmlformats.org/officeDocument/2006/relationships/hyperlink" Target="https://www.deere.gr/el/smart-farming-solutions/guidance-solutions/autotrac/" TargetMode="External"/><Relationship Id="rId80" Type="http://schemas.openxmlformats.org/officeDocument/2006/relationships/hyperlink" Target="https://www.weedit.com.au/" TargetMode="External"/><Relationship Id="rId82" Type="http://schemas.openxmlformats.org/officeDocument/2006/relationships/hyperlink" Target="https://agrointelli.com/" TargetMode="External"/><Relationship Id="rId81" Type="http://schemas.openxmlformats.org/officeDocument/2006/relationships/hyperlink" Target="http://agrotopo.eu/product?productid=2775" TargetMode="External"/><Relationship Id="rId1" Type="http://schemas.openxmlformats.org/officeDocument/2006/relationships/hyperlink" Target="https://plantae.garden/" TargetMode="External"/><Relationship Id="rId2" Type="http://schemas.openxmlformats.org/officeDocument/2006/relationships/hyperlink" Target="https://zenagropc.com/georgia-akriveias/" TargetMode="External"/><Relationship Id="rId3" Type="http://schemas.openxmlformats.org/officeDocument/2006/relationships/hyperlink" Target="https://zenagropc.com/georgia-akriveias/" TargetMode="External"/><Relationship Id="rId4" Type="http://schemas.openxmlformats.org/officeDocument/2006/relationships/hyperlink" Target="https://start.agritask.com/wp-content/uploads/2021/03/HZPC-case-study.pdf" TargetMode="External"/><Relationship Id="rId9" Type="http://schemas.openxmlformats.org/officeDocument/2006/relationships/hyperlink" Target="https://www.wisecrop.com/en/apps" TargetMode="External"/><Relationship Id="rId48" Type="http://schemas.openxmlformats.org/officeDocument/2006/relationships/hyperlink" Target="https://ugmo.com/solutions/" TargetMode="External"/><Relationship Id="rId47" Type="http://schemas.openxmlformats.org/officeDocument/2006/relationships/hyperlink" Target="https://www.teagle.co.uk/en-GB/" TargetMode="External"/><Relationship Id="rId49" Type="http://schemas.openxmlformats.org/officeDocument/2006/relationships/hyperlink" Target="https://smart-akis.com/SFCPPortal/" TargetMode="External"/><Relationship Id="rId5" Type="http://schemas.openxmlformats.org/officeDocument/2006/relationships/hyperlink" Target="https://w3.ual.es/GruposInv/nitrogeno/VegSyst-DSS.shtml" TargetMode="External"/><Relationship Id="rId6" Type="http://schemas.openxmlformats.org/officeDocument/2006/relationships/hyperlink" Target="https://fairshare-pnf.eu/tool-details?id=5e33213450aeb3490a24f3a8&amp;flag=true&amp;name=VegSyst-DSS" TargetMode="External"/><Relationship Id="rId7" Type="http://schemas.openxmlformats.org/officeDocument/2006/relationships/hyperlink" Target="http://www.netsensors.pt/ps.html" TargetMode="External"/><Relationship Id="rId8" Type="http://schemas.openxmlformats.org/officeDocument/2006/relationships/hyperlink" Target="https://fairshare-pnf.eu/tool-details?id=5f6cc0961f68f325af42e155&amp;flag=true&amp;name=N3tSensors%20Agro%20Plus" TargetMode="External"/><Relationship Id="rId73" Type="http://schemas.openxmlformats.org/officeDocument/2006/relationships/hyperlink" Target="https://www.agrobot.com/" TargetMode="External"/><Relationship Id="rId72" Type="http://schemas.openxmlformats.org/officeDocument/2006/relationships/hyperlink" Target="http://wall-ye.com/index.html" TargetMode="External"/><Relationship Id="rId31" Type="http://schemas.openxmlformats.org/officeDocument/2006/relationships/hyperlink" Target="https://products.fieldbee.com/uk/?utm_term=agricultural%20gps%20guidance%20systems&amp;utm_campaign=Search_Categories_NM&amp;utm_source=ga&amp;utm_medium=cpc&amp;hsa_acc=8241340597&amp;hsa_cam=19650867248&amp;hsa_grp=146393769072&amp;hsa_ad=647322757370&amp;hsa_src=g&amp;hsa_tgt=kwd-325766699211&amp;hsa_kw=agricultural%20gps%20guidance%20systems&amp;hsa_mt=p&amp;hsa_net=adwords&amp;hsa_ver=3&amp;gclid=EAIaIQobChMIo7H1kJXb_QIVgwgGAB054gvjEAAYASAAEgK-SPD_BwE" TargetMode="External"/><Relationship Id="rId75" Type="http://schemas.openxmlformats.org/officeDocument/2006/relationships/hyperlink" Target="https://www.visionweeding.com/" TargetMode="External"/><Relationship Id="rId30" Type="http://schemas.openxmlformats.org/officeDocument/2006/relationships/hyperlink" Target="https://www.sveaverken.com/products/f100-auto-steer-system?utm_source=google&amp;utm_campaign=2427&amp;utm_medium=cpc-Brand&amp;gclid=CjwKCAiA3KefBhByEiwAi2LDHINNcPP4GXwLATZADq2e9cNj54SShrlbE3ZiVKvlGP7SGnpDzXiLzxoCYWAQAvD_BwE" TargetMode="External"/><Relationship Id="rId74" Type="http://schemas.openxmlformats.org/officeDocument/2006/relationships/hyperlink" Target="https://ecorobotix.com/fr/" TargetMode="External"/><Relationship Id="rId33" Type="http://schemas.openxmlformats.org/officeDocument/2006/relationships/hyperlink" Target="https://shop.agri-info-design.com/en-eu" TargetMode="External"/><Relationship Id="rId77" Type="http://schemas.openxmlformats.org/officeDocument/2006/relationships/hyperlink" Target="https://www.mascus.co.uk/agriculture/used-olive-harvesting-machines/white-shark-dgf80/oglotoxh.html" TargetMode="External"/><Relationship Id="rId32" Type="http://schemas.openxmlformats.org/officeDocument/2006/relationships/hyperlink" Target="https://www.smajayu.com/" TargetMode="External"/><Relationship Id="rId76" Type="http://schemas.openxmlformats.org/officeDocument/2006/relationships/hyperlink" Target="http://www.naio-technologies.com/en/home/" TargetMode="External"/><Relationship Id="rId35" Type="http://schemas.openxmlformats.org/officeDocument/2006/relationships/hyperlink" Target="https://www.smart-akis.com/wp-content/uploads/techhtmpdf/1118.htm" TargetMode="External"/><Relationship Id="rId79" Type="http://schemas.openxmlformats.org/officeDocument/2006/relationships/hyperlink" Target="https://tractorgps.gr/en/" TargetMode="External"/><Relationship Id="rId34" Type="http://schemas.openxmlformats.org/officeDocument/2006/relationships/hyperlink" Target="https://www.deere.com/en/technology-products/precision-ag-technology/guidance/auto-trac-controller/" TargetMode="External"/><Relationship Id="rId78" Type="http://schemas.openxmlformats.org/officeDocument/2006/relationships/hyperlink" Target="https://www.mascus.co.uk/agriculture/used-olive-harvesting-machines/white-shark-dgf80/oglotoxh.html" TargetMode="External"/><Relationship Id="rId71" Type="http://schemas.openxmlformats.org/officeDocument/2006/relationships/hyperlink" Target="https://rootwave.com/" TargetMode="External"/><Relationship Id="rId70" Type="http://schemas.openxmlformats.org/officeDocument/2006/relationships/hyperlink" Target="https://rootwave.com/" TargetMode="External"/><Relationship Id="rId37" Type="http://schemas.openxmlformats.org/officeDocument/2006/relationships/hyperlink" Target="https://shop.agri-info-design.com/en-eu" TargetMode="External"/><Relationship Id="rId36" Type="http://schemas.openxmlformats.org/officeDocument/2006/relationships/hyperlink" Target="https://www.deere.co.uk/en/precision-agriculture/automation-systems/tractor-implement-automation/" TargetMode="External"/><Relationship Id="rId39" Type="http://schemas.openxmlformats.org/officeDocument/2006/relationships/hyperlink" Target="https://tractorgps.gr/en/" TargetMode="External"/><Relationship Id="rId38" Type="http://schemas.openxmlformats.org/officeDocument/2006/relationships/hyperlink" Target="https://tractorgps.gr/en/" TargetMode="External"/><Relationship Id="rId62" Type="http://schemas.openxmlformats.org/officeDocument/2006/relationships/hyperlink" Target="https://www.dji.com/gr/p4-multispectral" TargetMode="External"/><Relationship Id="rId61" Type="http://schemas.openxmlformats.org/officeDocument/2006/relationships/hyperlink" Target="https://www.toro.com/en" TargetMode="External"/><Relationship Id="rId20" Type="http://schemas.openxmlformats.org/officeDocument/2006/relationships/hyperlink" Target="https://ifarma.agrostis.gr/" TargetMode="External"/><Relationship Id="rId64" Type="http://schemas.openxmlformats.org/officeDocument/2006/relationships/hyperlink" Target="https://www.premium-positioning.com/" TargetMode="External"/><Relationship Id="rId63" Type="http://schemas.openxmlformats.org/officeDocument/2006/relationships/hyperlink" Target="https://ageagle.com/drones/ebee-ag/" TargetMode="External"/><Relationship Id="rId22" Type="http://schemas.openxmlformats.org/officeDocument/2006/relationships/hyperlink" Target="https://www.corteva.gr/content/dam/dpagco/corteva/eu/gr/el/files/granular-club/GRANULAR%20CLUB%20-%20%CE%A6%CE%A5%CE%9B%CE%9B%CE%91%CE%94%CE%99%CE%9F.PDF" TargetMode="External"/><Relationship Id="rId66" Type="http://schemas.openxmlformats.org/officeDocument/2006/relationships/hyperlink" Target="https://www.sensoterra.com/en/product/single-depth-sensor/" TargetMode="External"/><Relationship Id="rId21" Type="http://schemas.openxmlformats.org/officeDocument/2006/relationships/hyperlink" Target="https://www.navfarm.com/" TargetMode="External"/><Relationship Id="rId65" Type="http://schemas.openxmlformats.org/officeDocument/2006/relationships/hyperlink" Target="https://www.farmtrx.com/" TargetMode="External"/><Relationship Id="rId24" Type="http://schemas.openxmlformats.org/officeDocument/2006/relationships/hyperlink" Target="https://www.agleader.com/" TargetMode="External"/><Relationship Id="rId68" Type="http://schemas.openxmlformats.org/officeDocument/2006/relationships/hyperlink" Target="https://shop.dragino.com/index.php?rt=product/product&amp;product_id=134" TargetMode="External"/><Relationship Id="rId23" Type="http://schemas.openxmlformats.org/officeDocument/2006/relationships/hyperlink" Target="https://www.agleader.com/farm-management/displays/incommand/" TargetMode="External"/><Relationship Id="rId67" Type="http://schemas.openxmlformats.org/officeDocument/2006/relationships/hyperlink" Target="https://www.sensoterra.com/en/product/multi-depth-sensor/" TargetMode="External"/><Relationship Id="rId60" Type="http://schemas.openxmlformats.org/officeDocument/2006/relationships/hyperlink" Target="https://fairshare-pnf.eu/tool-details?id=60bf16c52e2a4b141eb3b3b1&amp;flag=true&amp;name=eFarmer" TargetMode="External"/><Relationship Id="rId26" Type="http://schemas.openxmlformats.org/officeDocument/2006/relationships/hyperlink" Target="https://cropx.com/" TargetMode="External"/><Relationship Id="rId25" Type="http://schemas.openxmlformats.org/officeDocument/2006/relationships/hyperlink" Target="https://www.evineyardapp.com/vineyard_information_management" TargetMode="External"/><Relationship Id="rId69" Type="http://schemas.openxmlformats.org/officeDocument/2006/relationships/hyperlink" Target="https://rootwave.com/pro/" TargetMode="External"/><Relationship Id="rId28" Type="http://schemas.openxmlformats.org/officeDocument/2006/relationships/hyperlink" Target="https://agriculture.trimble.com/en/products/software/trimble-agriculture-software" TargetMode="External"/><Relationship Id="rId27" Type="http://schemas.openxmlformats.org/officeDocument/2006/relationships/hyperlink" Target="https://www.hawkeye.farm/" TargetMode="External"/><Relationship Id="rId29" Type="http://schemas.openxmlformats.org/officeDocument/2006/relationships/hyperlink" Target="https://www.fjdynamics.com/product/fjd-at2-auto-steer-system" TargetMode="External"/><Relationship Id="rId51" Type="http://schemas.openxmlformats.org/officeDocument/2006/relationships/hyperlink" Target="https://www.tecomec.com/en/agriculture" TargetMode="External"/><Relationship Id="rId50" Type="http://schemas.openxmlformats.org/officeDocument/2006/relationships/hyperlink" Target="https://tractorgps.gr/en/" TargetMode="External"/><Relationship Id="rId53" Type="http://schemas.openxmlformats.org/officeDocument/2006/relationships/hyperlink" Target="https://lemken.com/de-de/landmaschinen/cropcare" TargetMode="External"/><Relationship Id="rId52" Type="http://schemas.openxmlformats.org/officeDocument/2006/relationships/hyperlink" Target="https://salesmanual.deere.com/sales/salesmanual/en_AU/seeding/2021/feature/monitor_system/seedstar_xp_monitoringsystem.html" TargetMode="External"/><Relationship Id="rId11" Type="http://schemas.openxmlformats.org/officeDocument/2006/relationships/hyperlink" Target="https://www.teagasc.ie/about/our-organisation/connected/pricing--plans/" TargetMode="External"/><Relationship Id="rId55" Type="http://schemas.openxmlformats.org/officeDocument/2006/relationships/hyperlink" Target="https://www.topconagriculture.com/" TargetMode="External"/><Relationship Id="rId10" Type="http://schemas.openxmlformats.org/officeDocument/2006/relationships/hyperlink" Target="https://fairshare-pnf.eu/tool-details?id=5f310bfc1f68f325af42e12b&amp;flag=true&amp;name=Wisecrop" TargetMode="External"/><Relationship Id="rId54" Type="http://schemas.openxmlformats.org/officeDocument/2006/relationships/hyperlink" Target="https://www.deere.com/en/technology-products/precision-ag-technology/precision-upgrades/sprayer-upgrades/exactapply-precision-upgrades/" TargetMode="External"/><Relationship Id="rId13" Type="http://schemas.openxmlformats.org/officeDocument/2006/relationships/hyperlink" Target="https://eos.com/" TargetMode="External"/><Relationship Id="rId57" Type="http://schemas.openxmlformats.org/officeDocument/2006/relationships/hyperlink" Target="https://support.micasense.com/hc/en-us" TargetMode="External"/><Relationship Id="rId12" Type="http://schemas.openxmlformats.org/officeDocument/2006/relationships/hyperlink" Target="https://fairshare-pnf.eu/tool-details?id=5e79e03ef72ec11a927e1f06&amp;flag=true&amp;name=NMP%20Online" TargetMode="External"/><Relationship Id="rId56" Type="http://schemas.openxmlformats.org/officeDocument/2006/relationships/hyperlink" Target="https://support.micasense.com/hc/en-us" TargetMode="External"/><Relationship Id="rId15" Type="http://schemas.openxmlformats.org/officeDocument/2006/relationships/hyperlink" Target="https://www.aquagri.eu/myirrigation?lang=en" TargetMode="External"/><Relationship Id="rId59" Type="http://schemas.openxmlformats.org/officeDocument/2006/relationships/hyperlink" Target="https://www.efarmer.nl/" TargetMode="External"/><Relationship Id="rId14" Type="http://schemas.openxmlformats.org/officeDocument/2006/relationships/hyperlink" Target="https://fairshare-pnf.eu/tool-details?id=5e331b3d50aeb3490a24f3a7&amp;flag=true&amp;name=EOS%20Crop%20Monitoring" TargetMode="External"/><Relationship Id="rId58" Type="http://schemas.openxmlformats.org/officeDocument/2006/relationships/hyperlink" Target="https://www.autelpilot.eu/?gclid=CjwKCAiA_vKeBhAdEiwAFb_nrW4D4YCiPQYxIaRSBIifhwWtHpSJ6qNXuiNRkYwTVFfW3H_P7cPPFBoCEfUQAvD_BwE" TargetMode="External"/><Relationship Id="rId17" Type="http://schemas.openxmlformats.org/officeDocument/2006/relationships/hyperlink" Target="https://agrotechnology.pl/" TargetMode="External"/><Relationship Id="rId16" Type="http://schemas.openxmlformats.org/officeDocument/2006/relationships/hyperlink" Target="https://fairshare-pnf.eu/tool-details?id=611f775ab96c330883d4d254&amp;flag=true&amp;name=MyIrrigation" TargetMode="External"/><Relationship Id="rId19" Type="http://schemas.openxmlformats.org/officeDocument/2006/relationships/hyperlink" Target="https://www.irrigationpro.mk/" TargetMode="External"/><Relationship Id="rId18" Type="http://schemas.openxmlformats.org/officeDocument/2006/relationships/hyperlink" Target="https://smart-akis.com/SFCPPortal/"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63"/>
    <col customWidth="1" min="2" max="3" width="18.5"/>
    <col customWidth="1" min="4" max="4" width="32.38"/>
    <col customWidth="1" min="5" max="5" width="18.38"/>
    <col customWidth="1" min="6" max="6" width="44.63"/>
    <col customWidth="1" min="7" max="7" width="17.25"/>
    <col customWidth="1" min="8" max="8" width="10.75"/>
    <col customWidth="1" min="9" max="9" width="36.63"/>
    <col customWidth="1" min="10" max="10" width="25.88"/>
    <col customWidth="1" min="11" max="11" width="33.25"/>
    <col customWidth="1" min="12" max="12" width="32.25"/>
    <col customWidth="1" min="13" max="13" width="37.5"/>
    <col customWidth="1" min="14" max="14" width="15.25"/>
    <col customWidth="1" min="15" max="15" width="19.88"/>
    <col customWidth="1" min="16" max="16" width="17.0"/>
    <col customWidth="1" min="17" max="17" width="16.38"/>
    <col customWidth="1" min="18" max="18" width="15.75"/>
  </cols>
  <sheetData>
    <row r="1" ht="15.75" customHeight="1">
      <c r="A1" s="1" t="s">
        <v>0</v>
      </c>
      <c r="B1" s="2" t="s">
        <v>1</v>
      </c>
      <c r="C1" s="2" t="s">
        <v>2</v>
      </c>
      <c r="D1" s="2" t="s">
        <v>3</v>
      </c>
      <c r="E1" s="2" t="s">
        <v>4</v>
      </c>
      <c r="F1" s="2" t="s">
        <v>5</v>
      </c>
      <c r="G1" s="2" t="s">
        <v>6</v>
      </c>
      <c r="H1" s="2" t="s">
        <v>7</v>
      </c>
      <c r="I1" s="2" t="s">
        <v>8</v>
      </c>
      <c r="J1" s="3" t="s">
        <v>9</v>
      </c>
      <c r="K1" s="4" t="s">
        <v>10</v>
      </c>
      <c r="L1" s="5" t="s">
        <v>11</v>
      </c>
      <c r="M1" s="6" t="s">
        <v>12</v>
      </c>
      <c r="N1" s="7"/>
      <c r="O1" s="7"/>
      <c r="P1" s="7"/>
      <c r="Q1" s="7"/>
      <c r="R1" s="7"/>
      <c r="S1" s="7"/>
    </row>
    <row r="2" ht="15.75" customHeight="1">
      <c r="A2" s="8" t="s">
        <v>13</v>
      </c>
      <c r="B2" s="9" t="s">
        <v>14</v>
      </c>
      <c r="C2" s="9" t="s">
        <v>15</v>
      </c>
      <c r="D2" s="9" t="s">
        <v>16</v>
      </c>
      <c r="E2" s="9" t="s">
        <v>17</v>
      </c>
      <c r="F2" s="9" t="s">
        <v>18</v>
      </c>
      <c r="G2" s="10" t="s">
        <v>19</v>
      </c>
      <c r="H2" s="9" t="s">
        <v>14</v>
      </c>
      <c r="I2" s="9" t="s">
        <v>20</v>
      </c>
      <c r="J2" s="9" t="s">
        <v>21</v>
      </c>
      <c r="K2" s="9"/>
      <c r="L2" s="9"/>
      <c r="M2" s="11"/>
      <c r="N2" s="7"/>
      <c r="O2" s="7"/>
      <c r="P2" s="7"/>
      <c r="Q2" s="7"/>
      <c r="R2" s="7"/>
      <c r="S2" s="7"/>
    </row>
    <row r="3" ht="15.75" customHeight="1">
      <c r="A3" s="12"/>
      <c r="B3" s="7" t="s">
        <v>14</v>
      </c>
      <c r="C3" s="7" t="s">
        <v>15</v>
      </c>
      <c r="D3" s="7" t="s">
        <v>22</v>
      </c>
      <c r="E3" s="7" t="s">
        <v>23</v>
      </c>
      <c r="F3" s="7" t="s">
        <v>24</v>
      </c>
      <c r="G3" s="13" t="s">
        <v>25</v>
      </c>
      <c r="H3" s="7" t="s">
        <v>14</v>
      </c>
      <c r="I3" s="7" t="s">
        <v>26</v>
      </c>
      <c r="J3" s="7" t="s">
        <v>27</v>
      </c>
      <c r="K3" s="7" t="s">
        <v>28</v>
      </c>
      <c r="L3" s="7"/>
      <c r="M3" s="14"/>
      <c r="N3" s="7"/>
      <c r="O3" s="7"/>
      <c r="P3" s="7"/>
      <c r="Q3" s="7"/>
      <c r="R3" s="7"/>
    </row>
    <row r="4" ht="15.75" customHeight="1">
      <c r="A4" s="12"/>
      <c r="B4" s="7" t="s">
        <v>14</v>
      </c>
      <c r="C4" s="7" t="s">
        <v>15</v>
      </c>
      <c r="D4" s="7" t="s">
        <v>29</v>
      </c>
      <c r="E4" s="7" t="s">
        <v>23</v>
      </c>
      <c r="F4" s="7" t="s">
        <v>24</v>
      </c>
      <c r="G4" s="13" t="s">
        <v>25</v>
      </c>
      <c r="H4" s="7" t="s">
        <v>14</v>
      </c>
      <c r="I4" s="7" t="s">
        <v>26</v>
      </c>
      <c r="J4" s="7" t="s">
        <v>27</v>
      </c>
      <c r="K4" s="7"/>
      <c r="L4" s="7"/>
      <c r="M4" s="14"/>
      <c r="N4" s="7"/>
      <c r="O4" s="7"/>
      <c r="P4" s="7"/>
      <c r="Q4" s="7"/>
      <c r="R4" s="7"/>
    </row>
    <row r="5" ht="15.75" customHeight="1">
      <c r="A5" s="12"/>
      <c r="B5" s="7" t="s">
        <v>14</v>
      </c>
      <c r="C5" s="7" t="s">
        <v>30</v>
      </c>
      <c r="D5" s="7" t="s">
        <v>31</v>
      </c>
      <c r="E5" s="7" t="s">
        <v>23</v>
      </c>
      <c r="F5" s="7" t="s">
        <v>32</v>
      </c>
      <c r="G5" s="13" t="s">
        <v>33</v>
      </c>
      <c r="H5" s="7" t="s">
        <v>14</v>
      </c>
      <c r="I5" s="7" t="s">
        <v>34</v>
      </c>
      <c r="J5" s="7" t="s">
        <v>35</v>
      </c>
      <c r="K5" s="7"/>
      <c r="L5" s="7"/>
      <c r="M5" s="14"/>
      <c r="N5" s="7"/>
      <c r="O5" s="7"/>
      <c r="P5" s="7"/>
      <c r="Q5" s="7"/>
      <c r="R5" s="7"/>
    </row>
    <row r="6" ht="15.75" customHeight="1">
      <c r="A6" s="12"/>
      <c r="B6" s="7" t="s">
        <v>36</v>
      </c>
      <c r="C6" s="7" t="s">
        <v>37</v>
      </c>
      <c r="D6" s="7" t="s">
        <v>38</v>
      </c>
      <c r="E6" s="7" t="s">
        <v>39</v>
      </c>
      <c r="F6" s="7" t="s">
        <v>40</v>
      </c>
      <c r="G6" s="13" t="s">
        <v>41</v>
      </c>
      <c r="H6" s="15" t="s">
        <v>42</v>
      </c>
      <c r="I6" s="7" t="s">
        <v>43</v>
      </c>
      <c r="J6" s="7" t="s">
        <v>44</v>
      </c>
      <c r="K6" s="7"/>
      <c r="L6" s="7"/>
      <c r="M6" s="14"/>
      <c r="N6" s="7"/>
      <c r="O6" s="7"/>
      <c r="P6" s="7"/>
      <c r="Q6" s="7"/>
      <c r="R6" s="7"/>
    </row>
    <row r="7" ht="12.0" customHeight="1">
      <c r="A7" s="12"/>
      <c r="B7" s="7" t="s">
        <v>36</v>
      </c>
      <c r="C7" s="7" t="s">
        <v>45</v>
      </c>
      <c r="D7" s="7" t="s">
        <v>46</v>
      </c>
      <c r="E7" s="7" t="s">
        <v>47</v>
      </c>
      <c r="F7" s="7" t="s">
        <v>48</v>
      </c>
      <c r="G7" s="13" t="s">
        <v>49</v>
      </c>
      <c r="H7" s="15" t="s">
        <v>50</v>
      </c>
      <c r="I7" s="7" t="s">
        <v>51</v>
      </c>
      <c r="J7" s="7" t="s">
        <v>52</v>
      </c>
      <c r="K7" s="7"/>
      <c r="L7" s="7"/>
      <c r="M7" s="14"/>
      <c r="N7" s="7"/>
      <c r="O7" s="7"/>
      <c r="P7" s="7"/>
      <c r="Q7" s="7"/>
      <c r="R7" s="7"/>
    </row>
    <row r="8" ht="15.0" customHeight="1">
      <c r="A8" s="12"/>
      <c r="B8" s="7" t="s">
        <v>36</v>
      </c>
      <c r="C8" s="7" t="s">
        <v>45</v>
      </c>
      <c r="D8" s="7" t="s">
        <v>53</v>
      </c>
      <c r="E8" s="7" t="s">
        <v>54</v>
      </c>
      <c r="F8" s="7" t="s">
        <v>55</v>
      </c>
      <c r="G8" s="13" t="s">
        <v>56</v>
      </c>
      <c r="H8" s="15" t="s">
        <v>57</v>
      </c>
      <c r="I8" s="7" t="s">
        <v>51</v>
      </c>
      <c r="J8" s="7" t="s">
        <v>58</v>
      </c>
      <c r="K8" s="7"/>
      <c r="L8" s="7"/>
      <c r="M8" s="14"/>
      <c r="N8" s="7"/>
      <c r="O8" s="7"/>
      <c r="P8" s="7"/>
      <c r="Q8" s="7"/>
      <c r="R8" s="7"/>
    </row>
    <row r="9" ht="12.75" customHeight="1">
      <c r="A9" s="12"/>
      <c r="B9" s="7" t="s">
        <v>36</v>
      </c>
      <c r="C9" s="7" t="s">
        <v>45</v>
      </c>
      <c r="D9" s="7" t="s">
        <v>59</v>
      </c>
      <c r="E9" s="7" t="s">
        <v>60</v>
      </c>
      <c r="F9" s="7" t="s">
        <v>61</v>
      </c>
      <c r="G9" s="13" t="s">
        <v>62</v>
      </c>
      <c r="H9" s="15" t="s">
        <v>63</v>
      </c>
      <c r="I9" s="7" t="s">
        <v>51</v>
      </c>
      <c r="J9" s="7" t="s">
        <v>64</v>
      </c>
      <c r="K9" s="7"/>
      <c r="L9" s="7"/>
      <c r="M9" s="14"/>
      <c r="N9" s="7"/>
      <c r="O9" s="7"/>
      <c r="P9" s="7"/>
      <c r="Q9" s="7"/>
      <c r="R9" s="7"/>
    </row>
    <row r="10" ht="15.75" customHeight="1">
      <c r="A10" s="12"/>
      <c r="B10" s="7" t="s">
        <v>36</v>
      </c>
      <c r="C10" s="7" t="s">
        <v>45</v>
      </c>
      <c r="D10" s="16" t="s">
        <v>65</v>
      </c>
      <c r="E10" s="7" t="s">
        <v>66</v>
      </c>
      <c r="F10" s="16" t="s">
        <v>67</v>
      </c>
      <c r="G10" s="13" t="s">
        <v>68</v>
      </c>
      <c r="H10" s="15" t="s">
        <v>69</v>
      </c>
      <c r="I10" s="7" t="s">
        <v>51</v>
      </c>
      <c r="J10" s="7" t="s">
        <v>70</v>
      </c>
      <c r="K10" s="7"/>
      <c r="L10" s="7"/>
      <c r="M10" s="14"/>
      <c r="N10" s="7"/>
      <c r="O10" s="7"/>
      <c r="P10" s="7"/>
      <c r="Q10" s="7"/>
      <c r="R10" s="7"/>
    </row>
    <row r="11" ht="12.75" customHeight="1">
      <c r="A11" s="12"/>
      <c r="B11" s="7" t="s">
        <v>36</v>
      </c>
      <c r="C11" s="7" t="s">
        <v>45</v>
      </c>
      <c r="D11" s="7" t="s">
        <v>71</v>
      </c>
      <c r="E11" s="7" t="s">
        <v>72</v>
      </c>
      <c r="F11" s="7" t="s">
        <v>73</v>
      </c>
      <c r="G11" s="13" t="s">
        <v>74</v>
      </c>
      <c r="H11" s="15" t="s">
        <v>75</v>
      </c>
      <c r="I11" s="7" t="s">
        <v>51</v>
      </c>
      <c r="J11" s="7" t="s">
        <v>76</v>
      </c>
      <c r="K11" s="7"/>
      <c r="L11" s="7"/>
      <c r="M11" s="14"/>
      <c r="N11" s="7"/>
      <c r="O11" s="7"/>
      <c r="P11" s="7"/>
      <c r="Q11" s="7"/>
      <c r="R11" s="7"/>
    </row>
    <row r="12" ht="15.75" customHeight="1">
      <c r="A12" s="12"/>
      <c r="B12" s="7" t="s">
        <v>77</v>
      </c>
      <c r="C12" s="7" t="s">
        <v>78</v>
      </c>
      <c r="D12" s="7" t="s">
        <v>79</v>
      </c>
      <c r="E12" s="7" t="s">
        <v>80</v>
      </c>
      <c r="F12" s="7" t="s">
        <v>81</v>
      </c>
      <c r="G12" s="13" t="s">
        <v>82</v>
      </c>
      <c r="H12" s="15" t="s">
        <v>83</v>
      </c>
      <c r="I12" s="7" t="s">
        <v>51</v>
      </c>
      <c r="J12" s="7" t="s">
        <v>84</v>
      </c>
      <c r="K12" s="7"/>
      <c r="L12" s="7"/>
      <c r="M12" s="14"/>
      <c r="N12" s="7"/>
      <c r="O12" s="7"/>
      <c r="P12" s="7"/>
      <c r="Q12" s="7"/>
      <c r="R12" s="7"/>
    </row>
    <row r="13" ht="15.75" customHeight="1">
      <c r="A13" s="12"/>
      <c r="B13" s="7" t="s">
        <v>14</v>
      </c>
      <c r="C13" s="7" t="s">
        <v>15</v>
      </c>
      <c r="D13" s="7" t="s">
        <v>85</v>
      </c>
      <c r="E13" s="7" t="s">
        <v>86</v>
      </c>
      <c r="F13" s="7" t="s">
        <v>87</v>
      </c>
      <c r="G13" s="13" t="s">
        <v>88</v>
      </c>
      <c r="H13" s="7" t="s">
        <v>14</v>
      </c>
      <c r="I13" s="7" t="s">
        <v>89</v>
      </c>
      <c r="J13" s="7" t="s">
        <v>90</v>
      </c>
      <c r="K13" s="7"/>
      <c r="L13" s="7"/>
      <c r="M13" s="14"/>
      <c r="N13" s="7"/>
      <c r="O13" s="7"/>
      <c r="P13" s="7"/>
      <c r="Q13" s="7"/>
      <c r="R13" s="7"/>
    </row>
    <row r="14" ht="15.75" customHeight="1">
      <c r="A14" s="12"/>
      <c r="B14" s="7" t="s">
        <v>14</v>
      </c>
      <c r="C14" s="7" t="s">
        <v>91</v>
      </c>
      <c r="D14" s="7" t="s">
        <v>92</v>
      </c>
      <c r="E14" s="7" t="s">
        <v>93</v>
      </c>
      <c r="F14" s="7" t="s">
        <v>94</v>
      </c>
      <c r="G14" s="13" t="s">
        <v>95</v>
      </c>
      <c r="H14" s="7" t="s">
        <v>14</v>
      </c>
      <c r="I14" s="7" t="s">
        <v>51</v>
      </c>
      <c r="J14" s="7" t="s">
        <v>96</v>
      </c>
      <c r="K14" s="7"/>
      <c r="L14" s="7"/>
      <c r="M14" s="14"/>
      <c r="N14" s="7"/>
      <c r="O14" s="7"/>
      <c r="P14" s="7"/>
      <c r="Q14" s="7"/>
      <c r="R14" s="7"/>
    </row>
    <row r="15" ht="15.75" customHeight="1">
      <c r="A15" s="12"/>
      <c r="B15" s="7" t="s">
        <v>14</v>
      </c>
      <c r="C15" s="7" t="s">
        <v>91</v>
      </c>
      <c r="D15" s="7" t="s">
        <v>97</v>
      </c>
      <c r="E15" s="7" t="s">
        <v>98</v>
      </c>
      <c r="F15" s="7" t="s">
        <v>99</v>
      </c>
      <c r="G15" s="13" t="s">
        <v>100</v>
      </c>
      <c r="H15" s="7" t="s">
        <v>14</v>
      </c>
      <c r="I15" s="7" t="s">
        <v>51</v>
      </c>
      <c r="J15" s="7" t="s">
        <v>101</v>
      </c>
      <c r="K15" s="7"/>
      <c r="L15" s="7"/>
      <c r="M15" s="14"/>
      <c r="N15" s="7"/>
      <c r="O15" s="7"/>
      <c r="P15" s="7"/>
      <c r="Q15" s="7"/>
      <c r="R15" s="7"/>
    </row>
    <row r="16" ht="15.75" customHeight="1">
      <c r="A16" s="12"/>
      <c r="B16" s="7" t="s">
        <v>14</v>
      </c>
      <c r="C16" s="7" t="s">
        <v>91</v>
      </c>
      <c r="D16" s="7" t="s">
        <v>102</v>
      </c>
      <c r="E16" s="7" t="s">
        <v>103</v>
      </c>
      <c r="F16" s="7" t="s">
        <v>104</v>
      </c>
      <c r="G16" s="17" t="s">
        <v>105</v>
      </c>
      <c r="H16" s="7" t="s">
        <v>14</v>
      </c>
      <c r="I16" s="7" t="s">
        <v>106</v>
      </c>
      <c r="J16" s="7" t="s">
        <v>107</v>
      </c>
      <c r="K16" s="7"/>
      <c r="L16" s="7"/>
      <c r="M16" s="14"/>
      <c r="N16" s="7"/>
      <c r="O16" s="7"/>
      <c r="P16" s="7"/>
      <c r="Q16" s="7"/>
      <c r="R16" s="7"/>
    </row>
    <row r="17" ht="15.75" customHeight="1">
      <c r="A17" s="12"/>
      <c r="B17" s="7" t="s">
        <v>14</v>
      </c>
      <c r="C17" s="7" t="s">
        <v>91</v>
      </c>
      <c r="D17" s="7" t="s">
        <v>108</v>
      </c>
      <c r="E17" s="7" t="s">
        <v>109</v>
      </c>
      <c r="F17" s="7" t="s">
        <v>110</v>
      </c>
      <c r="G17" s="13" t="s">
        <v>111</v>
      </c>
      <c r="H17" s="7" t="s">
        <v>14</v>
      </c>
      <c r="I17" s="7" t="s">
        <v>51</v>
      </c>
      <c r="J17" s="7" t="s">
        <v>112</v>
      </c>
      <c r="K17" s="7"/>
      <c r="L17" s="7"/>
      <c r="M17" s="14"/>
      <c r="N17" s="7"/>
      <c r="O17" s="7"/>
      <c r="P17" s="7"/>
      <c r="Q17" s="7"/>
      <c r="R17" s="7"/>
    </row>
    <row r="18" ht="15.75" customHeight="1">
      <c r="A18" s="12"/>
      <c r="B18" s="7" t="s">
        <v>14</v>
      </c>
      <c r="C18" s="7" t="s">
        <v>91</v>
      </c>
      <c r="D18" s="7" t="s">
        <v>113</v>
      </c>
      <c r="E18" s="7" t="s">
        <v>109</v>
      </c>
      <c r="F18" s="7" t="s">
        <v>114</v>
      </c>
      <c r="G18" s="13" t="s">
        <v>115</v>
      </c>
      <c r="H18" s="7" t="s">
        <v>14</v>
      </c>
      <c r="I18" s="7" t="s">
        <v>51</v>
      </c>
      <c r="J18" s="7" t="s">
        <v>116</v>
      </c>
      <c r="K18" s="7"/>
      <c r="L18" s="7"/>
      <c r="M18" s="14"/>
      <c r="N18" s="7"/>
      <c r="O18" s="7"/>
      <c r="P18" s="7"/>
      <c r="Q18" s="7"/>
      <c r="R18" s="7"/>
    </row>
    <row r="19" ht="15.75" customHeight="1">
      <c r="A19" s="12"/>
      <c r="B19" s="7" t="s">
        <v>14</v>
      </c>
      <c r="C19" s="7" t="s">
        <v>91</v>
      </c>
      <c r="D19" s="7" t="s">
        <v>117</v>
      </c>
      <c r="E19" s="7" t="s">
        <v>118</v>
      </c>
      <c r="F19" s="7" t="s">
        <v>119</v>
      </c>
      <c r="G19" s="13" t="s">
        <v>120</v>
      </c>
      <c r="H19" s="7" t="s">
        <v>14</v>
      </c>
      <c r="I19" s="7" t="s">
        <v>121</v>
      </c>
      <c r="J19" s="7" t="s">
        <v>122</v>
      </c>
      <c r="K19" s="7" t="s">
        <v>123</v>
      </c>
      <c r="L19" s="7"/>
      <c r="M19" s="14"/>
      <c r="N19" s="7"/>
      <c r="O19" s="7"/>
      <c r="P19" s="7"/>
      <c r="Q19" s="7"/>
      <c r="R19" s="7"/>
    </row>
    <row r="20" ht="15.75" customHeight="1">
      <c r="A20" s="12"/>
      <c r="B20" s="7" t="s">
        <v>14</v>
      </c>
      <c r="C20" s="7" t="s">
        <v>15</v>
      </c>
      <c r="D20" s="7" t="s">
        <v>124</v>
      </c>
      <c r="E20" s="7" t="s">
        <v>125</v>
      </c>
      <c r="F20" s="7" t="s">
        <v>126</v>
      </c>
      <c r="G20" s="13" t="s">
        <v>127</v>
      </c>
      <c r="H20" s="7" t="s">
        <v>14</v>
      </c>
      <c r="I20" s="7" t="s">
        <v>51</v>
      </c>
      <c r="J20" s="7" t="s">
        <v>128</v>
      </c>
      <c r="K20" s="7" t="s">
        <v>129</v>
      </c>
      <c r="L20" s="7"/>
      <c r="M20" s="14"/>
      <c r="N20" s="7"/>
      <c r="O20" s="7"/>
      <c r="P20" s="7"/>
      <c r="Q20" s="7"/>
      <c r="R20" s="7"/>
    </row>
    <row r="21" ht="15.75" customHeight="1">
      <c r="A21" s="12"/>
      <c r="B21" s="7" t="s">
        <v>14</v>
      </c>
      <c r="C21" s="7" t="s">
        <v>30</v>
      </c>
      <c r="D21" s="7" t="s">
        <v>130</v>
      </c>
      <c r="E21" s="7" t="s">
        <v>130</v>
      </c>
      <c r="F21" s="7" t="s">
        <v>131</v>
      </c>
      <c r="G21" s="13" t="s">
        <v>132</v>
      </c>
      <c r="H21" s="7" t="s">
        <v>14</v>
      </c>
      <c r="I21" s="7" t="s">
        <v>51</v>
      </c>
      <c r="J21" s="7" t="s">
        <v>133</v>
      </c>
      <c r="K21" s="7"/>
      <c r="L21" s="7"/>
      <c r="M21" s="14"/>
      <c r="N21" s="7"/>
      <c r="O21" s="7"/>
      <c r="P21" s="7"/>
      <c r="Q21" s="7"/>
      <c r="R21" s="7"/>
    </row>
    <row r="22" ht="15.75" customHeight="1">
      <c r="A22" s="18"/>
      <c r="B22" s="19" t="s">
        <v>14</v>
      </c>
      <c r="C22" s="19" t="s">
        <v>134</v>
      </c>
      <c r="D22" s="19" t="s">
        <v>135</v>
      </c>
      <c r="E22" s="19" t="s">
        <v>136</v>
      </c>
      <c r="F22" s="19" t="s">
        <v>137</v>
      </c>
      <c r="G22" s="20" t="s">
        <v>138</v>
      </c>
      <c r="H22" s="19" t="s">
        <v>14</v>
      </c>
      <c r="I22" s="19" t="s">
        <v>51</v>
      </c>
      <c r="J22" s="19" t="s">
        <v>139</v>
      </c>
      <c r="K22" s="19"/>
      <c r="L22" s="19"/>
      <c r="M22" s="21"/>
      <c r="N22" s="7"/>
      <c r="O22" s="7"/>
      <c r="P22" s="7"/>
      <c r="Q22" s="7"/>
      <c r="R22" s="7"/>
    </row>
    <row r="23" ht="15.75" customHeight="1">
      <c r="A23" s="8" t="s">
        <v>140</v>
      </c>
      <c r="B23" s="9" t="s">
        <v>14</v>
      </c>
      <c r="C23" s="9" t="s">
        <v>141</v>
      </c>
      <c r="D23" s="9" t="s">
        <v>142</v>
      </c>
      <c r="E23" s="9" t="s">
        <v>143</v>
      </c>
      <c r="F23" s="9" t="s">
        <v>144</v>
      </c>
      <c r="G23" s="13" t="s">
        <v>145</v>
      </c>
      <c r="H23" s="9" t="s">
        <v>14</v>
      </c>
      <c r="I23" s="9" t="s">
        <v>51</v>
      </c>
      <c r="J23" s="9" t="s">
        <v>146</v>
      </c>
      <c r="K23" s="9"/>
      <c r="L23" s="9"/>
      <c r="M23" s="11"/>
      <c r="N23" s="7"/>
      <c r="O23" s="7"/>
      <c r="P23" s="7"/>
      <c r="Q23" s="7"/>
      <c r="R23" s="7"/>
    </row>
    <row r="24" ht="15.75" customHeight="1">
      <c r="A24" s="12"/>
      <c r="B24" s="7" t="s">
        <v>14</v>
      </c>
      <c r="C24" s="7" t="s">
        <v>141</v>
      </c>
      <c r="D24" s="7" t="s">
        <v>147</v>
      </c>
      <c r="E24" s="7" t="s">
        <v>148</v>
      </c>
      <c r="F24" s="7" t="s">
        <v>149</v>
      </c>
      <c r="G24" s="13" t="s">
        <v>150</v>
      </c>
      <c r="H24" s="7" t="s">
        <v>14</v>
      </c>
      <c r="I24" s="7" t="s">
        <v>51</v>
      </c>
      <c r="J24" s="7" t="s">
        <v>151</v>
      </c>
      <c r="K24" s="7"/>
      <c r="L24" s="7"/>
      <c r="M24" s="14"/>
      <c r="N24" s="7"/>
      <c r="O24" s="7"/>
      <c r="P24" s="7"/>
      <c r="Q24" s="7"/>
      <c r="R24" s="7"/>
    </row>
    <row r="25" ht="15.75" customHeight="1">
      <c r="A25" s="12"/>
      <c r="B25" s="7" t="s">
        <v>14</v>
      </c>
      <c r="C25" s="7" t="s">
        <v>141</v>
      </c>
      <c r="D25" s="22" t="s">
        <v>152</v>
      </c>
      <c r="E25" s="23" t="s">
        <v>153</v>
      </c>
      <c r="F25" s="23" t="s">
        <v>154</v>
      </c>
      <c r="G25" s="24" t="s">
        <v>155</v>
      </c>
      <c r="H25" s="23"/>
      <c r="I25" s="23" t="s">
        <v>156</v>
      </c>
      <c r="J25" s="23" t="s">
        <v>157</v>
      </c>
      <c r="K25" s="23" t="s">
        <v>158</v>
      </c>
      <c r="L25" s="7"/>
      <c r="M25" s="14"/>
      <c r="N25" s="7"/>
      <c r="O25" s="7"/>
      <c r="P25" s="7"/>
      <c r="Q25" s="7"/>
      <c r="R25" s="7"/>
    </row>
    <row r="26" ht="15.75" customHeight="1">
      <c r="A26" s="12"/>
      <c r="B26" s="7" t="s">
        <v>14</v>
      </c>
      <c r="C26" s="7" t="s">
        <v>159</v>
      </c>
      <c r="D26" s="7" t="s">
        <v>160</v>
      </c>
      <c r="E26" s="7" t="s">
        <v>161</v>
      </c>
      <c r="F26" s="7" t="s">
        <v>162</v>
      </c>
      <c r="G26" s="13" t="s">
        <v>163</v>
      </c>
      <c r="H26" s="7" t="s">
        <v>14</v>
      </c>
      <c r="I26" s="7" t="s">
        <v>51</v>
      </c>
      <c r="J26" s="7" t="s">
        <v>164</v>
      </c>
      <c r="K26" s="7"/>
      <c r="L26" s="7"/>
      <c r="M26" s="14"/>
      <c r="N26" s="7"/>
      <c r="O26" s="7"/>
      <c r="P26" s="7"/>
      <c r="Q26" s="7"/>
      <c r="R26" s="7"/>
    </row>
    <row r="27" ht="15.75" customHeight="1">
      <c r="A27" s="12"/>
      <c r="B27" s="7" t="s">
        <v>14</v>
      </c>
      <c r="C27" s="7" t="s">
        <v>165</v>
      </c>
      <c r="D27" s="7" t="s">
        <v>166</v>
      </c>
      <c r="E27" s="7" t="s">
        <v>167</v>
      </c>
      <c r="F27" s="7" t="s">
        <v>168</v>
      </c>
      <c r="G27" s="13" t="s">
        <v>169</v>
      </c>
      <c r="H27" s="7" t="s">
        <v>14</v>
      </c>
      <c r="I27" s="7" t="s">
        <v>51</v>
      </c>
      <c r="J27" s="7" t="s">
        <v>170</v>
      </c>
      <c r="K27" s="7"/>
      <c r="L27" s="7"/>
      <c r="M27" s="14"/>
      <c r="N27" s="7"/>
      <c r="O27" s="7"/>
      <c r="P27" s="7"/>
      <c r="Q27" s="7"/>
      <c r="R27" s="7"/>
    </row>
    <row r="28" ht="15.75" customHeight="1">
      <c r="A28" s="12"/>
      <c r="B28" s="7" t="s">
        <v>77</v>
      </c>
      <c r="C28" s="7" t="s">
        <v>159</v>
      </c>
      <c r="D28" s="7" t="s">
        <v>171</v>
      </c>
      <c r="E28" s="7" t="s">
        <v>172</v>
      </c>
      <c r="F28" s="7" t="s">
        <v>173</v>
      </c>
      <c r="G28" s="13" t="s">
        <v>174</v>
      </c>
      <c r="H28" s="15" t="s">
        <v>175</v>
      </c>
      <c r="I28" s="7" t="s">
        <v>51</v>
      </c>
      <c r="J28" s="7" t="s">
        <v>176</v>
      </c>
      <c r="K28" s="7"/>
      <c r="L28" s="7"/>
      <c r="M28" s="14"/>
      <c r="N28" s="7"/>
      <c r="O28" s="7"/>
      <c r="P28" s="7"/>
      <c r="Q28" s="7"/>
      <c r="R28" s="7"/>
    </row>
    <row r="29" ht="12.75" customHeight="1">
      <c r="A29" s="12"/>
      <c r="B29" s="7" t="s">
        <v>77</v>
      </c>
      <c r="C29" s="7" t="s">
        <v>177</v>
      </c>
      <c r="D29" s="7" t="s">
        <v>178</v>
      </c>
      <c r="E29" s="7" t="s">
        <v>172</v>
      </c>
      <c r="F29" s="7" t="s">
        <v>179</v>
      </c>
      <c r="G29" s="13" t="s">
        <v>180</v>
      </c>
      <c r="H29" s="7"/>
      <c r="I29" s="7" t="s">
        <v>51</v>
      </c>
      <c r="J29" s="7" t="s">
        <v>181</v>
      </c>
      <c r="K29" s="7"/>
      <c r="L29" s="7"/>
      <c r="M29" s="14"/>
      <c r="N29" s="7"/>
      <c r="O29" s="7"/>
      <c r="P29" s="7"/>
      <c r="Q29" s="7"/>
      <c r="R29" s="7"/>
    </row>
    <row r="30" ht="12.75" customHeight="1">
      <c r="A30" s="12"/>
      <c r="B30" s="7" t="s">
        <v>14</v>
      </c>
      <c r="C30" s="7" t="s">
        <v>141</v>
      </c>
      <c r="D30" s="7" t="s">
        <v>182</v>
      </c>
      <c r="E30" s="7" t="s">
        <v>167</v>
      </c>
      <c r="F30" s="7" t="s">
        <v>183</v>
      </c>
      <c r="G30" s="13" t="s">
        <v>184</v>
      </c>
      <c r="H30" s="7" t="s">
        <v>14</v>
      </c>
      <c r="I30" s="7" t="s">
        <v>51</v>
      </c>
      <c r="J30" s="7" t="s">
        <v>185</v>
      </c>
      <c r="K30" s="7"/>
      <c r="L30" s="7"/>
      <c r="M30" s="14"/>
      <c r="N30" s="7"/>
      <c r="O30" s="7"/>
      <c r="P30" s="7"/>
      <c r="Q30" s="7"/>
      <c r="R30" s="7"/>
    </row>
    <row r="31" ht="15.75" customHeight="1">
      <c r="A31" s="12"/>
      <c r="B31" s="7" t="s">
        <v>14</v>
      </c>
      <c r="C31" s="7" t="s">
        <v>177</v>
      </c>
      <c r="D31" s="7" t="s">
        <v>186</v>
      </c>
      <c r="E31" s="7" t="s">
        <v>187</v>
      </c>
      <c r="F31" s="7" t="s">
        <v>188</v>
      </c>
      <c r="G31" s="13" t="s">
        <v>189</v>
      </c>
      <c r="H31" s="7" t="s">
        <v>14</v>
      </c>
      <c r="I31" s="7" t="s">
        <v>51</v>
      </c>
      <c r="J31" s="7" t="s">
        <v>190</v>
      </c>
      <c r="K31" s="7"/>
      <c r="L31" s="7"/>
      <c r="M31" s="14"/>
      <c r="N31" s="7"/>
      <c r="O31" s="7"/>
      <c r="P31" s="7"/>
      <c r="Q31" s="7"/>
      <c r="R31" s="7"/>
    </row>
    <row r="32" ht="18.75" customHeight="1">
      <c r="A32" s="12"/>
      <c r="B32" s="7" t="s">
        <v>14</v>
      </c>
      <c r="C32" s="7" t="s">
        <v>141</v>
      </c>
      <c r="D32" s="7" t="s">
        <v>191</v>
      </c>
      <c r="E32" s="7" t="s">
        <v>187</v>
      </c>
      <c r="F32" s="7" t="s">
        <v>192</v>
      </c>
      <c r="G32" s="13" t="s">
        <v>189</v>
      </c>
      <c r="H32" s="7" t="s">
        <v>14</v>
      </c>
      <c r="I32" s="7" t="s">
        <v>51</v>
      </c>
      <c r="J32" s="7" t="s">
        <v>193</v>
      </c>
      <c r="K32" s="7"/>
      <c r="L32" s="7"/>
      <c r="M32" s="14"/>
      <c r="N32" s="7"/>
      <c r="O32" s="7"/>
      <c r="P32" s="7"/>
      <c r="Q32" s="7"/>
      <c r="R32" s="7"/>
    </row>
    <row r="33" ht="15.75" customHeight="1">
      <c r="A33" s="12"/>
      <c r="B33" s="7" t="s">
        <v>14</v>
      </c>
      <c r="C33" s="7" t="s">
        <v>141</v>
      </c>
      <c r="D33" s="7" t="s">
        <v>194</v>
      </c>
      <c r="E33" s="7" t="s">
        <v>136</v>
      </c>
      <c r="F33" s="7" t="s">
        <v>195</v>
      </c>
      <c r="G33" s="13" t="s">
        <v>196</v>
      </c>
      <c r="H33" s="7" t="s">
        <v>14</v>
      </c>
      <c r="I33" s="7" t="s">
        <v>51</v>
      </c>
      <c r="J33" s="7" t="s">
        <v>197</v>
      </c>
      <c r="K33" s="7"/>
      <c r="L33" s="7"/>
      <c r="M33" s="14"/>
      <c r="N33" s="7"/>
      <c r="O33" s="7"/>
      <c r="P33" s="7"/>
      <c r="Q33" s="7"/>
      <c r="R33" s="7"/>
    </row>
    <row r="34" ht="17.25" customHeight="1">
      <c r="A34" s="12"/>
      <c r="B34" s="7" t="s">
        <v>14</v>
      </c>
      <c r="C34" s="7" t="s">
        <v>141</v>
      </c>
      <c r="D34" s="7" t="s">
        <v>198</v>
      </c>
      <c r="E34" s="7" t="s">
        <v>136</v>
      </c>
      <c r="F34" s="7" t="s">
        <v>199</v>
      </c>
      <c r="G34" s="13" t="s">
        <v>196</v>
      </c>
      <c r="H34" s="7" t="s">
        <v>14</v>
      </c>
      <c r="I34" s="7" t="s">
        <v>51</v>
      </c>
      <c r="J34" s="7" t="s">
        <v>200</v>
      </c>
      <c r="K34" s="7"/>
      <c r="L34" s="7"/>
      <c r="M34" s="14"/>
      <c r="N34" s="7"/>
      <c r="O34" s="7"/>
      <c r="P34" s="7"/>
      <c r="Q34" s="7"/>
      <c r="R34" s="7"/>
    </row>
    <row r="35" ht="15.75" customHeight="1">
      <c r="A35" s="12"/>
      <c r="B35" s="7" t="s">
        <v>14</v>
      </c>
      <c r="C35" s="7" t="s">
        <v>141</v>
      </c>
      <c r="D35" s="7" t="s">
        <v>201</v>
      </c>
      <c r="E35" s="7" t="s">
        <v>202</v>
      </c>
      <c r="F35" s="7" t="s">
        <v>203</v>
      </c>
      <c r="G35" s="13" t="s">
        <v>204</v>
      </c>
      <c r="H35" s="7" t="s">
        <v>14</v>
      </c>
      <c r="I35" s="7" t="s">
        <v>51</v>
      </c>
      <c r="J35" s="7" t="s">
        <v>205</v>
      </c>
      <c r="K35" s="7"/>
      <c r="L35" s="7"/>
      <c r="M35" s="14"/>
      <c r="N35" s="7"/>
      <c r="O35" s="7"/>
      <c r="P35" s="7"/>
      <c r="Q35" s="7"/>
      <c r="R35" s="7"/>
    </row>
    <row r="36" ht="15.75" customHeight="1">
      <c r="A36" s="12"/>
      <c r="B36" s="7" t="s">
        <v>14</v>
      </c>
      <c r="C36" s="7" t="s">
        <v>206</v>
      </c>
      <c r="D36" s="7" t="s">
        <v>207</v>
      </c>
      <c r="E36" s="7" t="s">
        <v>208</v>
      </c>
      <c r="F36" s="7" t="s">
        <v>209</v>
      </c>
      <c r="G36" s="13" t="s">
        <v>210</v>
      </c>
      <c r="H36" s="7" t="s">
        <v>14</v>
      </c>
      <c r="I36" s="7" t="s">
        <v>51</v>
      </c>
      <c r="J36" s="7" t="s">
        <v>211</v>
      </c>
      <c r="K36" s="7"/>
      <c r="L36" s="7"/>
      <c r="M36" s="14"/>
      <c r="N36" s="7"/>
      <c r="O36" s="7"/>
      <c r="P36" s="7"/>
      <c r="Q36" s="7"/>
      <c r="R36" s="7"/>
    </row>
    <row r="37" ht="15.75" customHeight="1">
      <c r="A37" s="12"/>
      <c r="B37" s="7" t="s">
        <v>14</v>
      </c>
      <c r="C37" s="7" t="s">
        <v>141</v>
      </c>
      <c r="D37" s="7" t="s">
        <v>212</v>
      </c>
      <c r="E37" s="7" t="s">
        <v>136</v>
      </c>
      <c r="F37" s="7" t="s">
        <v>213</v>
      </c>
      <c r="G37" s="13" t="s">
        <v>214</v>
      </c>
      <c r="H37" s="7" t="s">
        <v>14</v>
      </c>
      <c r="I37" s="7" t="s">
        <v>51</v>
      </c>
      <c r="J37" s="7" t="s">
        <v>215</v>
      </c>
      <c r="K37" s="7"/>
      <c r="L37" s="7"/>
      <c r="M37" s="14"/>
      <c r="N37" s="7"/>
      <c r="O37" s="7"/>
      <c r="P37" s="7"/>
      <c r="Q37" s="7"/>
      <c r="R37" s="7"/>
    </row>
    <row r="38" ht="15.75" customHeight="1">
      <c r="A38" s="18"/>
      <c r="B38" s="19" t="s">
        <v>14</v>
      </c>
      <c r="C38" s="19" t="s">
        <v>141</v>
      </c>
      <c r="D38" s="19" t="s">
        <v>216</v>
      </c>
      <c r="E38" s="19" t="s">
        <v>172</v>
      </c>
      <c r="F38" s="19" t="s">
        <v>217</v>
      </c>
      <c r="G38" s="20" t="s">
        <v>218</v>
      </c>
      <c r="H38" s="19" t="s">
        <v>14</v>
      </c>
      <c r="I38" s="19" t="s">
        <v>51</v>
      </c>
      <c r="J38" s="19" t="s">
        <v>215</v>
      </c>
      <c r="K38" s="19"/>
      <c r="L38" s="19"/>
      <c r="M38" s="21"/>
      <c r="N38" s="7"/>
      <c r="O38" s="7"/>
      <c r="P38" s="7"/>
      <c r="Q38" s="7"/>
      <c r="R38" s="7"/>
    </row>
    <row r="39" ht="15.75" customHeight="1">
      <c r="A39" s="8" t="s">
        <v>219</v>
      </c>
      <c r="B39" s="9" t="s">
        <v>14</v>
      </c>
      <c r="C39" s="9" t="s">
        <v>220</v>
      </c>
      <c r="D39" s="9" t="s">
        <v>220</v>
      </c>
      <c r="E39" s="9" t="s">
        <v>221</v>
      </c>
      <c r="F39" s="9" t="s">
        <v>222</v>
      </c>
      <c r="G39" s="13" t="s">
        <v>223</v>
      </c>
      <c r="H39" s="9" t="s">
        <v>14</v>
      </c>
      <c r="I39" s="9" t="s">
        <v>51</v>
      </c>
      <c r="J39" s="9" t="s">
        <v>224</v>
      </c>
      <c r="K39" s="9"/>
      <c r="L39" s="9"/>
      <c r="M39" s="11"/>
      <c r="N39" s="7"/>
      <c r="O39" s="7"/>
      <c r="P39" s="7"/>
      <c r="Q39" s="7"/>
      <c r="R39" s="7"/>
    </row>
    <row r="40" ht="15.75" customHeight="1">
      <c r="A40" s="12"/>
      <c r="B40" s="7" t="s">
        <v>14</v>
      </c>
      <c r="C40" s="7" t="s">
        <v>225</v>
      </c>
      <c r="D40" s="7" t="s">
        <v>226</v>
      </c>
      <c r="E40" s="7" t="s">
        <v>227</v>
      </c>
      <c r="F40" s="7" t="s">
        <v>228</v>
      </c>
      <c r="G40" s="13" t="s">
        <v>229</v>
      </c>
      <c r="H40" s="7" t="s">
        <v>14</v>
      </c>
      <c r="I40" s="7" t="s">
        <v>51</v>
      </c>
      <c r="J40" s="7" t="s">
        <v>230</v>
      </c>
      <c r="K40" s="7"/>
      <c r="L40" s="7"/>
      <c r="M40" s="14"/>
      <c r="N40" s="7"/>
      <c r="O40" s="7"/>
      <c r="P40" s="7"/>
      <c r="Q40" s="7"/>
      <c r="R40" s="7"/>
    </row>
    <row r="41" ht="15.75" customHeight="1">
      <c r="A41" s="12"/>
      <c r="B41" s="7" t="s">
        <v>77</v>
      </c>
      <c r="C41" s="7" t="s">
        <v>231</v>
      </c>
      <c r="D41" s="7" t="s">
        <v>232</v>
      </c>
      <c r="E41" s="7" t="s">
        <v>233</v>
      </c>
      <c r="F41" s="7" t="s">
        <v>234</v>
      </c>
      <c r="G41" s="13" t="s">
        <v>235</v>
      </c>
      <c r="H41" s="15" t="s">
        <v>236</v>
      </c>
      <c r="I41" s="7" t="s">
        <v>51</v>
      </c>
      <c r="J41" s="7" t="s">
        <v>237</v>
      </c>
      <c r="K41" s="7"/>
      <c r="L41" s="7"/>
      <c r="M41" s="14"/>
      <c r="N41" s="7"/>
      <c r="O41" s="7"/>
      <c r="P41" s="7"/>
      <c r="Q41" s="7"/>
      <c r="R41" s="7"/>
    </row>
    <row r="42" ht="15.75" customHeight="1">
      <c r="A42" s="12"/>
      <c r="B42" s="7" t="s">
        <v>14</v>
      </c>
      <c r="C42" s="7" t="s">
        <v>238</v>
      </c>
      <c r="D42" s="7" t="s">
        <v>239</v>
      </c>
      <c r="E42" s="7" t="s">
        <v>187</v>
      </c>
      <c r="F42" s="7" t="s">
        <v>240</v>
      </c>
      <c r="G42" s="13" t="s">
        <v>241</v>
      </c>
      <c r="H42" s="7" t="s">
        <v>14</v>
      </c>
      <c r="I42" s="7" t="s">
        <v>51</v>
      </c>
      <c r="J42" s="7" t="s">
        <v>242</v>
      </c>
      <c r="K42" s="7"/>
      <c r="L42" s="7"/>
      <c r="M42" s="14"/>
      <c r="N42" s="7"/>
      <c r="O42" s="7"/>
      <c r="P42" s="7"/>
      <c r="Q42" s="7"/>
      <c r="R42" s="7"/>
    </row>
    <row r="43" ht="15.75" customHeight="1">
      <c r="A43" s="12"/>
      <c r="B43" s="7" t="s">
        <v>14</v>
      </c>
      <c r="C43" s="7" t="s">
        <v>238</v>
      </c>
      <c r="D43" s="7" t="s">
        <v>243</v>
      </c>
      <c r="E43" s="7" t="s">
        <v>244</v>
      </c>
      <c r="F43" s="7" t="s">
        <v>245</v>
      </c>
      <c r="G43" s="13" t="s">
        <v>246</v>
      </c>
      <c r="H43" s="7" t="s">
        <v>14</v>
      </c>
      <c r="I43" s="7" t="s">
        <v>51</v>
      </c>
      <c r="J43" s="7" t="s">
        <v>247</v>
      </c>
      <c r="K43" s="7"/>
      <c r="L43" s="7"/>
      <c r="M43" s="14"/>
      <c r="N43" s="7"/>
      <c r="O43" s="7"/>
      <c r="P43" s="7"/>
      <c r="Q43" s="7"/>
      <c r="R43" s="7"/>
    </row>
    <row r="44" ht="15.75" customHeight="1">
      <c r="A44" s="12"/>
      <c r="B44" s="7" t="s">
        <v>14</v>
      </c>
      <c r="C44" s="7" t="s">
        <v>248</v>
      </c>
      <c r="D44" s="7" t="s">
        <v>249</v>
      </c>
      <c r="E44" s="7" t="s">
        <v>172</v>
      </c>
      <c r="F44" s="7" t="s">
        <v>250</v>
      </c>
      <c r="G44" s="13" t="s">
        <v>251</v>
      </c>
      <c r="H44" s="7" t="s">
        <v>14</v>
      </c>
      <c r="I44" s="7" t="s">
        <v>252</v>
      </c>
      <c r="J44" s="7" t="s">
        <v>253</v>
      </c>
      <c r="K44" s="7"/>
      <c r="L44" s="7"/>
      <c r="M44" s="14"/>
      <c r="N44" s="7"/>
      <c r="O44" s="7"/>
      <c r="P44" s="7"/>
      <c r="Q44" s="7"/>
      <c r="R44" s="7"/>
    </row>
    <row r="45" ht="15.75" customHeight="1">
      <c r="A45" s="12"/>
      <c r="B45" s="7" t="s">
        <v>14</v>
      </c>
      <c r="C45" s="7" t="s">
        <v>254</v>
      </c>
      <c r="D45" s="7" t="s">
        <v>255</v>
      </c>
      <c r="E45" s="7" t="s">
        <v>256</v>
      </c>
      <c r="F45" s="7" t="s">
        <v>257</v>
      </c>
      <c r="G45" s="13" t="s">
        <v>258</v>
      </c>
      <c r="H45" s="7" t="s">
        <v>14</v>
      </c>
      <c r="I45" s="7" t="s">
        <v>259</v>
      </c>
      <c r="J45" s="7" t="s">
        <v>260</v>
      </c>
      <c r="K45" s="7"/>
      <c r="L45" s="7"/>
      <c r="M45" s="14"/>
      <c r="N45" s="7"/>
      <c r="O45" s="7"/>
      <c r="P45" s="7"/>
      <c r="Q45" s="7"/>
      <c r="R45" s="7"/>
    </row>
    <row r="46" ht="15.75" customHeight="1">
      <c r="A46" s="12"/>
      <c r="B46" s="7" t="s">
        <v>14</v>
      </c>
      <c r="C46" s="7" t="s">
        <v>261</v>
      </c>
      <c r="D46" s="7" t="s">
        <v>262</v>
      </c>
      <c r="E46" s="7" t="s">
        <v>172</v>
      </c>
      <c r="F46" s="7" t="s">
        <v>263</v>
      </c>
      <c r="G46" s="13" t="s">
        <v>264</v>
      </c>
      <c r="H46" s="7" t="s">
        <v>14</v>
      </c>
      <c r="I46" s="7" t="s">
        <v>51</v>
      </c>
      <c r="J46" s="7" t="s">
        <v>265</v>
      </c>
      <c r="K46" s="7"/>
      <c r="L46" s="7"/>
      <c r="M46" s="14"/>
      <c r="N46" s="7"/>
      <c r="O46" s="7"/>
      <c r="P46" s="7"/>
      <c r="Q46" s="7"/>
      <c r="R46" s="7"/>
    </row>
    <row r="47" ht="15.75" customHeight="1">
      <c r="A47" s="18"/>
      <c r="B47" s="19" t="s">
        <v>14</v>
      </c>
      <c r="C47" s="19" t="s">
        <v>266</v>
      </c>
      <c r="D47" s="19" t="s">
        <v>267</v>
      </c>
      <c r="E47" s="19" t="s">
        <v>208</v>
      </c>
      <c r="F47" s="19" t="s">
        <v>268</v>
      </c>
      <c r="G47" s="20" t="s">
        <v>210</v>
      </c>
      <c r="H47" s="19" t="s">
        <v>14</v>
      </c>
      <c r="I47" s="19" t="s">
        <v>51</v>
      </c>
      <c r="J47" s="19" t="s">
        <v>269</v>
      </c>
      <c r="K47" s="19"/>
      <c r="L47" s="19"/>
      <c r="M47" s="21"/>
      <c r="N47" s="7"/>
      <c r="O47" s="7"/>
      <c r="P47" s="7"/>
      <c r="Q47" s="7"/>
      <c r="R47" s="7"/>
    </row>
    <row r="48" ht="15.75" customHeight="1">
      <c r="A48" s="8" t="s">
        <v>270</v>
      </c>
      <c r="B48" s="9" t="s">
        <v>14</v>
      </c>
      <c r="C48" s="9" t="s">
        <v>271</v>
      </c>
      <c r="D48" s="9" t="s">
        <v>272</v>
      </c>
      <c r="E48" s="9" t="s">
        <v>273</v>
      </c>
      <c r="F48" s="9" t="s">
        <v>274</v>
      </c>
      <c r="G48" s="13" t="s">
        <v>275</v>
      </c>
      <c r="H48" s="9" t="s">
        <v>14</v>
      </c>
      <c r="I48" s="9" t="s">
        <v>51</v>
      </c>
      <c r="J48" s="9" t="s">
        <v>276</v>
      </c>
      <c r="K48" s="9"/>
      <c r="L48" s="9"/>
      <c r="M48" s="11"/>
      <c r="N48" s="7"/>
      <c r="O48" s="7"/>
      <c r="P48" s="7"/>
      <c r="Q48" s="7"/>
      <c r="R48" s="7"/>
    </row>
    <row r="49" ht="15.75" customHeight="1">
      <c r="A49" s="12"/>
      <c r="B49" s="7" t="s">
        <v>14</v>
      </c>
      <c r="C49" s="7" t="s">
        <v>271</v>
      </c>
      <c r="D49" s="7" t="s">
        <v>277</v>
      </c>
      <c r="E49" s="7" t="s">
        <v>273</v>
      </c>
      <c r="F49" s="7" t="s">
        <v>278</v>
      </c>
      <c r="G49" s="13" t="s">
        <v>275</v>
      </c>
      <c r="H49" s="7" t="s">
        <v>14</v>
      </c>
      <c r="I49" s="7" t="s">
        <v>51</v>
      </c>
      <c r="J49" s="7" t="s">
        <v>279</v>
      </c>
      <c r="K49" s="7"/>
      <c r="L49" s="7"/>
      <c r="M49" s="14"/>
      <c r="N49" s="7"/>
      <c r="O49" s="7"/>
      <c r="P49" s="7"/>
      <c r="Q49" s="7"/>
      <c r="R49" s="7"/>
    </row>
    <row r="50" ht="15.75" customHeight="1">
      <c r="A50" s="12"/>
      <c r="B50" s="7" t="s">
        <v>14</v>
      </c>
      <c r="C50" s="7" t="s">
        <v>271</v>
      </c>
      <c r="D50" s="7" t="s">
        <v>280</v>
      </c>
      <c r="E50" s="7" t="s">
        <v>281</v>
      </c>
      <c r="F50" s="7" t="s">
        <v>282</v>
      </c>
      <c r="G50" s="13" t="s">
        <v>283</v>
      </c>
      <c r="H50" s="7" t="s">
        <v>14</v>
      </c>
      <c r="I50" s="7" t="s">
        <v>51</v>
      </c>
      <c r="J50" s="7" t="s">
        <v>284</v>
      </c>
      <c r="K50" s="7"/>
      <c r="L50" s="7"/>
      <c r="M50" s="14"/>
      <c r="N50" s="7"/>
      <c r="O50" s="7"/>
      <c r="P50" s="7"/>
      <c r="Q50" s="7"/>
      <c r="R50" s="7"/>
    </row>
    <row r="51" ht="12.75" customHeight="1">
      <c r="A51" s="12"/>
      <c r="B51" s="7" t="s">
        <v>36</v>
      </c>
      <c r="C51" s="7" t="s">
        <v>271</v>
      </c>
      <c r="D51" s="7" t="s">
        <v>285</v>
      </c>
      <c r="E51" s="7" t="s">
        <v>285</v>
      </c>
      <c r="F51" s="7" t="s">
        <v>286</v>
      </c>
      <c r="G51" s="13" t="s">
        <v>287</v>
      </c>
      <c r="H51" s="15" t="s">
        <v>288</v>
      </c>
      <c r="I51" s="7" t="s">
        <v>51</v>
      </c>
      <c r="J51" s="7" t="s">
        <v>44</v>
      </c>
      <c r="K51" s="7"/>
      <c r="L51" s="7"/>
      <c r="M51" s="14"/>
      <c r="N51" s="7"/>
      <c r="O51" s="7"/>
      <c r="P51" s="7"/>
      <c r="Q51" s="7"/>
      <c r="R51" s="7"/>
    </row>
    <row r="52" ht="15.75" customHeight="1">
      <c r="A52" s="12"/>
      <c r="B52" s="7" t="s">
        <v>14</v>
      </c>
      <c r="C52" s="7" t="s">
        <v>289</v>
      </c>
      <c r="D52" s="7" t="s">
        <v>290</v>
      </c>
      <c r="E52" s="7" t="s">
        <v>291</v>
      </c>
      <c r="F52" s="7" t="s">
        <v>292</v>
      </c>
      <c r="G52" s="13" t="s">
        <v>293</v>
      </c>
      <c r="H52" s="7" t="s">
        <v>14</v>
      </c>
      <c r="I52" s="7"/>
      <c r="J52" s="7" t="s">
        <v>294</v>
      </c>
      <c r="K52" s="7"/>
      <c r="L52" s="7"/>
      <c r="M52" s="14"/>
      <c r="N52" s="7"/>
      <c r="O52" s="7"/>
      <c r="P52" s="7"/>
      <c r="Q52" s="7"/>
      <c r="R52" s="7"/>
    </row>
    <row r="53" ht="15.75" customHeight="1">
      <c r="A53" s="12"/>
      <c r="B53" s="7" t="s">
        <v>14</v>
      </c>
      <c r="C53" s="7" t="s">
        <v>271</v>
      </c>
      <c r="D53" s="7" t="s">
        <v>295</v>
      </c>
      <c r="E53" s="7" t="s">
        <v>296</v>
      </c>
      <c r="F53" s="7" t="s">
        <v>297</v>
      </c>
      <c r="G53" s="13" t="s">
        <v>298</v>
      </c>
      <c r="H53" s="7" t="s">
        <v>14</v>
      </c>
      <c r="I53" s="7" t="s">
        <v>51</v>
      </c>
      <c r="J53" s="7" t="s">
        <v>299</v>
      </c>
      <c r="K53" s="7"/>
      <c r="L53" s="7"/>
      <c r="M53" s="14"/>
      <c r="N53" s="7"/>
      <c r="O53" s="7"/>
      <c r="P53" s="7"/>
      <c r="Q53" s="7"/>
      <c r="R53" s="7"/>
    </row>
    <row r="54" ht="15.75" customHeight="1">
      <c r="A54" s="12"/>
      <c r="B54" s="7" t="s">
        <v>14</v>
      </c>
      <c r="C54" s="7" t="s">
        <v>300</v>
      </c>
      <c r="D54" s="7" t="s">
        <v>301</v>
      </c>
      <c r="E54" s="7" t="s">
        <v>302</v>
      </c>
      <c r="F54" s="7" t="s">
        <v>303</v>
      </c>
      <c r="G54" s="13" t="s">
        <v>304</v>
      </c>
      <c r="H54" s="7" t="s">
        <v>14</v>
      </c>
      <c r="I54" s="7" t="s">
        <v>51</v>
      </c>
      <c r="J54" s="7" t="s">
        <v>305</v>
      </c>
      <c r="K54" s="7"/>
      <c r="L54" s="7"/>
      <c r="M54" s="14"/>
      <c r="N54" s="7"/>
      <c r="O54" s="7"/>
      <c r="P54" s="7"/>
      <c r="Q54" s="7"/>
      <c r="R54" s="7"/>
    </row>
    <row r="55" ht="15.75" customHeight="1">
      <c r="A55" s="12"/>
      <c r="B55" s="7" t="s">
        <v>14</v>
      </c>
      <c r="C55" s="7" t="s">
        <v>289</v>
      </c>
      <c r="D55" s="7" t="s">
        <v>306</v>
      </c>
      <c r="E55" s="7" t="s">
        <v>307</v>
      </c>
      <c r="F55" s="7" t="s">
        <v>308</v>
      </c>
      <c r="G55" s="13" t="s">
        <v>309</v>
      </c>
      <c r="H55" s="7" t="s">
        <v>14</v>
      </c>
      <c r="I55" s="7" t="s">
        <v>51</v>
      </c>
      <c r="J55" s="7" t="s">
        <v>200</v>
      </c>
      <c r="K55" s="7"/>
      <c r="L55" s="7"/>
      <c r="M55" s="14"/>
      <c r="N55" s="7"/>
      <c r="O55" s="7"/>
      <c r="P55" s="7"/>
      <c r="Q55" s="7"/>
      <c r="R55" s="7"/>
    </row>
    <row r="56" ht="15.75" customHeight="1">
      <c r="A56" s="12"/>
      <c r="B56" s="7" t="s">
        <v>14</v>
      </c>
      <c r="C56" s="7" t="s">
        <v>289</v>
      </c>
      <c r="D56" s="7" t="s">
        <v>310</v>
      </c>
      <c r="E56" s="7" t="s">
        <v>311</v>
      </c>
      <c r="F56" s="7" t="s">
        <v>312</v>
      </c>
      <c r="G56" s="13" t="s">
        <v>313</v>
      </c>
      <c r="H56" s="7" t="s">
        <v>14</v>
      </c>
      <c r="I56" s="7" t="s">
        <v>51</v>
      </c>
      <c r="J56" s="7" t="s">
        <v>247</v>
      </c>
      <c r="K56" s="7"/>
      <c r="L56" s="7"/>
      <c r="M56" s="14"/>
      <c r="N56" s="7"/>
      <c r="O56" s="7"/>
      <c r="P56" s="7"/>
      <c r="Q56" s="7"/>
      <c r="R56" s="7"/>
    </row>
    <row r="57" ht="15.75" customHeight="1">
      <c r="A57" s="12"/>
      <c r="B57" s="7" t="s">
        <v>14</v>
      </c>
      <c r="C57" s="7" t="s">
        <v>271</v>
      </c>
      <c r="D57" s="7" t="s">
        <v>314</v>
      </c>
      <c r="E57" s="7" t="s">
        <v>315</v>
      </c>
      <c r="F57" s="7" t="s">
        <v>316</v>
      </c>
      <c r="G57" s="13" t="s">
        <v>317</v>
      </c>
      <c r="H57" s="7" t="s">
        <v>14</v>
      </c>
      <c r="I57" s="7" t="s">
        <v>51</v>
      </c>
      <c r="J57" s="7" t="s">
        <v>318</v>
      </c>
      <c r="K57" s="7"/>
      <c r="L57" s="7"/>
      <c r="M57" s="14"/>
      <c r="N57" s="7"/>
      <c r="O57" s="7"/>
      <c r="P57" s="7"/>
      <c r="Q57" s="7"/>
      <c r="R57" s="7"/>
    </row>
    <row r="58" ht="15.75" customHeight="1">
      <c r="A58" s="12"/>
      <c r="B58" s="7" t="s">
        <v>14</v>
      </c>
      <c r="C58" s="7" t="s">
        <v>271</v>
      </c>
      <c r="D58" s="7" t="s">
        <v>319</v>
      </c>
      <c r="E58" s="7" t="s">
        <v>315</v>
      </c>
      <c r="F58" s="7" t="s">
        <v>320</v>
      </c>
      <c r="G58" s="13" t="s">
        <v>321</v>
      </c>
      <c r="H58" s="7" t="s">
        <v>14</v>
      </c>
      <c r="I58" s="7" t="s">
        <v>51</v>
      </c>
      <c r="J58" s="7" t="s">
        <v>322</v>
      </c>
      <c r="K58" s="7"/>
      <c r="L58" s="7"/>
      <c r="M58" s="14"/>
      <c r="N58" s="7"/>
      <c r="O58" s="7"/>
      <c r="P58" s="7"/>
      <c r="Q58" s="7"/>
      <c r="R58" s="7"/>
    </row>
    <row r="59" ht="15.75" customHeight="1">
      <c r="A59" s="18"/>
      <c r="B59" s="19" t="s">
        <v>14</v>
      </c>
      <c r="C59" s="19" t="s">
        <v>271</v>
      </c>
      <c r="D59" s="19" t="s">
        <v>323</v>
      </c>
      <c r="E59" s="19" t="s">
        <v>324</v>
      </c>
      <c r="F59" s="19" t="s">
        <v>325</v>
      </c>
      <c r="G59" s="20" t="s">
        <v>326</v>
      </c>
      <c r="H59" s="19" t="s">
        <v>14</v>
      </c>
      <c r="I59" s="19" t="s">
        <v>51</v>
      </c>
      <c r="J59" s="19" t="s">
        <v>327</v>
      </c>
      <c r="K59" s="19"/>
      <c r="L59" s="19"/>
      <c r="M59" s="21"/>
      <c r="N59" s="7"/>
      <c r="O59" s="7"/>
      <c r="P59" s="7"/>
      <c r="Q59" s="7"/>
      <c r="R59" s="7"/>
    </row>
    <row r="60" ht="15.75" customHeight="1">
      <c r="A60" s="8" t="s">
        <v>328</v>
      </c>
      <c r="B60" s="9" t="s">
        <v>14</v>
      </c>
      <c r="C60" s="9" t="s">
        <v>329</v>
      </c>
      <c r="D60" s="9" t="s">
        <v>330</v>
      </c>
      <c r="E60" s="9" t="s">
        <v>331</v>
      </c>
      <c r="F60" s="9" t="s">
        <v>332</v>
      </c>
      <c r="G60" s="13" t="s">
        <v>333</v>
      </c>
      <c r="H60" s="9" t="s">
        <v>14</v>
      </c>
      <c r="I60" s="9" t="s">
        <v>51</v>
      </c>
      <c r="J60" s="9" t="s">
        <v>334</v>
      </c>
      <c r="K60" s="9"/>
      <c r="L60" s="9"/>
      <c r="M60" s="11"/>
      <c r="N60" s="7"/>
      <c r="O60" s="7"/>
      <c r="P60" s="7"/>
      <c r="Q60" s="7"/>
      <c r="R60" s="7"/>
    </row>
    <row r="61" ht="15.75" customHeight="1">
      <c r="A61" s="12"/>
      <c r="B61" s="7" t="s">
        <v>14</v>
      </c>
      <c r="C61" s="7" t="s">
        <v>329</v>
      </c>
      <c r="D61" s="7" t="s">
        <v>335</v>
      </c>
      <c r="E61" s="7" t="s">
        <v>331</v>
      </c>
      <c r="F61" s="7" t="s">
        <v>336</v>
      </c>
      <c r="G61" s="13" t="s">
        <v>337</v>
      </c>
      <c r="H61" s="7" t="s">
        <v>14</v>
      </c>
      <c r="I61" s="7" t="s">
        <v>338</v>
      </c>
      <c r="J61" s="7" t="s">
        <v>339</v>
      </c>
      <c r="K61" s="7"/>
      <c r="L61" s="7"/>
      <c r="M61" s="14"/>
      <c r="N61" s="7"/>
      <c r="O61" s="7"/>
      <c r="P61" s="7"/>
      <c r="Q61" s="7"/>
      <c r="R61" s="7"/>
    </row>
    <row r="62" ht="15.75" customHeight="1">
      <c r="A62" s="12"/>
      <c r="B62" s="7" t="s">
        <v>14</v>
      </c>
      <c r="C62" s="7" t="s">
        <v>329</v>
      </c>
      <c r="D62" s="7" t="s">
        <v>340</v>
      </c>
      <c r="E62" s="7" t="s">
        <v>331</v>
      </c>
      <c r="F62" s="7" t="s">
        <v>341</v>
      </c>
      <c r="G62" s="13" t="s">
        <v>337</v>
      </c>
      <c r="H62" s="7" t="s">
        <v>14</v>
      </c>
      <c r="I62" s="7" t="s">
        <v>259</v>
      </c>
      <c r="J62" s="7" t="s">
        <v>342</v>
      </c>
      <c r="K62" s="7"/>
      <c r="L62" s="7"/>
      <c r="M62" s="14"/>
      <c r="N62" s="7"/>
      <c r="O62" s="7"/>
      <c r="P62" s="7"/>
      <c r="Q62" s="7"/>
      <c r="R62" s="7"/>
    </row>
    <row r="63" ht="15.75" customHeight="1">
      <c r="A63" s="12"/>
      <c r="B63" s="7" t="s">
        <v>14</v>
      </c>
      <c r="C63" s="7" t="s">
        <v>343</v>
      </c>
      <c r="D63" s="7" t="s">
        <v>344</v>
      </c>
      <c r="E63" s="7" t="s">
        <v>345</v>
      </c>
      <c r="F63" s="7" t="s">
        <v>346</v>
      </c>
      <c r="G63" s="13" t="s">
        <v>347</v>
      </c>
      <c r="H63" s="7" t="s">
        <v>14</v>
      </c>
      <c r="I63" s="7" t="s">
        <v>348</v>
      </c>
      <c r="J63" s="7" t="s">
        <v>349</v>
      </c>
      <c r="K63" s="7"/>
      <c r="L63" s="7"/>
      <c r="M63" s="14"/>
      <c r="N63" s="7"/>
      <c r="O63" s="7"/>
      <c r="P63" s="7"/>
      <c r="Q63" s="7"/>
      <c r="R63" s="7"/>
    </row>
    <row r="64" ht="15.75" customHeight="1">
      <c r="A64" s="12"/>
      <c r="B64" s="7" t="s">
        <v>14</v>
      </c>
      <c r="C64" s="7" t="s">
        <v>350</v>
      </c>
      <c r="D64" s="7" t="s">
        <v>351</v>
      </c>
      <c r="E64" s="7" t="s">
        <v>352</v>
      </c>
      <c r="F64" s="7" t="s">
        <v>353</v>
      </c>
      <c r="G64" s="13" t="s">
        <v>354</v>
      </c>
      <c r="H64" s="7" t="s">
        <v>14</v>
      </c>
      <c r="I64" s="7" t="s">
        <v>355</v>
      </c>
      <c r="J64" s="7" t="s">
        <v>356</v>
      </c>
      <c r="K64" s="7"/>
      <c r="L64" s="7"/>
      <c r="M64" s="14"/>
      <c r="N64" s="7"/>
      <c r="O64" s="7"/>
      <c r="P64" s="7"/>
      <c r="Q64" s="7"/>
      <c r="R64" s="7"/>
    </row>
    <row r="65" ht="15.75" customHeight="1">
      <c r="A65" s="12"/>
      <c r="B65" s="7" t="s">
        <v>14</v>
      </c>
      <c r="C65" s="7" t="s">
        <v>329</v>
      </c>
      <c r="D65" s="7" t="s">
        <v>357</v>
      </c>
      <c r="E65" s="7" t="s">
        <v>358</v>
      </c>
      <c r="F65" s="7" t="s">
        <v>357</v>
      </c>
      <c r="G65" s="13" t="s">
        <v>359</v>
      </c>
      <c r="H65" s="7" t="s">
        <v>14</v>
      </c>
      <c r="I65" s="7" t="s">
        <v>259</v>
      </c>
      <c r="J65" s="7" t="s">
        <v>193</v>
      </c>
      <c r="K65" s="7"/>
      <c r="L65" s="7"/>
      <c r="M65" s="14"/>
      <c r="N65" s="7"/>
      <c r="O65" s="7"/>
      <c r="P65" s="7"/>
      <c r="Q65" s="7"/>
      <c r="R65" s="7"/>
    </row>
    <row r="66" ht="15.75" customHeight="1">
      <c r="A66" s="12"/>
      <c r="B66" s="7" t="s">
        <v>14</v>
      </c>
      <c r="C66" s="7" t="s">
        <v>360</v>
      </c>
      <c r="D66" s="7" t="s">
        <v>361</v>
      </c>
      <c r="E66" s="7" t="s">
        <v>362</v>
      </c>
      <c r="F66" s="7" t="s">
        <v>363</v>
      </c>
      <c r="G66" s="13" t="s">
        <v>364</v>
      </c>
      <c r="H66" s="7" t="s">
        <v>14</v>
      </c>
      <c r="I66" s="7" t="s">
        <v>365</v>
      </c>
      <c r="J66" s="7" t="s">
        <v>366</v>
      </c>
      <c r="K66" s="7"/>
      <c r="L66" s="7"/>
      <c r="M66" s="14"/>
      <c r="N66" s="7"/>
      <c r="O66" s="7"/>
      <c r="P66" s="7"/>
      <c r="Q66" s="7"/>
      <c r="R66" s="7"/>
    </row>
    <row r="67" ht="15.75" customHeight="1">
      <c r="A67" s="12"/>
      <c r="B67" s="7" t="s">
        <v>14</v>
      </c>
      <c r="C67" s="7" t="s">
        <v>329</v>
      </c>
      <c r="D67" s="7" t="s">
        <v>367</v>
      </c>
      <c r="E67" s="7" t="s">
        <v>368</v>
      </c>
      <c r="F67" s="7" t="s">
        <v>369</v>
      </c>
      <c r="G67" s="13" t="s">
        <v>370</v>
      </c>
      <c r="H67" s="7" t="s">
        <v>14</v>
      </c>
      <c r="I67" s="7" t="s">
        <v>51</v>
      </c>
      <c r="J67" s="7" t="s">
        <v>371</v>
      </c>
      <c r="K67" s="7"/>
      <c r="L67" s="7"/>
      <c r="M67" s="14"/>
      <c r="N67" s="7"/>
      <c r="O67" s="7"/>
      <c r="P67" s="7"/>
      <c r="Q67" s="7"/>
      <c r="R67" s="7"/>
    </row>
    <row r="68" ht="15.75" customHeight="1">
      <c r="A68" s="12"/>
      <c r="B68" s="7" t="s">
        <v>14</v>
      </c>
      <c r="C68" s="7" t="s">
        <v>350</v>
      </c>
      <c r="D68" s="7" t="s">
        <v>372</v>
      </c>
      <c r="E68" s="7" t="s">
        <v>373</v>
      </c>
      <c r="F68" s="7" t="s">
        <v>374</v>
      </c>
      <c r="G68" s="13" t="s">
        <v>375</v>
      </c>
      <c r="H68" s="7" t="s">
        <v>14</v>
      </c>
      <c r="I68" s="7" t="s">
        <v>376</v>
      </c>
      <c r="J68" s="7" t="s">
        <v>377</v>
      </c>
      <c r="K68" s="7"/>
      <c r="L68" s="7"/>
      <c r="M68" s="14"/>
      <c r="N68" s="7"/>
      <c r="O68" s="7"/>
      <c r="P68" s="7"/>
      <c r="Q68" s="7"/>
      <c r="R68" s="7"/>
    </row>
    <row r="69" ht="15.75" customHeight="1">
      <c r="A69" s="12"/>
      <c r="B69" s="7" t="s">
        <v>14</v>
      </c>
      <c r="C69" s="7" t="s">
        <v>350</v>
      </c>
      <c r="D69" s="7" t="s">
        <v>378</v>
      </c>
      <c r="E69" s="7" t="s">
        <v>373</v>
      </c>
      <c r="F69" s="7" t="s">
        <v>379</v>
      </c>
      <c r="G69" s="13" t="s">
        <v>375</v>
      </c>
      <c r="H69" s="7" t="s">
        <v>14</v>
      </c>
      <c r="I69" s="7" t="s">
        <v>380</v>
      </c>
      <c r="J69" s="7" t="s">
        <v>381</v>
      </c>
      <c r="K69" s="7"/>
      <c r="L69" s="7"/>
      <c r="M69" s="14"/>
      <c r="N69" s="7"/>
      <c r="O69" s="7"/>
      <c r="P69" s="7"/>
      <c r="Q69" s="7"/>
      <c r="R69" s="7"/>
    </row>
    <row r="70" ht="15.75" customHeight="1">
      <c r="A70" s="12"/>
      <c r="B70" s="7" t="s">
        <v>14</v>
      </c>
      <c r="C70" s="7" t="s">
        <v>238</v>
      </c>
      <c r="D70" s="7" t="s">
        <v>382</v>
      </c>
      <c r="E70" s="7" t="s">
        <v>187</v>
      </c>
      <c r="F70" s="7" t="s">
        <v>383</v>
      </c>
      <c r="G70" s="13" t="s">
        <v>189</v>
      </c>
      <c r="H70" s="7" t="s">
        <v>14</v>
      </c>
      <c r="I70" s="7" t="s">
        <v>51</v>
      </c>
      <c r="J70" s="7" t="s">
        <v>384</v>
      </c>
      <c r="K70" s="7"/>
      <c r="L70" s="7"/>
      <c r="M70" s="14"/>
      <c r="N70" s="7"/>
      <c r="O70" s="7"/>
      <c r="P70" s="7"/>
      <c r="Q70" s="7"/>
      <c r="R70" s="7"/>
    </row>
    <row r="71" ht="15.75" customHeight="1">
      <c r="A71" s="12"/>
      <c r="B71" s="7" t="s">
        <v>14</v>
      </c>
      <c r="C71" s="7" t="s">
        <v>238</v>
      </c>
      <c r="D71" s="7" t="s">
        <v>385</v>
      </c>
      <c r="E71" s="7" t="s">
        <v>386</v>
      </c>
      <c r="F71" s="7" t="s">
        <v>387</v>
      </c>
      <c r="G71" s="13" t="s">
        <v>388</v>
      </c>
      <c r="H71" s="7" t="s">
        <v>14</v>
      </c>
      <c r="I71" s="7" t="s">
        <v>389</v>
      </c>
      <c r="J71" s="7" t="s">
        <v>390</v>
      </c>
      <c r="K71" s="7" t="s">
        <v>391</v>
      </c>
      <c r="L71" s="7"/>
      <c r="M71" s="14"/>
      <c r="N71" s="7"/>
      <c r="O71" s="7"/>
      <c r="P71" s="7"/>
      <c r="Q71" s="7"/>
      <c r="R71" s="7"/>
    </row>
    <row r="72" ht="15.75" customHeight="1">
      <c r="A72" s="12"/>
      <c r="B72" s="7" t="s">
        <v>14</v>
      </c>
      <c r="C72" s="7" t="s">
        <v>392</v>
      </c>
      <c r="D72" s="7" t="s">
        <v>393</v>
      </c>
      <c r="E72" s="7" t="s">
        <v>394</v>
      </c>
      <c r="F72" s="7" t="s">
        <v>395</v>
      </c>
      <c r="G72" s="13" t="s">
        <v>396</v>
      </c>
      <c r="H72" s="7" t="s">
        <v>14</v>
      </c>
      <c r="I72" s="7" t="s">
        <v>51</v>
      </c>
      <c r="J72" s="7" t="s">
        <v>397</v>
      </c>
      <c r="K72" s="7"/>
      <c r="L72" s="7"/>
      <c r="M72" s="14"/>
      <c r="N72" s="7"/>
      <c r="O72" s="7"/>
      <c r="P72" s="7"/>
      <c r="Q72" s="7"/>
      <c r="R72" s="7"/>
    </row>
    <row r="73" ht="15.75" customHeight="1">
      <c r="A73" s="18"/>
      <c r="B73" s="19" t="s">
        <v>14</v>
      </c>
      <c r="C73" s="19" t="s">
        <v>398</v>
      </c>
      <c r="D73" s="19" t="s">
        <v>399</v>
      </c>
      <c r="E73" s="19" t="s">
        <v>400</v>
      </c>
      <c r="F73" s="19" t="s">
        <v>401</v>
      </c>
      <c r="G73" s="20" t="s">
        <v>402</v>
      </c>
      <c r="H73" s="19" t="s">
        <v>14</v>
      </c>
      <c r="I73" s="19" t="s">
        <v>403</v>
      </c>
      <c r="J73" s="19" t="s">
        <v>404</v>
      </c>
      <c r="K73" s="19"/>
      <c r="L73" s="19"/>
      <c r="M73" s="21"/>
      <c r="N73" s="7"/>
      <c r="O73" s="7"/>
      <c r="P73" s="7"/>
      <c r="Q73" s="7"/>
      <c r="R73" s="7"/>
    </row>
    <row r="74" ht="15.75" customHeight="1">
      <c r="A74" s="25"/>
      <c r="D74" s="7"/>
      <c r="E74" s="7"/>
      <c r="F74" s="7"/>
      <c r="G74" s="7"/>
      <c r="H74" s="7"/>
      <c r="I74" s="7"/>
      <c r="J74" s="7"/>
      <c r="K74" s="7"/>
      <c r="L74" s="7"/>
      <c r="M74" s="7"/>
      <c r="N74" s="7"/>
      <c r="O74" s="7"/>
      <c r="P74" s="7"/>
      <c r="Q74" s="7"/>
      <c r="R74" s="7"/>
    </row>
    <row r="75" ht="15.75" customHeight="1">
      <c r="A75" s="25"/>
      <c r="D75" s="7"/>
      <c r="E75" s="7"/>
      <c r="F75" s="7"/>
      <c r="G75" s="7"/>
      <c r="H75" s="7"/>
      <c r="I75" s="7"/>
      <c r="J75" s="7"/>
      <c r="K75" s="7"/>
      <c r="L75" s="7"/>
      <c r="M75" s="7"/>
      <c r="N75" s="7"/>
      <c r="O75" s="7"/>
      <c r="P75" s="7"/>
      <c r="Q75" s="7"/>
      <c r="R75" s="7"/>
    </row>
    <row r="76" ht="15.75" customHeight="1">
      <c r="A76" s="25"/>
      <c r="D76" s="7"/>
      <c r="E76" s="7"/>
      <c r="F76" s="7"/>
      <c r="G76" s="7"/>
      <c r="H76" s="7"/>
      <c r="I76" s="7"/>
      <c r="J76" s="7"/>
      <c r="K76" s="7"/>
      <c r="L76" s="7"/>
      <c r="M76" s="7"/>
      <c r="N76" s="7"/>
      <c r="O76" s="7"/>
      <c r="P76" s="7"/>
      <c r="Q76" s="7"/>
      <c r="R76" s="7"/>
    </row>
    <row r="77" ht="15.75" customHeight="1">
      <c r="A77" s="25"/>
      <c r="B77" s="7"/>
      <c r="C77" s="7"/>
      <c r="D77" s="7"/>
      <c r="E77" s="7"/>
      <c r="F77" s="7"/>
      <c r="G77" s="7"/>
      <c r="H77" s="7"/>
      <c r="I77" s="7"/>
      <c r="J77" s="7"/>
      <c r="K77" s="7"/>
      <c r="L77" s="7"/>
      <c r="M77" s="7"/>
      <c r="N77" s="7"/>
      <c r="O77" s="7"/>
      <c r="P77" s="7"/>
      <c r="Q77" s="7"/>
      <c r="R77" s="7"/>
    </row>
    <row r="78" ht="15.75" customHeight="1">
      <c r="A78" s="25"/>
      <c r="B78" s="7"/>
      <c r="C78" s="7"/>
      <c r="D78" s="7"/>
      <c r="E78" s="7"/>
      <c r="F78" s="7"/>
      <c r="G78" s="7"/>
      <c r="H78" s="7"/>
      <c r="I78" s="7"/>
      <c r="J78" s="7"/>
      <c r="K78" s="7"/>
      <c r="L78" s="7"/>
      <c r="M78" s="7"/>
      <c r="N78" s="7"/>
      <c r="O78" s="7"/>
      <c r="P78" s="7"/>
      <c r="Q78" s="7"/>
      <c r="R78" s="7"/>
    </row>
    <row r="79" ht="15.75" customHeight="1">
      <c r="A79" s="25"/>
      <c r="B79" s="7"/>
      <c r="C79" s="7"/>
      <c r="D79" s="7"/>
      <c r="E79" s="7"/>
      <c r="F79" s="7"/>
      <c r="G79" s="7"/>
      <c r="H79" s="7"/>
      <c r="I79" s="7"/>
      <c r="J79" s="7"/>
      <c r="K79" s="7"/>
      <c r="L79" s="7"/>
      <c r="M79" s="7"/>
      <c r="N79" s="7"/>
      <c r="O79" s="7"/>
      <c r="P79" s="7"/>
      <c r="Q79" s="7"/>
      <c r="R79" s="7"/>
    </row>
    <row r="80" ht="15.75" customHeight="1">
      <c r="A80" s="26"/>
      <c r="D80" s="7"/>
      <c r="E80" s="7"/>
      <c r="F80" s="7"/>
      <c r="G80" s="7"/>
      <c r="H80" s="7"/>
      <c r="I80" s="7"/>
      <c r="J80" s="7"/>
      <c r="K80" s="7"/>
      <c r="L80" s="7"/>
      <c r="M80" s="7"/>
      <c r="N80" s="7"/>
      <c r="O80" s="7"/>
      <c r="P80" s="7"/>
      <c r="Q80" s="7"/>
      <c r="R80" s="7"/>
    </row>
    <row r="81" ht="15.75" customHeight="1">
      <c r="A81" s="26"/>
      <c r="D81" s="7"/>
      <c r="E81" s="7"/>
      <c r="F81" s="7"/>
      <c r="G81" s="7"/>
      <c r="H81" s="7"/>
      <c r="I81" s="7"/>
      <c r="J81" s="7"/>
      <c r="K81" s="7"/>
      <c r="L81" s="7"/>
      <c r="M81" s="7"/>
      <c r="N81" s="7"/>
      <c r="O81" s="7"/>
      <c r="P81" s="7"/>
      <c r="Q81" s="7"/>
      <c r="R81" s="7"/>
    </row>
    <row r="82" ht="15.75" customHeight="1">
      <c r="A82" s="26"/>
      <c r="D82" s="7"/>
      <c r="E82" s="7"/>
      <c r="F82" s="7"/>
      <c r="G82" s="7"/>
      <c r="H82" s="7"/>
      <c r="I82" s="7"/>
      <c r="J82" s="7"/>
      <c r="K82" s="7"/>
      <c r="L82" s="7"/>
      <c r="M82" s="7"/>
      <c r="N82" s="7"/>
      <c r="O82" s="7"/>
      <c r="P82" s="7"/>
      <c r="Q82" s="7"/>
      <c r="R82" s="7"/>
    </row>
    <row r="83" ht="15.75" customHeight="1">
      <c r="A83" s="26"/>
      <c r="D83" s="7"/>
      <c r="E83" s="7"/>
      <c r="F83" s="7"/>
      <c r="G83" s="7"/>
      <c r="H83" s="7"/>
      <c r="I83" s="7"/>
      <c r="J83" s="7"/>
      <c r="K83" s="7"/>
      <c r="L83" s="7"/>
      <c r="M83" s="7"/>
      <c r="N83" s="7"/>
      <c r="O83" s="7"/>
      <c r="P83" s="7"/>
      <c r="Q83" s="7"/>
      <c r="R83" s="7"/>
    </row>
    <row r="84" ht="15.75" customHeight="1">
      <c r="A84" s="26"/>
      <c r="D84" s="7"/>
      <c r="E84" s="7"/>
      <c r="F84" s="7"/>
      <c r="G84" s="7"/>
      <c r="H84" s="7"/>
      <c r="I84" s="7"/>
      <c r="J84" s="7"/>
      <c r="K84" s="7"/>
      <c r="L84" s="7"/>
      <c r="M84" s="7"/>
      <c r="N84" s="7"/>
      <c r="O84" s="7"/>
      <c r="P84" s="7"/>
      <c r="Q84" s="7"/>
      <c r="R84" s="7"/>
    </row>
    <row r="85" ht="15.75" customHeight="1">
      <c r="A85" s="26"/>
      <c r="D85" s="7"/>
      <c r="E85" s="7"/>
      <c r="F85" s="7"/>
      <c r="G85" s="7"/>
      <c r="H85" s="7"/>
      <c r="I85" s="7"/>
      <c r="J85" s="7"/>
      <c r="K85" s="7"/>
      <c r="L85" s="7"/>
      <c r="M85" s="7"/>
      <c r="N85" s="7"/>
      <c r="O85" s="7"/>
      <c r="P85" s="7"/>
      <c r="Q85" s="7"/>
      <c r="R85" s="7"/>
    </row>
    <row r="86" ht="15.75" customHeight="1">
      <c r="A86" s="26"/>
      <c r="D86" s="7"/>
      <c r="E86" s="7"/>
      <c r="F86" s="7"/>
      <c r="G86" s="7"/>
      <c r="H86" s="7"/>
      <c r="I86" s="7"/>
      <c r="J86" s="7"/>
      <c r="K86" s="7"/>
      <c r="L86" s="7"/>
      <c r="M86" s="7"/>
      <c r="N86" s="7"/>
      <c r="O86" s="7"/>
      <c r="P86" s="7"/>
      <c r="Q86" s="7"/>
      <c r="R86" s="7"/>
    </row>
    <row r="87" ht="15.75" customHeight="1">
      <c r="A87" s="26"/>
      <c r="D87" s="7"/>
      <c r="E87" s="7"/>
      <c r="F87" s="7"/>
      <c r="G87" s="7"/>
      <c r="H87" s="7"/>
      <c r="I87" s="7"/>
      <c r="J87" s="7"/>
      <c r="K87" s="7"/>
      <c r="L87" s="7"/>
      <c r="M87" s="7"/>
      <c r="N87" s="7"/>
      <c r="O87" s="7"/>
      <c r="P87" s="7"/>
      <c r="Q87" s="7"/>
      <c r="R87" s="7"/>
    </row>
    <row r="88" ht="15.75" customHeight="1">
      <c r="A88" s="26"/>
      <c r="D88" s="7"/>
      <c r="E88" s="7"/>
      <c r="F88" s="7"/>
      <c r="G88" s="7"/>
      <c r="H88" s="7"/>
      <c r="I88" s="7"/>
      <c r="J88" s="7"/>
      <c r="K88" s="7"/>
      <c r="L88" s="7"/>
      <c r="M88" s="7"/>
      <c r="N88" s="7"/>
      <c r="O88" s="7"/>
      <c r="P88" s="7"/>
      <c r="Q88" s="7"/>
      <c r="R88" s="7"/>
    </row>
    <row r="89" ht="15.75" customHeight="1">
      <c r="A89" s="26"/>
      <c r="D89" s="7"/>
      <c r="E89" s="7"/>
      <c r="F89" s="7"/>
      <c r="G89" s="7"/>
      <c r="H89" s="7"/>
      <c r="I89" s="7"/>
      <c r="J89" s="7"/>
      <c r="K89" s="7"/>
      <c r="L89" s="7"/>
      <c r="M89" s="7"/>
      <c r="N89" s="7"/>
      <c r="O89" s="7"/>
      <c r="P89" s="7"/>
      <c r="Q89" s="7"/>
      <c r="R89" s="7"/>
    </row>
    <row r="90" ht="15.75" customHeight="1">
      <c r="A90" s="26"/>
      <c r="D90" s="7"/>
      <c r="E90" s="7"/>
      <c r="F90" s="7"/>
      <c r="G90" s="7"/>
      <c r="H90" s="7"/>
      <c r="I90" s="7"/>
      <c r="J90" s="7"/>
      <c r="K90" s="7"/>
      <c r="L90" s="7"/>
      <c r="M90" s="7"/>
      <c r="N90" s="7"/>
      <c r="O90" s="7"/>
      <c r="P90" s="7"/>
      <c r="Q90" s="7"/>
      <c r="R90" s="7"/>
    </row>
    <row r="91" ht="15.75" customHeight="1">
      <c r="A91" s="26"/>
      <c r="D91" s="7"/>
      <c r="E91" s="7"/>
      <c r="F91" s="7"/>
      <c r="G91" s="7"/>
      <c r="H91" s="7"/>
      <c r="I91" s="7"/>
      <c r="J91" s="7"/>
      <c r="K91" s="7"/>
      <c r="L91" s="7"/>
      <c r="M91" s="7"/>
      <c r="N91" s="7"/>
      <c r="O91" s="7"/>
      <c r="P91" s="7"/>
      <c r="Q91" s="7"/>
      <c r="R91" s="7"/>
    </row>
    <row r="92" ht="15.75" customHeight="1">
      <c r="A92" s="26"/>
      <c r="D92" s="7"/>
      <c r="E92" s="7"/>
      <c r="F92" s="7"/>
      <c r="G92" s="7"/>
      <c r="H92" s="7"/>
      <c r="I92" s="7"/>
      <c r="J92" s="7"/>
      <c r="K92" s="7"/>
      <c r="L92" s="7"/>
      <c r="M92" s="7"/>
      <c r="N92" s="7"/>
      <c r="O92" s="7"/>
      <c r="P92" s="7"/>
      <c r="Q92" s="7"/>
      <c r="R92" s="7"/>
    </row>
    <row r="93" ht="15.75" customHeight="1">
      <c r="A93" s="26"/>
      <c r="D93" s="7"/>
      <c r="E93" s="7"/>
      <c r="F93" s="7"/>
      <c r="G93" s="7"/>
      <c r="H93" s="7"/>
      <c r="I93" s="7"/>
      <c r="J93" s="7"/>
      <c r="K93" s="7"/>
      <c r="L93" s="7"/>
      <c r="M93" s="7"/>
      <c r="N93" s="7"/>
      <c r="O93" s="7"/>
      <c r="P93" s="7"/>
      <c r="Q93" s="7"/>
      <c r="R93" s="7"/>
    </row>
    <row r="94" ht="15.75" customHeight="1">
      <c r="A94" s="26"/>
      <c r="D94" s="7"/>
      <c r="E94" s="7"/>
      <c r="F94" s="7"/>
      <c r="G94" s="7"/>
      <c r="H94" s="7"/>
      <c r="I94" s="7"/>
      <c r="J94" s="7"/>
      <c r="K94" s="7"/>
      <c r="L94" s="7"/>
      <c r="M94" s="7"/>
      <c r="N94" s="7"/>
      <c r="O94" s="7"/>
      <c r="P94" s="7"/>
      <c r="Q94" s="7"/>
      <c r="R94" s="7"/>
    </row>
    <row r="95" ht="15.75" customHeight="1">
      <c r="A95" s="26"/>
      <c r="D95" s="7"/>
      <c r="E95" s="7"/>
      <c r="F95" s="7"/>
      <c r="G95" s="7"/>
      <c r="H95" s="7"/>
      <c r="I95" s="7"/>
      <c r="J95" s="7"/>
      <c r="K95" s="7"/>
      <c r="L95" s="7"/>
      <c r="M95" s="7"/>
      <c r="N95" s="7"/>
      <c r="O95" s="7"/>
      <c r="P95" s="7"/>
      <c r="Q95" s="7"/>
      <c r="R95" s="7"/>
    </row>
    <row r="96" ht="15.75" customHeight="1">
      <c r="A96" s="26"/>
      <c r="D96" s="7"/>
      <c r="E96" s="7"/>
      <c r="F96" s="7"/>
      <c r="G96" s="7"/>
      <c r="H96" s="7"/>
      <c r="I96" s="7"/>
      <c r="J96" s="7"/>
      <c r="K96" s="7"/>
      <c r="L96" s="7"/>
      <c r="M96" s="7"/>
      <c r="N96" s="7"/>
      <c r="O96" s="7"/>
      <c r="P96" s="7"/>
      <c r="Q96" s="7"/>
      <c r="R96" s="7"/>
    </row>
    <row r="97" ht="15.75" customHeight="1">
      <c r="A97" s="26"/>
      <c r="D97" s="7"/>
      <c r="E97" s="7"/>
      <c r="F97" s="7"/>
      <c r="G97" s="7"/>
      <c r="H97" s="7"/>
      <c r="I97" s="7"/>
      <c r="J97" s="7"/>
      <c r="K97" s="7"/>
      <c r="L97" s="7"/>
      <c r="M97" s="7"/>
      <c r="N97" s="7"/>
      <c r="O97" s="7"/>
      <c r="P97" s="7"/>
      <c r="Q97" s="7"/>
      <c r="R97" s="7"/>
    </row>
    <row r="98" ht="15.75" customHeight="1">
      <c r="A98" s="26"/>
      <c r="D98" s="7"/>
      <c r="E98" s="7"/>
      <c r="F98" s="7"/>
      <c r="G98" s="7"/>
      <c r="H98" s="7"/>
      <c r="I98" s="7"/>
      <c r="J98" s="7"/>
      <c r="K98" s="7"/>
      <c r="L98" s="7"/>
      <c r="M98" s="7"/>
      <c r="N98" s="7"/>
      <c r="O98" s="7"/>
      <c r="P98" s="7"/>
      <c r="Q98" s="7"/>
      <c r="R98" s="7"/>
    </row>
    <row r="99" ht="15.75" customHeight="1">
      <c r="A99" s="26"/>
      <c r="D99" s="7"/>
      <c r="E99" s="7"/>
      <c r="F99" s="7"/>
      <c r="G99" s="7"/>
      <c r="H99" s="7"/>
      <c r="I99" s="7"/>
      <c r="J99" s="7"/>
      <c r="K99" s="7"/>
      <c r="L99" s="7"/>
      <c r="M99" s="7"/>
      <c r="N99" s="7"/>
      <c r="O99" s="7"/>
      <c r="P99" s="7"/>
      <c r="Q99" s="7"/>
      <c r="R99" s="7"/>
    </row>
    <row r="100" ht="15.75" customHeight="1">
      <c r="A100" s="26"/>
      <c r="D100" s="7"/>
      <c r="E100" s="7"/>
      <c r="F100" s="7"/>
      <c r="G100" s="7"/>
      <c r="H100" s="7"/>
      <c r="I100" s="7"/>
      <c r="J100" s="7"/>
      <c r="K100" s="7"/>
      <c r="L100" s="7"/>
      <c r="M100" s="7"/>
      <c r="N100" s="7"/>
      <c r="O100" s="7"/>
      <c r="P100" s="7"/>
      <c r="Q100" s="7"/>
      <c r="R100" s="7"/>
    </row>
    <row r="101" ht="15.75" customHeight="1">
      <c r="A101" s="26"/>
      <c r="D101" s="7"/>
      <c r="E101" s="7"/>
      <c r="F101" s="7"/>
      <c r="G101" s="7"/>
      <c r="H101" s="7"/>
      <c r="I101" s="7"/>
      <c r="J101" s="7"/>
      <c r="K101" s="7"/>
      <c r="L101" s="7"/>
      <c r="M101" s="7"/>
      <c r="N101" s="7"/>
      <c r="O101" s="7"/>
      <c r="P101" s="7"/>
      <c r="Q101" s="7"/>
      <c r="R101" s="7"/>
    </row>
    <row r="102" ht="15.75" customHeight="1">
      <c r="A102" s="26"/>
      <c r="D102" s="7"/>
      <c r="E102" s="7"/>
      <c r="F102" s="7"/>
      <c r="G102" s="7"/>
      <c r="H102" s="7"/>
      <c r="I102" s="7"/>
      <c r="J102" s="7"/>
      <c r="K102" s="7"/>
      <c r="L102" s="7"/>
      <c r="M102" s="7"/>
      <c r="N102" s="7"/>
      <c r="O102" s="7"/>
      <c r="P102" s="7"/>
      <c r="Q102" s="7"/>
      <c r="R102" s="7"/>
    </row>
    <row r="103" ht="15.75" customHeight="1">
      <c r="A103" s="26"/>
      <c r="D103" s="7"/>
      <c r="E103" s="7"/>
      <c r="F103" s="7"/>
      <c r="G103" s="7"/>
      <c r="H103" s="7"/>
      <c r="I103" s="7"/>
      <c r="J103" s="7"/>
      <c r="K103" s="7"/>
      <c r="L103" s="7"/>
      <c r="M103" s="7"/>
      <c r="N103" s="7"/>
      <c r="O103" s="7"/>
      <c r="P103" s="7"/>
      <c r="Q103" s="7"/>
      <c r="R103" s="7"/>
    </row>
    <row r="104" ht="15.75" customHeight="1">
      <c r="A104" s="26"/>
      <c r="D104" s="7"/>
      <c r="E104" s="7"/>
      <c r="F104" s="7"/>
      <c r="G104" s="7"/>
      <c r="H104" s="7"/>
      <c r="I104" s="7"/>
      <c r="J104" s="7"/>
      <c r="K104" s="7"/>
      <c r="L104" s="7"/>
      <c r="M104" s="7"/>
      <c r="N104" s="7"/>
      <c r="O104" s="7"/>
      <c r="P104" s="7"/>
      <c r="Q104" s="7"/>
      <c r="R104" s="7"/>
    </row>
    <row r="105" ht="15.75" customHeight="1">
      <c r="A105" s="26"/>
      <c r="D105" s="7"/>
      <c r="E105" s="7"/>
      <c r="F105" s="7"/>
      <c r="G105" s="7"/>
      <c r="H105" s="7"/>
      <c r="I105" s="7"/>
      <c r="J105" s="7"/>
      <c r="K105" s="7"/>
      <c r="L105" s="7"/>
      <c r="M105" s="7"/>
      <c r="N105" s="7"/>
      <c r="O105" s="7"/>
      <c r="P105" s="7"/>
      <c r="Q105" s="7"/>
      <c r="R105" s="7"/>
    </row>
    <row r="106" ht="15.75" customHeight="1">
      <c r="A106" s="26"/>
      <c r="D106" s="7"/>
      <c r="E106" s="7"/>
      <c r="F106" s="7"/>
      <c r="G106" s="7"/>
      <c r="H106" s="7"/>
      <c r="I106" s="7"/>
      <c r="J106" s="7"/>
      <c r="K106" s="7"/>
      <c r="L106" s="7"/>
      <c r="M106" s="7"/>
      <c r="N106" s="7"/>
      <c r="O106" s="7"/>
      <c r="P106" s="7"/>
      <c r="Q106" s="7"/>
      <c r="R106" s="7"/>
    </row>
    <row r="107" ht="15.75" customHeight="1">
      <c r="A107" s="26"/>
      <c r="D107" s="7"/>
      <c r="E107" s="7"/>
      <c r="F107" s="7"/>
      <c r="G107" s="7"/>
      <c r="H107" s="7"/>
      <c r="I107" s="7"/>
      <c r="J107" s="7"/>
      <c r="K107" s="7"/>
      <c r="L107" s="7"/>
      <c r="M107" s="7"/>
      <c r="N107" s="7"/>
      <c r="O107" s="7"/>
      <c r="P107" s="7"/>
      <c r="Q107" s="7"/>
      <c r="R107" s="7"/>
    </row>
    <row r="108" ht="15.75" customHeight="1">
      <c r="A108" s="26"/>
      <c r="D108" s="7"/>
      <c r="E108" s="7"/>
      <c r="F108" s="7"/>
      <c r="G108" s="7"/>
      <c r="H108" s="7"/>
      <c r="I108" s="7"/>
      <c r="J108" s="7"/>
      <c r="K108" s="7"/>
      <c r="L108" s="7"/>
      <c r="M108" s="7"/>
      <c r="N108" s="7"/>
      <c r="O108" s="7"/>
      <c r="P108" s="7"/>
      <c r="Q108" s="7"/>
      <c r="R108" s="7"/>
    </row>
    <row r="109" ht="15.75" customHeight="1">
      <c r="A109" s="26"/>
      <c r="D109" s="7"/>
      <c r="E109" s="7"/>
      <c r="F109" s="7"/>
      <c r="G109" s="7"/>
      <c r="H109" s="7"/>
      <c r="I109" s="7"/>
      <c r="J109" s="7"/>
      <c r="K109" s="7"/>
      <c r="L109" s="7"/>
      <c r="M109" s="7"/>
      <c r="N109" s="7"/>
      <c r="O109" s="7"/>
      <c r="P109" s="7"/>
      <c r="Q109" s="7"/>
      <c r="R109" s="7"/>
    </row>
    <row r="110" ht="15.75" customHeight="1">
      <c r="A110" s="26"/>
      <c r="D110" s="7"/>
      <c r="E110" s="7"/>
      <c r="F110" s="7"/>
      <c r="G110" s="7"/>
      <c r="H110" s="7"/>
      <c r="I110" s="7"/>
      <c r="J110" s="7"/>
      <c r="K110" s="7"/>
      <c r="L110" s="7"/>
      <c r="M110" s="7"/>
      <c r="N110" s="7"/>
      <c r="O110" s="7"/>
      <c r="P110" s="7"/>
      <c r="Q110" s="7"/>
      <c r="R110" s="7"/>
    </row>
    <row r="111" ht="15.75" customHeight="1">
      <c r="A111" s="26"/>
      <c r="D111" s="7"/>
      <c r="E111" s="7"/>
      <c r="F111" s="7"/>
      <c r="G111" s="7"/>
      <c r="H111" s="7"/>
      <c r="I111" s="7"/>
      <c r="J111" s="7"/>
      <c r="K111" s="7"/>
      <c r="L111" s="7"/>
      <c r="M111" s="7"/>
      <c r="N111" s="7"/>
      <c r="O111" s="7"/>
      <c r="P111" s="7"/>
      <c r="Q111" s="7"/>
      <c r="R111" s="7"/>
    </row>
    <row r="112" ht="15.75" customHeight="1">
      <c r="A112" s="26"/>
      <c r="D112" s="7"/>
      <c r="E112" s="7"/>
      <c r="F112" s="7"/>
      <c r="G112" s="7"/>
      <c r="H112" s="7"/>
      <c r="I112" s="7"/>
      <c r="J112" s="7"/>
      <c r="K112" s="7"/>
      <c r="L112" s="7"/>
      <c r="M112" s="7"/>
      <c r="N112" s="7"/>
      <c r="O112" s="7"/>
      <c r="P112" s="7"/>
      <c r="Q112" s="7"/>
      <c r="R112" s="7"/>
    </row>
    <row r="113" ht="15.75" customHeight="1">
      <c r="A113" s="26"/>
      <c r="D113" s="7"/>
      <c r="E113" s="7"/>
      <c r="F113" s="7"/>
      <c r="G113" s="7"/>
      <c r="H113" s="7"/>
      <c r="I113" s="7"/>
      <c r="J113" s="7"/>
      <c r="K113" s="7"/>
      <c r="L113" s="7"/>
      <c r="M113" s="7"/>
      <c r="N113" s="7"/>
      <c r="O113" s="7"/>
      <c r="P113" s="7"/>
      <c r="Q113" s="7"/>
      <c r="R113" s="7"/>
    </row>
    <row r="114" ht="15.75" customHeight="1">
      <c r="A114" s="26"/>
      <c r="D114" s="7"/>
      <c r="E114" s="7"/>
      <c r="F114" s="7"/>
      <c r="G114" s="7"/>
      <c r="H114" s="7"/>
      <c r="I114" s="7"/>
      <c r="J114" s="7"/>
      <c r="K114" s="7"/>
      <c r="L114" s="7"/>
      <c r="M114" s="7"/>
      <c r="N114" s="7"/>
      <c r="O114" s="7"/>
      <c r="P114" s="7"/>
      <c r="Q114" s="7"/>
      <c r="R114" s="7"/>
    </row>
    <row r="115" ht="15.75" customHeight="1">
      <c r="A115" s="26"/>
      <c r="D115" s="7"/>
      <c r="E115" s="7"/>
      <c r="F115" s="7"/>
      <c r="G115" s="7"/>
      <c r="H115" s="7"/>
      <c r="I115" s="7"/>
      <c r="J115" s="7"/>
      <c r="K115" s="7"/>
      <c r="L115" s="7"/>
      <c r="M115" s="7"/>
      <c r="N115" s="7"/>
      <c r="O115" s="7"/>
      <c r="P115" s="7"/>
      <c r="Q115" s="7"/>
      <c r="R115" s="7"/>
    </row>
    <row r="116" ht="15.75" customHeight="1">
      <c r="A116" s="26"/>
      <c r="D116" s="7"/>
      <c r="E116" s="7"/>
      <c r="F116" s="7"/>
      <c r="G116" s="7"/>
      <c r="H116" s="7"/>
      <c r="I116" s="7"/>
      <c r="J116" s="7"/>
      <c r="K116" s="7"/>
      <c r="L116" s="7"/>
      <c r="M116" s="7"/>
      <c r="N116" s="7"/>
      <c r="O116" s="7"/>
      <c r="P116" s="7"/>
      <c r="Q116" s="7"/>
      <c r="R116" s="7"/>
    </row>
    <row r="117" ht="15.75" customHeight="1">
      <c r="A117" s="26"/>
      <c r="D117" s="7"/>
      <c r="E117" s="7"/>
      <c r="F117" s="7"/>
      <c r="G117" s="7"/>
      <c r="H117" s="7"/>
      <c r="I117" s="7"/>
      <c r="J117" s="7"/>
      <c r="K117" s="7"/>
      <c r="L117" s="7"/>
      <c r="M117" s="7"/>
      <c r="N117" s="7"/>
      <c r="O117" s="7"/>
      <c r="P117" s="7"/>
      <c r="Q117" s="7"/>
      <c r="R117" s="7"/>
    </row>
    <row r="118" ht="15.75" customHeight="1">
      <c r="A118" s="26"/>
      <c r="D118" s="7"/>
      <c r="E118" s="7"/>
      <c r="F118" s="7"/>
      <c r="G118" s="7"/>
      <c r="H118" s="7"/>
      <c r="I118" s="7"/>
      <c r="J118" s="7"/>
      <c r="K118" s="7"/>
      <c r="L118" s="7"/>
      <c r="M118" s="7"/>
      <c r="N118" s="7"/>
      <c r="O118" s="7"/>
      <c r="P118" s="7"/>
      <c r="Q118" s="7"/>
      <c r="R118" s="7"/>
    </row>
    <row r="119" ht="15.75" customHeight="1">
      <c r="A119" s="26"/>
      <c r="D119" s="7"/>
      <c r="E119" s="7"/>
      <c r="F119" s="7"/>
      <c r="G119" s="7"/>
      <c r="H119" s="7"/>
      <c r="I119" s="7"/>
      <c r="J119" s="7"/>
      <c r="K119" s="7"/>
      <c r="L119" s="7"/>
      <c r="M119" s="7"/>
      <c r="N119" s="7"/>
      <c r="O119" s="7"/>
      <c r="P119" s="7"/>
      <c r="Q119" s="7"/>
      <c r="R119" s="7"/>
    </row>
    <row r="120" ht="15.75" customHeight="1">
      <c r="A120" s="26"/>
      <c r="D120" s="7"/>
      <c r="E120" s="7"/>
      <c r="F120" s="7"/>
      <c r="G120" s="7"/>
      <c r="H120" s="7"/>
      <c r="I120" s="7"/>
      <c r="J120" s="7"/>
      <c r="K120" s="7"/>
      <c r="L120" s="7"/>
      <c r="M120" s="7"/>
      <c r="N120" s="7"/>
      <c r="O120" s="7"/>
      <c r="P120" s="7"/>
      <c r="Q120" s="7"/>
      <c r="R120" s="7"/>
    </row>
    <row r="121" ht="15.75" customHeight="1">
      <c r="A121" s="26"/>
      <c r="D121" s="7"/>
      <c r="E121" s="7"/>
      <c r="F121" s="7"/>
      <c r="G121" s="7"/>
      <c r="H121" s="7"/>
      <c r="I121" s="7"/>
      <c r="J121" s="7"/>
      <c r="K121" s="7"/>
      <c r="L121" s="7"/>
      <c r="M121" s="7"/>
      <c r="N121" s="7"/>
      <c r="O121" s="7"/>
      <c r="P121" s="7"/>
      <c r="Q121" s="7"/>
      <c r="R121" s="7"/>
    </row>
    <row r="122" ht="15.75" customHeight="1">
      <c r="A122" s="26"/>
      <c r="D122" s="7"/>
      <c r="E122" s="7"/>
      <c r="F122" s="7"/>
      <c r="G122" s="7"/>
      <c r="H122" s="7"/>
      <c r="I122" s="7"/>
      <c r="J122" s="7"/>
      <c r="K122" s="7"/>
      <c r="L122" s="7"/>
      <c r="M122" s="7"/>
      <c r="N122" s="7"/>
      <c r="O122" s="7"/>
      <c r="P122" s="7"/>
      <c r="Q122" s="7"/>
      <c r="R122" s="7"/>
    </row>
    <row r="123" ht="15.75" customHeight="1">
      <c r="A123" s="26"/>
      <c r="D123" s="7"/>
      <c r="E123" s="7"/>
      <c r="F123" s="7"/>
      <c r="G123" s="7"/>
      <c r="H123" s="7"/>
      <c r="I123" s="7"/>
      <c r="J123" s="7"/>
      <c r="K123" s="7"/>
      <c r="L123" s="7"/>
      <c r="M123" s="7"/>
      <c r="N123" s="7"/>
      <c r="O123" s="7"/>
      <c r="P123" s="7"/>
      <c r="Q123" s="7"/>
      <c r="R123" s="7"/>
    </row>
    <row r="124" ht="15.75" customHeight="1">
      <c r="A124" s="26"/>
      <c r="D124" s="7"/>
      <c r="E124" s="7"/>
      <c r="F124" s="7"/>
      <c r="G124" s="7"/>
      <c r="H124" s="7"/>
      <c r="I124" s="7"/>
      <c r="J124" s="7"/>
      <c r="K124" s="7"/>
      <c r="L124" s="7"/>
      <c r="M124" s="7"/>
      <c r="N124" s="7"/>
      <c r="O124" s="7"/>
      <c r="P124" s="7"/>
      <c r="Q124" s="7"/>
      <c r="R124" s="7"/>
    </row>
    <row r="125" ht="15.75" customHeight="1">
      <c r="A125" s="26"/>
      <c r="D125" s="7"/>
      <c r="E125" s="7"/>
      <c r="F125" s="7"/>
      <c r="G125" s="7"/>
      <c r="H125" s="7"/>
      <c r="I125" s="7"/>
      <c r="J125" s="7"/>
      <c r="K125" s="7"/>
      <c r="L125" s="7"/>
      <c r="M125" s="7"/>
      <c r="N125" s="7"/>
      <c r="O125" s="7"/>
      <c r="P125" s="7"/>
      <c r="Q125" s="7"/>
      <c r="R125" s="7"/>
    </row>
    <row r="126" ht="15.75" customHeight="1">
      <c r="A126" s="26"/>
      <c r="D126" s="7"/>
      <c r="E126" s="7"/>
      <c r="F126" s="7"/>
      <c r="G126" s="7"/>
      <c r="H126" s="7"/>
      <c r="I126" s="7"/>
      <c r="J126" s="7"/>
      <c r="K126" s="7"/>
      <c r="L126" s="7"/>
      <c r="M126" s="7"/>
      <c r="N126" s="7"/>
      <c r="O126" s="7"/>
      <c r="P126" s="7"/>
      <c r="Q126" s="7"/>
      <c r="R126" s="7"/>
    </row>
    <row r="127" ht="15.75" customHeight="1">
      <c r="A127" s="26"/>
      <c r="D127" s="7"/>
      <c r="E127" s="7"/>
      <c r="F127" s="7"/>
      <c r="G127" s="7"/>
      <c r="H127" s="7"/>
      <c r="I127" s="7"/>
      <c r="J127" s="7"/>
      <c r="K127" s="7"/>
      <c r="L127" s="7"/>
      <c r="M127" s="7"/>
      <c r="N127" s="7"/>
      <c r="O127" s="7"/>
      <c r="P127" s="7"/>
      <c r="Q127" s="7"/>
      <c r="R127" s="7"/>
    </row>
    <row r="128" ht="15.75" customHeight="1">
      <c r="A128" s="26"/>
      <c r="D128" s="7"/>
      <c r="E128" s="7"/>
      <c r="F128" s="7"/>
      <c r="G128" s="7"/>
      <c r="H128" s="7"/>
      <c r="I128" s="7"/>
      <c r="J128" s="7"/>
      <c r="K128" s="7"/>
      <c r="L128" s="7"/>
      <c r="M128" s="7"/>
      <c r="N128" s="7"/>
      <c r="O128" s="7"/>
      <c r="P128" s="7"/>
      <c r="Q128" s="7"/>
      <c r="R128" s="7"/>
    </row>
    <row r="129" ht="15.75" customHeight="1">
      <c r="A129" s="26"/>
      <c r="D129" s="7"/>
      <c r="E129" s="7"/>
      <c r="F129" s="7"/>
      <c r="G129" s="7"/>
      <c r="H129" s="7"/>
      <c r="I129" s="7"/>
      <c r="J129" s="7"/>
      <c r="K129" s="7"/>
      <c r="L129" s="7"/>
      <c r="M129" s="7"/>
      <c r="N129" s="7"/>
      <c r="O129" s="7"/>
      <c r="P129" s="7"/>
      <c r="Q129" s="7"/>
      <c r="R129" s="7"/>
    </row>
    <row r="130" ht="15.75" customHeight="1">
      <c r="A130" s="26"/>
      <c r="D130" s="7"/>
      <c r="E130" s="7"/>
      <c r="F130" s="7"/>
      <c r="G130" s="7"/>
      <c r="H130" s="7"/>
      <c r="I130" s="7"/>
      <c r="J130" s="7"/>
      <c r="K130" s="7"/>
      <c r="L130" s="7"/>
      <c r="M130" s="7"/>
      <c r="N130" s="7"/>
      <c r="O130" s="7"/>
      <c r="P130" s="7"/>
      <c r="Q130" s="7"/>
      <c r="R130" s="7"/>
    </row>
    <row r="131" ht="15.75" customHeight="1">
      <c r="A131" s="26"/>
      <c r="D131" s="7"/>
      <c r="E131" s="7"/>
      <c r="F131" s="7"/>
      <c r="G131" s="7"/>
      <c r="H131" s="7"/>
      <c r="I131" s="7"/>
      <c r="J131" s="7"/>
      <c r="K131" s="7"/>
      <c r="L131" s="7"/>
      <c r="M131" s="7"/>
      <c r="N131" s="7"/>
      <c r="O131" s="7"/>
      <c r="P131" s="7"/>
      <c r="Q131" s="7"/>
      <c r="R131" s="7"/>
    </row>
    <row r="132" ht="15.75" customHeight="1">
      <c r="A132" s="26"/>
      <c r="D132" s="7"/>
      <c r="E132" s="7"/>
      <c r="F132" s="7"/>
      <c r="G132" s="7"/>
      <c r="H132" s="7"/>
      <c r="I132" s="7"/>
      <c r="J132" s="7"/>
      <c r="K132" s="7"/>
      <c r="L132" s="7"/>
      <c r="M132" s="7"/>
      <c r="N132" s="7"/>
      <c r="O132" s="7"/>
      <c r="P132" s="7"/>
      <c r="Q132" s="7"/>
      <c r="R132" s="7"/>
    </row>
    <row r="133" ht="15.75" customHeight="1">
      <c r="A133" s="26"/>
      <c r="D133" s="7"/>
      <c r="E133" s="7"/>
      <c r="F133" s="7"/>
      <c r="G133" s="7"/>
      <c r="H133" s="7"/>
      <c r="I133" s="7"/>
      <c r="J133" s="7"/>
      <c r="K133" s="7"/>
      <c r="L133" s="7"/>
      <c r="M133" s="7"/>
      <c r="N133" s="7"/>
      <c r="O133" s="7"/>
      <c r="P133" s="7"/>
      <c r="Q133" s="7"/>
      <c r="R133" s="7"/>
    </row>
    <row r="134" ht="15.75" customHeight="1">
      <c r="A134" s="26"/>
      <c r="D134" s="7"/>
      <c r="E134" s="7"/>
      <c r="F134" s="7"/>
      <c r="G134" s="7"/>
      <c r="H134" s="7"/>
      <c r="I134" s="7"/>
      <c r="J134" s="7"/>
      <c r="K134" s="7"/>
      <c r="L134" s="7"/>
      <c r="M134" s="7"/>
      <c r="N134" s="7"/>
      <c r="O134" s="7"/>
      <c r="P134" s="7"/>
      <c r="Q134" s="7"/>
      <c r="R134" s="7"/>
    </row>
    <row r="135" ht="15.75" customHeight="1">
      <c r="A135" s="26"/>
      <c r="D135" s="7"/>
      <c r="E135" s="7"/>
      <c r="F135" s="7"/>
      <c r="G135" s="7"/>
      <c r="H135" s="7"/>
      <c r="I135" s="7"/>
      <c r="J135" s="7"/>
      <c r="K135" s="7"/>
      <c r="L135" s="7"/>
      <c r="M135" s="7"/>
      <c r="N135" s="7"/>
      <c r="O135" s="7"/>
      <c r="P135" s="7"/>
      <c r="Q135" s="7"/>
      <c r="R135" s="7"/>
    </row>
    <row r="136" ht="15.75" customHeight="1">
      <c r="A136" s="26"/>
      <c r="D136" s="7"/>
      <c r="E136" s="7"/>
      <c r="F136" s="7"/>
      <c r="G136" s="7"/>
      <c r="H136" s="7"/>
      <c r="I136" s="7"/>
      <c r="J136" s="7"/>
      <c r="K136" s="7"/>
      <c r="L136" s="7"/>
      <c r="M136" s="7"/>
      <c r="N136" s="7"/>
      <c r="O136" s="7"/>
      <c r="P136" s="7"/>
      <c r="Q136" s="7"/>
      <c r="R136" s="7"/>
    </row>
    <row r="137" ht="15.75" customHeight="1">
      <c r="A137" s="26"/>
      <c r="D137" s="7"/>
      <c r="E137" s="7"/>
      <c r="F137" s="7"/>
      <c r="G137" s="7"/>
      <c r="H137" s="7"/>
      <c r="I137" s="7"/>
      <c r="J137" s="7"/>
      <c r="K137" s="7"/>
      <c r="L137" s="7"/>
      <c r="M137" s="7"/>
      <c r="N137" s="7"/>
      <c r="O137" s="7"/>
      <c r="P137" s="7"/>
      <c r="Q137" s="7"/>
      <c r="R137" s="7"/>
    </row>
    <row r="138" ht="15.75" customHeight="1">
      <c r="A138" s="26"/>
      <c r="D138" s="7"/>
      <c r="E138" s="7"/>
      <c r="F138" s="7"/>
      <c r="G138" s="7"/>
      <c r="H138" s="7"/>
      <c r="I138" s="7"/>
      <c r="J138" s="7"/>
      <c r="K138" s="7"/>
      <c r="L138" s="7"/>
      <c r="M138" s="7"/>
      <c r="N138" s="7"/>
      <c r="O138" s="7"/>
      <c r="P138" s="7"/>
      <c r="Q138" s="7"/>
      <c r="R138" s="7"/>
    </row>
    <row r="139" ht="15.75" customHeight="1">
      <c r="A139" s="26"/>
      <c r="D139" s="7"/>
      <c r="E139" s="7"/>
      <c r="F139" s="7"/>
      <c r="G139" s="7"/>
      <c r="H139" s="7"/>
      <c r="I139" s="7"/>
      <c r="J139" s="7"/>
      <c r="K139" s="7"/>
      <c r="L139" s="7"/>
      <c r="M139" s="7"/>
      <c r="N139" s="7"/>
      <c r="O139" s="7"/>
      <c r="P139" s="7"/>
      <c r="Q139" s="7"/>
      <c r="R139" s="7"/>
    </row>
    <row r="140" ht="15.75" customHeight="1">
      <c r="A140" s="26"/>
      <c r="D140" s="7"/>
      <c r="E140" s="7"/>
      <c r="F140" s="7"/>
      <c r="G140" s="7"/>
      <c r="H140" s="7"/>
      <c r="I140" s="7"/>
      <c r="J140" s="7"/>
      <c r="K140" s="7"/>
      <c r="L140" s="7"/>
      <c r="M140" s="7"/>
      <c r="N140" s="7"/>
      <c r="O140" s="7"/>
      <c r="P140" s="7"/>
      <c r="Q140" s="7"/>
      <c r="R140" s="7"/>
    </row>
    <row r="141" ht="15.75" customHeight="1">
      <c r="A141" s="26"/>
      <c r="D141" s="7"/>
      <c r="E141" s="7"/>
      <c r="F141" s="7"/>
      <c r="G141" s="7"/>
      <c r="H141" s="7"/>
      <c r="I141" s="7"/>
      <c r="J141" s="7"/>
      <c r="K141" s="7"/>
      <c r="L141" s="7"/>
      <c r="M141" s="7"/>
      <c r="N141" s="7"/>
      <c r="O141" s="7"/>
      <c r="P141" s="7"/>
      <c r="Q141" s="7"/>
      <c r="R141" s="7"/>
    </row>
    <row r="142" ht="15.75" customHeight="1">
      <c r="A142" s="26"/>
      <c r="D142" s="7"/>
      <c r="E142" s="7"/>
      <c r="F142" s="7"/>
      <c r="G142" s="7"/>
      <c r="H142" s="7"/>
      <c r="I142" s="7"/>
      <c r="J142" s="7"/>
      <c r="K142" s="7"/>
      <c r="L142" s="7"/>
      <c r="M142" s="7"/>
      <c r="N142" s="7"/>
      <c r="O142" s="7"/>
      <c r="P142" s="7"/>
      <c r="Q142" s="7"/>
      <c r="R142" s="7"/>
    </row>
    <row r="143" ht="15.75" customHeight="1">
      <c r="A143" s="26"/>
      <c r="D143" s="7"/>
      <c r="E143" s="7"/>
      <c r="F143" s="7"/>
      <c r="G143" s="7"/>
      <c r="H143" s="7"/>
      <c r="I143" s="7"/>
      <c r="J143" s="7"/>
      <c r="K143" s="7"/>
      <c r="L143" s="7"/>
      <c r="M143" s="7"/>
      <c r="N143" s="7"/>
      <c r="O143" s="7"/>
      <c r="P143" s="7"/>
      <c r="Q143" s="7"/>
      <c r="R143" s="7"/>
    </row>
    <row r="144" ht="15.75" customHeight="1">
      <c r="A144" s="26"/>
      <c r="D144" s="7"/>
      <c r="E144" s="7"/>
      <c r="F144" s="7"/>
      <c r="G144" s="7"/>
      <c r="H144" s="7"/>
      <c r="I144" s="7"/>
      <c r="J144" s="7"/>
      <c r="K144" s="7"/>
      <c r="L144" s="7"/>
      <c r="M144" s="7"/>
      <c r="N144" s="7"/>
      <c r="O144" s="7"/>
      <c r="P144" s="7"/>
      <c r="Q144" s="7"/>
      <c r="R144" s="7"/>
    </row>
    <row r="145" ht="15.75" customHeight="1">
      <c r="A145" s="26"/>
      <c r="D145" s="7"/>
      <c r="E145" s="7"/>
      <c r="F145" s="7"/>
      <c r="G145" s="7"/>
      <c r="H145" s="7"/>
      <c r="I145" s="7"/>
      <c r="J145" s="7"/>
      <c r="K145" s="7"/>
      <c r="L145" s="7"/>
      <c r="M145" s="7"/>
      <c r="N145" s="7"/>
      <c r="O145" s="7"/>
      <c r="P145" s="7"/>
      <c r="Q145" s="7"/>
      <c r="R145" s="7"/>
    </row>
    <row r="146" ht="15.75" customHeight="1">
      <c r="A146" s="26"/>
      <c r="D146" s="7"/>
      <c r="E146" s="7"/>
      <c r="F146" s="7"/>
      <c r="G146" s="7"/>
      <c r="H146" s="7"/>
      <c r="I146" s="7"/>
      <c r="J146" s="7"/>
      <c r="K146" s="7"/>
      <c r="L146" s="7"/>
      <c r="M146" s="7"/>
      <c r="N146" s="7"/>
      <c r="O146" s="7"/>
      <c r="P146" s="7"/>
      <c r="Q146" s="7"/>
      <c r="R146" s="7"/>
    </row>
    <row r="147" ht="15.75" customHeight="1">
      <c r="A147" s="26"/>
      <c r="D147" s="7"/>
      <c r="E147" s="7"/>
      <c r="F147" s="7"/>
      <c r="G147" s="7"/>
      <c r="H147" s="7"/>
      <c r="I147" s="7"/>
      <c r="J147" s="7"/>
      <c r="K147" s="7"/>
      <c r="L147" s="7"/>
      <c r="M147" s="7"/>
      <c r="N147" s="7"/>
      <c r="O147" s="7"/>
      <c r="P147" s="7"/>
      <c r="Q147" s="7"/>
      <c r="R147" s="7"/>
    </row>
    <row r="148" ht="15.75" customHeight="1">
      <c r="A148" s="26"/>
      <c r="D148" s="7"/>
      <c r="E148" s="7"/>
      <c r="F148" s="7"/>
      <c r="G148" s="7"/>
      <c r="H148" s="7"/>
      <c r="I148" s="7"/>
      <c r="J148" s="7"/>
      <c r="K148" s="7"/>
      <c r="L148" s="7"/>
      <c r="M148" s="7"/>
      <c r="N148" s="7"/>
      <c r="O148" s="7"/>
      <c r="P148" s="7"/>
      <c r="Q148" s="7"/>
      <c r="R148" s="7"/>
    </row>
    <row r="149" ht="15.75" customHeight="1">
      <c r="A149" s="26"/>
      <c r="D149" s="7"/>
      <c r="E149" s="7"/>
      <c r="F149" s="7"/>
      <c r="G149" s="7"/>
      <c r="H149" s="7"/>
      <c r="I149" s="7"/>
      <c r="J149" s="7"/>
      <c r="K149" s="7"/>
      <c r="L149" s="7"/>
      <c r="M149" s="7"/>
      <c r="N149" s="7"/>
      <c r="O149" s="7"/>
      <c r="P149" s="7"/>
      <c r="Q149" s="7"/>
      <c r="R149" s="7"/>
    </row>
    <row r="150" ht="15.75" customHeight="1">
      <c r="A150" s="26"/>
      <c r="D150" s="7"/>
      <c r="E150" s="7"/>
      <c r="F150" s="7"/>
      <c r="G150" s="7"/>
      <c r="H150" s="7"/>
      <c r="I150" s="7"/>
      <c r="J150" s="7"/>
      <c r="K150" s="7"/>
      <c r="L150" s="7"/>
      <c r="M150" s="7"/>
      <c r="N150" s="7"/>
      <c r="O150" s="7"/>
      <c r="P150" s="7"/>
      <c r="Q150" s="7"/>
      <c r="R150" s="7"/>
    </row>
    <row r="151" ht="15.75" customHeight="1">
      <c r="A151" s="26"/>
      <c r="D151" s="7"/>
      <c r="E151" s="7"/>
      <c r="F151" s="7"/>
      <c r="G151" s="7"/>
      <c r="H151" s="7"/>
      <c r="I151" s="7"/>
      <c r="J151" s="7"/>
      <c r="K151" s="7"/>
      <c r="L151" s="7"/>
      <c r="M151" s="7"/>
      <c r="N151" s="7"/>
      <c r="O151" s="7"/>
      <c r="P151" s="7"/>
      <c r="Q151" s="7"/>
      <c r="R151" s="7"/>
    </row>
    <row r="152" ht="15.75" customHeight="1">
      <c r="A152" s="26"/>
      <c r="D152" s="7"/>
      <c r="E152" s="7"/>
      <c r="F152" s="7"/>
      <c r="G152" s="7"/>
      <c r="H152" s="7"/>
      <c r="I152" s="7"/>
      <c r="J152" s="7"/>
      <c r="K152" s="7"/>
      <c r="L152" s="7"/>
      <c r="M152" s="7"/>
      <c r="N152" s="7"/>
      <c r="O152" s="7"/>
      <c r="P152" s="7"/>
      <c r="Q152" s="7"/>
      <c r="R152" s="7"/>
    </row>
    <row r="153" ht="15.75" customHeight="1">
      <c r="A153" s="26"/>
      <c r="D153" s="7"/>
      <c r="E153" s="7"/>
      <c r="F153" s="7"/>
      <c r="G153" s="7"/>
      <c r="H153" s="7"/>
      <c r="I153" s="7"/>
      <c r="J153" s="7"/>
      <c r="K153" s="7"/>
      <c r="L153" s="7"/>
      <c r="M153" s="7"/>
      <c r="N153" s="7"/>
      <c r="O153" s="7"/>
      <c r="P153" s="7"/>
      <c r="Q153" s="7"/>
      <c r="R153" s="7"/>
    </row>
    <row r="154" ht="15.75" customHeight="1">
      <c r="A154" s="26"/>
      <c r="D154" s="7"/>
      <c r="E154" s="7"/>
      <c r="F154" s="7"/>
      <c r="G154" s="7"/>
      <c r="H154" s="7"/>
      <c r="I154" s="7"/>
      <c r="J154" s="7"/>
      <c r="K154" s="7"/>
      <c r="L154" s="7"/>
      <c r="M154" s="7"/>
      <c r="N154" s="7"/>
      <c r="O154" s="7"/>
      <c r="P154" s="7"/>
      <c r="Q154" s="7"/>
      <c r="R154" s="7"/>
    </row>
    <row r="155" ht="15.75" customHeight="1">
      <c r="A155" s="26"/>
      <c r="D155" s="7"/>
      <c r="E155" s="7"/>
      <c r="F155" s="7"/>
      <c r="G155" s="7"/>
      <c r="H155" s="7"/>
      <c r="I155" s="7"/>
      <c r="J155" s="7"/>
      <c r="K155" s="7"/>
      <c r="L155" s="7"/>
      <c r="M155" s="7"/>
      <c r="N155" s="7"/>
      <c r="O155" s="7"/>
      <c r="P155" s="7"/>
      <c r="Q155" s="7"/>
      <c r="R155" s="7"/>
    </row>
    <row r="156" ht="15.75" customHeight="1">
      <c r="A156" s="26"/>
      <c r="D156" s="7"/>
      <c r="E156" s="7"/>
      <c r="F156" s="7"/>
      <c r="G156" s="7"/>
      <c r="H156" s="7"/>
      <c r="I156" s="7"/>
      <c r="J156" s="7"/>
      <c r="K156" s="7"/>
      <c r="L156" s="7"/>
      <c r="M156" s="7"/>
      <c r="N156" s="7"/>
      <c r="O156" s="7"/>
      <c r="P156" s="7"/>
      <c r="Q156" s="7"/>
      <c r="R156" s="7"/>
    </row>
    <row r="157" ht="15.75" customHeight="1">
      <c r="A157" s="26"/>
      <c r="D157" s="7"/>
      <c r="E157" s="7"/>
      <c r="F157" s="7"/>
      <c r="G157" s="7"/>
      <c r="H157" s="7"/>
      <c r="I157" s="7"/>
      <c r="J157" s="7"/>
      <c r="K157" s="7"/>
      <c r="L157" s="7"/>
      <c r="M157" s="7"/>
      <c r="N157" s="7"/>
      <c r="O157" s="7"/>
      <c r="P157" s="7"/>
      <c r="Q157" s="7"/>
      <c r="R157" s="7"/>
    </row>
    <row r="158" ht="15.75" customHeight="1">
      <c r="A158" s="26"/>
      <c r="D158" s="7"/>
      <c r="E158" s="7"/>
      <c r="F158" s="7"/>
      <c r="G158" s="7"/>
      <c r="H158" s="7"/>
      <c r="I158" s="7"/>
      <c r="J158" s="7"/>
      <c r="K158" s="7"/>
      <c r="L158" s="7"/>
      <c r="M158" s="7"/>
      <c r="N158" s="7"/>
      <c r="O158" s="7"/>
      <c r="P158" s="7"/>
      <c r="Q158" s="7"/>
      <c r="R158" s="7"/>
    </row>
    <row r="159" ht="15.75" customHeight="1">
      <c r="A159" s="26"/>
      <c r="D159" s="7"/>
      <c r="E159" s="7"/>
      <c r="F159" s="7"/>
      <c r="G159" s="7"/>
      <c r="H159" s="7"/>
      <c r="I159" s="7"/>
      <c r="J159" s="7"/>
      <c r="K159" s="7"/>
      <c r="L159" s="7"/>
      <c r="M159" s="7"/>
      <c r="N159" s="7"/>
      <c r="O159" s="7"/>
      <c r="P159" s="7"/>
      <c r="Q159" s="7"/>
      <c r="R159" s="7"/>
    </row>
    <row r="160" ht="15.75" customHeight="1">
      <c r="A160" s="26"/>
      <c r="D160" s="7"/>
      <c r="E160" s="7"/>
      <c r="F160" s="7"/>
      <c r="G160" s="7"/>
      <c r="H160" s="7"/>
      <c r="I160" s="7"/>
      <c r="J160" s="7"/>
      <c r="K160" s="7"/>
      <c r="L160" s="7"/>
      <c r="M160" s="7"/>
      <c r="N160" s="7"/>
      <c r="O160" s="7"/>
      <c r="P160" s="7"/>
      <c r="Q160" s="7"/>
      <c r="R160" s="7"/>
    </row>
    <row r="161" ht="15.75" customHeight="1">
      <c r="A161" s="26"/>
      <c r="D161" s="7"/>
      <c r="E161" s="7"/>
      <c r="F161" s="7"/>
      <c r="G161" s="7"/>
      <c r="H161" s="7"/>
      <c r="I161" s="7"/>
      <c r="J161" s="7"/>
      <c r="K161" s="7"/>
      <c r="L161" s="7"/>
      <c r="M161" s="7"/>
      <c r="N161" s="7"/>
      <c r="O161" s="7"/>
      <c r="P161" s="7"/>
      <c r="Q161" s="7"/>
      <c r="R161" s="7"/>
    </row>
    <row r="162" ht="15.75" customHeight="1">
      <c r="A162" s="26"/>
      <c r="D162" s="7"/>
      <c r="E162" s="7"/>
      <c r="F162" s="7"/>
      <c r="G162" s="7"/>
      <c r="H162" s="7"/>
      <c r="I162" s="7"/>
      <c r="J162" s="7"/>
      <c r="K162" s="7"/>
      <c r="L162" s="7"/>
      <c r="M162" s="7"/>
      <c r="N162" s="7"/>
      <c r="O162" s="7"/>
      <c r="P162" s="7"/>
      <c r="Q162" s="7"/>
      <c r="R162" s="7"/>
    </row>
    <row r="163" ht="15.75" customHeight="1">
      <c r="A163" s="26"/>
      <c r="D163" s="7"/>
      <c r="E163" s="7"/>
      <c r="F163" s="7"/>
      <c r="G163" s="7"/>
      <c r="H163" s="7"/>
      <c r="I163" s="7"/>
      <c r="J163" s="7"/>
      <c r="K163" s="7"/>
      <c r="L163" s="7"/>
      <c r="M163" s="7"/>
      <c r="N163" s="7"/>
      <c r="O163" s="7"/>
      <c r="P163" s="7"/>
      <c r="Q163" s="7"/>
      <c r="R163" s="7"/>
    </row>
    <row r="164" ht="15.75" customHeight="1">
      <c r="A164" s="26"/>
      <c r="D164" s="7"/>
      <c r="E164" s="7"/>
      <c r="F164" s="7"/>
      <c r="G164" s="7"/>
      <c r="H164" s="7"/>
      <c r="I164" s="7"/>
      <c r="J164" s="7"/>
      <c r="K164" s="7"/>
      <c r="L164" s="7"/>
      <c r="M164" s="7"/>
      <c r="N164" s="7"/>
      <c r="O164" s="7"/>
      <c r="P164" s="7"/>
      <c r="Q164" s="7"/>
      <c r="R164" s="7"/>
    </row>
    <row r="165" ht="15.75" customHeight="1">
      <c r="A165" s="26"/>
      <c r="D165" s="7"/>
      <c r="E165" s="7"/>
      <c r="F165" s="7"/>
      <c r="G165" s="7"/>
      <c r="H165" s="7"/>
      <c r="I165" s="7"/>
      <c r="J165" s="7"/>
      <c r="K165" s="7"/>
      <c r="L165" s="7"/>
      <c r="M165" s="7"/>
      <c r="N165" s="7"/>
      <c r="O165" s="7"/>
      <c r="P165" s="7"/>
      <c r="Q165" s="7"/>
      <c r="R165" s="7"/>
    </row>
    <row r="166" ht="15.75" customHeight="1">
      <c r="A166" s="26"/>
      <c r="D166" s="7"/>
      <c r="E166" s="7"/>
      <c r="F166" s="7"/>
      <c r="G166" s="7"/>
      <c r="H166" s="7"/>
      <c r="I166" s="7"/>
      <c r="J166" s="7"/>
      <c r="K166" s="7"/>
      <c r="L166" s="7"/>
      <c r="M166" s="7"/>
      <c r="N166" s="7"/>
      <c r="O166" s="7"/>
      <c r="P166" s="7"/>
      <c r="Q166" s="7"/>
      <c r="R166" s="7"/>
    </row>
    <row r="167" ht="15.75" customHeight="1">
      <c r="A167" s="26"/>
      <c r="D167" s="7"/>
      <c r="E167" s="7"/>
      <c r="F167" s="7"/>
      <c r="G167" s="7"/>
      <c r="H167" s="7"/>
      <c r="I167" s="7"/>
      <c r="J167" s="7"/>
      <c r="K167" s="7"/>
      <c r="L167" s="7"/>
      <c r="M167" s="7"/>
      <c r="N167" s="7"/>
      <c r="O167" s="7"/>
      <c r="P167" s="7"/>
      <c r="Q167" s="7"/>
      <c r="R167" s="7"/>
    </row>
    <row r="168" ht="15.75" customHeight="1">
      <c r="A168" s="26"/>
      <c r="D168" s="7"/>
      <c r="E168" s="7"/>
      <c r="F168" s="7"/>
      <c r="G168" s="7"/>
      <c r="H168" s="7"/>
      <c r="I168" s="7"/>
      <c r="J168" s="7"/>
      <c r="K168" s="7"/>
      <c r="L168" s="7"/>
      <c r="M168" s="7"/>
      <c r="N168" s="7"/>
      <c r="O168" s="7"/>
      <c r="P168" s="7"/>
      <c r="Q168" s="7"/>
      <c r="R168" s="7"/>
    </row>
    <row r="169" ht="15.75" customHeight="1">
      <c r="A169" s="26"/>
      <c r="D169" s="7"/>
      <c r="E169" s="7"/>
      <c r="F169" s="7"/>
      <c r="G169" s="7"/>
      <c r="H169" s="7"/>
      <c r="I169" s="7"/>
      <c r="J169" s="7"/>
      <c r="K169" s="7"/>
      <c r="L169" s="7"/>
      <c r="M169" s="7"/>
      <c r="N169" s="7"/>
      <c r="O169" s="7"/>
      <c r="P169" s="7"/>
      <c r="Q169" s="7"/>
      <c r="R169" s="7"/>
    </row>
    <row r="170" ht="15.75" customHeight="1">
      <c r="A170" s="26"/>
      <c r="D170" s="7"/>
      <c r="E170" s="7"/>
      <c r="F170" s="7"/>
      <c r="G170" s="7"/>
      <c r="H170" s="7"/>
      <c r="I170" s="7"/>
      <c r="J170" s="7"/>
      <c r="K170" s="7"/>
      <c r="L170" s="7"/>
      <c r="M170" s="7"/>
      <c r="N170" s="7"/>
      <c r="O170" s="7"/>
      <c r="P170" s="7"/>
      <c r="Q170" s="7"/>
      <c r="R170" s="7"/>
    </row>
    <row r="171" ht="15.75" customHeight="1">
      <c r="A171" s="26"/>
      <c r="D171" s="7"/>
      <c r="E171" s="7"/>
      <c r="F171" s="7"/>
      <c r="G171" s="7"/>
      <c r="H171" s="7"/>
      <c r="I171" s="7"/>
      <c r="J171" s="7"/>
      <c r="K171" s="7"/>
      <c r="L171" s="7"/>
      <c r="M171" s="7"/>
      <c r="N171" s="7"/>
      <c r="O171" s="7"/>
      <c r="P171" s="7"/>
      <c r="Q171" s="7"/>
      <c r="R171" s="7"/>
    </row>
    <row r="172" ht="15.75" customHeight="1">
      <c r="A172" s="26"/>
      <c r="D172" s="7"/>
      <c r="E172" s="7"/>
      <c r="F172" s="7"/>
      <c r="G172" s="7"/>
      <c r="H172" s="7"/>
      <c r="I172" s="7"/>
      <c r="J172" s="7"/>
      <c r="K172" s="7"/>
      <c r="L172" s="7"/>
      <c r="M172" s="7"/>
      <c r="N172" s="7"/>
      <c r="O172" s="7"/>
      <c r="P172" s="7"/>
      <c r="Q172" s="7"/>
      <c r="R172" s="7"/>
    </row>
    <row r="173" ht="15.75" customHeight="1">
      <c r="A173" s="26"/>
      <c r="D173" s="7"/>
      <c r="E173" s="7"/>
      <c r="F173" s="7"/>
      <c r="G173" s="7"/>
      <c r="H173" s="7"/>
      <c r="I173" s="7"/>
      <c r="J173" s="7"/>
      <c r="K173" s="7"/>
      <c r="L173" s="7"/>
      <c r="M173" s="7"/>
      <c r="N173" s="7"/>
      <c r="O173" s="7"/>
      <c r="P173" s="7"/>
      <c r="Q173" s="7"/>
      <c r="R173" s="7"/>
    </row>
    <row r="174" ht="15.75" customHeight="1">
      <c r="A174" s="26"/>
      <c r="D174" s="7"/>
      <c r="E174" s="7"/>
      <c r="F174" s="7"/>
      <c r="G174" s="7"/>
      <c r="H174" s="7"/>
      <c r="I174" s="7"/>
      <c r="J174" s="7"/>
      <c r="K174" s="7"/>
      <c r="L174" s="7"/>
      <c r="M174" s="7"/>
      <c r="N174" s="7"/>
      <c r="O174" s="7"/>
      <c r="P174" s="7"/>
      <c r="Q174" s="7"/>
      <c r="R174" s="7"/>
    </row>
    <row r="175" ht="15.75" customHeight="1">
      <c r="A175" s="26"/>
      <c r="D175" s="7"/>
      <c r="E175" s="7"/>
      <c r="F175" s="7"/>
      <c r="G175" s="7"/>
      <c r="H175" s="7"/>
      <c r="I175" s="7"/>
      <c r="J175" s="7"/>
      <c r="K175" s="7"/>
      <c r="L175" s="7"/>
      <c r="M175" s="7"/>
      <c r="N175" s="7"/>
      <c r="O175" s="7"/>
      <c r="P175" s="7"/>
      <c r="Q175" s="7"/>
      <c r="R175" s="7"/>
    </row>
    <row r="176" ht="15.75" customHeight="1">
      <c r="A176" s="26"/>
      <c r="D176" s="7"/>
      <c r="E176" s="7"/>
      <c r="F176" s="7"/>
      <c r="G176" s="7"/>
      <c r="H176" s="7"/>
      <c r="I176" s="7"/>
      <c r="J176" s="7"/>
      <c r="K176" s="7"/>
      <c r="L176" s="7"/>
      <c r="M176" s="7"/>
      <c r="N176" s="7"/>
      <c r="O176" s="7"/>
      <c r="P176" s="7"/>
      <c r="Q176" s="7"/>
      <c r="R176" s="7"/>
    </row>
    <row r="177" ht="15.75" customHeight="1">
      <c r="A177" s="26"/>
      <c r="D177" s="7"/>
      <c r="E177" s="7"/>
      <c r="F177" s="7"/>
      <c r="G177" s="7"/>
      <c r="H177" s="7"/>
      <c r="I177" s="7"/>
      <c r="J177" s="7"/>
      <c r="K177" s="7"/>
      <c r="L177" s="7"/>
      <c r="M177" s="7"/>
      <c r="N177" s="7"/>
      <c r="O177" s="7"/>
      <c r="P177" s="7"/>
      <c r="Q177" s="7"/>
      <c r="R177" s="7"/>
    </row>
    <row r="178" ht="15.75" customHeight="1">
      <c r="A178" s="26"/>
      <c r="D178" s="7"/>
      <c r="E178" s="7"/>
      <c r="F178" s="7"/>
      <c r="G178" s="7"/>
      <c r="H178" s="7"/>
      <c r="I178" s="7"/>
      <c r="J178" s="7"/>
      <c r="K178" s="7"/>
      <c r="L178" s="7"/>
      <c r="M178" s="7"/>
      <c r="N178" s="7"/>
      <c r="O178" s="7"/>
      <c r="P178" s="7"/>
      <c r="Q178" s="7"/>
      <c r="R178" s="7"/>
    </row>
    <row r="179" ht="15.75" customHeight="1">
      <c r="A179" s="26"/>
      <c r="D179" s="7"/>
      <c r="E179" s="7"/>
      <c r="F179" s="7"/>
      <c r="G179" s="7"/>
      <c r="H179" s="7"/>
      <c r="I179" s="7"/>
      <c r="J179" s="7"/>
      <c r="K179" s="7"/>
      <c r="L179" s="7"/>
      <c r="M179" s="7"/>
      <c r="N179" s="7"/>
      <c r="O179" s="7"/>
      <c r="P179" s="7"/>
      <c r="Q179" s="7"/>
      <c r="R179" s="7"/>
    </row>
    <row r="180" ht="15.75" customHeight="1">
      <c r="A180" s="26"/>
      <c r="D180" s="7"/>
      <c r="E180" s="7"/>
      <c r="F180" s="7"/>
      <c r="G180" s="7"/>
      <c r="H180" s="7"/>
      <c r="I180" s="7"/>
      <c r="J180" s="7"/>
      <c r="K180" s="7"/>
      <c r="L180" s="7"/>
      <c r="M180" s="7"/>
      <c r="N180" s="7"/>
      <c r="O180" s="7"/>
      <c r="P180" s="7"/>
      <c r="Q180" s="7"/>
      <c r="R180" s="7"/>
    </row>
    <row r="181" ht="15.75" customHeight="1">
      <c r="A181" s="26"/>
      <c r="D181" s="7"/>
      <c r="E181" s="7"/>
      <c r="F181" s="7"/>
      <c r="G181" s="7"/>
      <c r="H181" s="7"/>
      <c r="I181" s="7"/>
      <c r="J181" s="7"/>
      <c r="K181" s="7"/>
      <c r="L181" s="7"/>
      <c r="M181" s="7"/>
      <c r="N181" s="7"/>
      <c r="O181" s="7"/>
      <c r="P181" s="7"/>
      <c r="Q181" s="7"/>
      <c r="R181" s="7"/>
    </row>
    <row r="182" ht="15.75" customHeight="1">
      <c r="A182" s="26"/>
      <c r="D182" s="7"/>
      <c r="E182" s="7"/>
      <c r="F182" s="7"/>
      <c r="G182" s="7"/>
      <c r="H182" s="7"/>
      <c r="I182" s="7"/>
      <c r="J182" s="7"/>
      <c r="K182" s="7"/>
      <c r="L182" s="7"/>
      <c r="M182" s="7"/>
      <c r="N182" s="7"/>
      <c r="O182" s="7"/>
      <c r="P182" s="7"/>
      <c r="Q182" s="7"/>
      <c r="R182" s="7"/>
    </row>
    <row r="183" ht="15.75" customHeight="1">
      <c r="A183" s="26"/>
      <c r="D183" s="7"/>
      <c r="E183" s="7"/>
      <c r="F183" s="7"/>
      <c r="G183" s="7"/>
      <c r="H183" s="7"/>
      <c r="I183" s="7"/>
      <c r="J183" s="7"/>
      <c r="K183" s="7"/>
      <c r="L183" s="7"/>
      <c r="M183" s="7"/>
      <c r="N183" s="7"/>
      <c r="O183" s="7"/>
      <c r="P183" s="7"/>
      <c r="Q183" s="7"/>
      <c r="R183" s="7"/>
    </row>
    <row r="184" ht="15.75" customHeight="1">
      <c r="A184" s="26"/>
      <c r="D184" s="7"/>
      <c r="E184" s="7"/>
      <c r="F184" s="7"/>
      <c r="G184" s="7"/>
      <c r="H184" s="7"/>
      <c r="I184" s="7"/>
      <c r="J184" s="7"/>
      <c r="K184" s="7"/>
      <c r="L184" s="7"/>
      <c r="M184" s="7"/>
      <c r="N184" s="7"/>
      <c r="O184" s="7"/>
      <c r="P184" s="7"/>
      <c r="Q184" s="7"/>
      <c r="R184" s="7"/>
    </row>
    <row r="185" ht="15.75" customHeight="1">
      <c r="A185" s="26"/>
      <c r="D185" s="7"/>
      <c r="E185" s="7"/>
      <c r="F185" s="7"/>
      <c r="G185" s="7"/>
      <c r="H185" s="7"/>
      <c r="I185" s="7"/>
      <c r="J185" s="7"/>
      <c r="K185" s="7"/>
      <c r="L185" s="7"/>
      <c r="M185" s="7"/>
      <c r="N185" s="7"/>
      <c r="O185" s="7"/>
      <c r="P185" s="7"/>
      <c r="Q185" s="7"/>
      <c r="R185" s="7"/>
    </row>
    <row r="186" ht="15.75" customHeight="1">
      <c r="A186" s="26"/>
      <c r="D186" s="7"/>
      <c r="E186" s="7"/>
      <c r="F186" s="7"/>
      <c r="G186" s="7"/>
      <c r="H186" s="7"/>
      <c r="I186" s="7"/>
      <c r="J186" s="7"/>
      <c r="K186" s="7"/>
      <c r="L186" s="7"/>
      <c r="M186" s="7"/>
      <c r="N186" s="7"/>
      <c r="O186" s="7"/>
      <c r="P186" s="7"/>
      <c r="Q186" s="7"/>
      <c r="R186" s="7"/>
    </row>
    <row r="187" ht="15.75" customHeight="1">
      <c r="A187" s="26"/>
      <c r="D187" s="7"/>
      <c r="E187" s="7"/>
      <c r="F187" s="7"/>
      <c r="G187" s="7"/>
      <c r="H187" s="7"/>
      <c r="I187" s="7"/>
      <c r="J187" s="7"/>
      <c r="K187" s="7"/>
      <c r="L187" s="7"/>
      <c r="M187" s="7"/>
      <c r="N187" s="7"/>
      <c r="O187" s="7"/>
      <c r="P187" s="7"/>
      <c r="Q187" s="7"/>
      <c r="R187" s="7"/>
    </row>
    <row r="188" ht="15.75" customHeight="1">
      <c r="A188" s="26"/>
      <c r="D188" s="7"/>
      <c r="E188" s="7"/>
      <c r="F188" s="7"/>
      <c r="G188" s="7"/>
      <c r="H188" s="7"/>
      <c r="I188" s="7"/>
      <c r="J188" s="7"/>
      <c r="K188" s="7"/>
      <c r="L188" s="7"/>
      <c r="M188" s="7"/>
      <c r="N188" s="7"/>
      <c r="O188" s="7"/>
      <c r="P188" s="7"/>
      <c r="Q188" s="7"/>
      <c r="R188" s="7"/>
    </row>
    <row r="189" ht="15.75" customHeight="1">
      <c r="A189" s="26"/>
      <c r="D189" s="7"/>
      <c r="E189" s="7"/>
      <c r="F189" s="7"/>
      <c r="G189" s="7"/>
      <c r="H189" s="7"/>
      <c r="I189" s="7"/>
      <c r="J189" s="7"/>
      <c r="K189" s="7"/>
      <c r="L189" s="7"/>
      <c r="M189" s="7"/>
      <c r="N189" s="7"/>
      <c r="O189" s="7"/>
      <c r="P189" s="7"/>
      <c r="Q189" s="7"/>
      <c r="R189" s="7"/>
    </row>
    <row r="190" ht="15.75" customHeight="1">
      <c r="A190" s="26"/>
      <c r="D190" s="7"/>
      <c r="E190" s="7"/>
      <c r="F190" s="7"/>
      <c r="G190" s="7"/>
      <c r="H190" s="7"/>
      <c r="I190" s="7"/>
      <c r="J190" s="7"/>
      <c r="K190" s="7"/>
      <c r="L190" s="7"/>
      <c r="M190" s="7"/>
      <c r="N190" s="7"/>
      <c r="O190" s="7"/>
      <c r="P190" s="7"/>
      <c r="Q190" s="7"/>
      <c r="R190" s="7"/>
    </row>
    <row r="191" ht="15.75" customHeight="1">
      <c r="A191" s="26"/>
      <c r="D191" s="7"/>
      <c r="E191" s="7"/>
      <c r="F191" s="7"/>
      <c r="G191" s="7"/>
      <c r="H191" s="7"/>
      <c r="I191" s="7"/>
      <c r="J191" s="7"/>
      <c r="K191" s="7"/>
      <c r="L191" s="7"/>
      <c r="M191" s="7"/>
      <c r="N191" s="7"/>
      <c r="O191" s="7"/>
      <c r="P191" s="7"/>
      <c r="Q191" s="7"/>
      <c r="R191" s="7"/>
    </row>
    <row r="192" ht="15.75" customHeight="1">
      <c r="A192" s="26"/>
      <c r="D192" s="7"/>
      <c r="E192" s="7"/>
      <c r="F192" s="7"/>
      <c r="G192" s="7"/>
      <c r="H192" s="7"/>
      <c r="I192" s="7"/>
      <c r="J192" s="7"/>
      <c r="K192" s="7"/>
      <c r="L192" s="7"/>
      <c r="M192" s="7"/>
      <c r="N192" s="7"/>
      <c r="O192" s="7"/>
      <c r="P192" s="7"/>
      <c r="Q192" s="7"/>
      <c r="R192" s="7"/>
    </row>
    <row r="193" ht="15.75" customHeight="1">
      <c r="A193" s="26"/>
      <c r="D193" s="7"/>
      <c r="E193" s="7"/>
      <c r="F193" s="7"/>
      <c r="G193" s="7"/>
      <c r="H193" s="7"/>
      <c r="I193" s="7"/>
      <c r="J193" s="7"/>
      <c r="K193" s="7"/>
      <c r="L193" s="7"/>
      <c r="M193" s="7"/>
      <c r="N193" s="7"/>
      <c r="O193" s="7"/>
      <c r="P193" s="7"/>
      <c r="Q193" s="7"/>
      <c r="R193" s="7"/>
    </row>
    <row r="194" ht="15.75" customHeight="1">
      <c r="A194" s="26"/>
      <c r="D194" s="7"/>
      <c r="E194" s="7"/>
      <c r="F194" s="7"/>
      <c r="G194" s="7"/>
      <c r="H194" s="7"/>
      <c r="I194" s="7"/>
      <c r="J194" s="7"/>
      <c r="K194" s="7"/>
      <c r="L194" s="7"/>
      <c r="M194" s="7"/>
      <c r="N194" s="7"/>
      <c r="O194" s="7"/>
      <c r="P194" s="7"/>
      <c r="Q194" s="7"/>
      <c r="R194" s="7"/>
    </row>
    <row r="195" ht="15.75" customHeight="1">
      <c r="A195" s="26"/>
      <c r="D195" s="7"/>
      <c r="E195" s="7"/>
      <c r="F195" s="7"/>
      <c r="G195" s="7"/>
      <c r="H195" s="7"/>
      <c r="I195" s="7"/>
      <c r="J195" s="7"/>
      <c r="K195" s="7"/>
      <c r="L195" s="7"/>
      <c r="M195" s="7"/>
      <c r="N195" s="7"/>
      <c r="O195" s="7"/>
      <c r="P195" s="7"/>
      <c r="Q195" s="7"/>
      <c r="R195" s="7"/>
    </row>
    <row r="196" ht="15.75" customHeight="1">
      <c r="A196" s="26"/>
      <c r="D196" s="7"/>
      <c r="E196" s="7"/>
      <c r="F196" s="7"/>
      <c r="G196" s="7"/>
      <c r="H196" s="7"/>
      <c r="I196" s="7"/>
      <c r="J196" s="7"/>
      <c r="K196" s="7"/>
      <c r="L196" s="7"/>
      <c r="M196" s="7"/>
      <c r="N196" s="7"/>
      <c r="O196" s="7"/>
      <c r="P196" s="7"/>
      <c r="Q196" s="7"/>
      <c r="R196" s="7"/>
    </row>
    <row r="197" ht="15.75" customHeight="1">
      <c r="A197" s="26"/>
      <c r="D197" s="7"/>
      <c r="E197" s="7"/>
      <c r="F197" s="7"/>
      <c r="G197" s="7"/>
      <c r="H197" s="7"/>
      <c r="I197" s="7"/>
      <c r="J197" s="7"/>
      <c r="K197" s="7"/>
      <c r="L197" s="7"/>
      <c r="M197" s="7"/>
      <c r="N197" s="7"/>
      <c r="O197" s="7"/>
      <c r="P197" s="7"/>
      <c r="Q197" s="7"/>
      <c r="R197" s="7"/>
    </row>
    <row r="198" ht="15.75" customHeight="1">
      <c r="A198" s="26"/>
      <c r="D198" s="7"/>
      <c r="E198" s="7"/>
      <c r="F198" s="7"/>
      <c r="G198" s="7"/>
      <c r="H198" s="7"/>
      <c r="I198" s="7"/>
      <c r="J198" s="7"/>
      <c r="K198" s="7"/>
      <c r="L198" s="7"/>
      <c r="M198" s="7"/>
      <c r="N198" s="7"/>
      <c r="O198" s="7"/>
      <c r="P198" s="7"/>
      <c r="Q198" s="7"/>
      <c r="R198" s="7"/>
    </row>
    <row r="199" ht="15.75" customHeight="1">
      <c r="A199" s="26"/>
      <c r="D199" s="7"/>
      <c r="E199" s="7"/>
      <c r="F199" s="7"/>
      <c r="G199" s="7"/>
      <c r="H199" s="7"/>
      <c r="I199" s="7"/>
      <c r="J199" s="7"/>
      <c r="K199" s="7"/>
      <c r="L199" s="7"/>
      <c r="M199" s="7"/>
      <c r="N199" s="7"/>
      <c r="O199" s="7"/>
      <c r="P199" s="7"/>
      <c r="Q199" s="7"/>
      <c r="R199" s="7"/>
    </row>
    <row r="200" ht="15.75" customHeight="1">
      <c r="A200" s="26"/>
      <c r="D200" s="7"/>
      <c r="E200" s="7"/>
      <c r="F200" s="7"/>
      <c r="G200" s="7"/>
      <c r="H200" s="7"/>
      <c r="I200" s="7"/>
      <c r="J200" s="7"/>
      <c r="K200" s="7"/>
      <c r="L200" s="7"/>
      <c r="M200" s="7"/>
      <c r="N200" s="7"/>
      <c r="O200" s="7"/>
      <c r="P200" s="7"/>
      <c r="Q200" s="7"/>
      <c r="R200" s="7"/>
    </row>
    <row r="201" ht="15.75" customHeight="1">
      <c r="A201" s="26"/>
      <c r="D201" s="7"/>
      <c r="E201" s="7"/>
      <c r="F201" s="7"/>
      <c r="G201" s="7"/>
      <c r="H201" s="7"/>
      <c r="I201" s="7"/>
      <c r="J201" s="7"/>
      <c r="K201" s="7"/>
      <c r="L201" s="7"/>
      <c r="M201" s="7"/>
      <c r="N201" s="7"/>
      <c r="O201" s="7"/>
      <c r="P201" s="7"/>
      <c r="Q201" s="7"/>
      <c r="R201" s="7"/>
    </row>
    <row r="202" ht="15.75" customHeight="1">
      <c r="A202" s="26"/>
      <c r="D202" s="7"/>
      <c r="E202" s="7"/>
      <c r="F202" s="7"/>
      <c r="G202" s="7"/>
      <c r="H202" s="7"/>
      <c r="I202" s="7"/>
      <c r="J202" s="7"/>
      <c r="K202" s="7"/>
      <c r="L202" s="7"/>
      <c r="M202" s="7"/>
      <c r="N202" s="7"/>
      <c r="O202" s="7"/>
      <c r="P202" s="7"/>
      <c r="Q202" s="7"/>
      <c r="R202" s="7"/>
    </row>
    <row r="203" ht="15.75" customHeight="1">
      <c r="A203" s="26"/>
      <c r="D203" s="7"/>
      <c r="E203" s="7"/>
      <c r="F203" s="7"/>
      <c r="G203" s="7"/>
      <c r="H203" s="7"/>
      <c r="I203" s="7"/>
      <c r="J203" s="7"/>
      <c r="K203" s="7"/>
      <c r="L203" s="7"/>
      <c r="M203" s="7"/>
      <c r="N203" s="7"/>
      <c r="O203" s="7"/>
      <c r="P203" s="7"/>
      <c r="Q203" s="7"/>
      <c r="R203" s="7"/>
    </row>
    <row r="204" ht="15.75" customHeight="1">
      <c r="A204" s="26"/>
      <c r="D204" s="7"/>
      <c r="E204" s="7"/>
      <c r="F204" s="7"/>
      <c r="G204" s="7"/>
      <c r="H204" s="7"/>
      <c r="I204" s="7"/>
      <c r="J204" s="7"/>
      <c r="K204" s="7"/>
      <c r="L204" s="7"/>
      <c r="M204" s="7"/>
      <c r="N204" s="7"/>
      <c r="O204" s="7"/>
      <c r="P204" s="7"/>
      <c r="Q204" s="7"/>
      <c r="R204" s="7"/>
    </row>
    <row r="205" ht="15.75" customHeight="1">
      <c r="A205" s="26"/>
      <c r="D205" s="7"/>
      <c r="E205" s="7"/>
      <c r="F205" s="7"/>
      <c r="G205" s="7"/>
      <c r="H205" s="7"/>
      <c r="I205" s="7"/>
      <c r="J205" s="7"/>
      <c r="K205" s="7"/>
      <c r="L205" s="7"/>
      <c r="M205" s="7"/>
      <c r="N205" s="7"/>
      <c r="O205" s="7"/>
      <c r="P205" s="7"/>
      <c r="Q205" s="7"/>
      <c r="R205" s="7"/>
    </row>
    <row r="206" ht="15.75" customHeight="1">
      <c r="A206" s="26"/>
      <c r="D206" s="7"/>
      <c r="E206" s="7"/>
      <c r="F206" s="7"/>
      <c r="G206" s="7"/>
      <c r="H206" s="7"/>
      <c r="I206" s="7"/>
      <c r="J206" s="7"/>
      <c r="K206" s="7"/>
      <c r="L206" s="7"/>
      <c r="M206" s="7"/>
      <c r="N206" s="7"/>
      <c r="O206" s="7"/>
      <c r="P206" s="7"/>
      <c r="Q206" s="7"/>
      <c r="R206" s="7"/>
    </row>
    <row r="207" ht="15.75" customHeight="1">
      <c r="A207" s="26"/>
      <c r="D207" s="7"/>
      <c r="E207" s="7"/>
      <c r="F207" s="7"/>
      <c r="G207" s="7"/>
      <c r="H207" s="7"/>
      <c r="I207" s="7"/>
      <c r="J207" s="7"/>
      <c r="K207" s="7"/>
      <c r="L207" s="7"/>
      <c r="M207" s="7"/>
      <c r="N207" s="7"/>
      <c r="O207" s="7"/>
      <c r="P207" s="7"/>
      <c r="Q207" s="7"/>
      <c r="R207" s="7"/>
    </row>
    <row r="208" ht="15.75" customHeight="1">
      <c r="A208" s="26"/>
      <c r="D208" s="7"/>
      <c r="E208" s="7"/>
      <c r="F208" s="7"/>
      <c r="G208" s="7"/>
      <c r="H208" s="7"/>
      <c r="I208" s="7"/>
      <c r="J208" s="7"/>
      <c r="K208" s="7"/>
      <c r="L208" s="7"/>
      <c r="M208" s="7"/>
      <c r="N208" s="7"/>
      <c r="O208" s="7"/>
      <c r="P208" s="7"/>
      <c r="Q208" s="7"/>
      <c r="R208" s="7"/>
    </row>
    <row r="209" ht="15.75" customHeight="1">
      <c r="A209" s="26"/>
      <c r="D209" s="7"/>
      <c r="E209" s="7"/>
      <c r="F209" s="7"/>
      <c r="G209" s="7"/>
      <c r="H209" s="7"/>
      <c r="I209" s="7"/>
      <c r="J209" s="7"/>
      <c r="K209" s="7"/>
      <c r="L209" s="7"/>
      <c r="M209" s="7"/>
      <c r="N209" s="7"/>
      <c r="O209" s="7"/>
      <c r="P209" s="7"/>
      <c r="Q209" s="7"/>
      <c r="R209" s="7"/>
    </row>
    <row r="210" ht="15.75" customHeight="1">
      <c r="A210" s="26"/>
      <c r="D210" s="7"/>
      <c r="E210" s="7"/>
      <c r="F210" s="7"/>
      <c r="G210" s="7"/>
      <c r="H210" s="7"/>
      <c r="I210" s="7"/>
      <c r="J210" s="7"/>
      <c r="K210" s="7"/>
      <c r="L210" s="7"/>
      <c r="M210" s="7"/>
      <c r="N210" s="7"/>
      <c r="O210" s="7"/>
      <c r="P210" s="7"/>
      <c r="Q210" s="7"/>
      <c r="R210" s="7"/>
    </row>
    <row r="211" ht="15.75" customHeight="1">
      <c r="A211" s="26"/>
      <c r="D211" s="7"/>
      <c r="E211" s="7"/>
      <c r="F211" s="7"/>
      <c r="G211" s="7"/>
      <c r="H211" s="7"/>
      <c r="I211" s="7"/>
      <c r="J211" s="7"/>
      <c r="K211" s="7"/>
      <c r="L211" s="7"/>
      <c r="M211" s="7"/>
      <c r="N211" s="7"/>
      <c r="O211" s="7"/>
      <c r="P211" s="7"/>
      <c r="Q211" s="7"/>
      <c r="R211" s="7"/>
    </row>
    <row r="212" ht="15.75" customHeight="1">
      <c r="A212" s="26"/>
      <c r="D212" s="7"/>
      <c r="E212" s="7"/>
      <c r="F212" s="7"/>
      <c r="G212" s="7"/>
      <c r="H212" s="7"/>
      <c r="I212" s="7"/>
      <c r="J212" s="7"/>
      <c r="K212" s="7"/>
      <c r="L212" s="7"/>
      <c r="M212" s="7"/>
      <c r="N212" s="7"/>
      <c r="O212" s="7"/>
      <c r="P212" s="7"/>
      <c r="Q212" s="7"/>
      <c r="R212" s="7"/>
    </row>
    <row r="213" ht="15.75" customHeight="1">
      <c r="A213" s="26"/>
      <c r="D213" s="7"/>
      <c r="E213" s="7"/>
      <c r="F213" s="7"/>
      <c r="G213" s="7"/>
      <c r="H213" s="7"/>
      <c r="I213" s="7"/>
      <c r="J213" s="7"/>
      <c r="K213" s="7"/>
      <c r="L213" s="7"/>
      <c r="M213" s="7"/>
      <c r="N213" s="7"/>
      <c r="O213" s="7"/>
      <c r="P213" s="7"/>
      <c r="Q213" s="7"/>
      <c r="R213" s="7"/>
    </row>
    <row r="214" ht="15.75" customHeight="1">
      <c r="A214" s="26"/>
      <c r="D214" s="7"/>
      <c r="E214" s="7"/>
      <c r="F214" s="7"/>
      <c r="G214" s="7"/>
      <c r="H214" s="7"/>
      <c r="I214" s="7"/>
      <c r="J214" s="7"/>
      <c r="K214" s="7"/>
      <c r="L214" s="7"/>
      <c r="M214" s="7"/>
      <c r="N214" s="7"/>
      <c r="O214" s="7"/>
      <c r="P214" s="7"/>
      <c r="Q214" s="7"/>
      <c r="R214" s="7"/>
    </row>
    <row r="215" ht="15.75" customHeight="1">
      <c r="A215" s="26"/>
      <c r="D215" s="7"/>
      <c r="E215" s="7"/>
      <c r="F215" s="7"/>
      <c r="G215" s="7"/>
      <c r="H215" s="7"/>
      <c r="I215" s="7"/>
      <c r="J215" s="7"/>
      <c r="K215" s="7"/>
      <c r="L215" s="7"/>
      <c r="M215" s="7"/>
      <c r="N215" s="7"/>
      <c r="O215" s="7"/>
      <c r="P215" s="7"/>
      <c r="Q215" s="7"/>
      <c r="R215" s="7"/>
    </row>
    <row r="216" ht="15.75" customHeight="1">
      <c r="A216" s="26"/>
      <c r="D216" s="7"/>
      <c r="E216" s="7"/>
      <c r="F216" s="7"/>
      <c r="G216" s="7"/>
      <c r="H216" s="7"/>
      <c r="I216" s="7"/>
      <c r="J216" s="7"/>
      <c r="K216" s="7"/>
      <c r="L216" s="7"/>
      <c r="M216" s="7"/>
      <c r="N216" s="7"/>
      <c r="O216" s="7"/>
      <c r="P216" s="7"/>
      <c r="Q216" s="7"/>
      <c r="R216" s="7"/>
    </row>
    <row r="217" ht="15.75" customHeight="1">
      <c r="A217" s="26"/>
      <c r="D217" s="7"/>
      <c r="E217" s="7"/>
      <c r="F217" s="7"/>
      <c r="G217" s="7"/>
      <c r="H217" s="7"/>
      <c r="I217" s="7"/>
      <c r="J217" s="7"/>
      <c r="K217" s="7"/>
      <c r="L217" s="7"/>
      <c r="M217" s="7"/>
      <c r="N217" s="7"/>
      <c r="O217" s="7"/>
      <c r="P217" s="7"/>
      <c r="Q217" s="7"/>
      <c r="R217" s="7"/>
    </row>
    <row r="218" ht="15.75" customHeight="1">
      <c r="A218" s="26"/>
      <c r="D218" s="7"/>
      <c r="E218" s="7"/>
      <c r="F218" s="7"/>
      <c r="G218" s="7"/>
      <c r="H218" s="7"/>
      <c r="I218" s="7"/>
      <c r="J218" s="7"/>
      <c r="K218" s="7"/>
      <c r="L218" s="7"/>
      <c r="M218" s="7"/>
      <c r="N218" s="7"/>
      <c r="O218" s="7"/>
      <c r="P218" s="7"/>
      <c r="Q218" s="7"/>
      <c r="R218" s="7"/>
    </row>
    <row r="219" ht="15.75" customHeight="1">
      <c r="A219" s="26"/>
      <c r="D219" s="7"/>
      <c r="E219" s="7"/>
      <c r="F219" s="7"/>
      <c r="G219" s="7"/>
      <c r="H219" s="7"/>
      <c r="I219" s="7"/>
      <c r="J219" s="7"/>
      <c r="K219" s="7"/>
      <c r="L219" s="7"/>
      <c r="M219" s="7"/>
      <c r="N219" s="7"/>
      <c r="O219" s="7"/>
      <c r="P219" s="7"/>
      <c r="Q219" s="7"/>
      <c r="R219" s="7"/>
    </row>
    <row r="220" ht="15.75" customHeight="1">
      <c r="A220" s="26"/>
      <c r="D220" s="7"/>
      <c r="E220" s="7"/>
      <c r="F220" s="7"/>
      <c r="G220" s="7"/>
      <c r="H220" s="7"/>
      <c r="I220" s="7"/>
      <c r="J220" s="7"/>
      <c r="K220" s="7"/>
      <c r="L220" s="7"/>
      <c r="M220" s="7"/>
      <c r="N220" s="7"/>
      <c r="O220" s="7"/>
      <c r="P220" s="7"/>
      <c r="Q220" s="7"/>
      <c r="R220" s="7"/>
    </row>
    <row r="221" ht="15.75" customHeight="1">
      <c r="A221" s="26"/>
      <c r="D221" s="7"/>
      <c r="E221" s="7"/>
      <c r="F221" s="7"/>
      <c r="G221" s="7"/>
      <c r="H221" s="7"/>
      <c r="I221" s="7"/>
      <c r="J221" s="7"/>
      <c r="K221" s="7"/>
      <c r="L221" s="7"/>
      <c r="M221" s="7"/>
      <c r="N221" s="7"/>
      <c r="O221" s="7"/>
      <c r="P221" s="7"/>
      <c r="Q221" s="7"/>
      <c r="R221" s="7"/>
    </row>
    <row r="222" ht="15.75" customHeight="1">
      <c r="A222" s="26"/>
      <c r="D222" s="7"/>
      <c r="E222" s="7"/>
      <c r="F222" s="7"/>
      <c r="G222" s="7"/>
      <c r="H222" s="7"/>
      <c r="I222" s="7"/>
      <c r="J222" s="7"/>
      <c r="K222" s="7"/>
      <c r="L222" s="7"/>
      <c r="M222" s="7"/>
      <c r="N222" s="7"/>
      <c r="O222" s="7"/>
      <c r="P222" s="7"/>
      <c r="Q222" s="7"/>
      <c r="R222" s="7"/>
    </row>
    <row r="223" ht="15.75" customHeight="1">
      <c r="A223" s="26"/>
      <c r="D223" s="7"/>
      <c r="E223" s="7"/>
      <c r="F223" s="7"/>
      <c r="G223" s="7"/>
      <c r="H223" s="7"/>
      <c r="I223" s="7"/>
      <c r="J223" s="7"/>
      <c r="K223" s="7"/>
      <c r="L223" s="7"/>
      <c r="M223" s="7"/>
      <c r="N223" s="7"/>
      <c r="O223" s="7"/>
      <c r="P223" s="7"/>
      <c r="Q223" s="7"/>
      <c r="R223" s="7"/>
    </row>
    <row r="224" ht="15.75" customHeight="1">
      <c r="A224" s="26"/>
      <c r="D224" s="7"/>
      <c r="E224" s="7"/>
      <c r="F224" s="7"/>
      <c r="G224" s="7"/>
      <c r="H224" s="7"/>
      <c r="I224" s="7"/>
      <c r="J224" s="7"/>
      <c r="K224" s="7"/>
      <c r="L224" s="7"/>
      <c r="M224" s="7"/>
      <c r="N224" s="7"/>
      <c r="O224" s="7"/>
      <c r="P224" s="7"/>
      <c r="Q224" s="7"/>
      <c r="R224" s="7"/>
    </row>
    <row r="225" ht="15.75" customHeight="1">
      <c r="A225" s="26"/>
      <c r="D225" s="7"/>
      <c r="E225" s="7"/>
      <c r="F225" s="7"/>
      <c r="G225" s="7"/>
      <c r="H225" s="7"/>
      <c r="I225" s="7"/>
      <c r="J225" s="7"/>
      <c r="K225" s="7"/>
      <c r="L225" s="7"/>
      <c r="M225" s="7"/>
      <c r="N225" s="7"/>
      <c r="O225" s="7"/>
      <c r="P225" s="7"/>
      <c r="Q225" s="7"/>
      <c r="R225" s="7"/>
    </row>
    <row r="226" ht="15.75" customHeight="1">
      <c r="A226" s="26"/>
      <c r="D226" s="7"/>
      <c r="E226" s="7"/>
      <c r="F226" s="7"/>
      <c r="G226" s="7"/>
      <c r="H226" s="7"/>
      <c r="I226" s="7"/>
      <c r="J226" s="7"/>
      <c r="K226" s="7"/>
      <c r="L226" s="7"/>
      <c r="M226" s="7"/>
      <c r="N226" s="7"/>
      <c r="O226" s="7"/>
      <c r="P226" s="7"/>
      <c r="Q226" s="7"/>
      <c r="R226" s="7"/>
    </row>
    <row r="227" ht="15.75" customHeight="1">
      <c r="A227" s="26"/>
      <c r="D227" s="7"/>
      <c r="E227" s="7"/>
      <c r="F227" s="7"/>
      <c r="G227" s="7"/>
      <c r="H227" s="7"/>
      <c r="I227" s="7"/>
      <c r="J227" s="7"/>
      <c r="K227" s="7"/>
      <c r="L227" s="7"/>
      <c r="M227" s="7"/>
      <c r="N227" s="7"/>
      <c r="O227" s="7"/>
      <c r="P227" s="7"/>
      <c r="Q227" s="7"/>
      <c r="R227" s="7"/>
    </row>
    <row r="228" ht="15.75" customHeight="1">
      <c r="A228" s="26"/>
      <c r="D228" s="7"/>
      <c r="E228" s="7"/>
      <c r="F228" s="7"/>
      <c r="G228" s="7"/>
      <c r="H228" s="7"/>
      <c r="I228" s="7"/>
      <c r="J228" s="7"/>
      <c r="K228" s="7"/>
      <c r="L228" s="7"/>
      <c r="M228" s="7"/>
      <c r="N228" s="7"/>
      <c r="O228" s="7"/>
      <c r="P228" s="7"/>
      <c r="Q228" s="7"/>
      <c r="R228" s="7"/>
    </row>
    <row r="229" ht="15.75" customHeight="1">
      <c r="A229" s="26"/>
      <c r="D229" s="7"/>
      <c r="E229" s="7"/>
      <c r="F229" s="7"/>
      <c r="G229" s="7"/>
      <c r="H229" s="7"/>
      <c r="I229" s="7"/>
      <c r="J229" s="7"/>
      <c r="K229" s="7"/>
      <c r="L229" s="7"/>
      <c r="M229" s="7"/>
      <c r="N229" s="7"/>
      <c r="O229" s="7"/>
      <c r="P229" s="7"/>
      <c r="Q229" s="7"/>
      <c r="R229" s="7"/>
    </row>
    <row r="230" ht="15.75" customHeight="1">
      <c r="A230" s="26"/>
      <c r="D230" s="7"/>
      <c r="E230" s="7"/>
      <c r="F230" s="7"/>
      <c r="G230" s="7"/>
      <c r="H230" s="7"/>
      <c r="I230" s="7"/>
      <c r="J230" s="7"/>
      <c r="K230" s="7"/>
      <c r="L230" s="7"/>
      <c r="M230" s="7"/>
      <c r="N230" s="7"/>
      <c r="O230" s="7"/>
      <c r="P230" s="7"/>
      <c r="Q230" s="7"/>
      <c r="R230" s="7"/>
    </row>
    <row r="231" ht="15.75" customHeight="1">
      <c r="A231" s="26"/>
      <c r="D231" s="7"/>
      <c r="E231" s="7"/>
      <c r="F231" s="7"/>
      <c r="G231" s="7"/>
      <c r="H231" s="7"/>
      <c r="I231" s="7"/>
      <c r="J231" s="7"/>
      <c r="K231" s="7"/>
      <c r="L231" s="7"/>
      <c r="M231" s="7"/>
      <c r="N231" s="7"/>
      <c r="O231" s="7"/>
      <c r="P231" s="7"/>
      <c r="Q231" s="7"/>
      <c r="R231" s="7"/>
    </row>
    <row r="232" ht="15.75" customHeight="1">
      <c r="A232" s="26"/>
      <c r="D232" s="7"/>
      <c r="E232" s="7"/>
      <c r="F232" s="7"/>
      <c r="G232" s="7"/>
      <c r="H232" s="7"/>
      <c r="I232" s="7"/>
      <c r="J232" s="7"/>
      <c r="K232" s="7"/>
      <c r="L232" s="7"/>
      <c r="M232" s="7"/>
      <c r="N232" s="7"/>
      <c r="O232" s="7"/>
      <c r="P232" s="7"/>
      <c r="Q232" s="7"/>
      <c r="R232" s="7"/>
    </row>
    <row r="233" ht="15.75" customHeight="1">
      <c r="A233" s="26"/>
      <c r="D233" s="7"/>
      <c r="E233" s="7"/>
      <c r="F233" s="7"/>
      <c r="G233" s="7"/>
      <c r="H233" s="7"/>
      <c r="I233" s="7"/>
      <c r="J233" s="7"/>
      <c r="K233" s="7"/>
      <c r="L233" s="7"/>
      <c r="M233" s="7"/>
      <c r="N233" s="7"/>
      <c r="O233" s="7"/>
      <c r="P233" s="7"/>
      <c r="Q233" s="7"/>
      <c r="R233" s="7"/>
    </row>
    <row r="234" ht="15.75" customHeight="1">
      <c r="A234" s="26"/>
      <c r="D234" s="7"/>
      <c r="E234" s="7"/>
      <c r="F234" s="7"/>
      <c r="G234" s="7"/>
      <c r="H234" s="7"/>
      <c r="I234" s="7"/>
      <c r="J234" s="7"/>
      <c r="K234" s="7"/>
      <c r="L234" s="7"/>
      <c r="M234" s="7"/>
      <c r="N234" s="7"/>
      <c r="O234" s="7"/>
      <c r="P234" s="7"/>
      <c r="Q234" s="7"/>
      <c r="R234" s="7"/>
    </row>
    <row r="235" ht="15.75" customHeight="1">
      <c r="A235" s="26"/>
      <c r="D235" s="7"/>
      <c r="E235" s="7"/>
      <c r="F235" s="7"/>
      <c r="G235" s="7"/>
      <c r="H235" s="7"/>
      <c r="I235" s="7"/>
      <c r="J235" s="7"/>
      <c r="K235" s="7"/>
      <c r="L235" s="7"/>
      <c r="M235" s="7"/>
      <c r="N235" s="7"/>
      <c r="O235" s="7"/>
      <c r="P235" s="7"/>
      <c r="Q235" s="7"/>
      <c r="R235" s="7"/>
    </row>
    <row r="236" ht="15.75" customHeight="1">
      <c r="A236" s="26"/>
      <c r="D236" s="7"/>
      <c r="E236" s="7"/>
      <c r="F236" s="7"/>
      <c r="G236" s="7"/>
      <c r="H236" s="7"/>
      <c r="I236" s="7"/>
      <c r="J236" s="7"/>
      <c r="K236" s="7"/>
      <c r="L236" s="7"/>
      <c r="M236" s="7"/>
      <c r="N236" s="7"/>
      <c r="O236" s="7"/>
      <c r="P236" s="7"/>
      <c r="Q236" s="7"/>
      <c r="R236" s="7"/>
    </row>
    <row r="237" ht="15.75" customHeight="1">
      <c r="A237" s="26"/>
      <c r="D237" s="7"/>
      <c r="E237" s="7"/>
      <c r="F237" s="7"/>
      <c r="G237" s="7"/>
      <c r="H237" s="7"/>
      <c r="I237" s="7"/>
      <c r="J237" s="7"/>
      <c r="K237" s="7"/>
      <c r="L237" s="7"/>
      <c r="M237" s="7"/>
      <c r="N237" s="7"/>
      <c r="O237" s="7"/>
      <c r="P237" s="7"/>
      <c r="Q237" s="7"/>
      <c r="R237" s="7"/>
    </row>
    <row r="238" ht="15.75" customHeight="1">
      <c r="A238" s="26"/>
      <c r="D238" s="7"/>
      <c r="E238" s="7"/>
      <c r="F238" s="7"/>
      <c r="G238" s="7"/>
      <c r="H238" s="7"/>
      <c r="I238" s="7"/>
      <c r="J238" s="7"/>
      <c r="K238" s="7"/>
      <c r="L238" s="7"/>
      <c r="M238" s="7"/>
      <c r="N238" s="7"/>
      <c r="O238" s="7"/>
      <c r="P238" s="7"/>
      <c r="Q238" s="7"/>
      <c r="R238" s="7"/>
    </row>
    <row r="239" ht="15.75" customHeight="1">
      <c r="A239" s="26"/>
      <c r="D239" s="7"/>
      <c r="E239" s="7"/>
      <c r="F239" s="7"/>
      <c r="G239" s="7"/>
      <c r="H239" s="7"/>
      <c r="I239" s="7"/>
      <c r="J239" s="7"/>
      <c r="K239" s="7"/>
      <c r="L239" s="7"/>
      <c r="M239" s="7"/>
      <c r="N239" s="7"/>
      <c r="O239" s="7"/>
      <c r="P239" s="7"/>
      <c r="Q239" s="7"/>
      <c r="R239" s="7"/>
    </row>
    <row r="240" ht="15.75" customHeight="1">
      <c r="A240" s="26"/>
      <c r="D240" s="7"/>
      <c r="E240" s="7"/>
      <c r="F240" s="7"/>
      <c r="G240" s="7"/>
      <c r="H240" s="7"/>
      <c r="I240" s="7"/>
      <c r="J240" s="7"/>
      <c r="K240" s="7"/>
      <c r="L240" s="7"/>
      <c r="M240" s="7"/>
      <c r="N240" s="7"/>
      <c r="O240" s="7"/>
      <c r="P240" s="7"/>
      <c r="Q240" s="7"/>
      <c r="R240" s="7"/>
    </row>
    <row r="241" ht="15.75" customHeight="1">
      <c r="A241" s="26"/>
      <c r="D241" s="7"/>
      <c r="E241" s="7"/>
      <c r="F241" s="7"/>
      <c r="G241" s="7"/>
      <c r="H241" s="7"/>
      <c r="I241" s="7"/>
      <c r="J241" s="7"/>
      <c r="K241" s="7"/>
      <c r="L241" s="7"/>
      <c r="M241" s="7"/>
      <c r="N241" s="7"/>
      <c r="O241" s="7"/>
      <c r="P241" s="7"/>
      <c r="Q241" s="7"/>
      <c r="R241" s="7"/>
    </row>
    <row r="242" ht="15.75" customHeight="1">
      <c r="A242" s="26"/>
      <c r="D242" s="7"/>
      <c r="E242" s="7"/>
      <c r="F242" s="7"/>
      <c r="G242" s="7"/>
      <c r="H242" s="7"/>
      <c r="I242" s="7"/>
      <c r="J242" s="7"/>
      <c r="K242" s="7"/>
      <c r="L242" s="7"/>
      <c r="M242" s="7"/>
      <c r="N242" s="7"/>
      <c r="O242" s="7"/>
      <c r="P242" s="7"/>
      <c r="Q242" s="7"/>
      <c r="R242" s="7"/>
    </row>
    <row r="243" ht="15.75" customHeight="1">
      <c r="A243" s="26"/>
      <c r="D243" s="7"/>
      <c r="E243" s="7"/>
      <c r="F243" s="7"/>
      <c r="G243" s="7"/>
      <c r="H243" s="7"/>
      <c r="I243" s="7"/>
      <c r="J243" s="7"/>
      <c r="K243" s="7"/>
      <c r="L243" s="7"/>
      <c r="M243" s="7"/>
      <c r="N243" s="7"/>
      <c r="O243" s="7"/>
      <c r="P243" s="7"/>
      <c r="Q243" s="7"/>
      <c r="R243" s="7"/>
    </row>
    <row r="244" ht="15.75" customHeight="1">
      <c r="A244" s="26"/>
      <c r="D244" s="7"/>
      <c r="E244" s="7"/>
      <c r="F244" s="7"/>
      <c r="G244" s="7"/>
      <c r="H244" s="7"/>
      <c r="I244" s="7"/>
      <c r="J244" s="7"/>
      <c r="K244" s="7"/>
      <c r="L244" s="7"/>
      <c r="M244" s="7"/>
      <c r="N244" s="7"/>
      <c r="O244" s="7"/>
      <c r="P244" s="7"/>
      <c r="Q244" s="7"/>
      <c r="R244" s="7"/>
    </row>
    <row r="245" ht="15.75" customHeight="1">
      <c r="A245" s="26"/>
      <c r="D245" s="7"/>
      <c r="E245" s="7"/>
      <c r="F245" s="7"/>
      <c r="G245" s="7"/>
      <c r="H245" s="7"/>
      <c r="I245" s="7"/>
      <c r="J245" s="7"/>
      <c r="K245" s="7"/>
      <c r="L245" s="7"/>
      <c r="M245" s="7"/>
      <c r="N245" s="7"/>
      <c r="O245" s="7"/>
      <c r="P245" s="7"/>
      <c r="Q245" s="7"/>
      <c r="R245" s="7"/>
    </row>
    <row r="246" ht="15.75" customHeight="1">
      <c r="A246" s="26"/>
      <c r="D246" s="7"/>
      <c r="E246" s="7"/>
      <c r="F246" s="7"/>
      <c r="G246" s="7"/>
      <c r="H246" s="7"/>
      <c r="I246" s="7"/>
      <c r="J246" s="7"/>
      <c r="K246" s="7"/>
      <c r="L246" s="7"/>
      <c r="M246" s="7"/>
      <c r="N246" s="7"/>
      <c r="O246" s="7"/>
      <c r="P246" s="7"/>
      <c r="Q246" s="7"/>
      <c r="R246" s="7"/>
    </row>
    <row r="247" ht="15.75" customHeight="1">
      <c r="A247" s="26"/>
      <c r="D247" s="7"/>
      <c r="E247" s="7"/>
      <c r="F247" s="7"/>
      <c r="G247" s="7"/>
      <c r="H247" s="7"/>
      <c r="I247" s="7"/>
      <c r="J247" s="7"/>
      <c r="K247" s="7"/>
      <c r="L247" s="7"/>
      <c r="M247" s="7"/>
      <c r="N247" s="7"/>
      <c r="O247" s="7"/>
      <c r="P247" s="7"/>
      <c r="Q247" s="7"/>
      <c r="R247" s="7"/>
    </row>
    <row r="248" ht="15.75" customHeight="1">
      <c r="A248" s="26"/>
      <c r="D248" s="7"/>
      <c r="E248" s="7"/>
      <c r="F248" s="7"/>
      <c r="G248" s="7"/>
      <c r="H248" s="7"/>
      <c r="I248" s="7"/>
      <c r="J248" s="7"/>
      <c r="K248" s="7"/>
      <c r="L248" s="7"/>
      <c r="M248" s="7"/>
      <c r="N248" s="7"/>
      <c r="O248" s="7"/>
      <c r="P248" s="7"/>
      <c r="Q248" s="7"/>
      <c r="R248" s="7"/>
    </row>
    <row r="249" ht="15.75" customHeight="1">
      <c r="A249" s="26"/>
      <c r="D249" s="7"/>
      <c r="E249" s="7"/>
      <c r="F249" s="7"/>
      <c r="G249" s="7"/>
      <c r="H249" s="7"/>
      <c r="I249" s="7"/>
      <c r="J249" s="7"/>
      <c r="K249" s="7"/>
      <c r="L249" s="7"/>
      <c r="M249" s="7"/>
      <c r="N249" s="7"/>
      <c r="O249" s="7"/>
      <c r="P249" s="7"/>
      <c r="Q249" s="7"/>
      <c r="R249" s="7"/>
    </row>
    <row r="250" ht="15.75" customHeight="1">
      <c r="A250" s="26"/>
      <c r="D250" s="7"/>
      <c r="E250" s="7"/>
      <c r="F250" s="7"/>
      <c r="G250" s="7"/>
      <c r="H250" s="7"/>
      <c r="I250" s="7"/>
      <c r="J250" s="7"/>
      <c r="K250" s="7"/>
      <c r="L250" s="7"/>
      <c r="M250" s="7"/>
      <c r="N250" s="7"/>
      <c r="O250" s="7"/>
      <c r="P250" s="7"/>
      <c r="Q250" s="7"/>
      <c r="R250" s="7"/>
    </row>
    <row r="251" ht="15.75" customHeight="1">
      <c r="A251" s="26"/>
      <c r="D251" s="7"/>
      <c r="E251" s="7"/>
      <c r="F251" s="7"/>
      <c r="G251" s="7"/>
      <c r="H251" s="7"/>
      <c r="I251" s="7"/>
      <c r="J251" s="7"/>
      <c r="K251" s="7"/>
      <c r="L251" s="7"/>
      <c r="M251" s="7"/>
      <c r="N251" s="7"/>
      <c r="O251" s="7"/>
      <c r="P251" s="7"/>
      <c r="Q251" s="7"/>
      <c r="R251" s="7"/>
    </row>
    <row r="252" ht="15.75" customHeight="1">
      <c r="A252" s="26"/>
      <c r="D252" s="7"/>
      <c r="E252" s="7"/>
      <c r="F252" s="7"/>
      <c r="G252" s="7"/>
      <c r="H252" s="7"/>
      <c r="I252" s="7"/>
      <c r="J252" s="7"/>
      <c r="K252" s="7"/>
      <c r="L252" s="7"/>
      <c r="M252" s="7"/>
      <c r="N252" s="7"/>
      <c r="O252" s="7"/>
      <c r="P252" s="7"/>
      <c r="Q252" s="7"/>
      <c r="R252" s="7"/>
    </row>
    <row r="253" ht="15.75" customHeight="1">
      <c r="A253" s="26"/>
      <c r="D253" s="7"/>
      <c r="E253" s="7"/>
      <c r="F253" s="7"/>
      <c r="G253" s="7"/>
      <c r="H253" s="7"/>
      <c r="I253" s="7"/>
      <c r="J253" s="7"/>
      <c r="K253" s="7"/>
      <c r="L253" s="7"/>
      <c r="M253" s="7"/>
      <c r="N253" s="7"/>
      <c r="O253" s="7"/>
      <c r="P253" s="7"/>
      <c r="Q253" s="7"/>
      <c r="R253" s="7"/>
    </row>
    <row r="254" ht="15.75" customHeight="1">
      <c r="A254" s="26"/>
      <c r="D254" s="7"/>
      <c r="E254" s="7"/>
      <c r="F254" s="7"/>
      <c r="G254" s="7"/>
      <c r="H254" s="7"/>
      <c r="I254" s="7"/>
      <c r="J254" s="7"/>
      <c r="K254" s="7"/>
      <c r="L254" s="7"/>
      <c r="M254" s="7"/>
      <c r="N254" s="7"/>
      <c r="O254" s="7"/>
      <c r="P254" s="7"/>
      <c r="Q254" s="7"/>
      <c r="R254" s="7"/>
    </row>
    <row r="255" ht="15.75" customHeight="1">
      <c r="A255" s="26"/>
      <c r="D255" s="7"/>
      <c r="E255" s="7"/>
      <c r="F255" s="7"/>
      <c r="G255" s="7"/>
      <c r="H255" s="7"/>
      <c r="I255" s="7"/>
      <c r="J255" s="7"/>
      <c r="K255" s="7"/>
      <c r="L255" s="7"/>
      <c r="M255" s="7"/>
      <c r="N255" s="7"/>
      <c r="O255" s="7"/>
      <c r="P255" s="7"/>
      <c r="Q255" s="7"/>
      <c r="R255" s="7"/>
    </row>
    <row r="256" ht="15.75" customHeight="1">
      <c r="A256" s="26"/>
      <c r="D256" s="7"/>
      <c r="E256" s="7"/>
      <c r="F256" s="7"/>
      <c r="G256" s="7"/>
      <c r="H256" s="7"/>
      <c r="I256" s="7"/>
      <c r="J256" s="7"/>
      <c r="K256" s="7"/>
      <c r="L256" s="7"/>
      <c r="M256" s="7"/>
      <c r="N256" s="7"/>
      <c r="O256" s="7"/>
      <c r="P256" s="7"/>
      <c r="Q256" s="7"/>
      <c r="R256" s="7"/>
    </row>
    <row r="257" ht="15.75" customHeight="1">
      <c r="A257" s="26"/>
      <c r="D257" s="7"/>
      <c r="E257" s="7"/>
      <c r="F257" s="7"/>
      <c r="G257" s="7"/>
      <c r="H257" s="7"/>
      <c r="I257" s="7"/>
      <c r="J257" s="7"/>
      <c r="K257" s="7"/>
      <c r="L257" s="7"/>
      <c r="M257" s="7"/>
      <c r="N257" s="7"/>
      <c r="O257" s="7"/>
      <c r="P257" s="7"/>
      <c r="Q257" s="7"/>
      <c r="R257" s="7"/>
    </row>
    <row r="258" ht="15.75" customHeight="1">
      <c r="A258" s="26"/>
      <c r="D258" s="7"/>
      <c r="E258" s="7"/>
      <c r="F258" s="7"/>
      <c r="G258" s="7"/>
      <c r="H258" s="7"/>
      <c r="I258" s="7"/>
      <c r="J258" s="7"/>
      <c r="K258" s="7"/>
      <c r="L258" s="7"/>
      <c r="M258" s="7"/>
      <c r="N258" s="7"/>
      <c r="O258" s="7"/>
      <c r="P258" s="7"/>
      <c r="Q258" s="7"/>
      <c r="R258" s="7"/>
    </row>
    <row r="259" ht="15.75" customHeight="1">
      <c r="A259" s="26"/>
      <c r="D259" s="7"/>
      <c r="E259" s="7"/>
      <c r="F259" s="7"/>
      <c r="G259" s="7"/>
      <c r="H259" s="7"/>
      <c r="I259" s="7"/>
      <c r="J259" s="7"/>
      <c r="K259" s="7"/>
      <c r="L259" s="7"/>
      <c r="M259" s="7"/>
      <c r="N259" s="7"/>
      <c r="O259" s="7"/>
      <c r="P259" s="7"/>
      <c r="Q259" s="7"/>
      <c r="R259" s="7"/>
    </row>
    <row r="260" ht="15.75" customHeight="1">
      <c r="A260" s="26"/>
      <c r="D260" s="7"/>
      <c r="E260" s="7"/>
      <c r="F260" s="7"/>
      <c r="G260" s="7"/>
      <c r="H260" s="7"/>
      <c r="I260" s="7"/>
      <c r="J260" s="7"/>
      <c r="K260" s="7"/>
      <c r="L260" s="7"/>
      <c r="M260" s="7"/>
      <c r="N260" s="7"/>
      <c r="O260" s="7"/>
      <c r="P260" s="7"/>
      <c r="Q260" s="7"/>
      <c r="R260" s="7"/>
    </row>
    <row r="261" ht="15.75" customHeight="1">
      <c r="A261" s="26"/>
      <c r="D261" s="7"/>
      <c r="E261" s="7"/>
      <c r="F261" s="7"/>
      <c r="G261" s="7"/>
      <c r="H261" s="7"/>
      <c r="I261" s="7"/>
      <c r="J261" s="7"/>
      <c r="K261" s="7"/>
      <c r="L261" s="7"/>
      <c r="M261" s="7"/>
      <c r="N261" s="7"/>
      <c r="O261" s="7"/>
      <c r="P261" s="7"/>
      <c r="Q261" s="7"/>
      <c r="R261" s="7"/>
    </row>
    <row r="262" ht="15.75" customHeight="1">
      <c r="A262" s="26"/>
      <c r="D262" s="7"/>
      <c r="E262" s="7"/>
      <c r="F262" s="7"/>
      <c r="G262" s="7"/>
      <c r="H262" s="7"/>
      <c r="I262" s="7"/>
      <c r="J262" s="7"/>
      <c r="K262" s="7"/>
      <c r="L262" s="7"/>
      <c r="M262" s="7"/>
      <c r="N262" s="7"/>
      <c r="O262" s="7"/>
      <c r="P262" s="7"/>
      <c r="Q262" s="7"/>
      <c r="R262" s="7"/>
    </row>
    <row r="263" ht="15.75" customHeight="1">
      <c r="A263" s="26"/>
      <c r="D263" s="7"/>
      <c r="E263" s="7"/>
      <c r="F263" s="7"/>
      <c r="G263" s="7"/>
      <c r="H263" s="7"/>
      <c r="I263" s="7"/>
      <c r="J263" s="7"/>
      <c r="K263" s="7"/>
      <c r="L263" s="7"/>
      <c r="M263" s="7"/>
      <c r="N263" s="7"/>
      <c r="O263" s="7"/>
      <c r="P263" s="7"/>
      <c r="Q263" s="7"/>
      <c r="R263" s="7"/>
    </row>
    <row r="264" ht="15.75" customHeight="1">
      <c r="A264" s="26"/>
      <c r="D264" s="7"/>
      <c r="E264" s="7"/>
      <c r="F264" s="7"/>
      <c r="G264" s="7"/>
      <c r="H264" s="7"/>
      <c r="I264" s="7"/>
      <c r="J264" s="7"/>
      <c r="K264" s="7"/>
      <c r="L264" s="7"/>
      <c r="M264" s="7"/>
      <c r="N264" s="7"/>
      <c r="O264" s="7"/>
      <c r="P264" s="7"/>
      <c r="Q264" s="7"/>
      <c r="R264" s="7"/>
    </row>
    <row r="265" ht="15.75" customHeight="1">
      <c r="A265" s="26"/>
      <c r="D265" s="7"/>
      <c r="E265" s="7"/>
      <c r="F265" s="7"/>
      <c r="G265" s="7"/>
      <c r="H265" s="7"/>
      <c r="I265" s="7"/>
      <c r="J265" s="7"/>
      <c r="K265" s="7"/>
      <c r="L265" s="7"/>
      <c r="M265" s="7"/>
      <c r="N265" s="7"/>
      <c r="O265" s="7"/>
      <c r="P265" s="7"/>
      <c r="Q265" s="7"/>
      <c r="R265" s="7"/>
    </row>
    <row r="266" ht="15.75" customHeight="1">
      <c r="A266" s="26"/>
      <c r="D266" s="7"/>
      <c r="E266" s="7"/>
      <c r="F266" s="7"/>
      <c r="G266" s="7"/>
      <c r="H266" s="7"/>
      <c r="I266" s="7"/>
      <c r="J266" s="7"/>
      <c r="K266" s="7"/>
      <c r="L266" s="7"/>
      <c r="M266" s="7"/>
      <c r="N266" s="7"/>
      <c r="O266" s="7"/>
      <c r="P266" s="7"/>
      <c r="Q266" s="7"/>
      <c r="R266" s="7"/>
    </row>
    <row r="267" ht="15.75" customHeight="1">
      <c r="A267" s="26"/>
      <c r="D267" s="7"/>
      <c r="E267" s="7"/>
      <c r="F267" s="7"/>
      <c r="G267" s="7"/>
      <c r="H267" s="7"/>
      <c r="I267" s="7"/>
      <c r="J267" s="7"/>
      <c r="K267" s="7"/>
      <c r="L267" s="7"/>
      <c r="M267" s="7"/>
      <c r="N267" s="7"/>
      <c r="O267" s="7"/>
      <c r="P267" s="7"/>
      <c r="Q267" s="7"/>
      <c r="R267" s="7"/>
    </row>
    <row r="268" ht="15.75" customHeight="1">
      <c r="A268" s="26"/>
      <c r="D268" s="7"/>
      <c r="E268" s="7"/>
      <c r="F268" s="7"/>
      <c r="G268" s="7"/>
      <c r="H268" s="7"/>
      <c r="I268" s="7"/>
      <c r="J268" s="7"/>
      <c r="K268" s="7"/>
      <c r="L268" s="7"/>
      <c r="M268" s="7"/>
      <c r="N268" s="7"/>
      <c r="O268" s="7"/>
      <c r="P268" s="7"/>
      <c r="Q268" s="7"/>
      <c r="R268" s="7"/>
    </row>
    <row r="269" ht="15.75" customHeight="1">
      <c r="A269" s="26"/>
      <c r="D269" s="7"/>
      <c r="E269" s="7"/>
      <c r="F269" s="7"/>
      <c r="G269" s="7"/>
      <c r="H269" s="7"/>
      <c r="I269" s="7"/>
      <c r="J269" s="7"/>
      <c r="K269" s="7"/>
      <c r="L269" s="7"/>
      <c r="M269" s="7"/>
      <c r="N269" s="7"/>
      <c r="O269" s="7"/>
      <c r="P269" s="7"/>
      <c r="Q269" s="7"/>
      <c r="R269" s="7"/>
    </row>
    <row r="270" ht="15.75" customHeight="1">
      <c r="A270" s="26"/>
      <c r="D270" s="7"/>
      <c r="E270" s="7"/>
      <c r="F270" s="7"/>
      <c r="G270" s="7"/>
      <c r="H270" s="7"/>
      <c r="I270" s="7"/>
      <c r="J270" s="7"/>
      <c r="K270" s="7"/>
      <c r="L270" s="7"/>
      <c r="M270" s="7"/>
      <c r="N270" s="7"/>
      <c r="O270" s="7"/>
      <c r="P270" s="7"/>
      <c r="Q270" s="7"/>
      <c r="R270" s="7"/>
    </row>
    <row r="271" ht="15.75" customHeight="1">
      <c r="A271" s="26"/>
      <c r="D271" s="7"/>
      <c r="E271" s="7"/>
      <c r="F271" s="7"/>
      <c r="G271" s="7"/>
      <c r="H271" s="7"/>
      <c r="I271" s="7"/>
      <c r="J271" s="7"/>
      <c r="K271" s="7"/>
      <c r="L271" s="7"/>
      <c r="M271" s="7"/>
      <c r="N271" s="7"/>
      <c r="O271" s="7"/>
      <c r="P271" s="7"/>
      <c r="Q271" s="7"/>
      <c r="R271" s="7"/>
    </row>
    <row r="272" ht="15.75" customHeight="1">
      <c r="A272" s="26"/>
      <c r="D272" s="7"/>
      <c r="E272" s="7"/>
      <c r="F272" s="7"/>
      <c r="G272" s="7"/>
      <c r="H272" s="7"/>
      <c r="I272" s="7"/>
      <c r="J272" s="7"/>
      <c r="K272" s="7"/>
      <c r="L272" s="7"/>
      <c r="M272" s="7"/>
      <c r="N272" s="7"/>
      <c r="O272" s="7"/>
      <c r="P272" s="7"/>
      <c r="Q272" s="7"/>
      <c r="R272" s="7"/>
    </row>
    <row r="273" ht="15.75" customHeight="1">
      <c r="A273" s="26"/>
      <c r="D273" s="7"/>
      <c r="E273" s="7"/>
      <c r="F273" s="7"/>
      <c r="G273" s="7"/>
      <c r="H273" s="7"/>
      <c r="I273" s="7"/>
      <c r="J273" s="7"/>
      <c r="K273" s="7"/>
      <c r="L273" s="7"/>
      <c r="M273" s="7"/>
      <c r="N273" s="7"/>
      <c r="O273" s="7"/>
      <c r="P273" s="7"/>
      <c r="Q273" s="7"/>
      <c r="R273" s="7"/>
    </row>
    <row r="274" ht="15.75" customHeight="1">
      <c r="A274" s="26"/>
      <c r="D274" s="7"/>
      <c r="E274" s="7"/>
      <c r="F274" s="7"/>
      <c r="G274" s="7"/>
      <c r="H274" s="7"/>
      <c r="I274" s="7"/>
      <c r="J274" s="7"/>
      <c r="K274" s="7"/>
      <c r="L274" s="7"/>
      <c r="M274" s="7"/>
      <c r="N274" s="7"/>
      <c r="O274" s="7"/>
      <c r="P274" s="7"/>
      <c r="Q274" s="7"/>
      <c r="R274" s="7"/>
    </row>
    <row r="275" ht="15.75" customHeight="1">
      <c r="J275" s="7"/>
    </row>
    <row r="276" ht="15.75" customHeight="1">
      <c r="J276" s="7"/>
    </row>
    <row r="277" ht="15.75" customHeight="1">
      <c r="J277" s="7"/>
    </row>
    <row r="278" ht="15.75" customHeight="1">
      <c r="J278" s="7"/>
    </row>
    <row r="279" ht="15.75" customHeight="1">
      <c r="J279" s="7"/>
    </row>
    <row r="280" ht="15.75" customHeight="1">
      <c r="J280" s="7"/>
    </row>
    <row r="281" ht="15.75" customHeight="1">
      <c r="J281" s="7"/>
    </row>
    <row r="282" ht="15.75" customHeight="1">
      <c r="J282" s="7"/>
    </row>
    <row r="283" ht="15.75" customHeight="1">
      <c r="J283" s="7"/>
    </row>
    <row r="284" ht="15.75" customHeight="1">
      <c r="J284" s="7"/>
    </row>
    <row r="285" ht="15.75" customHeight="1">
      <c r="J285" s="7"/>
    </row>
    <row r="286" ht="15.75" customHeight="1">
      <c r="J286" s="7"/>
    </row>
    <row r="287" ht="15.75" customHeight="1">
      <c r="J287" s="7"/>
    </row>
    <row r="288" ht="15.75" customHeight="1">
      <c r="J288" s="7"/>
    </row>
    <row r="289" ht="15.75" customHeight="1">
      <c r="J289" s="7"/>
    </row>
    <row r="290" ht="15.75" customHeight="1">
      <c r="J290" s="7"/>
    </row>
    <row r="291" ht="15.75" customHeight="1">
      <c r="J291" s="7"/>
    </row>
    <row r="292" ht="15.75" customHeight="1">
      <c r="J292" s="7"/>
    </row>
    <row r="293" ht="15.75" customHeight="1">
      <c r="J293" s="7"/>
    </row>
    <row r="294" ht="15.75" customHeight="1">
      <c r="J294" s="7"/>
    </row>
    <row r="295" ht="15.75" customHeight="1">
      <c r="J295" s="7"/>
    </row>
    <row r="296" ht="15.75" customHeight="1">
      <c r="J296" s="7"/>
    </row>
    <row r="297" ht="15.75" customHeight="1">
      <c r="J297" s="7"/>
    </row>
    <row r="298" ht="15.75" customHeight="1">
      <c r="J298" s="7"/>
    </row>
    <row r="299" ht="15.75" customHeight="1">
      <c r="J299" s="7"/>
    </row>
    <row r="300" ht="15.75" customHeight="1">
      <c r="J300" s="7"/>
    </row>
    <row r="301" ht="15.75" customHeight="1">
      <c r="J301" s="7"/>
    </row>
    <row r="302" ht="15.75" customHeight="1">
      <c r="J302" s="7"/>
    </row>
    <row r="303" ht="15.75" customHeight="1">
      <c r="J303" s="7"/>
    </row>
    <row r="304" ht="15.75" customHeight="1">
      <c r="J304" s="7"/>
    </row>
    <row r="305" ht="15.75" customHeight="1">
      <c r="J305" s="7"/>
    </row>
    <row r="306" ht="15.75" customHeight="1">
      <c r="J306" s="7"/>
    </row>
    <row r="307" ht="15.75" customHeight="1">
      <c r="J307" s="7"/>
    </row>
    <row r="308" ht="15.75" customHeight="1">
      <c r="J308" s="7"/>
    </row>
    <row r="309" ht="15.75" customHeight="1">
      <c r="J309" s="7"/>
    </row>
    <row r="310" ht="15.75" customHeight="1">
      <c r="J310" s="7"/>
    </row>
    <row r="311" ht="15.75" customHeight="1">
      <c r="J311" s="7"/>
    </row>
    <row r="312" ht="15.75" customHeight="1">
      <c r="J312" s="7"/>
    </row>
    <row r="313" ht="15.75" customHeight="1">
      <c r="J313" s="7"/>
    </row>
    <row r="314" ht="15.75" customHeight="1">
      <c r="J314" s="7"/>
    </row>
    <row r="315" ht="15.75" customHeight="1">
      <c r="J315" s="7"/>
    </row>
    <row r="316" ht="15.75" customHeight="1">
      <c r="J316" s="7"/>
    </row>
    <row r="317" ht="15.75" customHeight="1">
      <c r="J317" s="7"/>
    </row>
    <row r="318" ht="15.75" customHeight="1">
      <c r="J318" s="7"/>
    </row>
    <row r="319" ht="15.75" customHeight="1">
      <c r="J319" s="7"/>
    </row>
    <row r="320" ht="15.75" customHeight="1">
      <c r="J320" s="7"/>
    </row>
    <row r="321" ht="15.75" customHeight="1">
      <c r="J321" s="7"/>
    </row>
    <row r="322" ht="15.75" customHeight="1">
      <c r="J322" s="7"/>
    </row>
    <row r="323" ht="15.75" customHeight="1">
      <c r="J323" s="7"/>
    </row>
    <row r="324" ht="15.75" customHeight="1">
      <c r="J324" s="7"/>
    </row>
    <row r="325" ht="15.75" customHeight="1">
      <c r="J325" s="7"/>
    </row>
    <row r="326" ht="15.75" customHeight="1">
      <c r="J326" s="7"/>
    </row>
    <row r="327" ht="15.75" customHeight="1">
      <c r="J327" s="7"/>
    </row>
    <row r="328" ht="15.75" customHeight="1">
      <c r="J328" s="7"/>
    </row>
    <row r="329" ht="15.75" customHeight="1">
      <c r="J329" s="7"/>
    </row>
    <row r="330" ht="15.75" customHeight="1">
      <c r="J330" s="7"/>
    </row>
    <row r="331" ht="15.75" customHeight="1">
      <c r="J331" s="7"/>
    </row>
    <row r="332" ht="15.75" customHeight="1">
      <c r="J332" s="7"/>
    </row>
    <row r="333" ht="15.75" customHeight="1">
      <c r="J333" s="7"/>
    </row>
    <row r="334" ht="15.75" customHeight="1">
      <c r="J334" s="7"/>
    </row>
    <row r="335" ht="15.75" customHeight="1">
      <c r="J335" s="7"/>
    </row>
    <row r="336" ht="15.75" customHeight="1">
      <c r="J336" s="7"/>
    </row>
    <row r="337" ht="15.75" customHeight="1">
      <c r="J337" s="7"/>
    </row>
    <row r="338" ht="15.75" customHeight="1">
      <c r="J338" s="7"/>
    </row>
    <row r="339" ht="15.75" customHeight="1">
      <c r="J339" s="7"/>
    </row>
    <row r="340" ht="15.75" customHeight="1">
      <c r="J340" s="7"/>
    </row>
    <row r="341" ht="15.75" customHeight="1">
      <c r="J341" s="7"/>
    </row>
    <row r="342" ht="15.75" customHeight="1">
      <c r="J342" s="7"/>
    </row>
    <row r="343" ht="15.75" customHeight="1">
      <c r="J343" s="7"/>
    </row>
    <row r="344" ht="15.75" customHeight="1">
      <c r="J344" s="7"/>
    </row>
    <row r="345" ht="15.75" customHeight="1">
      <c r="J345" s="7"/>
    </row>
    <row r="346" ht="15.75" customHeight="1">
      <c r="J346" s="7"/>
    </row>
    <row r="347" ht="15.75" customHeight="1">
      <c r="J347" s="7"/>
    </row>
    <row r="348" ht="15.75" customHeight="1">
      <c r="J348" s="7"/>
    </row>
    <row r="349" ht="15.75" customHeight="1">
      <c r="J349" s="7"/>
    </row>
    <row r="350" ht="15.75" customHeight="1">
      <c r="J350" s="7"/>
    </row>
    <row r="351" ht="15.75" customHeight="1">
      <c r="J351" s="7"/>
    </row>
    <row r="352" ht="15.75" customHeight="1">
      <c r="J352" s="7"/>
    </row>
    <row r="353" ht="15.75" customHeight="1">
      <c r="J353" s="7"/>
    </row>
    <row r="354" ht="15.75" customHeight="1">
      <c r="J354" s="7"/>
    </row>
    <row r="355" ht="15.75" customHeight="1">
      <c r="J355" s="7"/>
    </row>
    <row r="356" ht="15.75" customHeight="1">
      <c r="J356" s="7"/>
    </row>
    <row r="357" ht="15.75" customHeight="1">
      <c r="J357" s="7"/>
    </row>
    <row r="358" ht="15.75" customHeight="1">
      <c r="J358" s="7"/>
    </row>
    <row r="359" ht="15.75" customHeight="1">
      <c r="J359" s="7"/>
    </row>
    <row r="360" ht="15.75" customHeight="1">
      <c r="J360" s="7"/>
    </row>
    <row r="361" ht="15.75" customHeight="1">
      <c r="J361" s="7"/>
    </row>
    <row r="362" ht="15.75" customHeight="1">
      <c r="J362" s="7"/>
    </row>
    <row r="363" ht="15.75" customHeight="1">
      <c r="J363" s="7"/>
    </row>
    <row r="364" ht="15.75" customHeight="1">
      <c r="J364" s="7"/>
    </row>
    <row r="365" ht="15.75" customHeight="1">
      <c r="J365" s="7"/>
    </row>
    <row r="366" ht="15.75" customHeight="1">
      <c r="J366" s="7"/>
    </row>
    <row r="367" ht="15.75" customHeight="1">
      <c r="J367" s="7"/>
    </row>
    <row r="368" ht="15.75" customHeight="1">
      <c r="J368" s="7"/>
    </row>
    <row r="369" ht="15.75" customHeight="1">
      <c r="J369" s="7"/>
    </row>
    <row r="370" ht="15.75" customHeight="1">
      <c r="J370" s="7"/>
    </row>
    <row r="371" ht="15.75" customHeight="1">
      <c r="J371" s="7"/>
    </row>
    <row r="372" ht="15.75" customHeight="1">
      <c r="J372" s="7"/>
    </row>
    <row r="373" ht="15.75" customHeight="1">
      <c r="J373" s="7"/>
    </row>
    <row r="374" ht="15.75" customHeight="1">
      <c r="J374" s="7"/>
    </row>
    <row r="375" ht="15.75" customHeight="1">
      <c r="J375" s="7"/>
    </row>
    <row r="376" ht="15.75" customHeight="1">
      <c r="J376" s="7"/>
    </row>
    <row r="377" ht="15.75" customHeight="1">
      <c r="J377" s="7"/>
    </row>
    <row r="378" ht="15.75" customHeight="1">
      <c r="J378" s="7"/>
    </row>
    <row r="379" ht="15.75" customHeight="1">
      <c r="J379" s="7"/>
    </row>
    <row r="380" ht="15.75" customHeight="1">
      <c r="J380" s="7"/>
    </row>
    <row r="381" ht="15.75" customHeight="1">
      <c r="J381" s="7"/>
    </row>
    <row r="382" ht="15.75" customHeight="1">
      <c r="J382" s="7"/>
    </row>
    <row r="383" ht="15.75" customHeight="1">
      <c r="J383" s="7"/>
    </row>
    <row r="384" ht="15.75" customHeight="1">
      <c r="J384" s="7"/>
    </row>
    <row r="385" ht="15.75" customHeight="1">
      <c r="J385" s="7"/>
    </row>
    <row r="386" ht="15.75" customHeight="1">
      <c r="J386" s="7"/>
    </row>
    <row r="387" ht="15.75" customHeight="1">
      <c r="J387" s="7"/>
    </row>
    <row r="388" ht="15.75" customHeight="1">
      <c r="J388" s="7"/>
    </row>
    <row r="389" ht="15.75" customHeight="1">
      <c r="J389" s="7"/>
    </row>
    <row r="390" ht="15.75" customHeight="1">
      <c r="J390" s="7"/>
    </row>
    <row r="391" ht="15.75" customHeight="1">
      <c r="J391" s="7"/>
    </row>
    <row r="392" ht="15.75" customHeight="1">
      <c r="J392" s="7"/>
    </row>
    <row r="393" ht="15.75" customHeight="1">
      <c r="J393" s="7"/>
    </row>
    <row r="394" ht="15.75" customHeight="1">
      <c r="J394" s="7"/>
    </row>
    <row r="395" ht="15.75" customHeight="1">
      <c r="J395" s="7"/>
    </row>
    <row r="396" ht="15.75" customHeight="1">
      <c r="J396" s="7"/>
    </row>
    <row r="397" ht="15.75" customHeight="1">
      <c r="J397" s="7"/>
    </row>
    <row r="398" ht="15.75" customHeight="1">
      <c r="J398" s="7"/>
    </row>
    <row r="399" ht="15.75" customHeight="1">
      <c r="J399" s="7"/>
    </row>
    <row r="400" ht="15.75" customHeight="1">
      <c r="J400" s="7"/>
    </row>
    <row r="401" ht="15.75" customHeight="1">
      <c r="J401" s="7"/>
    </row>
    <row r="402" ht="15.75" customHeight="1">
      <c r="J402" s="7"/>
    </row>
    <row r="403" ht="15.75" customHeight="1">
      <c r="J403" s="7"/>
    </row>
    <row r="404" ht="15.75" customHeight="1">
      <c r="J404" s="7"/>
    </row>
    <row r="405" ht="15.75" customHeight="1">
      <c r="J405" s="7"/>
    </row>
    <row r="406" ht="15.75" customHeight="1">
      <c r="J406" s="7"/>
    </row>
    <row r="407" ht="15.75" customHeight="1">
      <c r="J407" s="7"/>
    </row>
    <row r="408" ht="15.75" customHeight="1">
      <c r="J408" s="7"/>
    </row>
    <row r="409" ht="15.75" customHeight="1">
      <c r="J409" s="7"/>
    </row>
    <row r="410" ht="15.75" customHeight="1">
      <c r="J410" s="7"/>
    </row>
    <row r="411" ht="15.75" customHeight="1">
      <c r="J411" s="7"/>
    </row>
    <row r="412" ht="15.75" customHeight="1">
      <c r="J412" s="7"/>
    </row>
    <row r="413" ht="15.75" customHeight="1">
      <c r="J413" s="7"/>
    </row>
    <row r="414" ht="15.75" customHeight="1">
      <c r="J414" s="7"/>
    </row>
    <row r="415" ht="15.75" customHeight="1">
      <c r="J415" s="7"/>
    </row>
    <row r="416" ht="15.75" customHeight="1">
      <c r="J416" s="7"/>
    </row>
    <row r="417" ht="15.75" customHeight="1">
      <c r="J417" s="7"/>
    </row>
    <row r="418" ht="15.75" customHeight="1">
      <c r="J418" s="7"/>
    </row>
    <row r="419" ht="15.75" customHeight="1">
      <c r="J419" s="7"/>
    </row>
    <row r="420" ht="15.75" customHeight="1">
      <c r="J420" s="7"/>
    </row>
    <row r="421" ht="15.75" customHeight="1">
      <c r="J421" s="7"/>
    </row>
    <row r="422" ht="15.75" customHeight="1">
      <c r="J422" s="7"/>
    </row>
    <row r="423" ht="15.75" customHeight="1">
      <c r="J423" s="7"/>
    </row>
    <row r="424" ht="15.75" customHeight="1">
      <c r="J424" s="7"/>
    </row>
    <row r="425" ht="15.75" customHeight="1">
      <c r="J425" s="7"/>
    </row>
    <row r="426" ht="15.75" customHeight="1">
      <c r="J426" s="7"/>
    </row>
    <row r="427" ht="15.75" customHeight="1">
      <c r="J427" s="7"/>
    </row>
    <row r="428" ht="15.75" customHeight="1">
      <c r="J428" s="7"/>
    </row>
    <row r="429" ht="15.75" customHeight="1">
      <c r="J429" s="7"/>
    </row>
    <row r="430" ht="15.75" customHeight="1">
      <c r="J430" s="7"/>
    </row>
    <row r="431" ht="15.75" customHeight="1">
      <c r="J431" s="7"/>
    </row>
    <row r="432" ht="15.75" customHeight="1">
      <c r="J432" s="7"/>
    </row>
    <row r="433" ht="15.75" customHeight="1">
      <c r="J433" s="7"/>
    </row>
    <row r="434" ht="15.75" customHeight="1">
      <c r="J434" s="7"/>
    </row>
    <row r="435" ht="15.75" customHeight="1">
      <c r="J435" s="7"/>
    </row>
    <row r="436" ht="15.75" customHeight="1">
      <c r="J436" s="7"/>
    </row>
    <row r="437" ht="15.75" customHeight="1">
      <c r="J437" s="7"/>
    </row>
    <row r="438" ht="15.75" customHeight="1">
      <c r="J438" s="7"/>
    </row>
    <row r="439" ht="15.75" customHeight="1">
      <c r="J439" s="7"/>
    </row>
    <row r="440" ht="15.75" customHeight="1">
      <c r="J440" s="7"/>
    </row>
    <row r="441" ht="15.75" customHeight="1">
      <c r="J441" s="7"/>
    </row>
    <row r="442" ht="15.75" customHeight="1">
      <c r="J442" s="7"/>
    </row>
    <row r="443" ht="15.75" customHeight="1">
      <c r="J443" s="7"/>
    </row>
    <row r="444" ht="15.75" customHeight="1">
      <c r="J444" s="7"/>
    </row>
    <row r="445" ht="15.75" customHeight="1">
      <c r="J445" s="7"/>
    </row>
    <row r="446" ht="15.75" customHeight="1">
      <c r="J446" s="7"/>
    </row>
    <row r="447" ht="15.75" customHeight="1">
      <c r="J447" s="7"/>
    </row>
    <row r="448" ht="15.75" customHeight="1">
      <c r="J448" s="7"/>
    </row>
    <row r="449" ht="15.75" customHeight="1">
      <c r="J449" s="7"/>
    </row>
    <row r="450" ht="15.75" customHeight="1">
      <c r="J450" s="7"/>
    </row>
    <row r="451" ht="15.75" customHeight="1">
      <c r="J451" s="7"/>
    </row>
    <row r="452" ht="15.75" customHeight="1">
      <c r="J452" s="7"/>
    </row>
    <row r="453" ht="15.75" customHeight="1">
      <c r="J453" s="7"/>
    </row>
    <row r="454" ht="15.75" customHeight="1">
      <c r="J454" s="7"/>
    </row>
    <row r="455" ht="15.75" customHeight="1">
      <c r="J455" s="7"/>
    </row>
    <row r="456" ht="15.75" customHeight="1">
      <c r="J456" s="7"/>
    </row>
    <row r="457" ht="15.75" customHeight="1">
      <c r="J457" s="7"/>
    </row>
    <row r="458" ht="15.75" customHeight="1">
      <c r="J458" s="7"/>
    </row>
    <row r="459" ht="15.75" customHeight="1">
      <c r="J459" s="7"/>
    </row>
    <row r="460" ht="15.75" customHeight="1">
      <c r="J460" s="7"/>
    </row>
    <row r="461" ht="15.75" customHeight="1">
      <c r="J461" s="7"/>
    </row>
    <row r="462" ht="15.75" customHeight="1">
      <c r="J462" s="7"/>
    </row>
    <row r="463" ht="15.75" customHeight="1">
      <c r="J463" s="7"/>
    </row>
    <row r="464" ht="15.75" customHeight="1">
      <c r="J464" s="7"/>
    </row>
    <row r="465" ht="15.75" customHeight="1">
      <c r="J465" s="7"/>
    </row>
    <row r="466" ht="15.75" customHeight="1">
      <c r="J466" s="7"/>
    </row>
    <row r="467" ht="15.75" customHeight="1">
      <c r="J467" s="7"/>
    </row>
    <row r="468" ht="15.75" customHeight="1">
      <c r="J468" s="7"/>
    </row>
    <row r="469" ht="15.75" customHeight="1">
      <c r="J469" s="7"/>
    </row>
    <row r="470" ht="15.75" customHeight="1">
      <c r="J470" s="7"/>
    </row>
    <row r="471" ht="15.75" customHeight="1">
      <c r="J471" s="7"/>
    </row>
    <row r="472" ht="15.75" customHeight="1">
      <c r="J472" s="7"/>
    </row>
    <row r="473" ht="15.75" customHeight="1">
      <c r="J473" s="7"/>
    </row>
    <row r="474" ht="15.75" customHeight="1">
      <c r="J474" s="7"/>
    </row>
    <row r="475" ht="15.75" customHeight="1">
      <c r="J475" s="7"/>
    </row>
    <row r="476" ht="15.75" customHeight="1">
      <c r="J476" s="7"/>
    </row>
    <row r="477" ht="15.75" customHeight="1">
      <c r="J477" s="7"/>
    </row>
    <row r="478" ht="15.75" customHeight="1">
      <c r="J478" s="7"/>
    </row>
    <row r="479" ht="15.75" customHeight="1">
      <c r="J479" s="7"/>
    </row>
    <row r="480" ht="15.75" customHeight="1">
      <c r="J480" s="7"/>
    </row>
    <row r="481" ht="15.75" customHeight="1">
      <c r="J481" s="7"/>
    </row>
    <row r="482" ht="15.75" customHeight="1">
      <c r="J482" s="7"/>
    </row>
    <row r="483" ht="15.75" customHeight="1">
      <c r="J483" s="7"/>
    </row>
    <row r="484" ht="15.75" customHeight="1">
      <c r="J484" s="7"/>
    </row>
    <row r="485" ht="15.75" customHeight="1">
      <c r="J485" s="7"/>
    </row>
    <row r="486" ht="15.75" customHeight="1">
      <c r="J486" s="7"/>
    </row>
    <row r="487" ht="15.75" customHeight="1">
      <c r="J487" s="7"/>
    </row>
    <row r="488" ht="15.75" customHeight="1">
      <c r="J488" s="7"/>
    </row>
    <row r="489" ht="15.75" customHeight="1">
      <c r="J489" s="7"/>
    </row>
    <row r="490" ht="15.75" customHeight="1">
      <c r="J490" s="7"/>
    </row>
    <row r="491" ht="15.75" customHeight="1">
      <c r="J491" s="7"/>
    </row>
    <row r="492" ht="15.75" customHeight="1">
      <c r="J492" s="7"/>
    </row>
    <row r="493" ht="15.75" customHeight="1">
      <c r="J493" s="7"/>
    </row>
    <row r="494" ht="15.75" customHeight="1">
      <c r="J494" s="7"/>
    </row>
    <row r="495" ht="15.75" customHeight="1">
      <c r="J495" s="7"/>
    </row>
    <row r="496" ht="15.75" customHeight="1">
      <c r="J496" s="7"/>
    </row>
    <row r="497" ht="15.75" customHeight="1">
      <c r="J497" s="7"/>
    </row>
    <row r="498" ht="15.75" customHeight="1">
      <c r="J498" s="7"/>
    </row>
    <row r="499" ht="15.75" customHeight="1">
      <c r="J499" s="7"/>
    </row>
    <row r="500" ht="15.75" customHeight="1">
      <c r="J500" s="7"/>
    </row>
    <row r="501" ht="15.75" customHeight="1">
      <c r="J501" s="7"/>
    </row>
    <row r="502" ht="15.75" customHeight="1">
      <c r="J502" s="7"/>
    </row>
    <row r="503" ht="15.75" customHeight="1">
      <c r="J503" s="7"/>
    </row>
    <row r="504" ht="15.75" customHeight="1">
      <c r="J504" s="7"/>
    </row>
    <row r="505" ht="15.75" customHeight="1">
      <c r="J505" s="7"/>
    </row>
    <row r="506" ht="15.75" customHeight="1">
      <c r="J506" s="7"/>
    </row>
    <row r="507" ht="15.75" customHeight="1">
      <c r="J507" s="7"/>
    </row>
    <row r="508" ht="15.75" customHeight="1">
      <c r="J508" s="7"/>
    </row>
    <row r="509" ht="15.75" customHeight="1">
      <c r="J509" s="7"/>
    </row>
    <row r="510" ht="15.75" customHeight="1">
      <c r="J510" s="7"/>
    </row>
    <row r="511" ht="15.75" customHeight="1">
      <c r="J511" s="7"/>
    </row>
    <row r="512" ht="15.75" customHeight="1">
      <c r="J512" s="7"/>
    </row>
    <row r="513" ht="15.75" customHeight="1">
      <c r="J513" s="7"/>
    </row>
    <row r="514" ht="15.75" customHeight="1">
      <c r="J514" s="7"/>
    </row>
    <row r="515" ht="15.75" customHeight="1">
      <c r="J515" s="7"/>
    </row>
    <row r="516" ht="15.75" customHeight="1">
      <c r="J516" s="7"/>
    </row>
    <row r="517" ht="15.75" customHeight="1">
      <c r="J517" s="7"/>
    </row>
    <row r="518" ht="15.75" customHeight="1">
      <c r="J518" s="7"/>
    </row>
    <row r="519" ht="15.75" customHeight="1">
      <c r="J519" s="7"/>
    </row>
    <row r="520" ht="15.75" customHeight="1">
      <c r="J520" s="7"/>
    </row>
    <row r="521" ht="15.75" customHeight="1">
      <c r="J521" s="7"/>
    </row>
    <row r="522" ht="15.75" customHeight="1">
      <c r="J522" s="7"/>
    </row>
    <row r="523" ht="15.75" customHeight="1">
      <c r="J523" s="7"/>
    </row>
    <row r="524" ht="15.75" customHeight="1">
      <c r="J524" s="7"/>
    </row>
    <row r="525" ht="15.75" customHeight="1">
      <c r="J525" s="7"/>
    </row>
    <row r="526" ht="15.75" customHeight="1">
      <c r="J526" s="7"/>
    </row>
    <row r="527" ht="15.75" customHeight="1">
      <c r="J527" s="7"/>
    </row>
    <row r="528" ht="15.75" customHeight="1">
      <c r="J528" s="7"/>
    </row>
    <row r="529" ht="15.75" customHeight="1">
      <c r="J529" s="7"/>
    </row>
    <row r="530" ht="15.75" customHeight="1">
      <c r="J530" s="7"/>
    </row>
    <row r="531" ht="15.75" customHeight="1">
      <c r="J531" s="7"/>
    </row>
    <row r="532" ht="15.75" customHeight="1">
      <c r="J532" s="7"/>
    </row>
    <row r="533" ht="15.75" customHeight="1">
      <c r="J533" s="7"/>
    </row>
    <row r="534" ht="15.75" customHeight="1">
      <c r="J534" s="7"/>
    </row>
    <row r="535" ht="15.75" customHeight="1">
      <c r="J535" s="7"/>
    </row>
    <row r="536" ht="15.75" customHeight="1">
      <c r="J536" s="7"/>
    </row>
    <row r="537" ht="15.75" customHeight="1">
      <c r="J537" s="7"/>
    </row>
    <row r="538" ht="15.75" customHeight="1">
      <c r="J538" s="7"/>
    </row>
    <row r="539" ht="15.75" customHeight="1">
      <c r="J539" s="7"/>
    </row>
    <row r="540" ht="15.75" customHeight="1">
      <c r="J540" s="7"/>
    </row>
    <row r="541" ht="15.75" customHeight="1">
      <c r="J541" s="7"/>
    </row>
    <row r="542" ht="15.75" customHeight="1">
      <c r="J542" s="7"/>
    </row>
    <row r="543" ht="15.75" customHeight="1">
      <c r="J543" s="7"/>
    </row>
    <row r="544" ht="15.75" customHeight="1">
      <c r="J544" s="7"/>
    </row>
    <row r="545" ht="15.75" customHeight="1">
      <c r="J545" s="7"/>
    </row>
    <row r="546" ht="15.75" customHeight="1">
      <c r="J546" s="7"/>
    </row>
    <row r="547" ht="15.75" customHeight="1">
      <c r="J547" s="7"/>
    </row>
    <row r="548" ht="15.75" customHeight="1">
      <c r="J548" s="7"/>
    </row>
    <row r="549" ht="15.75" customHeight="1">
      <c r="J549" s="7"/>
    </row>
    <row r="550" ht="15.75" customHeight="1">
      <c r="J550" s="7"/>
    </row>
    <row r="551" ht="15.75" customHeight="1">
      <c r="J551" s="7"/>
    </row>
    <row r="552" ht="15.75" customHeight="1">
      <c r="J552" s="7"/>
    </row>
    <row r="553" ht="15.75" customHeight="1">
      <c r="J553" s="7"/>
    </row>
    <row r="554" ht="15.75" customHeight="1">
      <c r="J554" s="7"/>
    </row>
    <row r="555" ht="15.75" customHeight="1">
      <c r="J555" s="7"/>
    </row>
    <row r="556" ht="15.75" customHeight="1">
      <c r="J556" s="7"/>
    </row>
    <row r="557" ht="15.75" customHeight="1">
      <c r="J557" s="7"/>
    </row>
    <row r="558" ht="15.75" customHeight="1">
      <c r="J558" s="7"/>
    </row>
    <row r="559" ht="15.75" customHeight="1">
      <c r="J559" s="7"/>
    </row>
    <row r="560" ht="15.75" customHeight="1">
      <c r="J560" s="7"/>
    </row>
    <row r="561" ht="15.75" customHeight="1">
      <c r="J561" s="7"/>
    </row>
    <row r="562" ht="15.75" customHeight="1">
      <c r="J562" s="7"/>
    </row>
    <row r="563" ht="15.75" customHeight="1">
      <c r="J563" s="7"/>
    </row>
    <row r="564" ht="15.75" customHeight="1">
      <c r="J564" s="7"/>
    </row>
    <row r="565" ht="15.75" customHeight="1">
      <c r="J565" s="7"/>
    </row>
    <row r="566" ht="15.75" customHeight="1">
      <c r="J566" s="7"/>
    </row>
    <row r="567" ht="15.75" customHeight="1">
      <c r="J567" s="7"/>
    </row>
    <row r="568" ht="15.75" customHeight="1">
      <c r="J568" s="7"/>
    </row>
    <row r="569" ht="15.75" customHeight="1">
      <c r="J569" s="7"/>
    </row>
    <row r="570" ht="15.75" customHeight="1">
      <c r="J570" s="7"/>
    </row>
    <row r="571" ht="15.75" customHeight="1">
      <c r="J571" s="7"/>
    </row>
    <row r="572" ht="15.75" customHeight="1">
      <c r="J572" s="7"/>
    </row>
    <row r="573" ht="15.75" customHeight="1">
      <c r="J573" s="7"/>
    </row>
    <row r="574" ht="15.75" customHeight="1">
      <c r="J574" s="7"/>
    </row>
    <row r="575" ht="15.75" customHeight="1">
      <c r="J575" s="7"/>
    </row>
    <row r="576" ht="15.75" customHeight="1">
      <c r="J576" s="7"/>
    </row>
    <row r="577" ht="15.75" customHeight="1">
      <c r="J577" s="7"/>
    </row>
    <row r="578" ht="15.75" customHeight="1">
      <c r="J578" s="7"/>
    </row>
    <row r="579" ht="15.75" customHeight="1">
      <c r="J579" s="7"/>
    </row>
    <row r="580" ht="15.75" customHeight="1">
      <c r="J580" s="7"/>
    </row>
    <row r="581" ht="15.75" customHeight="1">
      <c r="J581" s="7"/>
    </row>
    <row r="582" ht="15.75" customHeight="1">
      <c r="J582" s="7"/>
    </row>
    <row r="583" ht="15.75" customHeight="1">
      <c r="J583" s="7"/>
    </row>
    <row r="584" ht="15.75" customHeight="1">
      <c r="J584" s="7"/>
    </row>
    <row r="585" ht="15.75" customHeight="1">
      <c r="J585" s="7"/>
    </row>
    <row r="586" ht="15.75" customHeight="1">
      <c r="J586" s="7"/>
    </row>
    <row r="587" ht="15.75" customHeight="1">
      <c r="J587" s="7"/>
    </row>
    <row r="588" ht="15.75" customHeight="1">
      <c r="J588" s="7"/>
    </row>
    <row r="589" ht="15.75" customHeight="1">
      <c r="J589" s="7"/>
    </row>
    <row r="590" ht="15.75" customHeight="1">
      <c r="J590" s="7"/>
    </row>
    <row r="591" ht="15.75" customHeight="1">
      <c r="J591" s="7"/>
    </row>
    <row r="592" ht="15.75" customHeight="1">
      <c r="J592" s="7"/>
    </row>
    <row r="593" ht="15.75" customHeight="1">
      <c r="J593" s="7"/>
    </row>
    <row r="594" ht="15.75" customHeight="1">
      <c r="J594" s="7"/>
    </row>
    <row r="595" ht="15.75" customHeight="1">
      <c r="J595" s="7"/>
    </row>
    <row r="596" ht="15.75" customHeight="1">
      <c r="J596" s="7"/>
    </row>
    <row r="597" ht="15.75" customHeight="1">
      <c r="J597" s="7"/>
    </row>
    <row r="598" ht="15.75" customHeight="1">
      <c r="J598" s="7"/>
    </row>
    <row r="599" ht="15.75" customHeight="1">
      <c r="J599" s="7"/>
    </row>
    <row r="600" ht="15.75" customHeight="1">
      <c r="J600" s="7"/>
    </row>
    <row r="601" ht="15.75" customHeight="1">
      <c r="J601" s="7"/>
    </row>
    <row r="602" ht="15.75" customHeight="1">
      <c r="J602" s="7"/>
    </row>
    <row r="603" ht="15.75" customHeight="1">
      <c r="J603" s="7"/>
    </row>
    <row r="604" ht="15.75" customHeight="1">
      <c r="J604" s="7"/>
    </row>
    <row r="605" ht="15.75" customHeight="1">
      <c r="J605" s="7"/>
    </row>
    <row r="606" ht="15.75" customHeight="1">
      <c r="J606" s="7"/>
    </row>
    <row r="607" ht="15.75" customHeight="1">
      <c r="J607" s="7"/>
    </row>
    <row r="608" ht="15.75" customHeight="1">
      <c r="J608" s="7"/>
    </row>
    <row r="609" ht="15.75" customHeight="1">
      <c r="J609" s="7"/>
    </row>
    <row r="610" ht="15.75" customHeight="1">
      <c r="J610" s="7"/>
    </row>
    <row r="611" ht="15.75" customHeight="1">
      <c r="J611" s="7"/>
    </row>
    <row r="612" ht="15.75" customHeight="1">
      <c r="J612" s="7"/>
    </row>
    <row r="613" ht="15.75" customHeight="1">
      <c r="J613" s="7"/>
    </row>
    <row r="614" ht="15.75" customHeight="1">
      <c r="J614" s="7"/>
    </row>
    <row r="615" ht="15.75" customHeight="1">
      <c r="J615" s="7"/>
    </row>
    <row r="616" ht="15.75" customHeight="1">
      <c r="J616" s="7"/>
    </row>
    <row r="617" ht="15.75" customHeight="1">
      <c r="J617" s="7"/>
    </row>
    <row r="618" ht="15.75" customHeight="1">
      <c r="J618" s="7"/>
    </row>
    <row r="619" ht="15.75" customHeight="1">
      <c r="J619" s="7"/>
    </row>
    <row r="620" ht="15.75" customHeight="1">
      <c r="J620" s="7"/>
    </row>
    <row r="621" ht="15.75" customHeight="1">
      <c r="J621" s="7"/>
    </row>
    <row r="622" ht="15.75" customHeight="1">
      <c r="J622" s="7"/>
    </row>
    <row r="623" ht="15.75" customHeight="1">
      <c r="J623" s="7"/>
    </row>
    <row r="624" ht="15.75" customHeight="1">
      <c r="J624" s="7"/>
    </row>
    <row r="625" ht="15.75" customHeight="1">
      <c r="J625" s="7"/>
    </row>
    <row r="626" ht="15.75" customHeight="1">
      <c r="J626" s="7"/>
    </row>
    <row r="627" ht="15.75" customHeight="1">
      <c r="J627" s="7"/>
    </row>
    <row r="628" ht="15.75" customHeight="1">
      <c r="J628" s="7"/>
    </row>
    <row r="629" ht="15.75" customHeight="1">
      <c r="J629" s="7"/>
    </row>
    <row r="630" ht="15.75" customHeight="1">
      <c r="J630" s="7"/>
    </row>
    <row r="631" ht="15.75" customHeight="1">
      <c r="J631" s="7"/>
    </row>
    <row r="632" ht="15.75" customHeight="1">
      <c r="J632" s="7"/>
    </row>
    <row r="633" ht="15.75" customHeight="1">
      <c r="J633" s="7"/>
    </row>
    <row r="634" ht="15.75" customHeight="1">
      <c r="J634" s="7"/>
    </row>
    <row r="635" ht="15.75" customHeight="1">
      <c r="J635" s="7"/>
    </row>
    <row r="636" ht="15.75" customHeight="1">
      <c r="J636" s="7"/>
    </row>
    <row r="637" ht="15.75" customHeight="1">
      <c r="J637" s="7"/>
    </row>
    <row r="638" ht="15.75" customHeight="1">
      <c r="J638" s="7"/>
    </row>
    <row r="639" ht="15.75" customHeight="1">
      <c r="J639" s="7"/>
    </row>
    <row r="640" ht="15.75" customHeight="1">
      <c r="J640" s="7"/>
    </row>
    <row r="641" ht="15.75" customHeight="1">
      <c r="J641" s="7"/>
    </row>
    <row r="642" ht="15.75" customHeight="1">
      <c r="J642" s="7"/>
    </row>
    <row r="643" ht="15.75" customHeight="1">
      <c r="J643" s="7"/>
    </row>
    <row r="644" ht="15.75" customHeight="1">
      <c r="J644" s="7"/>
    </row>
    <row r="645" ht="15.75" customHeight="1">
      <c r="J645" s="7"/>
    </row>
    <row r="646" ht="15.75" customHeight="1">
      <c r="J646" s="7"/>
    </row>
    <row r="647" ht="15.75" customHeight="1">
      <c r="J647" s="7"/>
    </row>
    <row r="648" ht="15.75" customHeight="1">
      <c r="J648" s="7"/>
    </row>
    <row r="649" ht="15.75" customHeight="1">
      <c r="J649" s="7"/>
    </row>
    <row r="650" ht="15.75" customHeight="1">
      <c r="J650" s="7"/>
    </row>
    <row r="651" ht="15.75" customHeight="1">
      <c r="J651" s="7"/>
    </row>
    <row r="652" ht="15.75" customHeight="1">
      <c r="J652" s="7"/>
    </row>
    <row r="653" ht="15.75" customHeight="1">
      <c r="J653" s="7"/>
    </row>
    <row r="654" ht="15.75" customHeight="1">
      <c r="J654" s="7"/>
    </row>
    <row r="655" ht="15.75" customHeight="1">
      <c r="J655" s="7"/>
    </row>
    <row r="656" ht="15.75" customHeight="1">
      <c r="J656" s="7"/>
    </row>
    <row r="657" ht="15.75" customHeight="1">
      <c r="J657" s="7"/>
    </row>
    <row r="658" ht="15.75" customHeight="1">
      <c r="J658" s="7"/>
    </row>
    <row r="659" ht="15.75" customHeight="1">
      <c r="J659" s="7"/>
    </row>
    <row r="660" ht="15.75" customHeight="1">
      <c r="J660" s="7"/>
    </row>
    <row r="661" ht="15.75" customHeight="1">
      <c r="J661" s="7"/>
    </row>
    <row r="662" ht="15.75" customHeight="1">
      <c r="J662" s="7"/>
    </row>
    <row r="663" ht="15.75" customHeight="1">
      <c r="J663" s="7"/>
    </row>
    <row r="664" ht="15.75" customHeight="1">
      <c r="J664" s="7"/>
    </row>
    <row r="665" ht="15.75" customHeight="1">
      <c r="J665" s="7"/>
    </row>
    <row r="666" ht="15.75" customHeight="1">
      <c r="J666" s="7"/>
    </row>
    <row r="667" ht="15.75" customHeight="1">
      <c r="J667" s="7"/>
    </row>
    <row r="668" ht="15.75" customHeight="1">
      <c r="J668" s="7"/>
    </row>
    <row r="669" ht="15.75" customHeight="1">
      <c r="J669" s="7"/>
    </row>
    <row r="670" ht="15.75" customHeight="1">
      <c r="J670" s="7"/>
    </row>
    <row r="671" ht="15.75" customHeight="1">
      <c r="J671" s="7"/>
    </row>
    <row r="672" ht="15.75" customHeight="1">
      <c r="J672" s="7"/>
    </row>
    <row r="673" ht="15.75" customHeight="1">
      <c r="J673" s="7"/>
    </row>
    <row r="674" ht="15.75" customHeight="1">
      <c r="J674" s="7"/>
    </row>
    <row r="675" ht="15.75" customHeight="1">
      <c r="J675" s="7"/>
    </row>
    <row r="676" ht="15.75" customHeight="1">
      <c r="J676" s="7"/>
    </row>
    <row r="677" ht="15.75" customHeight="1">
      <c r="J677" s="7"/>
    </row>
    <row r="678" ht="15.75" customHeight="1">
      <c r="J678" s="7"/>
    </row>
    <row r="679" ht="15.75" customHeight="1">
      <c r="J679" s="7"/>
    </row>
    <row r="680" ht="15.75" customHeight="1">
      <c r="J680" s="7"/>
    </row>
    <row r="681" ht="15.75" customHeight="1">
      <c r="J681" s="7"/>
    </row>
    <row r="682" ht="15.75" customHeight="1">
      <c r="J682" s="7"/>
    </row>
    <row r="683" ht="15.75" customHeight="1">
      <c r="J683" s="7"/>
    </row>
    <row r="684" ht="15.75" customHeight="1">
      <c r="J684" s="7"/>
    </row>
    <row r="685" ht="15.75" customHeight="1">
      <c r="J685" s="7"/>
    </row>
    <row r="686" ht="15.75" customHeight="1">
      <c r="J686" s="7"/>
    </row>
    <row r="687" ht="15.75" customHeight="1">
      <c r="J687" s="7"/>
    </row>
    <row r="688" ht="15.75" customHeight="1">
      <c r="J688" s="7"/>
    </row>
    <row r="689" ht="15.75" customHeight="1">
      <c r="J689" s="7"/>
    </row>
    <row r="690" ht="15.75" customHeight="1">
      <c r="J690" s="7"/>
    </row>
    <row r="691" ht="15.75" customHeight="1">
      <c r="J691" s="7"/>
    </row>
    <row r="692" ht="15.75" customHeight="1">
      <c r="J692" s="7"/>
    </row>
    <row r="693" ht="15.75" customHeight="1">
      <c r="J693" s="7"/>
    </row>
    <row r="694" ht="15.75" customHeight="1">
      <c r="J694" s="7"/>
    </row>
    <row r="695" ht="15.75" customHeight="1">
      <c r="J695" s="7"/>
    </row>
    <row r="696" ht="15.75" customHeight="1">
      <c r="J696" s="7"/>
    </row>
    <row r="697" ht="15.75" customHeight="1">
      <c r="J697" s="7"/>
    </row>
    <row r="698" ht="15.75" customHeight="1">
      <c r="J698" s="7"/>
    </row>
    <row r="699" ht="15.75" customHeight="1">
      <c r="J699" s="7"/>
    </row>
    <row r="700" ht="15.75" customHeight="1">
      <c r="J700" s="7"/>
    </row>
    <row r="701" ht="15.75" customHeight="1">
      <c r="J701" s="7"/>
    </row>
    <row r="702" ht="15.75" customHeight="1">
      <c r="J702" s="7"/>
    </row>
    <row r="703" ht="15.75" customHeight="1">
      <c r="J703" s="7"/>
    </row>
    <row r="704" ht="15.75" customHeight="1">
      <c r="J704" s="7"/>
    </row>
    <row r="705" ht="15.75" customHeight="1">
      <c r="J705" s="7"/>
    </row>
    <row r="706" ht="15.75" customHeight="1">
      <c r="J706" s="7"/>
    </row>
    <row r="707" ht="15.75" customHeight="1">
      <c r="J707" s="7"/>
    </row>
    <row r="708" ht="15.75" customHeight="1">
      <c r="J708" s="7"/>
    </row>
    <row r="709" ht="15.75" customHeight="1">
      <c r="J709" s="7"/>
    </row>
    <row r="710" ht="15.75" customHeight="1">
      <c r="J710" s="7"/>
    </row>
    <row r="711" ht="15.75" customHeight="1">
      <c r="J711" s="7"/>
    </row>
    <row r="712" ht="15.75" customHeight="1">
      <c r="J712" s="7"/>
    </row>
    <row r="713" ht="15.75" customHeight="1">
      <c r="J713" s="7"/>
    </row>
    <row r="714" ht="15.75" customHeight="1">
      <c r="J714" s="7"/>
    </row>
    <row r="715" ht="15.75" customHeight="1">
      <c r="J715" s="7"/>
    </row>
    <row r="716" ht="15.75" customHeight="1">
      <c r="J716" s="7"/>
    </row>
    <row r="717" ht="15.75" customHeight="1">
      <c r="J717" s="7"/>
    </row>
    <row r="718" ht="15.75" customHeight="1">
      <c r="J718" s="7"/>
    </row>
    <row r="719" ht="15.75" customHeight="1">
      <c r="J719" s="7"/>
    </row>
    <row r="720" ht="15.75" customHeight="1">
      <c r="J720" s="7"/>
    </row>
    <row r="721" ht="15.75" customHeight="1">
      <c r="J721" s="7"/>
    </row>
    <row r="722" ht="15.75" customHeight="1">
      <c r="J722" s="7"/>
    </row>
    <row r="723" ht="15.75" customHeight="1">
      <c r="J723" s="7"/>
    </row>
    <row r="724" ht="15.75" customHeight="1">
      <c r="J724" s="7"/>
    </row>
    <row r="725" ht="15.75" customHeight="1">
      <c r="J725" s="7"/>
    </row>
    <row r="726" ht="15.75" customHeight="1">
      <c r="J726" s="7"/>
    </row>
    <row r="727" ht="15.75" customHeight="1">
      <c r="J727" s="7"/>
    </row>
    <row r="728" ht="15.75" customHeight="1">
      <c r="J728" s="7"/>
    </row>
    <row r="729" ht="15.75" customHeight="1">
      <c r="J729" s="7"/>
    </row>
    <row r="730" ht="15.75" customHeight="1">
      <c r="J730" s="7"/>
    </row>
    <row r="731" ht="15.75" customHeight="1">
      <c r="J731" s="7"/>
    </row>
    <row r="732" ht="15.75" customHeight="1">
      <c r="J732" s="7"/>
    </row>
    <row r="733" ht="15.75" customHeight="1">
      <c r="J733" s="7"/>
    </row>
    <row r="734" ht="15.75" customHeight="1">
      <c r="J734" s="7"/>
    </row>
    <row r="735" ht="15.75" customHeight="1">
      <c r="J735" s="7"/>
    </row>
    <row r="736" ht="15.75" customHeight="1">
      <c r="J736" s="7"/>
    </row>
    <row r="737" ht="15.75" customHeight="1">
      <c r="J737" s="7"/>
    </row>
    <row r="738" ht="15.75" customHeight="1">
      <c r="J738" s="7"/>
    </row>
    <row r="739" ht="15.75" customHeight="1">
      <c r="J739" s="7"/>
    </row>
    <row r="740" ht="15.75" customHeight="1">
      <c r="J740" s="7"/>
    </row>
    <row r="741" ht="15.75" customHeight="1">
      <c r="J741" s="7"/>
    </row>
    <row r="742" ht="15.75" customHeight="1">
      <c r="J742" s="7"/>
    </row>
    <row r="743" ht="15.75" customHeight="1">
      <c r="J743" s="7"/>
    </row>
    <row r="744" ht="15.75" customHeight="1">
      <c r="J744" s="7"/>
    </row>
    <row r="745" ht="15.75" customHeight="1">
      <c r="J745" s="7"/>
    </row>
    <row r="746" ht="15.75" customHeight="1">
      <c r="J746" s="7"/>
    </row>
    <row r="747" ht="15.75" customHeight="1">
      <c r="J747" s="7"/>
    </row>
    <row r="748" ht="15.75" customHeight="1">
      <c r="J748" s="7"/>
    </row>
    <row r="749" ht="15.75" customHeight="1">
      <c r="J749" s="7"/>
    </row>
    <row r="750" ht="15.75" customHeight="1">
      <c r="J750" s="7"/>
    </row>
    <row r="751" ht="15.75" customHeight="1">
      <c r="J751" s="7"/>
    </row>
    <row r="752" ht="15.75" customHeight="1">
      <c r="J752" s="7"/>
    </row>
    <row r="753" ht="15.75" customHeight="1">
      <c r="J753" s="7"/>
    </row>
    <row r="754" ht="15.75" customHeight="1">
      <c r="J754" s="7"/>
    </row>
    <row r="755" ht="15.75" customHeight="1">
      <c r="J755" s="7"/>
    </row>
    <row r="756" ht="15.75" customHeight="1">
      <c r="J756" s="7"/>
    </row>
    <row r="757" ht="15.75" customHeight="1">
      <c r="J757" s="7"/>
    </row>
    <row r="758" ht="15.75" customHeight="1">
      <c r="J758" s="7"/>
    </row>
    <row r="759" ht="15.75" customHeight="1">
      <c r="J759" s="7"/>
    </row>
    <row r="760" ht="15.75" customHeight="1">
      <c r="J760" s="7"/>
    </row>
    <row r="761" ht="15.75" customHeight="1">
      <c r="J761" s="7"/>
    </row>
    <row r="762" ht="15.75" customHeight="1">
      <c r="J762" s="7"/>
    </row>
    <row r="763" ht="15.75" customHeight="1">
      <c r="J763" s="7"/>
    </row>
    <row r="764" ht="15.75" customHeight="1">
      <c r="J764" s="7"/>
    </row>
    <row r="765" ht="15.75" customHeight="1">
      <c r="J765" s="7"/>
    </row>
    <row r="766" ht="15.75" customHeight="1">
      <c r="J766" s="7"/>
    </row>
    <row r="767" ht="15.75" customHeight="1">
      <c r="J767" s="7"/>
    </row>
    <row r="768" ht="15.75" customHeight="1">
      <c r="J768" s="7"/>
    </row>
    <row r="769" ht="15.75" customHeight="1">
      <c r="J769" s="7"/>
    </row>
    <row r="770" ht="15.75" customHeight="1">
      <c r="J770" s="7"/>
    </row>
    <row r="771" ht="15.75" customHeight="1">
      <c r="J771" s="7"/>
    </row>
    <row r="772" ht="15.75" customHeight="1">
      <c r="J772" s="7"/>
    </row>
    <row r="773" ht="15.75" customHeight="1">
      <c r="J773" s="7"/>
    </row>
    <row r="774" ht="15.75" customHeight="1">
      <c r="J774" s="7"/>
    </row>
    <row r="775" ht="15.75" customHeight="1">
      <c r="J775" s="7"/>
    </row>
    <row r="776" ht="15.75" customHeight="1">
      <c r="J776" s="7"/>
    </row>
    <row r="777" ht="15.75" customHeight="1">
      <c r="J777" s="7"/>
    </row>
    <row r="778" ht="15.75" customHeight="1">
      <c r="J778" s="7"/>
    </row>
    <row r="779" ht="15.75" customHeight="1">
      <c r="J779" s="7"/>
    </row>
    <row r="780" ht="15.75" customHeight="1">
      <c r="J780" s="7"/>
    </row>
    <row r="781" ht="15.75" customHeight="1">
      <c r="J781" s="7"/>
    </row>
    <row r="782" ht="15.75" customHeight="1">
      <c r="J782" s="7"/>
    </row>
    <row r="783" ht="15.75" customHeight="1">
      <c r="J783" s="7"/>
    </row>
    <row r="784" ht="15.75" customHeight="1">
      <c r="J784" s="7"/>
    </row>
    <row r="785" ht="15.75" customHeight="1">
      <c r="J785" s="7"/>
    </row>
    <row r="786" ht="15.75" customHeight="1">
      <c r="J786" s="7"/>
    </row>
    <row r="787" ht="15.75" customHeight="1">
      <c r="J787" s="7"/>
    </row>
    <row r="788" ht="15.75" customHeight="1">
      <c r="J788" s="7"/>
    </row>
    <row r="789" ht="15.75" customHeight="1">
      <c r="J789" s="7"/>
    </row>
    <row r="790" ht="15.75" customHeight="1">
      <c r="J790" s="7"/>
    </row>
    <row r="791" ht="15.75" customHeight="1">
      <c r="J791" s="7"/>
    </row>
    <row r="792" ht="15.75" customHeight="1">
      <c r="J792" s="7"/>
    </row>
    <row r="793" ht="15.75" customHeight="1">
      <c r="J793" s="7"/>
    </row>
    <row r="794" ht="15.75" customHeight="1">
      <c r="J794" s="7"/>
    </row>
    <row r="795" ht="15.75" customHeight="1">
      <c r="J795" s="7"/>
    </row>
    <row r="796" ht="15.75" customHeight="1">
      <c r="J796" s="7"/>
    </row>
    <row r="797" ht="15.75" customHeight="1">
      <c r="J797" s="7"/>
    </row>
    <row r="798" ht="15.75" customHeight="1">
      <c r="J798" s="7"/>
    </row>
    <row r="799" ht="15.75" customHeight="1">
      <c r="J799" s="7"/>
    </row>
    <row r="800" ht="15.75" customHeight="1">
      <c r="J800" s="7"/>
    </row>
    <row r="801" ht="15.75" customHeight="1">
      <c r="J801" s="7"/>
    </row>
    <row r="802" ht="15.75" customHeight="1">
      <c r="J802" s="7"/>
    </row>
    <row r="803" ht="15.75" customHeight="1">
      <c r="J803" s="7"/>
    </row>
    <row r="804" ht="15.75" customHeight="1">
      <c r="J804" s="7"/>
    </row>
    <row r="805" ht="15.75" customHeight="1">
      <c r="J805" s="7"/>
    </row>
    <row r="806" ht="15.75" customHeight="1">
      <c r="J806" s="7"/>
    </row>
    <row r="807" ht="15.75" customHeight="1">
      <c r="J807" s="7"/>
    </row>
    <row r="808" ht="15.75" customHeight="1">
      <c r="J808" s="7"/>
    </row>
    <row r="809" ht="15.75" customHeight="1">
      <c r="J809" s="7"/>
    </row>
    <row r="810" ht="15.75" customHeight="1">
      <c r="J810" s="7"/>
    </row>
    <row r="811" ht="15.75" customHeight="1">
      <c r="J811" s="7"/>
    </row>
    <row r="812" ht="15.75" customHeight="1">
      <c r="J812" s="7"/>
    </row>
    <row r="813" ht="15.75" customHeight="1">
      <c r="J813" s="7"/>
    </row>
    <row r="814" ht="15.75" customHeight="1">
      <c r="J814" s="7"/>
    </row>
    <row r="815" ht="15.75" customHeight="1">
      <c r="J815" s="7"/>
    </row>
    <row r="816" ht="15.75" customHeight="1">
      <c r="J816" s="7"/>
    </row>
    <row r="817" ht="15.75" customHeight="1">
      <c r="J817" s="7"/>
    </row>
    <row r="818" ht="15.75" customHeight="1">
      <c r="J818" s="7"/>
    </row>
    <row r="819" ht="15.75" customHeight="1">
      <c r="J819" s="7"/>
    </row>
    <row r="820" ht="15.75" customHeight="1">
      <c r="J820" s="7"/>
    </row>
    <row r="821" ht="15.75" customHeight="1">
      <c r="J821" s="7"/>
    </row>
    <row r="822" ht="15.75" customHeight="1">
      <c r="J822" s="7"/>
    </row>
    <row r="823" ht="15.75" customHeight="1">
      <c r="J823" s="7"/>
    </row>
    <row r="824" ht="15.75" customHeight="1">
      <c r="J824" s="7"/>
    </row>
    <row r="825" ht="15.75" customHeight="1">
      <c r="J825" s="7"/>
    </row>
    <row r="826" ht="15.75" customHeight="1">
      <c r="J826" s="7"/>
    </row>
    <row r="827" ht="15.75" customHeight="1">
      <c r="J827" s="7"/>
    </row>
    <row r="828" ht="15.75" customHeight="1">
      <c r="J828" s="7"/>
    </row>
    <row r="829" ht="15.75" customHeight="1">
      <c r="J829" s="7"/>
    </row>
    <row r="830" ht="15.75" customHeight="1">
      <c r="J830" s="7"/>
    </row>
    <row r="831" ht="15.75" customHeight="1">
      <c r="J831" s="7"/>
    </row>
    <row r="832" ht="15.75" customHeight="1">
      <c r="J832" s="7"/>
    </row>
    <row r="833" ht="15.75" customHeight="1">
      <c r="J833" s="7"/>
    </row>
    <row r="834" ht="15.75" customHeight="1">
      <c r="J834" s="7"/>
    </row>
    <row r="835" ht="15.75" customHeight="1">
      <c r="J835" s="7"/>
    </row>
    <row r="836" ht="15.75" customHeight="1">
      <c r="J836" s="7"/>
    </row>
    <row r="837" ht="15.75" customHeight="1">
      <c r="J837" s="7"/>
    </row>
    <row r="838" ht="15.75" customHeight="1">
      <c r="J838" s="7"/>
    </row>
    <row r="839" ht="15.75" customHeight="1">
      <c r="J839" s="7"/>
    </row>
    <row r="840" ht="15.75" customHeight="1">
      <c r="J840" s="7"/>
    </row>
    <row r="841" ht="15.75" customHeight="1">
      <c r="J841" s="7"/>
    </row>
    <row r="842" ht="15.75" customHeight="1">
      <c r="J842" s="7"/>
    </row>
    <row r="843" ht="15.75" customHeight="1">
      <c r="J843" s="7"/>
    </row>
    <row r="844" ht="15.75" customHeight="1">
      <c r="J844" s="7"/>
    </row>
    <row r="845" ht="15.75" customHeight="1">
      <c r="J845" s="7"/>
    </row>
    <row r="846" ht="15.75" customHeight="1">
      <c r="J846" s="7"/>
    </row>
    <row r="847" ht="15.75" customHeight="1">
      <c r="J847" s="7"/>
    </row>
    <row r="848" ht="15.75" customHeight="1">
      <c r="J848" s="7"/>
    </row>
    <row r="849" ht="15.75" customHeight="1">
      <c r="J849" s="7"/>
    </row>
    <row r="850" ht="15.75" customHeight="1">
      <c r="J850" s="7"/>
    </row>
    <row r="851" ht="15.75" customHeight="1">
      <c r="J851" s="7"/>
    </row>
    <row r="852" ht="15.75" customHeight="1">
      <c r="J852" s="7"/>
    </row>
    <row r="853" ht="15.75" customHeight="1">
      <c r="J853" s="7"/>
    </row>
    <row r="854" ht="15.75" customHeight="1">
      <c r="J854" s="7"/>
    </row>
    <row r="855" ht="15.75" customHeight="1">
      <c r="J855" s="7"/>
    </row>
    <row r="856" ht="15.75" customHeight="1">
      <c r="J856" s="7"/>
    </row>
    <row r="857" ht="15.75" customHeight="1">
      <c r="J857" s="7"/>
    </row>
    <row r="858" ht="15.75" customHeight="1">
      <c r="J858" s="7"/>
    </row>
    <row r="859" ht="15.75" customHeight="1">
      <c r="J859" s="7"/>
    </row>
    <row r="860" ht="15.75" customHeight="1">
      <c r="J860" s="7"/>
    </row>
    <row r="861" ht="15.75" customHeight="1">
      <c r="J861" s="7"/>
    </row>
    <row r="862" ht="15.75" customHeight="1">
      <c r="J862" s="7"/>
    </row>
    <row r="863" ht="15.75" customHeight="1">
      <c r="J863" s="7"/>
    </row>
    <row r="864" ht="15.75" customHeight="1">
      <c r="J864" s="7"/>
    </row>
    <row r="865" ht="15.75" customHeight="1">
      <c r="J865" s="7"/>
    </row>
    <row r="866" ht="15.75" customHeight="1">
      <c r="J866" s="7"/>
    </row>
    <row r="867" ht="15.75" customHeight="1">
      <c r="J867" s="7"/>
    </row>
    <row r="868" ht="15.75" customHeight="1">
      <c r="J868" s="7"/>
    </row>
    <row r="869" ht="15.75" customHeight="1">
      <c r="J869" s="7"/>
    </row>
    <row r="870" ht="15.75" customHeight="1">
      <c r="J870" s="7"/>
    </row>
    <row r="871" ht="15.75" customHeight="1">
      <c r="J871" s="7"/>
    </row>
    <row r="872" ht="15.75" customHeight="1">
      <c r="J872" s="7"/>
    </row>
    <row r="873" ht="15.75" customHeight="1">
      <c r="J873" s="7"/>
    </row>
    <row r="874" ht="15.75" customHeight="1">
      <c r="J874" s="7"/>
    </row>
    <row r="875" ht="15.75" customHeight="1">
      <c r="J875" s="7"/>
    </row>
    <row r="876" ht="15.75" customHeight="1">
      <c r="J876" s="7"/>
    </row>
    <row r="877" ht="15.75" customHeight="1">
      <c r="J877" s="7"/>
    </row>
    <row r="878" ht="15.75" customHeight="1">
      <c r="J878" s="7"/>
    </row>
    <row r="879" ht="15.75" customHeight="1">
      <c r="J879" s="7"/>
    </row>
    <row r="880" ht="15.75" customHeight="1">
      <c r="J880" s="7"/>
    </row>
    <row r="881" ht="15.75" customHeight="1">
      <c r="J881" s="7"/>
    </row>
    <row r="882" ht="15.75" customHeight="1">
      <c r="J882" s="7"/>
    </row>
    <row r="883" ht="15.75" customHeight="1">
      <c r="J883" s="7"/>
    </row>
    <row r="884" ht="15.75" customHeight="1">
      <c r="J884" s="7"/>
    </row>
    <row r="885" ht="15.75" customHeight="1">
      <c r="J885" s="7"/>
    </row>
    <row r="886" ht="15.75" customHeight="1">
      <c r="J886" s="7"/>
    </row>
    <row r="887" ht="15.75" customHeight="1">
      <c r="J887" s="7"/>
    </row>
    <row r="888" ht="15.75" customHeight="1">
      <c r="J888" s="7"/>
    </row>
    <row r="889" ht="15.75" customHeight="1">
      <c r="J889" s="7"/>
    </row>
    <row r="890" ht="15.75" customHeight="1">
      <c r="J890" s="7"/>
    </row>
    <row r="891" ht="15.75" customHeight="1">
      <c r="J891" s="7"/>
    </row>
    <row r="892" ht="15.75" customHeight="1">
      <c r="J892" s="7"/>
    </row>
    <row r="893" ht="15.75" customHeight="1">
      <c r="J893" s="7"/>
    </row>
    <row r="894" ht="15.75" customHeight="1">
      <c r="J894" s="7"/>
    </row>
    <row r="895" ht="15.75" customHeight="1">
      <c r="J895" s="7"/>
    </row>
    <row r="896" ht="15.75" customHeight="1">
      <c r="J896" s="7"/>
    </row>
    <row r="897" ht="15.75" customHeight="1">
      <c r="J897" s="7"/>
    </row>
    <row r="898" ht="15.75" customHeight="1">
      <c r="J898" s="7"/>
    </row>
    <row r="899" ht="15.75" customHeight="1">
      <c r="J899" s="7"/>
    </row>
    <row r="900" ht="15.75" customHeight="1">
      <c r="J900" s="7"/>
    </row>
    <row r="901" ht="15.75" customHeight="1">
      <c r="J901" s="7"/>
    </row>
    <row r="902" ht="15.75" customHeight="1">
      <c r="J902" s="7"/>
    </row>
    <row r="903" ht="15.75" customHeight="1">
      <c r="J903" s="7"/>
    </row>
    <row r="904" ht="15.75" customHeight="1">
      <c r="J904" s="7"/>
    </row>
    <row r="905" ht="15.75" customHeight="1">
      <c r="J905" s="7"/>
    </row>
    <row r="906" ht="15.75" customHeight="1">
      <c r="J906" s="7"/>
    </row>
    <row r="907" ht="15.75" customHeight="1">
      <c r="J907" s="7"/>
    </row>
    <row r="908" ht="15.75" customHeight="1">
      <c r="J908" s="7"/>
    </row>
    <row r="909" ht="15.75" customHeight="1">
      <c r="J909" s="7"/>
    </row>
    <row r="910" ht="15.75" customHeight="1">
      <c r="J910" s="7"/>
    </row>
    <row r="911" ht="15.75" customHeight="1">
      <c r="J911" s="7"/>
    </row>
    <row r="912" ht="15.75" customHeight="1">
      <c r="J912" s="7"/>
    </row>
    <row r="913" ht="15.75" customHeight="1">
      <c r="J913" s="7"/>
    </row>
    <row r="914" ht="15.75" customHeight="1">
      <c r="J914" s="7"/>
    </row>
    <row r="915" ht="15.75" customHeight="1">
      <c r="J915" s="7"/>
    </row>
    <row r="916" ht="15.75" customHeight="1">
      <c r="J916" s="7"/>
    </row>
    <row r="917" ht="15.75" customHeight="1">
      <c r="J917" s="7"/>
    </row>
    <row r="918" ht="15.75" customHeight="1">
      <c r="J918" s="7"/>
    </row>
    <row r="919" ht="15.75" customHeight="1">
      <c r="J919" s="7"/>
    </row>
    <row r="920" ht="15.75" customHeight="1">
      <c r="J920" s="7"/>
    </row>
    <row r="921" ht="15.75" customHeight="1">
      <c r="J921" s="7"/>
    </row>
    <row r="922" ht="15.75" customHeight="1">
      <c r="J922" s="7"/>
    </row>
    <row r="923" ht="15.75" customHeight="1">
      <c r="J923" s="7"/>
    </row>
    <row r="924" ht="15.75" customHeight="1">
      <c r="J924" s="7"/>
    </row>
    <row r="925" ht="15.75" customHeight="1">
      <c r="J925" s="7"/>
    </row>
    <row r="926" ht="15.75" customHeight="1">
      <c r="J926" s="7"/>
    </row>
    <row r="927" ht="15.75" customHeight="1">
      <c r="J927" s="7"/>
    </row>
    <row r="928" ht="15.75" customHeight="1">
      <c r="J928" s="7"/>
    </row>
    <row r="929" ht="15.75" customHeight="1">
      <c r="J929" s="7"/>
    </row>
    <row r="930" ht="15.75" customHeight="1">
      <c r="J930" s="7"/>
    </row>
    <row r="931" ht="15.75" customHeight="1">
      <c r="J931" s="7"/>
    </row>
    <row r="932" ht="15.75" customHeight="1">
      <c r="J932" s="7"/>
    </row>
    <row r="933" ht="15.75" customHeight="1">
      <c r="J933" s="7"/>
    </row>
    <row r="934" ht="15.75" customHeight="1">
      <c r="J934" s="7"/>
    </row>
    <row r="935" ht="15.75" customHeight="1">
      <c r="J935" s="7"/>
    </row>
    <row r="936" ht="15.75" customHeight="1">
      <c r="J936" s="7"/>
    </row>
    <row r="937" ht="15.75" customHeight="1">
      <c r="J937" s="7"/>
    </row>
    <row r="938" ht="15.75" customHeight="1">
      <c r="J938" s="7"/>
    </row>
    <row r="939" ht="15.75" customHeight="1">
      <c r="J939" s="7"/>
    </row>
    <row r="940" ht="15.75" customHeight="1">
      <c r="J940" s="7"/>
    </row>
    <row r="941" ht="15.75" customHeight="1">
      <c r="J941" s="7"/>
    </row>
    <row r="942" ht="15.75" customHeight="1">
      <c r="J942" s="7"/>
    </row>
    <row r="943" ht="15.75" customHeight="1">
      <c r="J943" s="7"/>
    </row>
    <row r="944" ht="15.75" customHeight="1">
      <c r="J944" s="7"/>
    </row>
    <row r="945" ht="15.75" customHeight="1">
      <c r="J945" s="7"/>
    </row>
    <row r="946" ht="15.75" customHeight="1">
      <c r="J946" s="7"/>
    </row>
    <row r="947" ht="15.75" customHeight="1">
      <c r="J947" s="7"/>
    </row>
    <row r="948" ht="15.75" customHeight="1">
      <c r="J948" s="7"/>
    </row>
    <row r="949" ht="15.75" customHeight="1">
      <c r="J949" s="7"/>
    </row>
    <row r="950" ht="15.75" customHeight="1">
      <c r="J950" s="7"/>
    </row>
    <row r="951" ht="15.75" customHeight="1">
      <c r="J951" s="7"/>
    </row>
    <row r="952" ht="15.75" customHeight="1">
      <c r="J952" s="7"/>
    </row>
    <row r="953" ht="15.75" customHeight="1">
      <c r="J953" s="7"/>
    </row>
    <row r="954" ht="15.75" customHeight="1">
      <c r="J954" s="7"/>
    </row>
    <row r="955" ht="15.75" customHeight="1">
      <c r="J955" s="7"/>
    </row>
    <row r="956" ht="15.75" customHeight="1">
      <c r="J956" s="7"/>
    </row>
    <row r="957" ht="15.75" customHeight="1">
      <c r="J957" s="7"/>
    </row>
    <row r="958" ht="15.75" customHeight="1">
      <c r="J958" s="7"/>
    </row>
    <row r="959" ht="15.75" customHeight="1">
      <c r="J959" s="7"/>
    </row>
    <row r="960" ht="15.75" customHeight="1">
      <c r="J960" s="7"/>
    </row>
    <row r="961" ht="15.75" customHeight="1">
      <c r="J961" s="7"/>
    </row>
    <row r="962" ht="15.75" customHeight="1">
      <c r="J962" s="7"/>
    </row>
    <row r="963" ht="15.75" customHeight="1">
      <c r="J963" s="7"/>
    </row>
    <row r="964" ht="15.75" customHeight="1">
      <c r="J964" s="7"/>
    </row>
    <row r="965" ht="15.75" customHeight="1">
      <c r="J965" s="7"/>
    </row>
    <row r="966" ht="15.75" customHeight="1">
      <c r="J966" s="7"/>
    </row>
    <row r="967" ht="15.75" customHeight="1">
      <c r="J967" s="7"/>
    </row>
    <row r="968" ht="15.75" customHeight="1">
      <c r="J968" s="7"/>
    </row>
    <row r="969" ht="15.75" customHeight="1">
      <c r="J969" s="7"/>
    </row>
    <row r="970" ht="15.75" customHeight="1">
      <c r="J970" s="7"/>
    </row>
    <row r="971" ht="15.75" customHeight="1">
      <c r="J971" s="7"/>
    </row>
    <row r="972" ht="15.75" customHeight="1">
      <c r="J972" s="7"/>
    </row>
    <row r="973" ht="15.75" customHeight="1">
      <c r="J973" s="7"/>
    </row>
    <row r="974" ht="15.75" customHeight="1">
      <c r="J974" s="7"/>
    </row>
    <row r="975" ht="15.75" customHeight="1">
      <c r="J975" s="7"/>
    </row>
    <row r="976" ht="15.75" customHeight="1">
      <c r="J976" s="7"/>
    </row>
    <row r="977" ht="15.75" customHeight="1">
      <c r="J977" s="7"/>
    </row>
    <row r="978" ht="15.75" customHeight="1">
      <c r="J978" s="7"/>
    </row>
    <row r="979" ht="15.75" customHeight="1">
      <c r="J979" s="7"/>
    </row>
    <row r="980" ht="15.75" customHeight="1">
      <c r="J980" s="7"/>
    </row>
    <row r="981" ht="15.75" customHeight="1">
      <c r="J981" s="7"/>
    </row>
    <row r="982" ht="15.75" customHeight="1">
      <c r="J982" s="7"/>
    </row>
    <row r="983" ht="15.75" customHeight="1">
      <c r="J983" s="7"/>
    </row>
    <row r="984" ht="15.75" customHeight="1">
      <c r="J984" s="7"/>
    </row>
    <row r="985" ht="15.75" customHeight="1">
      <c r="J985" s="7"/>
    </row>
    <row r="986" ht="15.75" customHeight="1">
      <c r="J986" s="7"/>
    </row>
    <row r="987" ht="15.75" customHeight="1">
      <c r="J987" s="7"/>
    </row>
    <row r="988" ht="15.75" customHeight="1">
      <c r="J988" s="7"/>
    </row>
    <row r="989" ht="15.75" customHeight="1">
      <c r="J989" s="7"/>
    </row>
    <row r="990" ht="15.75" customHeight="1">
      <c r="J990" s="7"/>
    </row>
    <row r="991" ht="15.75" customHeight="1">
      <c r="J991" s="7"/>
    </row>
    <row r="992" ht="15.75" customHeight="1">
      <c r="J992" s="7"/>
    </row>
    <row r="993" ht="15.75" customHeight="1">
      <c r="J993" s="7"/>
    </row>
    <row r="994" ht="15.75" customHeight="1">
      <c r="J994" s="7"/>
    </row>
    <row r="995" ht="15.75" customHeight="1">
      <c r="J995" s="7"/>
    </row>
    <row r="996" ht="15.75" customHeight="1">
      <c r="J996" s="7"/>
    </row>
    <row r="997" ht="15.75" customHeight="1">
      <c r="J997" s="7"/>
    </row>
    <row r="998" ht="15.75" customHeight="1">
      <c r="J998" s="7"/>
    </row>
    <row r="999" ht="15.75" customHeight="1">
      <c r="J999" s="7"/>
    </row>
    <row r="1000" ht="15.75" customHeight="1">
      <c r="J1000" s="7"/>
    </row>
  </sheetData>
  <mergeCells count="5">
    <mergeCell ref="A2:A22"/>
    <mergeCell ref="A23:A38"/>
    <mergeCell ref="A39:A47"/>
    <mergeCell ref="A48:A59"/>
    <mergeCell ref="A60:A73"/>
  </mergeCells>
  <hyperlinks>
    <hyperlink r:id="rId1" ref="G2"/>
    <hyperlink r:id="rId2" ref="G3"/>
    <hyperlink r:id="rId3" ref="G4"/>
    <hyperlink r:id="rId4" ref="G5"/>
    <hyperlink r:id="rId5" ref="G6"/>
    <hyperlink r:id="rId6" ref="H6"/>
    <hyperlink r:id="rId7" ref="G7"/>
    <hyperlink r:id="rId8" ref="H7"/>
    <hyperlink r:id="rId9" ref="G8"/>
    <hyperlink r:id="rId10" ref="H8"/>
    <hyperlink r:id="rId11" ref="G9"/>
    <hyperlink r:id="rId12" ref="H9"/>
    <hyperlink r:id="rId13" ref="G10"/>
    <hyperlink r:id="rId14" ref="H10"/>
    <hyperlink r:id="rId15" ref="G11"/>
    <hyperlink r:id="rId16" ref="H11"/>
    <hyperlink r:id="rId17" ref="G12"/>
    <hyperlink r:id="rId18" location="/app-h/technologies?techid=1604" ref="H12"/>
    <hyperlink r:id="rId19" ref="G13"/>
    <hyperlink r:id="rId20" ref="G14"/>
    <hyperlink r:id="rId21" ref="G15"/>
    <hyperlink r:id="rId22" ref="G16"/>
    <hyperlink r:id="rId23" ref="G17"/>
    <hyperlink r:id="rId24" ref="G18"/>
    <hyperlink r:id="rId25" ref="G19"/>
    <hyperlink r:id="rId26" ref="G20"/>
    <hyperlink r:id="rId27" ref="G21"/>
    <hyperlink r:id="rId28" ref="G22"/>
    <hyperlink r:id="rId29" ref="G23"/>
    <hyperlink r:id="rId30" ref="G24"/>
    <hyperlink r:id="rId31" location="508504786" ref="G25"/>
    <hyperlink r:id="rId32" ref="G26"/>
    <hyperlink r:id="rId33" ref="G27"/>
    <hyperlink r:id="rId34" ref="G28"/>
    <hyperlink r:id="rId35" ref="H28"/>
    <hyperlink r:id="rId36" ref="G29"/>
    <hyperlink r:id="rId37" ref="G30"/>
    <hyperlink r:id="rId38" ref="G31"/>
    <hyperlink r:id="rId39" ref="G32"/>
    <hyperlink r:id="rId40" ref="G33"/>
    <hyperlink r:id="rId41" ref="G34"/>
    <hyperlink r:id="rId42" ref="G35"/>
    <hyperlink r:id="rId43" ref="G36"/>
    <hyperlink r:id="rId44" ref="G37"/>
    <hyperlink r:id="rId45" ref="G38"/>
    <hyperlink r:id="rId46" ref="G39"/>
    <hyperlink r:id="rId47" ref="G40"/>
    <hyperlink r:id="rId48" ref="G41"/>
    <hyperlink r:id="rId49" location="/app-h/technologies?techid=1391" ref="H41"/>
    <hyperlink r:id="rId50" ref="G42"/>
    <hyperlink r:id="rId51" ref="G43"/>
    <hyperlink r:id="rId52" ref="G44"/>
    <hyperlink r:id="rId53" ref="G45"/>
    <hyperlink r:id="rId54" ref="G46"/>
    <hyperlink r:id="rId55" ref="G47"/>
    <hyperlink r:id="rId56" ref="G48"/>
    <hyperlink r:id="rId57" ref="G49"/>
    <hyperlink r:id="rId58" ref="G50"/>
    <hyperlink r:id="rId59" ref="G51"/>
    <hyperlink r:id="rId60" ref="H51"/>
    <hyperlink r:id="rId61" ref="G52"/>
    <hyperlink r:id="rId62" ref="G53"/>
    <hyperlink r:id="rId63" ref="G54"/>
    <hyperlink r:id="rId64" ref="G55"/>
    <hyperlink r:id="rId65" ref="G56"/>
    <hyperlink r:id="rId66" ref="G57"/>
    <hyperlink r:id="rId67" ref="G58"/>
    <hyperlink r:id="rId68" ref="G59"/>
    <hyperlink r:id="rId69" ref="G60"/>
    <hyperlink r:id="rId70" ref="G61"/>
    <hyperlink r:id="rId71" ref="G62"/>
    <hyperlink r:id="rId72" ref="G63"/>
    <hyperlink r:id="rId73" ref="G64"/>
    <hyperlink r:id="rId74" ref="G65"/>
    <hyperlink r:id="rId75" ref="G66"/>
    <hyperlink r:id="rId76" ref="G67"/>
    <hyperlink r:id="rId77" ref="G68"/>
    <hyperlink r:id="rId78" ref="G69"/>
    <hyperlink r:id="rId79" ref="G70"/>
    <hyperlink r:id="rId80" ref="G71"/>
    <hyperlink r:id="rId81" ref="G72"/>
    <hyperlink r:id="rId82" ref="G73"/>
  </hyperlinks>
  <printOptions/>
  <pageMargins bottom="0.75" footer="0.0" header="0.0" left="0.7" right="0.7" top="0.75"/>
  <pageSetup orientation="landscape"/>
  <drawing r:id="rId8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cols>
    <col customWidth="1" min="1" max="1" width="26.88"/>
    <col customWidth="1" min="2" max="2" width="7.63"/>
    <col customWidth="1" min="4" max="4" width="14.75"/>
    <col customWidth="1" min="5" max="5" width="16.13"/>
    <col customWidth="1" min="7" max="7" width="21.25"/>
    <col customWidth="1" min="8" max="8" width="25.5"/>
    <col customWidth="1" min="9" max="9" width="24.75"/>
    <col customWidth="1" min="10" max="10" width="25.0"/>
    <col customWidth="1" min="11" max="11" width="25.88"/>
    <col customWidth="1" min="12" max="12" width="25.38"/>
    <col customWidth="1" min="13" max="15" width="28.13"/>
    <col customWidth="1" min="16" max="16" width="39.63"/>
    <col customWidth="1" min="17" max="17" width="26.0"/>
    <col customWidth="1" min="18" max="18" width="25.0"/>
    <col customWidth="1" min="19" max="19" width="19.25"/>
    <col customWidth="1" min="20" max="20" width="20.5"/>
    <col customWidth="1" min="21" max="21" width="36.13"/>
    <col customWidth="1" min="22" max="22" width="33.38"/>
    <col customWidth="1" min="23" max="23" width="37.88"/>
    <col customWidth="1" min="24" max="24" width="39.38"/>
    <col customWidth="1" min="25" max="25" width="27.25"/>
    <col customWidth="1" min="26" max="27" width="29.0"/>
    <col customWidth="1" min="28" max="28" width="37.13"/>
    <col customWidth="1" min="29" max="29" width="42.38"/>
    <col customWidth="1" min="30" max="30" width="35.63"/>
    <col customWidth="1" min="31" max="31" width="39.13"/>
    <col customWidth="1" min="32" max="32" width="26.0"/>
    <col customWidth="1" min="33" max="33" width="22.5"/>
    <col customWidth="1" min="34" max="34" width="22.25"/>
    <col customWidth="1" min="35" max="35" width="36.38"/>
    <col customWidth="1" min="36" max="36" width="37.88"/>
    <col customWidth="1" min="37" max="37" width="39.25"/>
    <col customWidth="1" min="38" max="38" width="34.75"/>
    <col customWidth="1" min="39" max="39" width="22.5"/>
    <col customWidth="1" min="40" max="40" width="27.88"/>
    <col customWidth="1" min="41" max="42" width="25.75"/>
    <col customWidth="1" min="43" max="43" width="40.75"/>
    <col customWidth="1" min="44" max="44" width="38.25"/>
    <col customWidth="1" min="45" max="45" width="37.75"/>
    <col customWidth="1" min="46" max="46" width="25.88"/>
    <col customWidth="1" min="47" max="47" width="24.88"/>
    <col customWidth="1" min="48" max="48" width="25.13"/>
    <col customWidth="1" min="49" max="49" width="22.63"/>
    <col customWidth="1" min="50" max="50" width="23.75"/>
    <col customWidth="1" min="51" max="51" width="38.75"/>
    <col customWidth="1" min="52" max="52" width="40.5"/>
    <col customWidth="1" min="53" max="53" width="38.5"/>
    <col customWidth="1" min="54" max="54" width="36.25"/>
    <col customWidth="1" min="55" max="55" width="21.88"/>
  </cols>
  <sheetData>
    <row r="1" ht="28.5" customHeight="1">
      <c r="A1" s="27" t="s">
        <v>0</v>
      </c>
      <c r="B1" s="27" t="s">
        <v>405</v>
      </c>
      <c r="C1" s="28" t="s">
        <v>406</v>
      </c>
      <c r="D1" s="29" t="s">
        <v>3</v>
      </c>
      <c r="E1" s="29" t="s">
        <v>4</v>
      </c>
      <c r="F1" s="29" t="s">
        <v>8</v>
      </c>
      <c r="G1" s="30" t="s">
        <v>407</v>
      </c>
      <c r="H1" s="31"/>
      <c r="I1" s="31"/>
      <c r="J1" s="31"/>
      <c r="K1" s="31"/>
      <c r="L1" s="31"/>
      <c r="M1" s="31"/>
      <c r="N1" s="31"/>
      <c r="O1" s="31"/>
      <c r="P1" s="31"/>
      <c r="Q1" s="32"/>
      <c r="R1" s="33" t="s">
        <v>408</v>
      </c>
      <c r="S1" s="34"/>
      <c r="T1" s="34"/>
      <c r="U1" s="34"/>
      <c r="V1" s="34"/>
      <c r="W1" s="35"/>
      <c r="X1" s="36" t="s">
        <v>409</v>
      </c>
      <c r="Y1" s="33" t="s">
        <v>410</v>
      </c>
      <c r="Z1" s="34"/>
      <c r="AA1" s="34"/>
      <c r="AB1" s="34"/>
      <c r="AC1" s="34"/>
      <c r="AD1" s="34"/>
      <c r="AE1" s="35"/>
      <c r="AF1" s="37" t="s">
        <v>411</v>
      </c>
      <c r="AG1" s="38"/>
      <c r="AH1" s="38"/>
      <c r="AI1" s="38"/>
      <c r="AJ1" s="38"/>
      <c r="AK1" s="38"/>
      <c r="AL1" s="39"/>
      <c r="AM1" s="40" t="s">
        <v>412</v>
      </c>
      <c r="AN1" s="38"/>
      <c r="AO1" s="38"/>
      <c r="AP1" s="38"/>
      <c r="AQ1" s="38"/>
      <c r="AR1" s="38"/>
      <c r="AS1" s="39"/>
      <c r="AT1" s="37" t="s">
        <v>413</v>
      </c>
      <c r="AU1" s="38"/>
      <c r="AV1" s="39"/>
      <c r="AW1" s="37" t="s">
        <v>414</v>
      </c>
      <c r="AX1" s="38"/>
      <c r="AY1" s="39"/>
      <c r="AZ1" s="41" t="s">
        <v>415</v>
      </c>
      <c r="BA1" s="42"/>
      <c r="BB1" s="42"/>
      <c r="BC1" s="43"/>
      <c r="BD1" s="44"/>
    </row>
    <row r="2">
      <c r="A2" s="26"/>
      <c r="B2" s="26"/>
      <c r="C2" s="26"/>
      <c r="D2" s="45"/>
      <c r="E2" s="45"/>
      <c r="F2" s="45"/>
      <c r="G2" s="46" t="s">
        <v>416</v>
      </c>
      <c r="H2" s="47" t="s">
        <v>417</v>
      </c>
      <c r="I2" s="48" t="s">
        <v>418</v>
      </c>
      <c r="J2" s="48" t="s">
        <v>419</v>
      </c>
      <c r="K2" s="49" t="s">
        <v>420</v>
      </c>
      <c r="L2" s="45" t="s">
        <v>421</v>
      </c>
      <c r="M2" s="50" t="s">
        <v>422</v>
      </c>
      <c r="N2" s="51" t="s">
        <v>423</v>
      </c>
      <c r="O2" s="52" t="s">
        <v>424</v>
      </c>
      <c r="P2" s="53" t="s">
        <v>425</v>
      </c>
      <c r="Q2" s="54" t="s">
        <v>426</v>
      </c>
      <c r="R2" s="55" t="s">
        <v>427</v>
      </c>
      <c r="S2" s="52" t="s">
        <v>428</v>
      </c>
      <c r="T2" s="52" t="s">
        <v>429</v>
      </c>
      <c r="U2" s="56" t="s">
        <v>430</v>
      </c>
      <c r="V2" s="45" t="s">
        <v>431</v>
      </c>
      <c r="W2" s="57" t="s">
        <v>432</v>
      </c>
      <c r="X2" s="58" t="s">
        <v>433</v>
      </c>
      <c r="Y2" s="55" t="s">
        <v>434</v>
      </c>
      <c r="Z2" s="59" t="s">
        <v>435</v>
      </c>
      <c r="AA2" s="52" t="s">
        <v>436</v>
      </c>
      <c r="AB2" s="56" t="s">
        <v>437</v>
      </c>
      <c r="AC2" s="49" t="s">
        <v>438</v>
      </c>
      <c r="AD2" s="49" t="s">
        <v>439</v>
      </c>
      <c r="AE2" s="60" t="s">
        <v>440</v>
      </c>
      <c r="AF2" s="55" t="s">
        <v>441</v>
      </c>
      <c r="AG2" s="59" t="s">
        <v>442</v>
      </c>
      <c r="AH2" s="52" t="s">
        <v>443</v>
      </c>
      <c r="AI2" s="56" t="s">
        <v>444</v>
      </c>
      <c r="AJ2" s="45" t="s">
        <v>445</v>
      </c>
      <c r="AK2" s="45" t="s">
        <v>446</v>
      </c>
      <c r="AL2" s="61" t="s">
        <v>447</v>
      </c>
      <c r="AM2" s="55" t="s">
        <v>448</v>
      </c>
      <c r="AN2" s="52" t="s">
        <v>449</v>
      </c>
      <c r="AO2" s="52" t="s">
        <v>450</v>
      </c>
      <c r="AP2" s="56" t="s">
        <v>451</v>
      </c>
      <c r="AQ2" s="45" t="s">
        <v>452</v>
      </c>
      <c r="AR2" s="45" t="s">
        <v>453</v>
      </c>
      <c r="AS2" s="61" t="s">
        <v>454</v>
      </c>
      <c r="AT2" s="55" t="s">
        <v>455</v>
      </c>
      <c r="AU2" s="52" t="s">
        <v>456</v>
      </c>
      <c r="AV2" s="61" t="s">
        <v>457</v>
      </c>
      <c r="AW2" s="55" t="s">
        <v>458</v>
      </c>
      <c r="AX2" s="52" t="s">
        <v>459</v>
      </c>
      <c r="AY2" s="61" t="s">
        <v>460</v>
      </c>
      <c r="AZ2" s="62" t="s">
        <v>461</v>
      </c>
      <c r="BA2" s="63" t="s">
        <v>462</v>
      </c>
      <c r="BB2" s="64" t="s">
        <v>463</v>
      </c>
      <c r="BC2" s="65" t="s">
        <v>464</v>
      </c>
      <c r="BD2" s="45"/>
    </row>
    <row r="3" ht="15.75" customHeight="1">
      <c r="A3" s="66" t="s">
        <v>13</v>
      </c>
      <c r="B3" s="67" t="s">
        <v>14</v>
      </c>
      <c r="C3" s="68" t="s">
        <v>15</v>
      </c>
      <c r="D3" s="9" t="s">
        <v>16</v>
      </c>
      <c r="E3" s="9" t="s">
        <v>465</v>
      </c>
      <c r="F3" s="9" t="s">
        <v>389</v>
      </c>
      <c r="G3" s="69" t="s">
        <v>466</v>
      </c>
      <c r="H3" s="9">
        <v>5.0</v>
      </c>
      <c r="I3" s="9"/>
      <c r="J3" s="9"/>
      <c r="K3" s="9"/>
      <c r="L3" s="9">
        <v>700.0</v>
      </c>
      <c r="M3" s="9">
        <f t="shared" ref="M3:M68" si="1">if(P3&lt;500,0,P3/H3)</f>
        <v>0</v>
      </c>
      <c r="N3" s="9">
        <f t="shared" ref="N3:N68" si="2">P3*4%</f>
        <v>0</v>
      </c>
      <c r="O3" s="9">
        <v>1.0</v>
      </c>
      <c r="P3" s="70">
        <f t="shared" ref="P3:P68" si="3">(I3*O3)+(J3*Q3)</f>
        <v>0</v>
      </c>
      <c r="Q3" s="69">
        <v>10.0</v>
      </c>
      <c r="R3" s="71">
        <v>11.0</v>
      </c>
      <c r="S3" s="9">
        <v>3.0</v>
      </c>
      <c r="T3" s="9">
        <v>600.0</v>
      </c>
      <c r="U3" s="9">
        <f t="shared" ref="U3:U68" si="4">S3*T3*Q3</f>
        <v>18000</v>
      </c>
      <c r="V3" s="9">
        <f t="shared" ref="V3:V68" si="5">S3*(1+R3%)</f>
        <v>3.33</v>
      </c>
      <c r="W3" s="11">
        <f t="shared" ref="W3:W68" si="6">V3*T3</f>
        <v>1998</v>
      </c>
      <c r="X3" s="72">
        <f t="shared" ref="X3:X68" si="7">(W3*Q3)-U3</f>
        <v>1980</v>
      </c>
      <c r="Y3" s="71">
        <v>16.4</v>
      </c>
      <c r="Z3" s="9">
        <v>600.0</v>
      </c>
      <c r="AA3" s="9">
        <v>1.5</v>
      </c>
      <c r="AB3" s="9">
        <f t="shared" ref="AB3:AB68" si="8">AA3*Z3</f>
        <v>900</v>
      </c>
      <c r="AC3" s="9">
        <f t="shared" ref="AC3:AC10" si="9">Z3*(1-Y3%)</f>
        <v>501.6</v>
      </c>
      <c r="AD3" s="9">
        <f t="shared" ref="AD3:AD68" si="10">AB3-(AC3*AA3)</f>
        <v>147.6</v>
      </c>
      <c r="AE3" s="73">
        <f t="shared" ref="AE3:AE68" si="11">AD3*Q3</f>
        <v>1476</v>
      </c>
      <c r="AF3" s="71">
        <v>17.4</v>
      </c>
      <c r="AG3" s="9">
        <v>800.0</v>
      </c>
      <c r="AH3" s="74">
        <v>0.8</v>
      </c>
      <c r="AI3" s="9">
        <f t="shared" ref="AI3:AI68" si="12">AH3*AG3</f>
        <v>640</v>
      </c>
      <c r="AJ3" s="9">
        <f t="shared" ref="AJ3:AJ68" si="13">AG3*(1-AF3%)</f>
        <v>660.8</v>
      </c>
      <c r="AK3" s="9">
        <f t="shared" ref="AK3:AK68" si="14">AI3-(AJ3*AH3)</f>
        <v>111.36</v>
      </c>
      <c r="AL3" s="11">
        <f t="shared" ref="AL3:AL68" si="15">AK3*Q3</f>
        <v>1113.6</v>
      </c>
      <c r="AM3" s="75">
        <v>0.0</v>
      </c>
      <c r="AN3" s="74">
        <v>2.0</v>
      </c>
      <c r="AO3" s="74">
        <v>24.0</v>
      </c>
      <c r="AP3" s="9">
        <f t="shared" ref="AP3:AP68" si="16">AO3*AN3</f>
        <v>48</v>
      </c>
      <c r="AQ3" s="9">
        <f t="shared" ref="AQ3:AQ68" si="17">AN3*(1-AM3%)</f>
        <v>2</v>
      </c>
      <c r="AR3" s="9">
        <f t="shared" ref="AR3:AR68" si="18">AP3-(AQ3*AO3)</f>
        <v>0</v>
      </c>
      <c r="AS3" s="11">
        <f t="shared" ref="AS3:AS68" si="19">AR3*Q3</f>
        <v>0</v>
      </c>
      <c r="AT3" s="76">
        <v>0.0</v>
      </c>
      <c r="AU3" s="74">
        <v>15000.0</v>
      </c>
      <c r="AV3" s="11">
        <f t="shared" ref="AV3:AV68" si="20">AU3-(AU3*(1-AT3%))</f>
        <v>0</v>
      </c>
      <c r="AW3" s="76">
        <v>0.0</v>
      </c>
      <c r="AX3" s="74">
        <v>5000.0</v>
      </c>
      <c r="AY3" s="11">
        <f t="shared" ref="AY3:AY68" si="21">AX3-(AX3*(1-AW3%))</f>
        <v>0</v>
      </c>
      <c r="AZ3" s="69">
        <f t="shared" ref="AZ3:AZ68" si="22">(AY3+AV3+AS3+AL3+AE3+X3)-M3-N3-(L3*O3)</f>
        <v>3869.6</v>
      </c>
      <c r="BA3" s="77" t="str">
        <f t="shared" ref="BA3:BA68" si="23">IF(P3&gt;0,AZ3/P3,"The DAT is free")</f>
        <v>The DAT is free</v>
      </c>
      <c r="BB3" s="69">
        <f t="shared" ref="BB3:BB68" si="24">if(AZ3&gt;0,P3/AZ3,"Payback period not applicable: the investment does not recover its cost under current conditions.")</f>
        <v>0</v>
      </c>
      <c r="BC3" s="78" t="str">
        <f t="shared" ref="BC3:BC68" si="25">IF(BB3&lt;6, "YES", "NO")</f>
        <v>YES</v>
      </c>
      <c r="BD3" s="78"/>
    </row>
    <row r="4" ht="15.75" customHeight="1">
      <c r="A4" s="12"/>
      <c r="B4" s="26" t="s">
        <v>14</v>
      </c>
      <c r="C4" s="25" t="s">
        <v>15</v>
      </c>
      <c r="D4" s="7" t="s">
        <v>467</v>
      </c>
      <c r="E4" s="7" t="s">
        <v>468</v>
      </c>
      <c r="F4" s="7" t="s">
        <v>389</v>
      </c>
      <c r="G4" s="79" t="s">
        <v>469</v>
      </c>
      <c r="H4" s="7">
        <v>5.0</v>
      </c>
      <c r="I4" s="7"/>
      <c r="J4" s="7"/>
      <c r="L4" s="7">
        <v>25.0</v>
      </c>
      <c r="M4" s="9">
        <f t="shared" si="1"/>
        <v>0</v>
      </c>
      <c r="N4" s="9">
        <f t="shared" si="2"/>
        <v>0</v>
      </c>
      <c r="O4" s="7">
        <v>1.0</v>
      </c>
      <c r="P4" s="11">
        <f t="shared" si="3"/>
        <v>0</v>
      </c>
      <c r="Q4" s="79">
        <v>10.0</v>
      </c>
      <c r="R4" s="80">
        <v>11.0</v>
      </c>
      <c r="S4" s="7">
        <v>3.0</v>
      </c>
      <c r="T4" s="7">
        <v>600.0</v>
      </c>
      <c r="U4" s="7">
        <f t="shared" si="4"/>
        <v>18000</v>
      </c>
      <c r="V4" s="7">
        <f t="shared" si="5"/>
        <v>3.33</v>
      </c>
      <c r="W4" s="14">
        <f t="shared" si="6"/>
        <v>1998</v>
      </c>
      <c r="X4" s="81">
        <f t="shared" si="7"/>
        <v>1980</v>
      </c>
      <c r="Y4" s="82">
        <v>0.0</v>
      </c>
      <c r="Z4" s="7">
        <v>600.0</v>
      </c>
      <c r="AA4" s="7">
        <v>1.5</v>
      </c>
      <c r="AB4" s="7">
        <f t="shared" si="8"/>
        <v>900</v>
      </c>
      <c r="AC4" s="7">
        <f t="shared" si="9"/>
        <v>600</v>
      </c>
      <c r="AD4" s="7">
        <f t="shared" si="10"/>
        <v>0</v>
      </c>
      <c r="AE4" s="83">
        <f t="shared" si="11"/>
        <v>0</v>
      </c>
      <c r="AF4" s="80">
        <v>17.4</v>
      </c>
      <c r="AG4" s="7">
        <v>800.0</v>
      </c>
      <c r="AH4" s="78">
        <v>0.8</v>
      </c>
      <c r="AI4" s="7">
        <f t="shared" si="12"/>
        <v>640</v>
      </c>
      <c r="AJ4" s="7">
        <f t="shared" si="13"/>
        <v>660.8</v>
      </c>
      <c r="AK4" s="7">
        <f t="shared" si="14"/>
        <v>111.36</v>
      </c>
      <c r="AL4" s="14">
        <f t="shared" si="15"/>
        <v>1113.6</v>
      </c>
      <c r="AM4" s="84">
        <v>0.0</v>
      </c>
      <c r="AN4" s="78">
        <v>2.0</v>
      </c>
      <c r="AO4" s="78">
        <v>24.0</v>
      </c>
      <c r="AP4" s="7">
        <f t="shared" si="16"/>
        <v>48</v>
      </c>
      <c r="AQ4" s="7">
        <f t="shared" si="17"/>
        <v>2</v>
      </c>
      <c r="AR4" s="7">
        <f t="shared" si="18"/>
        <v>0</v>
      </c>
      <c r="AS4" s="14">
        <f t="shared" si="19"/>
        <v>0</v>
      </c>
      <c r="AT4" s="82">
        <v>0.0</v>
      </c>
      <c r="AU4" s="78">
        <v>15000.0</v>
      </c>
      <c r="AV4" s="14">
        <f t="shared" si="20"/>
        <v>0</v>
      </c>
      <c r="AW4" s="82">
        <v>0.0</v>
      </c>
      <c r="AX4" s="78">
        <v>5000.0</v>
      </c>
      <c r="AY4" s="14">
        <f t="shared" si="21"/>
        <v>0</v>
      </c>
      <c r="AZ4" s="69">
        <f t="shared" si="22"/>
        <v>3068.6</v>
      </c>
      <c r="BA4" s="77" t="str">
        <f t="shared" si="23"/>
        <v>The DAT is free</v>
      </c>
      <c r="BB4" s="69">
        <f t="shared" si="24"/>
        <v>0</v>
      </c>
      <c r="BC4" s="78" t="str">
        <f t="shared" si="25"/>
        <v>YES</v>
      </c>
      <c r="BD4" s="78"/>
    </row>
    <row r="5" ht="15.75" customHeight="1">
      <c r="A5" s="12"/>
      <c r="B5" s="26" t="s">
        <v>14</v>
      </c>
      <c r="C5" s="25" t="s">
        <v>15</v>
      </c>
      <c r="D5" s="7" t="s">
        <v>29</v>
      </c>
      <c r="E5" s="7" t="s">
        <v>468</v>
      </c>
      <c r="F5" s="7" t="s">
        <v>26</v>
      </c>
      <c r="G5" s="79" t="s">
        <v>27</v>
      </c>
      <c r="H5" s="7">
        <v>5.0</v>
      </c>
      <c r="I5" s="7"/>
      <c r="J5" s="7"/>
      <c r="K5" s="78"/>
      <c r="L5" s="7">
        <v>25.0</v>
      </c>
      <c r="M5" s="9">
        <f t="shared" si="1"/>
        <v>0</v>
      </c>
      <c r="N5" s="9">
        <f t="shared" si="2"/>
        <v>0</v>
      </c>
      <c r="O5" s="7">
        <v>1.0</v>
      </c>
      <c r="P5" s="11">
        <f t="shared" si="3"/>
        <v>0</v>
      </c>
      <c r="Q5" s="79">
        <v>10.0</v>
      </c>
      <c r="R5" s="80">
        <v>11.0</v>
      </c>
      <c r="S5" s="7">
        <v>3.0</v>
      </c>
      <c r="T5" s="7">
        <v>600.0</v>
      </c>
      <c r="U5" s="7">
        <f t="shared" si="4"/>
        <v>18000</v>
      </c>
      <c r="V5" s="7">
        <f t="shared" si="5"/>
        <v>3.33</v>
      </c>
      <c r="W5" s="14">
        <f t="shared" si="6"/>
        <v>1998</v>
      </c>
      <c r="X5" s="81">
        <f t="shared" si="7"/>
        <v>1980</v>
      </c>
      <c r="Y5" s="82">
        <v>0.0</v>
      </c>
      <c r="Z5" s="7">
        <v>600.0</v>
      </c>
      <c r="AA5" s="7">
        <v>1.5</v>
      </c>
      <c r="AB5" s="7">
        <f t="shared" si="8"/>
        <v>900</v>
      </c>
      <c r="AC5" s="7">
        <f t="shared" si="9"/>
        <v>600</v>
      </c>
      <c r="AD5" s="7">
        <f t="shared" si="10"/>
        <v>0</v>
      </c>
      <c r="AE5" s="83">
        <f t="shared" si="11"/>
        <v>0</v>
      </c>
      <c r="AF5" s="80">
        <v>17.4</v>
      </c>
      <c r="AG5" s="7">
        <v>800.0</v>
      </c>
      <c r="AH5" s="78">
        <v>0.8</v>
      </c>
      <c r="AI5" s="7">
        <f t="shared" si="12"/>
        <v>640</v>
      </c>
      <c r="AJ5" s="7">
        <f t="shared" si="13"/>
        <v>660.8</v>
      </c>
      <c r="AK5" s="7">
        <f t="shared" si="14"/>
        <v>111.36</v>
      </c>
      <c r="AL5" s="14">
        <f t="shared" si="15"/>
        <v>1113.6</v>
      </c>
      <c r="AM5" s="84">
        <v>0.0</v>
      </c>
      <c r="AN5" s="78">
        <v>2.0</v>
      </c>
      <c r="AO5" s="78">
        <v>24.0</v>
      </c>
      <c r="AP5" s="7">
        <f t="shared" si="16"/>
        <v>48</v>
      </c>
      <c r="AQ5" s="7">
        <f t="shared" si="17"/>
        <v>2</v>
      </c>
      <c r="AR5" s="7">
        <f t="shared" si="18"/>
        <v>0</v>
      </c>
      <c r="AS5" s="14">
        <f t="shared" si="19"/>
        <v>0</v>
      </c>
      <c r="AT5" s="82">
        <v>0.0</v>
      </c>
      <c r="AU5" s="78">
        <v>15000.0</v>
      </c>
      <c r="AV5" s="14">
        <f t="shared" si="20"/>
        <v>0</v>
      </c>
      <c r="AW5" s="82">
        <v>0.0</v>
      </c>
      <c r="AX5" s="78">
        <v>5000.0</v>
      </c>
      <c r="AY5" s="14">
        <f t="shared" si="21"/>
        <v>0</v>
      </c>
      <c r="AZ5" s="69">
        <f t="shared" si="22"/>
        <v>3068.6</v>
      </c>
      <c r="BA5" s="77" t="str">
        <f t="shared" si="23"/>
        <v>The DAT is free</v>
      </c>
      <c r="BB5" s="69">
        <f t="shared" si="24"/>
        <v>0</v>
      </c>
      <c r="BC5" s="78" t="str">
        <f t="shared" si="25"/>
        <v>YES</v>
      </c>
      <c r="BD5" s="78"/>
    </row>
    <row r="6" ht="15.75" customHeight="1">
      <c r="A6" s="12"/>
      <c r="B6" s="26" t="s">
        <v>14</v>
      </c>
      <c r="C6" s="25" t="s">
        <v>15</v>
      </c>
      <c r="D6" s="7" t="s">
        <v>470</v>
      </c>
      <c r="E6" s="7" t="s">
        <v>471</v>
      </c>
      <c r="F6" s="7" t="s">
        <v>389</v>
      </c>
      <c r="G6" s="79" t="s">
        <v>472</v>
      </c>
      <c r="H6" s="7">
        <v>5.0</v>
      </c>
      <c r="I6" s="7">
        <v>200.0</v>
      </c>
      <c r="J6" s="7"/>
      <c r="L6" s="7"/>
      <c r="M6" s="9">
        <f t="shared" si="1"/>
        <v>0</v>
      </c>
      <c r="N6" s="9">
        <f t="shared" si="2"/>
        <v>8</v>
      </c>
      <c r="O6" s="7">
        <v>1.0</v>
      </c>
      <c r="P6" s="11">
        <f t="shared" si="3"/>
        <v>200</v>
      </c>
      <c r="Q6" s="79">
        <v>10.0</v>
      </c>
      <c r="R6" s="80">
        <v>11.0</v>
      </c>
      <c r="S6" s="7">
        <v>3.0</v>
      </c>
      <c r="T6" s="7">
        <v>600.0</v>
      </c>
      <c r="U6" s="7">
        <f t="shared" si="4"/>
        <v>18000</v>
      </c>
      <c r="V6" s="7">
        <f t="shared" si="5"/>
        <v>3.33</v>
      </c>
      <c r="W6" s="14">
        <f t="shared" si="6"/>
        <v>1998</v>
      </c>
      <c r="X6" s="81">
        <f t="shared" si="7"/>
        <v>1980</v>
      </c>
      <c r="Y6" s="82">
        <v>0.0</v>
      </c>
      <c r="Z6" s="7">
        <v>600.0</v>
      </c>
      <c r="AA6" s="7">
        <v>1.5</v>
      </c>
      <c r="AB6" s="7">
        <f t="shared" si="8"/>
        <v>900</v>
      </c>
      <c r="AC6" s="7">
        <f t="shared" si="9"/>
        <v>600</v>
      </c>
      <c r="AD6" s="7">
        <f t="shared" si="10"/>
        <v>0</v>
      </c>
      <c r="AE6" s="83">
        <f t="shared" si="11"/>
        <v>0</v>
      </c>
      <c r="AF6" s="80">
        <v>17.4</v>
      </c>
      <c r="AG6" s="7">
        <v>800.0</v>
      </c>
      <c r="AH6" s="78">
        <v>0.8</v>
      </c>
      <c r="AI6" s="7">
        <f t="shared" si="12"/>
        <v>640</v>
      </c>
      <c r="AJ6" s="7">
        <f t="shared" si="13"/>
        <v>660.8</v>
      </c>
      <c r="AK6" s="7">
        <f t="shared" si="14"/>
        <v>111.36</v>
      </c>
      <c r="AL6" s="14">
        <f t="shared" si="15"/>
        <v>1113.6</v>
      </c>
      <c r="AM6" s="84">
        <v>0.0</v>
      </c>
      <c r="AN6" s="78">
        <v>2.0</v>
      </c>
      <c r="AO6" s="78">
        <v>24.0</v>
      </c>
      <c r="AP6" s="7">
        <f t="shared" si="16"/>
        <v>48</v>
      </c>
      <c r="AQ6" s="7">
        <f t="shared" si="17"/>
        <v>2</v>
      </c>
      <c r="AR6" s="7">
        <f t="shared" si="18"/>
        <v>0</v>
      </c>
      <c r="AS6" s="14">
        <f t="shared" si="19"/>
        <v>0</v>
      </c>
      <c r="AT6" s="82">
        <v>0.0</v>
      </c>
      <c r="AU6" s="78">
        <v>15000.0</v>
      </c>
      <c r="AV6" s="14">
        <f t="shared" si="20"/>
        <v>0</v>
      </c>
      <c r="AW6" s="82">
        <v>0.0</v>
      </c>
      <c r="AX6" s="78">
        <v>5000.0</v>
      </c>
      <c r="AY6" s="14">
        <f t="shared" si="21"/>
        <v>0</v>
      </c>
      <c r="AZ6" s="69">
        <f t="shared" si="22"/>
        <v>3085.6</v>
      </c>
      <c r="BA6" s="77">
        <f t="shared" si="23"/>
        <v>15.428</v>
      </c>
      <c r="BB6" s="69">
        <f t="shared" si="24"/>
        <v>0.06481721545</v>
      </c>
      <c r="BC6" s="78" t="str">
        <f t="shared" si="25"/>
        <v>YES</v>
      </c>
      <c r="BD6" s="78"/>
    </row>
    <row r="7" ht="15.75" customHeight="1">
      <c r="A7" s="12"/>
      <c r="B7" s="26" t="s">
        <v>14</v>
      </c>
      <c r="C7" s="25" t="s">
        <v>91</v>
      </c>
      <c r="D7" s="7" t="s">
        <v>473</v>
      </c>
      <c r="E7" s="7" t="s">
        <v>474</v>
      </c>
      <c r="F7" s="7" t="s">
        <v>156</v>
      </c>
      <c r="G7" s="79" t="s">
        <v>475</v>
      </c>
      <c r="H7" s="7">
        <v>5.0</v>
      </c>
      <c r="I7" s="7"/>
      <c r="J7" s="7"/>
      <c r="L7" s="7">
        <v>180.0</v>
      </c>
      <c r="M7" s="9">
        <f t="shared" si="1"/>
        <v>0</v>
      </c>
      <c r="N7" s="9">
        <f t="shared" si="2"/>
        <v>0</v>
      </c>
      <c r="O7" s="7">
        <v>1.0</v>
      </c>
      <c r="P7" s="11">
        <f t="shared" si="3"/>
        <v>0</v>
      </c>
      <c r="Q7" s="79">
        <v>10.0</v>
      </c>
      <c r="R7" s="80">
        <v>11.0</v>
      </c>
      <c r="S7" s="7">
        <v>3.0</v>
      </c>
      <c r="T7" s="7">
        <v>600.0</v>
      </c>
      <c r="U7" s="7">
        <f t="shared" si="4"/>
        <v>18000</v>
      </c>
      <c r="V7" s="7">
        <f t="shared" si="5"/>
        <v>3.33</v>
      </c>
      <c r="W7" s="14">
        <f t="shared" si="6"/>
        <v>1998</v>
      </c>
      <c r="X7" s="81">
        <f t="shared" si="7"/>
        <v>1980</v>
      </c>
      <c r="Y7" s="80">
        <v>16.4</v>
      </c>
      <c r="Z7" s="7">
        <v>600.0</v>
      </c>
      <c r="AA7" s="7">
        <v>1.5</v>
      </c>
      <c r="AB7" s="7">
        <f t="shared" si="8"/>
        <v>900</v>
      </c>
      <c r="AC7" s="7">
        <f t="shared" si="9"/>
        <v>501.6</v>
      </c>
      <c r="AD7" s="7">
        <f t="shared" si="10"/>
        <v>147.6</v>
      </c>
      <c r="AE7" s="83">
        <f t="shared" si="11"/>
        <v>1476</v>
      </c>
      <c r="AF7" s="80">
        <v>0.0</v>
      </c>
      <c r="AG7" s="7">
        <v>800.0</v>
      </c>
      <c r="AH7" s="78">
        <v>0.8</v>
      </c>
      <c r="AI7" s="7">
        <f t="shared" si="12"/>
        <v>640</v>
      </c>
      <c r="AJ7" s="7">
        <f t="shared" si="13"/>
        <v>800</v>
      </c>
      <c r="AK7" s="7">
        <f t="shared" si="14"/>
        <v>0</v>
      </c>
      <c r="AL7" s="14">
        <f t="shared" si="15"/>
        <v>0</v>
      </c>
      <c r="AM7" s="84">
        <v>35.0</v>
      </c>
      <c r="AN7" s="78">
        <v>2.0</v>
      </c>
      <c r="AO7" s="78">
        <v>24.0</v>
      </c>
      <c r="AP7" s="7">
        <f t="shared" si="16"/>
        <v>48</v>
      </c>
      <c r="AQ7" s="7">
        <f t="shared" si="17"/>
        <v>1.3</v>
      </c>
      <c r="AR7" s="7">
        <f t="shared" si="18"/>
        <v>16.8</v>
      </c>
      <c r="AS7" s="14">
        <f t="shared" si="19"/>
        <v>168</v>
      </c>
      <c r="AT7" s="82">
        <v>0.0</v>
      </c>
      <c r="AU7" s="78">
        <v>15000.0</v>
      </c>
      <c r="AV7" s="14">
        <f t="shared" si="20"/>
        <v>0</v>
      </c>
      <c r="AW7" s="84">
        <v>10.0</v>
      </c>
      <c r="AX7" s="78">
        <v>5000.0</v>
      </c>
      <c r="AY7" s="14">
        <f t="shared" si="21"/>
        <v>500</v>
      </c>
      <c r="AZ7" s="69">
        <f t="shared" si="22"/>
        <v>3944</v>
      </c>
      <c r="BA7" s="77" t="str">
        <f t="shared" si="23"/>
        <v>The DAT is free</v>
      </c>
      <c r="BB7" s="69">
        <f t="shared" si="24"/>
        <v>0</v>
      </c>
      <c r="BC7" s="78" t="str">
        <f t="shared" si="25"/>
        <v>YES</v>
      </c>
      <c r="BD7" s="78"/>
    </row>
    <row r="8" ht="15.75" customHeight="1">
      <c r="A8" s="12"/>
      <c r="B8" s="26" t="s">
        <v>14</v>
      </c>
      <c r="C8" s="25" t="s">
        <v>91</v>
      </c>
      <c r="D8" s="7" t="s">
        <v>476</v>
      </c>
      <c r="E8" s="7" t="s">
        <v>474</v>
      </c>
      <c r="F8" s="7" t="s">
        <v>156</v>
      </c>
      <c r="G8" s="79" t="s">
        <v>477</v>
      </c>
      <c r="H8" s="7">
        <v>5.0</v>
      </c>
      <c r="I8" s="7"/>
      <c r="J8" s="7"/>
      <c r="L8" s="7">
        <v>340.0</v>
      </c>
      <c r="M8" s="9">
        <f t="shared" si="1"/>
        <v>0</v>
      </c>
      <c r="N8" s="9">
        <f t="shared" si="2"/>
        <v>0</v>
      </c>
      <c r="O8" s="7">
        <v>1.0</v>
      </c>
      <c r="P8" s="11">
        <f t="shared" si="3"/>
        <v>0</v>
      </c>
      <c r="Q8" s="79">
        <v>10.0</v>
      </c>
      <c r="R8" s="80">
        <v>11.0</v>
      </c>
      <c r="S8" s="7">
        <v>3.0</v>
      </c>
      <c r="T8" s="7">
        <v>600.0</v>
      </c>
      <c r="U8" s="7">
        <f t="shared" si="4"/>
        <v>18000</v>
      </c>
      <c r="V8" s="7">
        <f t="shared" si="5"/>
        <v>3.33</v>
      </c>
      <c r="W8" s="14">
        <f t="shared" si="6"/>
        <v>1998</v>
      </c>
      <c r="X8" s="81">
        <f t="shared" si="7"/>
        <v>1980</v>
      </c>
      <c r="Y8" s="80">
        <v>16.4</v>
      </c>
      <c r="Z8" s="7">
        <v>600.0</v>
      </c>
      <c r="AA8" s="7">
        <v>1.5</v>
      </c>
      <c r="AB8" s="7">
        <f t="shared" si="8"/>
        <v>900</v>
      </c>
      <c r="AC8" s="7">
        <f t="shared" si="9"/>
        <v>501.6</v>
      </c>
      <c r="AD8" s="7">
        <f t="shared" si="10"/>
        <v>147.6</v>
      </c>
      <c r="AE8" s="83">
        <f t="shared" si="11"/>
        <v>1476</v>
      </c>
      <c r="AF8" s="80">
        <v>0.0</v>
      </c>
      <c r="AG8" s="7">
        <v>800.0</v>
      </c>
      <c r="AH8" s="78">
        <v>0.8</v>
      </c>
      <c r="AI8" s="7">
        <f t="shared" si="12"/>
        <v>640</v>
      </c>
      <c r="AJ8" s="7">
        <f t="shared" si="13"/>
        <v>800</v>
      </c>
      <c r="AK8" s="7">
        <f t="shared" si="14"/>
        <v>0</v>
      </c>
      <c r="AL8" s="14">
        <f t="shared" si="15"/>
        <v>0</v>
      </c>
      <c r="AM8" s="84">
        <v>35.0</v>
      </c>
      <c r="AN8" s="78">
        <v>2.0</v>
      </c>
      <c r="AO8" s="78">
        <v>24.0</v>
      </c>
      <c r="AP8" s="7">
        <f t="shared" si="16"/>
        <v>48</v>
      </c>
      <c r="AQ8" s="7">
        <f t="shared" si="17"/>
        <v>1.3</v>
      </c>
      <c r="AR8" s="7">
        <f t="shared" si="18"/>
        <v>16.8</v>
      </c>
      <c r="AS8" s="14">
        <f t="shared" si="19"/>
        <v>168</v>
      </c>
      <c r="AT8" s="82">
        <v>0.0</v>
      </c>
      <c r="AU8" s="78">
        <v>15000.0</v>
      </c>
      <c r="AV8" s="14">
        <f t="shared" si="20"/>
        <v>0</v>
      </c>
      <c r="AW8" s="84">
        <v>10.0</v>
      </c>
      <c r="AX8" s="78">
        <v>5000.0</v>
      </c>
      <c r="AY8" s="14">
        <f t="shared" si="21"/>
        <v>500</v>
      </c>
      <c r="AZ8" s="69">
        <f t="shared" si="22"/>
        <v>3784</v>
      </c>
      <c r="BA8" s="77" t="str">
        <f t="shared" si="23"/>
        <v>The DAT is free</v>
      </c>
      <c r="BB8" s="69">
        <f t="shared" si="24"/>
        <v>0</v>
      </c>
      <c r="BC8" s="78" t="str">
        <f t="shared" si="25"/>
        <v>YES</v>
      </c>
      <c r="BD8" s="78"/>
    </row>
    <row r="9" ht="15.75" customHeight="1">
      <c r="A9" s="12"/>
      <c r="B9" s="26" t="s">
        <v>14</v>
      </c>
      <c r="C9" s="25" t="s">
        <v>91</v>
      </c>
      <c r="D9" s="7" t="s">
        <v>478</v>
      </c>
      <c r="E9" s="7" t="s">
        <v>479</v>
      </c>
      <c r="F9" s="7" t="s">
        <v>156</v>
      </c>
      <c r="G9" s="79" t="s">
        <v>480</v>
      </c>
      <c r="H9" s="7">
        <v>5.0</v>
      </c>
      <c r="I9" s="7"/>
      <c r="J9" s="7"/>
      <c r="K9" s="7">
        <v>20.0</v>
      </c>
      <c r="L9" s="7">
        <v>240.0</v>
      </c>
      <c r="M9" s="9">
        <f t="shared" si="1"/>
        <v>0</v>
      </c>
      <c r="N9" s="9">
        <f t="shared" si="2"/>
        <v>0</v>
      </c>
      <c r="O9" s="7">
        <v>1.0</v>
      </c>
      <c r="P9" s="11">
        <f t="shared" si="3"/>
        <v>0</v>
      </c>
      <c r="Q9" s="79">
        <v>10.0</v>
      </c>
      <c r="R9" s="80">
        <v>11.0</v>
      </c>
      <c r="S9" s="7">
        <v>3.0</v>
      </c>
      <c r="T9" s="7">
        <v>600.0</v>
      </c>
      <c r="U9" s="7">
        <f t="shared" si="4"/>
        <v>18000</v>
      </c>
      <c r="V9" s="7">
        <f t="shared" si="5"/>
        <v>3.33</v>
      </c>
      <c r="W9" s="14">
        <f t="shared" si="6"/>
        <v>1998</v>
      </c>
      <c r="X9" s="81">
        <f t="shared" si="7"/>
        <v>1980</v>
      </c>
      <c r="Y9" s="80">
        <v>16.4</v>
      </c>
      <c r="Z9" s="7">
        <v>600.0</v>
      </c>
      <c r="AA9" s="7">
        <v>1.5</v>
      </c>
      <c r="AB9" s="7">
        <f t="shared" si="8"/>
        <v>900</v>
      </c>
      <c r="AC9" s="7">
        <f t="shared" si="9"/>
        <v>501.6</v>
      </c>
      <c r="AD9" s="7">
        <f t="shared" si="10"/>
        <v>147.6</v>
      </c>
      <c r="AE9" s="83">
        <f t="shared" si="11"/>
        <v>1476</v>
      </c>
      <c r="AF9" s="80">
        <v>0.0</v>
      </c>
      <c r="AG9" s="7">
        <v>800.0</v>
      </c>
      <c r="AH9" s="78">
        <v>0.8</v>
      </c>
      <c r="AI9" s="7">
        <f t="shared" si="12"/>
        <v>640</v>
      </c>
      <c r="AJ9" s="7">
        <f t="shared" si="13"/>
        <v>800</v>
      </c>
      <c r="AK9" s="7">
        <f t="shared" si="14"/>
        <v>0</v>
      </c>
      <c r="AL9" s="14">
        <f t="shared" si="15"/>
        <v>0</v>
      </c>
      <c r="AM9" s="84">
        <v>35.0</v>
      </c>
      <c r="AN9" s="78">
        <v>2.0</v>
      </c>
      <c r="AO9" s="78">
        <v>24.0</v>
      </c>
      <c r="AP9" s="7">
        <f t="shared" si="16"/>
        <v>48</v>
      </c>
      <c r="AQ9" s="7">
        <f t="shared" si="17"/>
        <v>1.3</v>
      </c>
      <c r="AR9" s="7">
        <f t="shared" si="18"/>
        <v>16.8</v>
      </c>
      <c r="AS9" s="14">
        <f t="shared" si="19"/>
        <v>168</v>
      </c>
      <c r="AT9" s="82">
        <v>0.0</v>
      </c>
      <c r="AU9" s="78">
        <v>15000.0</v>
      </c>
      <c r="AV9" s="14">
        <f t="shared" si="20"/>
        <v>0</v>
      </c>
      <c r="AW9" s="84">
        <v>10.0</v>
      </c>
      <c r="AX9" s="78">
        <v>5000.0</v>
      </c>
      <c r="AY9" s="14">
        <f t="shared" si="21"/>
        <v>500</v>
      </c>
      <c r="AZ9" s="69">
        <f t="shared" si="22"/>
        <v>3884</v>
      </c>
      <c r="BA9" s="77" t="str">
        <f t="shared" si="23"/>
        <v>The DAT is free</v>
      </c>
      <c r="BB9" s="69">
        <f t="shared" si="24"/>
        <v>0</v>
      </c>
      <c r="BC9" s="78" t="str">
        <f t="shared" si="25"/>
        <v>YES</v>
      </c>
      <c r="BD9" s="78"/>
    </row>
    <row r="10" ht="15.75" customHeight="1">
      <c r="A10" s="12"/>
      <c r="B10" s="26" t="s">
        <v>14</v>
      </c>
      <c r="C10" s="25" t="s">
        <v>15</v>
      </c>
      <c r="D10" s="7" t="s">
        <v>124</v>
      </c>
      <c r="E10" s="7" t="s">
        <v>125</v>
      </c>
      <c r="F10" s="7" t="s">
        <v>481</v>
      </c>
      <c r="G10" s="79" t="s">
        <v>128</v>
      </c>
      <c r="H10" s="7">
        <v>2.0</v>
      </c>
      <c r="I10" s="7"/>
      <c r="J10" s="7"/>
      <c r="L10" s="7">
        <v>400.0</v>
      </c>
      <c r="M10" s="9">
        <f t="shared" si="1"/>
        <v>0</v>
      </c>
      <c r="N10" s="9">
        <f t="shared" si="2"/>
        <v>0</v>
      </c>
      <c r="O10" s="7">
        <v>2.0</v>
      </c>
      <c r="P10" s="11">
        <f t="shared" si="3"/>
        <v>0</v>
      </c>
      <c r="Q10" s="79">
        <v>10.0</v>
      </c>
      <c r="R10" s="80">
        <v>11.0</v>
      </c>
      <c r="S10" s="7">
        <v>3.0</v>
      </c>
      <c r="T10" s="7">
        <v>600.0</v>
      </c>
      <c r="U10" s="7">
        <f t="shared" si="4"/>
        <v>18000</v>
      </c>
      <c r="V10" s="7">
        <f t="shared" si="5"/>
        <v>3.33</v>
      </c>
      <c r="W10" s="14">
        <f t="shared" si="6"/>
        <v>1998</v>
      </c>
      <c r="X10" s="81">
        <f t="shared" si="7"/>
        <v>1980</v>
      </c>
      <c r="Y10" s="82">
        <v>0.0</v>
      </c>
      <c r="Z10" s="7">
        <v>600.0</v>
      </c>
      <c r="AA10" s="7">
        <v>1.5</v>
      </c>
      <c r="AB10" s="7">
        <f t="shared" si="8"/>
        <v>900</v>
      </c>
      <c r="AC10" s="7">
        <f t="shared" si="9"/>
        <v>600</v>
      </c>
      <c r="AD10" s="7">
        <f t="shared" si="10"/>
        <v>0</v>
      </c>
      <c r="AE10" s="83">
        <f t="shared" si="11"/>
        <v>0</v>
      </c>
      <c r="AF10" s="80">
        <v>17.4</v>
      </c>
      <c r="AG10" s="7">
        <v>800.0</v>
      </c>
      <c r="AH10" s="78">
        <v>0.8</v>
      </c>
      <c r="AI10" s="7">
        <f t="shared" si="12"/>
        <v>640</v>
      </c>
      <c r="AJ10" s="7">
        <f t="shared" si="13"/>
        <v>660.8</v>
      </c>
      <c r="AK10" s="7">
        <f t="shared" si="14"/>
        <v>111.36</v>
      </c>
      <c r="AL10" s="14">
        <f t="shared" si="15"/>
        <v>1113.6</v>
      </c>
      <c r="AM10" s="84">
        <v>0.0</v>
      </c>
      <c r="AN10" s="78">
        <v>2.0</v>
      </c>
      <c r="AO10" s="78">
        <v>24.0</v>
      </c>
      <c r="AP10" s="7">
        <f t="shared" si="16"/>
        <v>48</v>
      </c>
      <c r="AQ10" s="7">
        <f t="shared" si="17"/>
        <v>2</v>
      </c>
      <c r="AR10" s="7">
        <f t="shared" si="18"/>
        <v>0</v>
      </c>
      <c r="AS10" s="14">
        <f t="shared" si="19"/>
        <v>0</v>
      </c>
      <c r="AT10" s="82">
        <v>0.0</v>
      </c>
      <c r="AU10" s="78">
        <v>15000.0</v>
      </c>
      <c r="AV10" s="14">
        <f t="shared" si="20"/>
        <v>0</v>
      </c>
      <c r="AW10" s="82">
        <v>0.0</v>
      </c>
      <c r="AX10" s="78">
        <v>5000.0</v>
      </c>
      <c r="AY10" s="14">
        <f t="shared" si="21"/>
        <v>0</v>
      </c>
      <c r="AZ10" s="69">
        <f t="shared" si="22"/>
        <v>2293.6</v>
      </c>
      <c r="BA10" s="77" t="str">
        <f t="shared" si="23"/>
        <v>The DAT is free</v>
      </c>
      <c r="BB10" s="69">
        <f t="shared" si="24"/>
        <v>0</v>
      </c>
      <c r="BC10" s="78" t="str">
        <f t="shared" si="25"/>
        <v>YES</v>
      </c>
      <c r="BD10" s="78"/>
    </row>
    <row r="11" ht="15.75" customHeight="1">
      <c r="A11" s="12"/>
      <c r="B11" s="26" t="s">
        <v>14</v>
      </c>
      <c r="C11" s="25" t="s">
        <v>91</v>
      </c>
      <c r="D11" s="7" t="s">
        <v>482</v>
      </c>
      <c r="E11" s="7" t="s">
        <v>483</v>
      </c>
      <c r="F11" s="7" t="s">
        <v>389</v>
      </c>
      <c r="G11" s="79" t="s">
        <v>484</v>
      </c>
      <c r="H11" s="7">
        <v>5.0</v>
      </c>
      <c r="I11" s="7"/>
      <c r="J11" s="7"/>
      <c r="L11" s="7">
        <v>70.0</v>
      </c>
      <c r="M11" s="9">
        <f t="shared" si="1"/>
        <v>0</v>
      </c>
      <c r="N11" s="9">
        <f t="shared" si="2"/>
        <v>0</v>
      </c>
      <c r="O11" s="7">
        <v>1.0</v>
      </c>
      <c r="P11" s="11">
        <f t="shared" si="3"/>
        <v>0</v>
      </c>
      <c r="Q11" s="79">
        <v>10.0</v>
      </c>
      <c r="R11" s="80">
        <v>11.0</v>
      </c>
      <c r="S11" s="7">
        <v>3.0</v>
      </c>
      <c r="T11" s="7">
        <v>600.0</v>
      </c>
      <c r="U11" s="7">
        <f t="shared" si="4"/>
        <v>18000</v>
      </c>
      <c r="V11" s="7">
        <f t="shared" si="5"/>
        <v>3.33</v>
      </c>
      <c r="W11" s="14">
        <f t="shared" si="6"/>
        <v>1998</v>
      </c>
      <c r="X11" s="81">
        <f t="shared" si="7"/>
        <v>1980</v>
      </c>
      <c r="Y11" s="80">
        <v>16.4</v>
      </c>
      <c r="Z11" s="7">
        <v>600.0</v>
      </c>
      <c r="AA11" s="7">
        <v>1.5</v>
      </c>
      <c r="AB11" s="7">
        <f t="shared" si="8"/>
        <v>900</v>
      </c>
      <c r="AC11" s="7">
        <f t="shared" ref="AC11:AC12" si="26">Z11*(1-Y12%)</f>
        <v>501.6</v>
      </c>
      <c r="AD11" s="7">
        <f t="shared" si="10"/>
        <v>147.6</v>
      </c>
      <c r="AE11" s="83">
        <f t="shared" si="11"/>
        <v>1476</v>
      </c>
      <c r="AF11" s="82">
        <v>0.0</v>
      </c>
      <c r="AG11" s="7">
        <v>800.0</v>
      </c>
      <c r="AH11" s="78">
        <v>0.8</v>
      </c>
      <c r="AI11" s="7">
        <f t="shared" si="12"/>
        <v>640</v>
      </c>
      <c r="AJ11" s="7">
        <f t="shared" si="13"/>
        <v>800</v>
      </c>
      <c r="AK11" s="7">
        <f t="shared" si="14"/>
        <v>0</v>
      </c>
      <c r="AL11" s="14">
        <f t="shared" si="15"/>
        <v>0</v>
      </c>
      <c r="AM11" s="84">
        <v>35.0</v>
      </c>
      <c r="AN11" s="78">
        <v>2.0</v>
      </c>
      <c r="AO11" s="78">
        <v>24.0</v>
      </c>
      <c r="AP11" s="7">
        <f t="shared" si="16"/>
        <v>48</v>
      </c>
      <c r="AQ11" s="7">
        <f t="shared" si="17"/>
        <v>1.3</v>
      </c>
      <c r="AR11" s="7">
        <f t="shared" si="18"/>
        <v>16.8</v>
      </c>
      <c r="AS11" s="14">
        <f t="shared" si="19"/>
        <v>168</v>
      </c>
      <c r="AT11" s="82">
        <v>0.0</v>
      </c>
      <c r="AU11" s="78">
        <v>15000.0</v>
      </c>
      <c r="AV11" s="14">
        <f t="shared" si="20"/>
        <v>0</v>
      </c>
      <c r="AW11" s="84">
        <v>10.0</v>
      </c>
      <c r="AX11" s="78">
        <v>5000.0</v>
      </c>
      <c r="AY11" s="14">
        <f t="shared" si="21"/>
        <v>500</v>
      </c>
      <c r="AZ11" s="69">
        <f t="shared" si="22"/>
        <v>4054</v>
      </c>
      <c r="BA11" s="77" t="str">
        <f t="shared" si="23"/>
        <v>The DAT is free</v>
      </c>
      <c r="BB11" s="69">
        <f t="shared" si="24"/>
        <v>0</v>
      </c>
      <c r="BC11" s="78" t="str">
        <f t="shared" si="25"/>
        <v>YES</v>
      </c>
      <c r="BD11" s="78"/>
    </row>
    <row r="12" ht="15.75" customHeight="1">
      <c r="A12" s="12"/>
      <c r="B12" s="26" t="s">
        <v>36</v>
      </c>
      <c r="C12" s="25" t="s">
        <v>91</v>
      </c>
      <c r="D12" s="7" t="s">
        <v>46</v>
      </c>
      <c r="E12" s="7" t="s">
        <v>47</v>
      </c>
      <c r="F12" s="7" t="s">
        <v>51</v>
      </c>
      <c r="G12" s="79" t="s">
        <v>52</v>
      </c>
      <c r="H12" s="7">
        <v>5.0</v>
      </c>
      <c r="I12" s="7">
        <v>4900.0</v>
      </c>
      <c r="J12" s="7"/>
      <c r="K12" s="7">
        <v>150.0</v>
      </c>
      <c r="L12" s="7">
        <v>1800.0</v>
      </c>
      <c r="M12" s="9">
        <f t="shared" si="1"/>
        <v>980</v>
      </c>
      <c r="N12" s="9">
        <f t="shared" si="2"/>
        <v>196</v>
      </c>
      <c r="O12" s="7">
        <v>1.0</v>
      </c>
      <c r="P12" s="11">
        <f t="shared" si="3"/>
        <v>4900</v>
      </c>
      <c r="Q12" s="79">
        <v>10.0</v>
      </c>
      <c r="R12" s="80">
        <v>11.0</v>
      </c>
      <c r="S12" s="7">
        <v>3.0</v>
      </c>
      <c r="T12" s="7">
        <v>600.0</v>
      </c>
      <c r="U12" s="7">
        <f t="shared" si="4"/>
        <v>18000</v>
      </c>
      <c r="V12" s="7">
        <f t="shared" si="5"/>
        <v>3.33</v>
      </c>
      <c r="W12" s="14">
        <f t="shared" si="6"/>
        <v>1998</v>
      </c>
      <c r="X12" s="81">
        <f t="shared" si="7"/>
        <v>1980</v>
      </c>
      <c r="Y12" s="80">
        <v>16.4</v>
      </c>
      <c r="Z12" s="7">
        <v>600.0</v>
      </c>
      <c r="AA12" s="7">
        <v>1.5</v>
      </c>
      <c r="AB12" s="7">
        <f t="shared" si="8"/>
        <v>900</v>
      </c>
      <c r="AC12" s="7">
        <f t="shared" si="26"/>
        <v>501.6</v>
      </c>
      <c r="AD12" s="7">
        <f t="shared" si="10"/>
        <v>147.6</v>
      </c>
      <c r="AE12" s="83">
        <f t="shared" si="11"/>
        <v>1476</v>
      </c>
      <c r="AF12" s="82">
        <v>0.0</v>
      </c>
      <c r="AG12" s="7">
        <v>800.0</v>
      </c>
      <c r="AH12" s="78">
        <v>0.8</v>
      </c>
      <c r="AI12" s="7">
        <f t="shared" si="12"/>
        <v>640</v>
      </c>
      <c r="AJ12" s="7">
        <f t="shared" si="13"/>
        <v>800</v>
      </c>
      <c r="AK12" s="7">
        <f t="shared" si="14"/>
        <v>0</v>
      </c>
      <c r="AL12" s="14">
        <f t="shared" si="15"/>
        <v>0</v>
      </c>
      <c r="AM12" s="84">
        <v>35.0</v>
      </c>
      <c r="AN12" s="78">
        <v>2.0</v>
      </c>
      <c r="AO12" s="78">
        <v>24.0</v>
      </c>
      <c r="AP12" s="7">
        <f t="shared" si="16"/>
        <v>48</v>
      </c>
      <c r="AQ12" s="7">
        <f t="shared" si="17"/>
        <v>1.3</v>
      </c>
      <c r="AR12" s="7">
        <f t="shared" si="18"/>
        <v>16.8</v>
      </c>
      <c r="AS12" s="14">
        <f t="shared" si="19"/>
        <v>168</v>
      </c>
      <c r="AT12" s="82">
        <v>0.0</v>
      </c>
      <c r="AU12" s="78">
        <v>15000.0</v>
      </c>
      <c r="AV12" s="14">
        <f t="shared" si="20"/>
        <v>0</v>
      </c>
      <c r="AW12" s="84">
        <v>10.0</v>
      </c>
      <c r="AX12" s="78">
        <v>5000.0</v>
      </c>
      <c r="AY12" s="14">
        <f t="shared" si="21"/>
        <v>500</v>
      </c>
      <c r="AZ12" s="69">
        <f t="shared" si="22"/>
        <v>1148</v>
      </c>
      <c r="BA12" s="77">
        <f t="shared" si="23"/>
        <v>0.2342857143</v>
      </c>
      <c r="BB12" s="69">
        <f t="shared" si="24"/>
        <v>4.268292683</v>
      </c>
      <c r="BC12" s="78" t="str">
        <f t="shared" si="25"/>
        <v>YES</v>
      </c>
      <c r="BD12" s="7"/>
    </row>
    <row r="13" ht="15.75" customHeight="1">
      <c r="A13" s="12"/>
      <c r="B13" s="26" t="s">
        <v>36</v>
      </c>
      <c r="C13" s="25" t="s">
        <v>91</v>
      </c>
      <c r="D13" s="7" t="s">
        <v>53</v>
      </c>
      <c r="E13" s="7" t="s">
        <v>54</v>
      </c>
      <c r="F13" s="7" t="s">
        <v>51</v>
      </c>
      <c r="G13" s="79" t="s">
        <v>485</v>
      </c>
      <c r="H13" s="7">
        <v>5.0</v>
      </c>
      <c r="I13" s="7"/>
      <c r="J13" s="7"/>
      <c r="K13" s="7">
        <v>30.0</v>
      </c>
      <c r="L13" s="7">
        <v>360.0</v>
      </c>
      <c r="M13" s="9">
        <f t="shared" si="1"/>
        <v>0</v>
      </c>
      <c r="N13" s="9">
        <f t="shared" si="2"/>
        <v>0</v>
      </c>
      <c r="O13" s="7">
        <v>1.0</v>
      </c>
      <c r="P13" s="11">
        <f t="shared" si="3"/>
        <v>0</v>
      </c>
      <c r="Q13" s="79">
        <v>10.0</v>
      </c>
      <c r="R13" s="84">
        <v>11.0</v>
      </c>
      <c r="S13" s="7">
        <v>3.0</v>
      </c>
      <c r="T13" s="7">
        <v>600.0</v>
      </c>
      <c r="U13" s="7">
        <f t="shared" si="4"/>
        <v>18000</v>
      </c>
      <c r="V13" s="7">
        <f t="shared" si="5"/>
        <v>3.33</v>
      </c>
      <c r="W13" s="14">
        <f t="shared" si="6"/>
        <v>1998</v>
      </c>
      <c r="X13" s="81">
        <f t="shared" si="7"/>
        <v>1980</v>
      </c>
      <c r="Y13" s="80">
        <v>16.4</v>
      </c>
      <c r="Z13" s="7">
        <v>600.0</v>
      </c>
      <c r="AA13" s="7">
        <v>1.5</v>
      </c>
      <c r="AB13" s="7">
        <f t="shared" si="8"/>
        <v>900</v>
      </c>
      <c r="AC13" s="7">
        <f t="shared" ref="AC13:AC68" si="27">Z13*(1-Y13%)</f>
        <v>501.6</v>
      </c>
      <c r="AD13" s="7">
        <f t="shared" si="10"/>
        <v>147.6</v>
      </c>
      <c r="AE13" s="83">
        <f t="shared" si="11"/>
        <v>1476</v>
      </c>
      <c r="AF13" s="82">
        <v>0.0</v>
      </c>
      <c r="AG13" s="7">
        <v>800.0</v>
      </c>
      <c r="AH13" s="78">
        <v>0.8</v>
      </c>
      <c r="AI13" s="7">
        <f t="shared" si="12"/>
        <v>640</v>
      </c>
      <c r="AJ13" s="7">
        <f t="shared" si="13"/>
        <v>800</v>
      </c>
      <c r="AK13" s="7">
        <f t="shared" si="14"/>
        <v>0</v>
      </c>
      <c r="AL13" s="14">
        <f t="shared" si="15"/>
        <v>0</v>
      </c>
      <c r="AM13" s="84">
        <v>35.0</v>
      </c>
      <c r="AN13" s="78">
        <v>2.0</v>
      </c>
      <c r="AO13" s="78">
        <v>24.0</v>
      </c>
      <c r="AP13" s="7">
        <f t="shared" si="16"/>
        <v>48</v>
      </c>
      <c r="AQ13" s="7">
        <f t="shared" si="17"/>
        <v>1.3</v>
      </c>
      <c r="AR13" s="7">
        <f t="shared" si="18"/>
        <v>16.8</v>
      </c>
      <c r="AS13" s="14">
        <f t="shared" si="19"/>
        <v>168</v>
      </c>
      <c r="AT13" s="82">
        <v>0.0</v>
      </c>
      <c r="AU13" s="78">
        <v>15000.0</v>
      </c>
      <c r="AV13" s="14">
        <f t="shared" si="20"/>
        <v>0</v>
      </c>
      <c r="AW13" s="84">
        <v>10.0</v>
      </c>
      <c r="AX13" s="78">
        <v>5000.0</v>
      </c>
      <c r="AY13" s="14">
        <f t="shared" si="21"/>
        <v>500</v>
      </c>
      <c r="AZ13" s="69">
        <f t="shared" si="22"/>
        <v>3764</v>
      </c>
      <c r="BA13" s="77" t="str">
        <f t="shared" si="23"/>
        <v>The DAT is free</v>
      </c>
      <c r="BB13" s="69">
        <f t="shared" si="24"/>
        <v>0</v>
      </c>
      <c r="BC13" s="78" t="str">
        <f t="shared" si="25"/>
        <v>YES</v>
      </c>
      <c r="BD13" s="7"/>
    </row>
    <row r="14" ht="15.75" customHeight="1">
      <c r="A14" s="12"/>
      <c r="B14" s="26" t="s">
        <v>36</v>
      </c>
      <c r="C14" s="25" t="s">
        <v>91</v>
      </c>
      <c r="D14" s="7" t="s">
        <v>486</v>
      </c>
      <c r="E14" s="7" t="s">
        <v>60</v>
      </c>
      <c r="F14" s="7" t="s">
        <v>51</v>
      </c>
      <c r="G14" s="79" t="s">
        <v>487</v>
      </c>
      <c r="H14" s="7">
        <v>5.0</v>
      </c>
      <c r="I14" s="7"/>
      <c r="J14" s="7"/>
      <c r="L14" s="7">
        <v>250.0</v>
      </c>
      <c r="M14" s="9">
        <f t="shared" si="1"/>
        <v>0</v>
      </c>
      <c r="N14" s="9">
        <f t="shared" si="2"/>
        <v>0</v>
      </c>
      <c r="O14" s="7">
        <v>1.0</v>
      </c>
      <c r="P14" s="11">
        <f t="shared" si="3"/>
        <v>0</v>
      </c>
      <c r="Q14" s="79">
        <v>10.0</v>
      </c>
      <c r="R14" s="84">
        <v>11.0</v>
      </c>
      <c r="S14" s="7">
        <v>3.0</v>
      </c>
      <c r="T14" s="7">
        <v>600.0</v>
      </c>
      <c r="U14" s="7">
        <f t="shared" si="4"/>
        <v>18000</v>
      </c>
      <c r="V14" s="7">
        <f t="shared" si="5"/>
        <v>3.33</v>
      </c>
      <c r="W14" s="14">
        <f t="shared" si="6"/>
        <v>1998</v>
      </c>
      <c r="X14" s="81">
        <f t="shared" si="7"/>
        <v>1980</v>
      </c>
      <c r="Y14" s="80">
        <v>16.4</v>
      </c>
      <c r="Z14" s="7">
        <v>600.0</v>
      </c>
      <c r="AA14" s="7">
        <v>1.5</v>
      </c>
      <c r="AB14" s="7">
        <f t="shared" si="8"/>
        <v>900</v>
      </c>
      <c r="AC14" s="7">
        <f t="shared" si="27"/>
        <v>501.6</v>
      </c>
      <c r="AD14" s="7">
        <f t="shared" si="10"/>
        <v>147.6</v>
      </c>
      <c r="AE14" s="83">
        <f t="shared" si="11"/>
        <v>1476</v>
      </c>
      <c r="AF14" s="82">
        <v>0.0</v>
      </c>
      <c r="AG14" s="7">
        <v>800.0</v>
      </c>
      <c r="AH14" s="78">
        <v>0.8</v>
      </c>
      <c r="AI14" s="7">
        <f t="shared" si="12"/>
        <v>640</v>
      </c>
      <c r="AJ14" s="7">
        <f t="shared" si="13"/>
        <v>800</v>
      </c>
      <c r="AK14" s="7">
        <f t="shared" si="14"/>
        <v>0</v>
      </c>
      <c r="AL14" s="14">
        <f t="shared" si="15"/>
        <v>0</v>
      </c>
      <c r="AM14" s="84">
        <v>35.0</v>
      </c>
      <c r="AN14" s="78">
        <v>2.0</v>
      </c>
      <c r="AO14" s="78">
        <v>24.0</v>
      </c>
      <c r="AP14" s="7">
        <f t="shared" si="16"/>
        <v>48</v>
      </c>
      <c r="AQ14" s="7">
        <f t="shared" si="17"/>
        <v>1.3</v>
      </c>
      <c r="AR14" s="7">
        <f t="shared" si="18"/>
        <v>16.8</v>
      </c>
      <c r="AS14" s="14">
        <f t="shared" si="19"/>
        <v>168</v>
      </c>
      <c r="AT14" s="82">
        <v>0.0</v>
      </c>
      <c r="AU14" s="78">
        <v>15000.0</v>
      </c>
      <c r="AV14" s="14">
        <f t="shared" si="20"/>
        <v>0</v>
      </c>
      <c r="AW14" s="84">
        <v>10.0</v>
      </c>
      <c r="AX14" s="78">
        <v>5000.0</v>
      </c>
      <c r="AY14" s="14">
        <f t="shared" si="21"/>
        <v>500</v>
      </c>
      <c r="AZ14" s="69">
        <f t="shared" si="22"/>
        <v>3874</v>
      </c>
      <c r="BA14" s="77" t="str">
        <f t="shared" si="23"/>
        <v>The DAT is free</v>
      </c>
      <c r="BB14" s="69">
        <f t="shared" si="24"/>
        <v>0</v>
      </c>
      <c r="BC14" s="78" t="str">
        <f t="shared" si="25"/>
        <v>YES</v>
      </c>
      <c r="BD14" s="7"/>
    </row>
    <row r="15" ht="15.75" customHeight="1">
      <c r="A15" s="12"/>
      <c r="B15" s="26" t="s">
        <v>36</v>
      </c>
      <c r="C15" s="25" t="s">
        <v>91</v>
      </c>
      <c r="D15" s="7" t="s">
        <v>488</v>
      </c>
      <c r="E15" s="7"/>
      <c r="F15" s="7" t="s">
        <v>489</v>
      </c>
      <c r="G15" s="79" t="s">
        <v>490</v>
      </c>
      <c r="H15" s="7">
        <v>5.0</v>
      </c>
      <c r="I15" s="7"/>
      <c r="J15" s="7"/>
      <c r="L15" s="7">
        <v>950.0</v>
      </c>
      <c r="M15" s="9">
        <f t="shared" si="1"/>
        <v>0</v>
      </c>
      <c r="N15" s="9">
        <f t="shared" si="2"/>
        <v>0</v>
      </c>
      <c r="O15" s="7">
        <v>1.0</v>
      </c>
      <c r="P15" s="11">
        <f t="shared" si="3"/>
        <v>0</v>
      </c>
      <c r="Q15" s="79">
        <v>10.0</v>
      </c>
      <c r="R15" s="84">
        <v>11.0</v>
      </c>
      <c r="S15" s="7">
        <v>3.0</v>
      </c>
      <c r="T15" s="7">
        <v>600.0</v>
      </c>
      <c r="U15" s="7">
        <f t="shared" si="4"/>
        <v>18000</v>
      </c>
      <c r="V15" s="7">
        <f t="shared" si="5"/>
        <v>3.33</v>
      </c>
      <c r="W15" s="14">
        <f t="shared" si="6"/>
        <v>1998</v>
      </c>
      <c r="X15" s="81">
        <f t="shared" si="7"/>
        <v>1980</v>
      </c>
      <c r="Y15" s="80">
        <v>16.4</v>
      </c>
      <c r="Z15" s="7">
        <v>600.0</v>
      </c>
      <c r="AA15" s="7">
        <v>1.5</v>
      </c>
      <c r="AB15" s="7">
        <f t="shared" si="8"/>
        <v>900</v>
      </c>
      <c r="AC15" s="7">
        <f t="shared" si="27"/>
        <v>501.6</v>
      </c>
      <c r="AD15" s="7">
        <f t="shared" si="10"/>
        <v>147.6</v>
      </c>
      <c r="AE15" s="83">
        <f t="shared" si="11"/>
        <v>1476</v>
      </c>
      <c r="AF15" s="82">
        <v>0.0</v>
      </c>
      <c r="AG15" s="7">
        <v>800.0</v>
      </c>
      <c r="AH15" s="78">
        <v>0.8</v>
      </c>
      <c r="AI15" s="7">
        <f t="shared" si="12"/>
        <v>640</v>
      </c>
      <c r="AJ15" s="7">
        <f t="shared" si="13"/>
        <v>800</v>
      </c>
      <c r="AK15" s="7">
        <f t="shared" si="14"/>
        <v>0</v>
      </c>
      <c r="AL15" s="14">
        <f t="shared" si="15"/>
        <v>0</v>
      </c>
      <c r="AM15" s="84">
        <v>35.0</v>
      </c>
      <c r="AN15" s="78">
        <v>2.0</v>
      </c>
      <c r="AO15" s="78">
        <v>24.0</v>
      </c>
      <c r="AP15" s="7">
        <f t="shared" si="16"/>
        <v>48</v>
      </c>
      <c r="AQ15" s="7">
        <f t="shared" si="17"/>
        <v>1.3</v>
      </c>
      <c r="AR15" s="7">
        <f t="shared" si="18"/>
        <v>16.8</v>
      </c>
      <c r="AS15" s="14">
        <f t="shared" si="19"/>
        <v>168</v>
      </c>
      <c r="AT15" s="82">
        <v>0.0</v>
      </c>
      <c r="AU15" s="78">
        <v>15000.0</v>
      </c>
      <c r="AV15" s="14">
        <f t="shared" si="20"/>
        <v>0</v>
      </c>
      <c r="AW15" s="84">
        <v>10.0</v>
      </c>
      <c r="AX15" s="78">
        <v>5000.0</v>
      </c>
      <c r="AY15" s="14">
        <f t="shared" si="21"/>
        <v>500</v>
      </c>
      <c r="AZ15" s="69">
        <f t="shared" si="22"/>
        <v>3174</v>
      </c>
      <c r="BA15" s="77" t="str">
        <f t="shared" si="23"/>
        <v>The DAT is free</v>
      </c>
      <c r="BB15" s="69">
        <f t="shared" si="24"/>
        <v>0</v>
      </c>
      <c r="BC15" s="78" t="str">
        <f t="shared" si="25"/>
        <v>YES</v>
      </c>
      <c r="BD15" s="7"/>
    </row>
    <row r="16" ht="15.75" customHeight="1">
      <c r="A16" s="12"/>
      <c r="B16" s="26" t="s">
        <v>36</v>
      </c>
      <c r="C16" s="25" t="s">
        <v>91</v>
      </c>
      <c r="D16" s="7" t="s">
        <v>491</v>
      </c>
      <c r="E16" s="7" t="s">
        <v>72</v>
      </c>
      <c r="F16" s="7" t="s">
        <v>51</v>
      </c>
      <c r="G16" s="79" t="s">
        <v>492</v>
      </c>
      <c r="H16" s="7">
        <v>5.0</v>
      </c>
      <c r="I16" s="7"/>
      <c r="J16" s="7"/>
      <c r="L16" s="7">
        <v>60.0</v>
      </c>
      <c r="M16" s="9">
        <f t="shared" si="1"/>
        <v>0</v>
      </c>
      <c r="N16" s="9">
        <f t="shared" si="2"/>
        <v>0</v>
      </c>
      <c r="O16" s="7">
        <v>1.0</v>
      </c>
      <c r="P16" s="11">
        <f t="shared" si="3"/>
        <v>0</v>
      </c>
      <c r="Q16" s="79">
        <v>10.0</v>
      </c>
      <c r="R16" s="84">
        <v>11.0</v>
      </c>
      <c r="S16" s="7">
        <v>3.0</v>
      </c>
      <c r="T16" s="7">
        <v>600.0</v>
      </c>
      <c r="U16" s="7">
        <f t="shared" si="4"/>
        <v>18000</v>
      </c>
      <c r="V16" s="7">
        <f t="shared" si="5"/>
        <v>3.33</v>
      </c>
      <c r="W16" s="14">
        <f t="shared" si="6"/>
        <v>1998</v>
      </c>
      <c r="X16" s="81">
        <f t="shared" si="7"/>
        <v>1980</v>
      </c>
      <c r="Y16" s="80">
        <v>0.0</v>
      </c>
      <c r="Z16" s="7">
        <v>600.0</v>
      </c>
      <c r="AA16" s="7">
        <v>1.5</v>
      </c>
      <c r="AB16" s="7">
        <f t="shared" si="8"/>
        <v>900</v>
      </c>
      <c r="AC16" s="7">
        <f t="shared" si="27"/>
        <v>600</v>
      </c>
      <c r="AD16" s="7">
        <f t="shared" si="10"/>
        <v>0</v>
      </c>
      <c r="AE16" s="83">
        <f t="shared" si="11"/>
        <v>0</v>
      </c>
      <c r="AF16" s="80">
        <v>17.4</v>
      </c>
      <c r="AG16" s="7">
        <v>800.0</v>
      </c>
      <c r="AH16" s="78">
        <v>0.8</v>
      </c>
      <c r="AI16" s="7">
        <f t="shared" si="12"/>
        <v>640</v>
      </c>
      <c r="AJ16" s="7">
        <f t="shared" si="13"/>
        <v>660.8</v>
      </c>
      <c r="AK16" s="7">
        <f t="shared" si="14"/>
        <v>111.36</v>
      </c>
      <c r="AL16" s="14">
        <f t="shared" si="15"/>
        <v>1113.6</v>
      </c>
      <c r="AM16" s="80">
        <v>0.0</v>
      </c>
      <c r="AN16" s="78">
        <v>2.0</v>
      </c>
      <c r="AO16" s="78">
        <v>24.0</v>
      </c>
      <c r="AP16" s="7">
        <f t="shared" si="16"/>
        <v>48</v>
      </c>
      <c r="AQ16" s="7">
        <f t="shared" si="17"/>
        <v>2</v>
      </c>
      <c r="AR16" s="7">
        <f t="shared" si="18"/>
        <v>0</v>
      </c>
      <c r="AS16" s="14">
        <f t="shared" si="19"/>
        <v>0</v>
      </c>
      <c r="AT16" s="82">
        <v>0.0</v>
      </c>
      <c r="AU16" s="78">
        <v>15000.0</v>
      </c>
      <c r="AV16" s="14">
        <f t="shared" si="20"/>
        <v>0</v>
      </c>
      <c r="AW16" s="84">
        <v>10.0</v>
      </c>
      <c r="AX16" s="78">
        <v>5000.0</v>
      </c>
      <c r="AY16" s="14">
        <f t="shared" si="21"/>
        <v>500</v>
      </c>
      <c r="AZ16" s="69">
        <f t="shared" si="22"/>
        <v>3533.6</v>
      </c>
      <c r="BA16" s="77" t="str">
        <f t="shared" si="23"/>
        <v>The DAT is free</v>
      </c>
      <c r="BB16" s="69">
        <f t="shared" si="24"/>
        <v>0</v>
      </c>
      <c r="BC16" s="78" t="str">
        <f t="shared" si="25"/>
        <v>YES</v>
      </c>
      <c r="BD16" s="7"/>
    </row>
    <row r="17" ht="15.75" customHeight="1">
      <c r="A17" s="12"/>
      <c r="B17" s="26" t="s">
        <v>77</v>
      </c>
      <c r="C17" s="25" t="s">
        <v>91</v>
      </c>
      <c r="D17" s="7" t="s">
        <v>79</v>
      </c>
      <c r="E17" s="7" t="s">
        <v>80</v>
      </c>
      <c r="F17" s="7" t="s">
        <v>51</v>
      </c>
      <c r="G17" s="79" t="s">
        <v>493</v>
      </c>
      <c r="H17" s="7">
        <v>5.0</v>
      </c>
      <c r="I17" s="7"/>
      <c r="J17" s="7">
        <v>6.0</v>
      </c>
      <c r="L17" s="7"/>
      <c r="M17" s="9">
        <f t="shared" si="1"/>
        <v>0</v>
      </c>
      <c r="N17" s="9">
        <f t="shared" si="2"/>
        <v>2.4</v>
      </c>
      <c r="O17" s="7">
        <v>1.0</v>
      </c>
      <c r="P17" s="11">
        <f t="shared" si="3"/>
        <v>60</v>
      </c>
      <c r="Q17" s="79">
        <v>10.0</v>
      </c>
      <c r="R17" s="84">
        <v>11.0</v>
      </c>
      <c r="S17" s="7">
        <v>3.0</v>
      </c>
      <c r="T17" s="7">
        <v>600.0</v>
      </c>
      <c r="U17" s="7">
        <f t="shared" si="4"/>
        <v>18000</v>
      </c>
      <c r="V17" s="7">
        <f t="shared" si="5"/>
        <v>3.33</v>
      </c>
      <c r="W17" s="14">
        <f t="shared" si="6"/>
        <v>1998</v>
      </c>
      <c r="X17" s="81">
        <f t="shared" si="7"/>
        <v>1980</v>
      </c>
      <c r="Y17" s="80">
        <v>16.4</v>
      </c>
      <c r="Z17" s="7">
        <v>600.0</v>
      </c>
      <c r="AA17" s="7">
        <v>1.5</v>
      </c>
      <c r="AB17" s="7">
        <f t="shared" si="8"/>
        <v>900</v>
      </c>
      <c r="AC17" s="7">
        <f t="shared" si="27"/>
        <v>501.6</v>
      </c>
      <c r="AD17" s="7">
        <f t="shared" si="10"/>
        <v>147.6</v>
      </c>
      <c r="AE17" s="83">
        <f t="shared" si="11"/>
        <v>1476</v>
      </c>
      <c r="AF17" s="82">
        <v>0.0</v>
      </c>
      <c r="AG17" s="7">
        <v>800.0</v>
      </c>
      <c r="AH17" s="78">
        <v>0.8</v>
      </c>
      <c r="AI17" s="7">
        <f t="shared" si="12"/>
        <v>640</v>
      </c>
      <c r="AJ17" s="7">
        <f t="shared" si="13"/>
        <v>800</v>
      </c>
      <c r="AK17" s="7">
        <f t="shared" si="14"/>
        <v>0</v>
      </c>
      <c r="AL17" s="14">
        <f t="shared" si="15"/>
        <v>0</v>
      </c>
      <c r="AM17" s="84">
        <v>35.0</v>
      </c>
      <c r="AN17" s="78">
        <v>2.0</v>
      </c>
      <c r="AO17" s="78">
        <v>24.0</v>
      </c>
      <c r="AP17" s="7">
        <f t="shared" si="16"/>
        <v>48</v>
      </c>
      <c r="AQ17" s="7">
        <f t="shared" si="17"/>
        <v>1.3</v>
      </c>
      <c r="AR17" s="7">
        <f t="shared" si="18"/>
        <v>16.8</v>
      </c>
      <c r="AS17" s="14">
        <f t="shared" si="19"/>
        <v>168</v>
      </c>
      <c r="AT17" s="84">
        <v>0.0</v>
      </c>
      <c r="AU17" s="78">
        <v>15000.0</v>
      </c>
      <c r="AV17" s="14">
        <f t="shared" si="20"/>
        <v>0</v>
      </c>
      <c r="AW17" s="84">
        <v>0.0</v>
      </c>
      <c r="AX17" s="78">
        <v>5000.0</v>
      </c>
      <c r="AY17" s="14">
        <f t="shared" si="21"/>
        <v>0</v>
      </c>
      <c r="AZ17" s="69">
        <f t="shared" si="22"/>
        <v>3621.6</v>
      </c>
      <c r="BA17" s="77">
        <f t="shared" si="23"/>
        <v>60.36</v>
      </c>
      <c r="BB17" s="69">
        <f t="shared" si="24"/>
        <v>0.01656726309</v>
      </c>
      <c r="BC17" s="78" t="str">
        <f t="shared" si="25"/>
        <v>YES</v>
      </c>
      <c r="BD17" s="7"/>
    </row>
    <row r="18" ht="15.75" customHeight="1">
      <c r="A18" s="12"/>
      <c r="B18" s="26" t="s">
        <v>14</v>
      </c>
      <c r="C18" s="25" t="s">
        <v>37</v>
      </c>
      <c r="D18" s="7" t="s">
        <v>135</v>
      </c>
      <c r="E18" s="7" t="s">
        <v>136</v>
      </c>
      <c r="F18" s="7" t="s">
        <v>51</v>
      </c>
      <c r="G18" s="79" t="s">
        <v>139</v>
      </c>
      <c r="H18" s="7">
        <v>5.0</v>
      </c>
      <c r="I18" s="7"/>
      <c r="J18" s="7"/>
      <c r="L18" s="7">
        <v>1000.0</v>
      </c>
      <c r="M18" s="9">
        <f t="shared" si="1"/>
        <v>0</v>
      </c>
      <c r="N18" s="9">
        <f t="shared" si="2"/>
        <v>0</v>
      </c>
      <c r="O18" s="7">
        <v>1.0</v>
      </c>
      <c r="P18" s="11">
        <f t="shared" si="3"/>
        <v>0</v>
      </c>
      <c r="Q18" s="79">
        <v>10.0</v>
      </c>
      <c r="R18" s="84">
        <v>11.0</v>
      </c>
      <c r="S18" s="7">
        <v>3.0</v>
      </c>
      <c r="T18" s="7">
        <v>600.0</v>
      </c>
      <c r="U18" s="7">
        <f t="shared" si="4"/>
        <v>18000</v>
      </c>
      <c r="V18" s="7">
        <f t="shared" si="5"/>
        <v>3.33</v>
      </c>
      <c r="W18" s="14">
        <f t="shared" si="6"/>
        <v>1998</v>
      </c>
      <c r="X18" s="81">
        <f t="shared" si="7"/>
        <v>1980</v>
      </c>
      <c r="Y18" s="80">
        <v>16.4</v>
      </c>
      <c r="Z18" s="7">
        <v>600.0</v>
      </c>
      <c r="AA18" s="7">
        <v>1.5</v>
      </c>
      <c r="AB18" s="7">
        <f t="shared" si="8"/>
        <v>900</v>
      </c>
      <c r="AC18" s="7">
        <f t="shared" si="27"/>
        <v>501.6</v>
      </c>
      <c r="AD18" s="7">
        <f t="shared" si="10"/>
        <v>147.6</v>
      </c>
      <c r="AE18" s="83">
        <f t="shared" si="11"/>
        <v>1476</v>
      </c>
      <c r="AF18" s="82">
        <v>0.0</v>
      </c>
      <c r="AG18" s="7">
        <v>800.0</v>
      </c>
      <c r="AH18" s="78">
        <v>0.8</v>
      </c>
      <c r="AI18" s="7">
        <f t="shared" si="12"/>
        <v>640</v>
      </c>
      <c r="AJ18" s="7">
        <f t="shared" si="13"/>
        <v>800</v>
      </c>
      <c r="AK18" s="7">
        <f t="shared" si="14"/>
        <v>0</v>
      </c>
      <c r="AL18" s="14">
        <f t="shared" si="15"/>
        <v>0</v>
      </c>
      <c r="AM18" s="84">
        <v>35.0</v>
      </c>
      <c r="AN18" s="78">
        <v>2.0</v>
      </c>
      <c r="AO18" s="78">
        <v>24.0</v>
      </c>
      <c r="AP18" s="7">
        <f t="shared" si="16"/>
        <v>48</v>
      </c>
      <c r="AQ18" s="7">
        <f t="shared" si="17"/>
        <v>1.3</v>
      </c>
      <c r="AR18" s="7">
        <f t="shared" si="18"/>
        <v>16.8</v>
      </c>
      <c r="AS18" s="14">
        <f t="shared" si="19"/>
        <v>168</v>
      </c>
      <c r="AT18" s="82">
        <v>0.0</v>
      </c>
      <c r="AU18" s="78">
        <v>15000.0</v>
      </c>
      <c r="AV18" s="14">
        <f t="shared" si="20"/>
        <v>0</v>
      </c>
      <c r="AW18" s="84">
        <v>10.0</v>
      </c>
      <c r="AX18" s="78">
        <v>5000.0</v>
      </c>
      <c r="AY18" s="14">
        <f t="shared" si="21"/>
        <v>500</v>
      </c>
      <c r="AZ18" s="69">
        <f t="shared" si="22"/>
        <v>3124</v>
      </c>
      <c r="BA18" s="77" t="str">
        <f t="shared" si="23"/>
        <v>The DAT is free</v>
      </c>
      <c r="BB18" s="69">
        <f t="shared" si="24"/>
        <v>0</v>
      </c>
      <c r="BC18" s="78" t="str">
        <f t="shared" si="25"/>
        <v>YES</v>
      </c>
      <c r="BD18" s="7"/>
    </row>
    <row r="19" ht="15.75" customHeight="1">
      <c r="A19" s="12"/>
      <c r="B19" s="26" t="s">
        <v>14</v>
      </c>
      <c r="C19" s="25" t="s">
        <v>37</v>
      </c>
      <c r="D19" s="7" t="s">
        <v>130</v>
      </c>
      <c r="E19" s="7" t="s">
        <v>130</v>
      </c>
      <c r="F19" s="7" t="s">
        <v>51</v>
      </c>
      <c r="G19" s="79" t="s">
        <v>494</v>
      </c>
      <c r="H19" s="7">
        <v>5.0</v>
      </c>
      <c r="I19" s="7"/>
      <c r="J19" s="7"/>
      <c r="L19" s="7">
        <v>500.0</v>
      </c>
      <c r="M19" s="9">
        <f t="shared" si="1"/>
        <v>0</v>
      </c>
      <c r="N19" s="9">
        <f t="shared" si="2"/>
        <v>0</v>
      </c>
      <c r="O19" s="7">
        <v>1.0</v>
      </c>
      <c r="P19" s="11">
        <f t="shared" si="3"/>
        <v>0</v>
      </c>
      <c r="Q19" s="79">
        <v>10.0</v>
      </c>
      <c r="R19" s="84">
        <v>11.0</v>
      </c>
      <c r="S19" s="7">
        <v>3.0</v>
      </c>
      <c r="T19" s="7">
        <v>600.0</v>
      </c>
      <c r="U19" s="7">
        <f t="shared" si="4"/>
        <v>18000</v>
      </c>
      <c r="V19" s="7">
        <f t="shared" si="5"/>
        <v>3.33</v>
      </c>
      <c r="W19" s="14">
        <f t="shared" si="6"/>
        <v>1998</v>
      </c>
      <c r="X19" s="81">
        <f t="shared" si="7"/>
        <v>1980</v>
      </c>
      <c r="Y19" s="80">
        <v>16.4</v>
      </c>
      <c r="Z19" s="7">
        <v>600.0</v>
      </c>
      <c r="AA19" s="7">
        <v>1.5</v>
      </c>
      <c r="AB19" s="7">
        <f t="shared" si="8"/>
        <v>900</v>
      </c>
      <c r="AC19" s="7">
        <f t="shared" si="27"/>
        <v>501.6</v>
      </c>
      <c r="AD19" s="7">
        <f t="shared" si="10"/>
        <v>147.6</v>
      </c>
      <c r="AE19" s="83">
        <f t="shared" si="11"/>
        <v>1476</v>
      </c>
      <c r="AF19" s="82">
        <v>0.0</v>
      </c>
      <c r="AG19" s="7">
        <v>800.0</v>
      </c>
      <c r="AH19" s="78">
        <v>0.8</v>
      </c>
      <c r="AI19" s="7">
        <f t="shared" si="12"/>
        <v>640</v>
      </c>
      <c r="AJ19" s="7">
        <f t="shared" si="13"/>
        <v>800</v>
      </c>
      <c r="AK19" s="7">
        <f t="shared" si="14"/>
        <v>0</v>
      </c>
      <c r="AL19" s="14">
        <f t="shared" si="15"/>
        <v>0</v>
      </c>
      <c r="AM19" s="84">
        <v>35.0</v>
      </c>
      <c r="AN19" s="78">
        <v>2.0</v>
      </c>
      <c r="AO19" s="78">
        <v>24.0</v>
      </c>
      <c r="AP19" s="7">
        <f t="shared" si="16"/>
        <v>48</v>
      </c>
      <c r="AQ19" s="7">
        <f t="shared" si="17"/>
        <v>1.3</v>
      </c>
      <c r="AR19" s="7">
        <f t="shared" si="18"/>
        <v>16.8</v>
      </c>
      <c r="AS19" s="14">
        <f t="shared" si="19"/>
        <v>168</v>
      </c>
      <c r="AT19" s="82">
        <v>0.0</v>
      </c>
      <c r="AU19" s="78">
        <v>15000.0</v>
      </c>
      <c r="AV19" s="14">
        <f t="shared" si="20"/>
        <v>0</v>
      </c>
      <c r="AW19" s="84">
        <v>10.0</v>
      </c>
      <c r="AX19" s="78">
        <v>5000.0</v>
      </c>
      <c r="AY19" s="14">
        <f t="shared" si="21"/>
        <v>500</v>
      </c>
      <c r="AZ19" s="69">
        <f t="shared" si="22"/>
        <v>3624</v>
      </c>
      <c r="BA19" s="77" t="str">
        <f t="shared" si="23"/>
        <v>The DAT is free</v>
      </c>
      <c r="BB19" s="69">
        <f t="shared" si="24"/>
        <v>0</v>
      </c>
      <c r="BC19" s="78" t="str">
        <f t="shared" si="25"/>
        <v>YES</v>
      </c>
      <c r="BD19" s="78"/>
    </row>
    <row r="20" ht="15.75" customHeight="1">
      <c r="A20" s="12"/>
      <c r="B20" s="26" t="s">
        <v>14</v>
      </c>
      <c r="C20" s="25" t="s">
        <v>91</v>
      </c>
      <c r="D20" s="7" t="s">
        <v>495</v>
      </c>
      <c r="E20" s="7" t="s">
        <v>109</v>
      </c>
      <c r="F20" s="7" t="s">
        <v>481</v>
      </c>
      <c r="G20" s="79" t="s">
        <v>496</v>
      </c>
      <c r="H20" s="7">
        <v>5.0</v>
      </c>
      <c r="I20" s="78">
        <v>6300.0</v>
      </c>
      <c r="J20" s="7"/>
      <c r="L20" s="7"/>
      <c r="M20" s="9">
        <f t="shared" si="1"/>
        <v>1260</v>
      </c>
      <c r="N20" s="9">
        <f t="shared" si="2"/>
        <v>252</v>
      </c>
      <c r="O20" s="7">
        <v>1.0</v>
      </c>
      <c r="P20" s="11">
        <f t="shared" si="3"/>
        <v>6300</v>
      </c>
      <c r="Q20" s="79">
        <v>10.0</v>
      </c>
      <c r="R20" s="84">
        <v>11.0</v>
      </c>
      <c r="S20" s="7">
        <v>3.0</v>
      </c>
      <c r="T20" s="7">
        <v>600.0</v>
      </c>
      <c r="U20" s="7">
        <f t="shared" si="4"/>
        <v>18000</v>
      </c>
      <c r="V20" s="7">
        <f t="shared" si="5"/>
        <v>3.33</v>
      </c>
      <c r="W20" s="14">
        <f t="shared" si="6"/>
        <v>1998</v>
      </c>
      <c r="X20" s="81">
        <f t="shared" si="7"/>
        <v>1980</v>
      </c>
      <c r="Y20" s="80">
        <v>16.4</v>
      </c>
      <c r="Z20" s="7">
        <v>600.0</v>
      </c>
      <c r="AA20" s="7">
        <v>1.5</v>
      </c>
      <c r="AB20" s="7">
        <f t="shared" si="8"/>
        <v>900</v>
      </c>
      <c r="AC20" s="7">
        <f t="shared" si="27"/>
        <v>501.6</v>
      </c>
      <c r="AD20" s="7">
        <f t="shared" si="10"/>
        <v>147.6</v>
      </c>
      <c r="AE20" s="83">
        <f t="shared" si="11"/>
        <v>1476</v>
      </c>
      <c r="AF20" s="82">
        <v>0.0</v>
      </c>
      <c r="AG20" s="7">
        <v>800.0</v>
      </c>
      <c r="AH20" s="78">
        <v>0.8</v>
      </c>
      <c r="AI20" s="7">
        <f t="shared" si="12"/>
        <v>640</v>
      </c>
      <c r="AJ20" s="7">
        <f t="shared" si="13"/>
        <v>800</v>
      </c>
      <c r="AK20" s="7">
        <f t="shared" si="14"/>
        <v>0</v>
      </c>
      <c r="AL20" s="14">
        <f t="shared" si="15"/>
        <v>0</v>
      </c>
      <c r="AM20" s="84">
        <v>35.0</v>
      </c>
      <c r="AN20" s="78">
        <v>2.0</v>
      </c>
      <c r="AO20" s="78">
        <v>24.0</v>
      </c>
      <c r="AP20" s="7">
        <f t="shared" si="16"/>
        <v>48</v>
      </c>
      <c r="AQ20" s="7">
        <f t="shared" si="17"/>
        <v>1.3</v>
      </c>
      <c r="AR20" s="7">
        <f t="shared" si="18"/>
        <v>16.8</v>
      </c>
      <c r="AS20" s="14">
        <f t="shared" si="19"/>
        <v>168</v>
      </c>
      <c r="AT20" s="82">
        <v>0.0</v>
      </c>
      <c r="AU20" s="78">
        <v>15000.0</v>
      </c>
      <c r="AV20" s="14">
        <f t="shared" si="20"/>
        <v>0</v>
      </c>
      <c r="AW20" s="84">
        <v>10.0</v>
      </c>
      <c r="AX20" s="78">
        <v>5000.0</v>
      </c>
      <c r="AY20" s="14">
        <f t="shared" si="21"/>
        <v>500</v>
      </c>
      <c r="AZ20" s="69">
        <f t="shared" si="22"/>
        <v>2612</v>
      </c>
      <c r="BA20" s="77">
        <f t="shared" si="23"/>
        <v>0.4146031746</v>
      </c>
      <c r="BB20" s="69">
        <f t="shared" si="24"/>
        <v>2.41194487</v>
      </c>
      <c r="BC20" s="78" t="str">
        <f t="shared" si="25"/>
        <v>YES</v>
      </c>
      <c r="BD20" s="78"/>
    </row>
    <row r="21" ht="15.75" customHeight="1">
      <c r="A21" s="18"/>
      <c r="B21" s="85" t="s">
        <v>14</v>
      </c>
      <c r="C21" s="86" t="s">
        <v>91</v>
      </c>
      <c r="D21" s="19" t="s">
        <v>108</v>
      </c>
      <c r="E21" s="19" t="s">
        <v>109</v>
      </c>
      <c r="F21" s="19" t="s">
        <v>156</v>
      </c>
      <c r="G21" s="87" t="s">
        <v>497</v>
      </c>
      <c r="H21" s="19">
        <v>5.0</v>
      </c>
      <c r="I21" s="19">
        <v>3300.0</v>
      </c>
      <c r="J21" s="19"/>
      <c r="K21" s="19"/>
      <c r="L21" s="19"/>
      <c r="M21" s="9">
        <f t="shared" si="1"/>
        <v>660</v>
      </c>
      <c r="N21" s="9">
        <f t="shared" si="2"/>
        <v>132</v>
      </c>
      <c r="O21" s="19">
        <v>1.0</v>
      </c>
      <c r="P21" s="11">
        <f t="shared" si="3"/>
        <v>3300</v>
      </c>
      <c r="Q21" s="87">
        <v>10.0</v>
      </c>
      <c r="R21" s="88">
        <v>11.0</v>
      </c>
      <c r="S21" s="19">
        <v>3.0</v>
      </c>
      <c r="T21" s="19">
        <v>600.0</v>
      </c>
      <c r="U21" s="19">
        <f t="shared" si="4"/>
        <v>18000</v>
      </c>
      <c r="V21" s="19">
        <f t="shared" si="5"/>
        <v>3.33</v>
      </c>
      <c r="W21" s="21">
        <f t="shared" si="6"/>
        <v>1998</v>
      </c>
      <c r="X21" s="89">
        <f t="shared" si="7"/>
        <v>1980</v>
      </c>
      <c r="Y21" s="90">
        <v>16.4</v>
      </c>
      <c r="Z21" s="19">
        <v>600.0</v>
      </c>
      <c r="AA21" s="19">
        <v>1.5</v>
      </c>
      <c r="AB21" s="19">
        <f t="shared" si="8"/>
        <v>900</v>
      </c>
      <c r="AC21" s="19">
        <f t="shared" si="27"/>
        <v>501.6</v>
      </c>
      <c r="AD21" s="19">
        <f t="shared" si="10"/>
        <v>147.6</v>
      </c>
      <c r="AE21" s="91">
        <f t="shared" si="11"/>
        <v>1476</v>
      </c>
      <c r="AF21" s="92">
        <v>0.0</v>
      </c>
      <c r="AG21" s="19">
        <v>800.0</v>
      </c>
      <c r="AH21" s="93">
        <v>0.8</v>
      </c>
      <c r="AI21" s="19">
        <f t="shared" si="12"/>
        <v>640</v>
      </c>
      <c r="AJ21" s="19">
        <f t="shared" si="13"/>
        <v>800</v>
      </c>
      <c r="AK21" s="19">
        <f t="shared" si="14"/>
        <v>0</v>
      </c>
      <c r="AL21" s="21">
        <f t="shared" si="15"/>
        <v>0</v>
      </c>
      <c r="AM21" s="88">
        <v>35.0</v>
      </c>
      <c r="AN21" s="93">
        <v>2.0</v>
      </c>
      <c r="AO21" s="93">
        <v>24.0</v>
      </c>
      <c r="AP21" s="19">
        <f t="shared" si="16"/>
        <v>48</v>
      </c>
      <c r="AQ21" s="19">
        <f t="shared" si="17"/>
        <v>1.3</v>
      </c>
      <c r="AR21" s="19">
        <f t="shared" si="18"/>
        <v>16.8</v>
      </c>
      <c r="AS21" s="21">
        <f t="shared" si="19"/>
        <v>168</v>
      </c>
      <c r="AT21" s="92">
        <v>0.0</v>
      </c>
      <c r="AU21" s="93">
        <v>15000.0</v>
      </c>
      <c r="AV21" s="21">
        <f t="shared" si="20"/>
        <v>0</v>
      </c>
      <c r="AW21" s="88">
        <v>10.0</v>
      </c>
      <c r="AX21" s="93">
        <v>5000.0</v>
      </c>
      <c r="AY21" s="21">
        <f t="shared" si="21"/>
        <v>500</v>
      </c>
      <c r="AZ21" s="69">
        <f t="shared" si="22"/>
        <v>3332</v>
      </c>
      <c r="BA21" s="77">
        <f t="shared" si="23"/>
        <v>1.00969697</v>
      </c>
      <c r="BB21" s="69">
        <f t="shared" si="24"/>
        <v>0.9903961585</v>
      </c>
      <c r="BC21" s="78" t="str">
        <f t="shared" si="25"/>
        <v>YES</v>
      </c>
      <c r="BD21" s="78"/>
    </row>
    <row r="22" ht="15.75" customHeight="1">
      <c r="A22" s="66" t="s">
        <v>140</v>
      </c>
      <c r="B22" s="67" t="s">
        <v>14</v>
      </c>
      <c r="C22" s="68" t="s">
        <v>141</v>
      </c>
      <c r="D22" s="9" t="s">
        <v>142</v>
      </c>
      <c r="E22" s="9" t="s">
        <v>143</v>
      </c>
      <c r="F22" s="9" t="s">
        <v>156</v>
      </c>
      <c r="G22" s="69" t="s">
        <v>498</v>
      </c>
      <c r="H22" s="9">
        <v>5.0</v>
      </c>
      <c r="I22" s="9">
        <v>6290.0</v>
      </c>
      <c r="J22" s="9"/>
      <c r="K22" s="9"/>
      <c r="L22" s="9"/>
      <c r="M22" s="9">
        <f t="shared" si="1"/>
        <v>1258</v>
      </c>
      <c r="N22" s="9">
        <f t="shared" si="2"/>
        <v>251.6</v>
      </c>
      <c r="O22" s="9">
        <v>1.0</v>
      </c>
      <c r="P22" s="11">
        <f t="shared" si="3"/>
        <v>6290</v>
      </c>
      <c r="Q22" s="69">
        <v>10.0</v>
      </c>
      <c r="R22" s="71">
        <v>12.5</v>
      </c>
      <c r="S22" s="9">
        <v>3.0</v>
      </c>
      <c r="T22" s="9">
        <v>600.0</v>
      </c>
      <c r="U22" s="9">
        <f t="shared" si="4"/>
        <v>18000</v>
      </c>
      <c r="V22" s="9">
        <f t="shared" si="5"/>
        <v>3.375</v>
      </c>
      <c r="W22" s="11">
        <f t="shared" si="6"/>
        <v>2025</v>
      </c>
      <c r="X22" s="72">
        <f t="shared" si="7"/>
        <v>2250</v>
      </c>
      <c r="Y22" s="71">
        <v>12.5</v>
      </c>
      <c r="Z22" s="9">
        <v>600.0</v>
      </c>
      <c r="AA22" s="9">
        <v>1.5</v>
      </c>
      <c r="AB22" s="9">
        <f t="shared" si="8"/>
        <v>900</v>
      </c>
      <c r="AC22" s="9">
        <f t="shared" si="27"/>
        <v>525</v>
      </c>
      <c r="AD22" s="9">
        <f t="shared" si="10"/>
        <v>112.5</v>
      </c>
      <c r="AE22" s="73">
        <f t="shared" si="11"/>
        <v>1125</v>
      </c>
      <c r="AF22" s="75">
        <v>65.0</v>
      </c>
      <c r="AG22" s="9">
        <v>800.0</v>
      </c>
      <c r="AH22" s="74">
        <v>0.8</v>
      </c>
      <c r="AI22" s="9">
        <f t="shared" si="12"/>
        <v>640</v>
      </c>
      <c r="AJ22" s="9">
        <f t="shared" si="13"/>
        <v>280</v>
      </c>
      <c r="AK22" s="9">
        <f t="shared" si="14"/>
        <v>416</v>
      </c>
      <c r="AL22" s="11">
        <f t="shared" si="15"/>
        <v>4160</v>
      </c>
      <c r="AM22" s="75">
        <v>5.0</v>
      </c>
      <c r="AN22" s="74">
        <v>2.0</v>
      </c>
      <c r="AO22" s="74">
        <v>24.0</v>
      </c>
      <c r="AP22" s="9">
        <f t="shared" si="16"/>
        <v>48</v>
      </c>
      <c r="AQ22" s="9">
        <f t="shared" si="17"/>
        <v>1.9</v>
      </c>
      <c r="AR22" s="9">
        <f t="shared" si="18"/>
        <v>2.4</v>
      </c>
      <c r="AS22" s="11">
        <f t="shared" si="19"/>
        <v>24</v>
      </c>
      <c r="AT22" s="75">
        <v>8.0</v>
      </c>
      <c r="AU22" s="74">
        <v>15000.0</v>
      </c>
      <c r="AV22" s="9">
        <f t="shared" si="20"/>
        <v>1200</v>
      </c>
      <c r="AW22" s="71">
        <v>26.0</v>
      </c>
      <c r="AX22" s="74">
        <v>5000.0</v>
      </c>
      <c r="AY22" s="11">
        <f t="shared" si="21"/>
        <v>1300</v>
      </c>
      <c r="AZ22" s="69">
        <f t="shared" si="22"/>
        <v>8549.4</v>
      </c>
      <c r="BA22" s="77">
        <f t="shared" si="23"/>
        <v>1.359205087</v>
      </c>
      <c r="BB22" s="69">
        <f t="shared" si="24"/>
        <v>0.7357241444</v>
      </c>
      <c r="BC22" s="78" t="str">
        <f t="shared" si="25"/>
        <v>YES</v>
      </c>
    </row>
    <row r="23" ht="15.75" customHeight="1">
      <c r="A23" s="12"/>
      <c r="B23" s="26" t="s">
        <v>14</v>
      </c>
      <c r="C23" s="25" t="s">
        <v>141</v>
      </c>
      <c r="D23" s="7" t="s">
        <v>147</v>
      </c>
      <c r="E23" s="7" t="s">
        <v>148</v>
      </c>
      <c r="F23" s="7" t="s">
        <v>156</v>
      </c>
      <c r="G23" s="79" t="s">
        <v>499</v>
      </c>
      <c r="H23" s="7">
        <v>5.0</v>
      </c>
      <c r="I23" s="7">
        <v>5100.0</v>
      </c>
      <c r="J23" s="7"/>
      <c r="L23" s="7"/>
      <c r="M23" s="9">
        <f t="shared" si="1"/>
        <v>1020</v>
      </c>
      <c r="N23" s="9">
        <f t="shared" si="2"/>
        <v>204</v>
      </c>
      <c r="O23" s="7">
        <v>1.0</v>
      </c>
      <c r="P23" s="11">
        <f t="shared" si="3"/>
        <v>5100</v>
      </c>
      <c r="Q23" s="79">
        <v>10.0</v>
      </c>
      <c r="R23" s="80">
        <v>12.5</v>
      </c>
      <c r="S23" s="7">
        <v>3.0</v>
      </c>
      <c r="T23" s="7">
        <v>600.0</v>
      </c>
      <c r="U23" s="7">
        <f t="shared" si="4"/>
        <v>18000</v>
      </c>
      <c r="V23" s="7">
        <f t="shared" si="5"/>
        <v>3.375</v>
      </c>
      <c r="W23" s="14">
        <f t="shared" si="6"/>
        <v>2025</v>
      </c>
      <c r="X23" s="94">
        <f t="shared" si="7"/>
        <v>2250</v>
      </c>
      <c r="Y23" s="80">
        <v>12.5</v>
      </c>
      <c r="Z23" s="7">
        <v>600.0</v>
      </c>
      <c r="AA23" s="7">
        <v>1.5</v>
      </c>
      <c r="AB23" s="7">
        <f t="shared" si="8"/>
        <v>900</v>
      </c>
      <c r="AC23" s="7">
        <f t="shared" si="27"/>
        <v>525</v>
      </c>
      <c r="AD23" s="7">
        <f t="shared" si="10"/>
        <v>112.5</v>
      </c>
      <c r="AE23" s="83">
        <f t="shared" si="11"/>
        <v>1125</v>
      </c>
      <c r="AF23" s="84">
        <v>65.0</v>
      </c>
      <c r="AG23" s="7">
        <v>800.0</v>
      </c>
      <c r="AH23" s="78">
        <v>0.8</v>
      </c>
      <c r="AI23" s="7">
        <f t="shared" si="12"/>
        <v>640</v>
      </c>
      <c r="AJ23" s="7">
        <f t="shared" si="13"/>
        <v>280</v>
      </c>
      <c r="AK23" s="7">
        <f t="shared" si="14"/>
        <v>416</v>
      </c>
      <c r="AL23" s="14">
        <f t="shared" si="15"/>
        <v>4160</v>
      </c>
      <c r="AM23" s="84">
        <v>5.0</v>
      </c>
      <c r="AN23" s="78">
        <v>2.0</v>
      </c>
      <c r="AO23" s="78">
        <v>24.0</v>
      </c>
      <c r="AP23" s="7">
        <f t="shared" si="16"/>
        <v>48</v>
      </c>
      <c r="AQ23" s="7">
        <f t="shared" si="17"/>
        <v>1.9</v>
      </c>
      <c r="AR23" s="7">
        <f t="shared" si="18"/>
        <v>2.4</v>
      </c>
      <c r="AS23" s="14">
        <f t="shared" si="19"/>
        <v>24</v>
      </c>
      <c r="AT23" s="84">
        <v>8.0</v>
      </c>
      <c r="AU23" s="78">
        <v>15000.0</v>
      </c>
      <c r="AV23" s="7">
        <f t="shared" si="20"/>
        <v>1200</v>
      </c>
      <c r="AW23" s="80">
        <v>26.0</v>
      </c>
      <c r="AX23" s="78">
        <v>5000.0</v>
      </c>
      <c r="AY23" s="14">
        <f t="shared" si="21"/>
        <v>1300</v>
      </c>
      <c r="AZ23" s="69">
        <f t="shared" si="22"/>
        <v>8835</v>
      </c>
      <c r="BA23" s="77">
        <f t="shared" si="23"/>
        <v>1.732352941</v>
      </c>
      <c r="BB23" s="69">
        <f t="shared" si="24"/>
        <v>0.5772495756</v>
      </c>
      <c r="BC23" s="78" t="str">
        <f t="shared" si="25"/>
        <v>YES</v>
      </c>
    </row>
    <row r="24" ht="15.75" customHeight="1">
      <c r="A24" s="12"/>
      <c r="B24" s="7" t="s">
        <v>14</v>
      </c>
      <c r="C24" s="7" t="s">
        <v>141</v>
      </c>
      <c r="D24" s="95" t="s">
        <v>152</v>
      </c>
      <c r="E24" s="23" t="s">
        <v>153</v>
      </c>
      <c r="F24" s="23"/>
      <c r="G24" s="79" t="s">
        <v>500</v>
      </c>
      <c r="H24" s="7">
        <v>5.0</v>
      </c>
      <c r="I24" s="7">
        <v>849.0</v>
      </c>
      <c r="J24" s="7"/>
      <c r="L24" s="7"/>
      <c r="M24" s="9">
        <f t="shared" si="1"/>
        <v>169.8</v>
      </c>
      <c r="N24" s="9">
        <f t="shared" si="2"/>
        <v>33.96</v>
      </c>
      <c r="O24" s="7">
        <v>1.0</v>
      </c>
      <c r="P24" s="11">
        <f t="shared" si="3"/>
        <v>849</v>
      </c>
      <c r="Q24" s="79">
        <v>10.0</v>
      </c>
      <c r="R24" s="80">
        <v>12.5</v>
      </c>
      <c r="S24" s="7">
        <v>3.0</v>
      </c>
      <c r="T24" s="7">
        <v>600.0</v>
      </c>
      <c r="U24" s="7">
        <f t="shared" si="4"/>
        <v>18000</v>
      </c>
      <c r="V24" s="7">
        <f t="shared" si="5"/>
        <v>3.375</v>
      </c>
      <c r="W24" s="14">
        <f t="shared" si="6"/>
        <v>2025</v>
      </c>
      <c r="X24" s="94">
        <f t="shared" si="7"/>
        <v>2250</v>
      </c>
      <c r="Y24" s="80">
        <v>12.5</v>
      </c>
      <c r="Z24" s="7">
        <v>600.0</v>
      </c>
      <c r="AA24" s="7">
        <v>1.5</v>
      </c>
      <c r="AB24" s="7">
        <f t="shared" si="8"/>
        <v>900</v>
      </c>
      <c r="AC24" s="7">
        <f t="shared" si="27"/>
        <v>525</v>
      </c>
      <c r="AD24" s="7">
        <f t="shared" si="10"/>
        <v>112.5</v>
      </c>
      <c r="AE24" s="83">
        <f t="shared" si="11"/>
        <v>1125</v>
      </c>
      <c r="AF24" s="84">
        <v>65.0</v>
      </c>
      <c r="AG24" s="7">
        <v>800.0</v>
      </c>
      <c r="AH24" s="78">
        <v>0.8</v>
      </c>
      <c r="AI24" s="7">
        <f t="shared" si="12"/>
        <v>640</v>
      </c>
      <c r="AJ24" s="7">
        <f t="shared" si="13"/>
        <v>280</v>
      </c>
      <c r="AK24" s="7">
        <f t="shared" si="14"/>
        <v>416</v>
      </c>
      <c r="AL24" s="14">
        <f t="shared" si="15"/>
        <v>4160</v>
      </c>
      <c r="AM24" s="84">
        <v>5.0</v>
      </c>
      <c r="AN24" s="78">
        <v>2.0</v>
      </c>
      <c r="AO24" s="78">
        <v>24.0</v>
      </c>
      <c r="AP24" s="7">
        <f t="shared" si="16"/>
        <v>48</v>
      </c>
      <c r="AQ24" s="7">
        <f t="shared" si="17"/>
        <v>1.9</v>
      </c>
      <c r="AR24" s="7">
        <f t="shared" si="18"/>
        <v>2.4</v>
      </c>
      <c r="AS24" s="14">
        <f t="shared" si="19"/>
        <v>24</v>
      </c>
      <c r="AT24" s="80">
        <v>8.0</v>
      </c>
      <c r="AU24" s="78">
        <v>15000.0</v>
      </c>
      <c r="AV24" s="7">
        <f t="shared" si="20"/>
        <v>1200</v>
      </c>
      <c r="AW24" s="80">
        <v>26.0</v>
      </c>
      <c r="AX24" s="78">
        <v>5000.0</v>
      </c>
      <c r="AY24" s="14">
        <f t="shared" si="21"/>
        <v>1300</v>
      </c>
      <c r="AZ24" s="69">
        <f t="shared" si="22"/>
        <v>9855.24</v>
      </c>
      <c r="BA24" s="77">
        <f t="shared" si="23"/>
        <v>11.60805654</v>
      </c>
      <c r="BB24" s="69">
        <f t="shared" si="24"/>
        <v>0.08614706491</v>
      </c>
      <c r="BC24" s="78" t="str">
        <f t="shared" si="25"/>
        <v>YES</v>
      </c>
    </row>
    <row r="25" ht="15.75" customHeight="1">
      <c r="A25" s="12"/>
      <c r="B25" s="26" t="s">
        <v>14</v>
      </c>
      <c r="C25" s="25" t="s">
        <v>501</v>
      </c>
      <c r="D25" s="7" t="s">
        <v>160</v>
      </c>
      <c r="E25" s="7" t="s">
        <v>161</v>
      </c>
      <c r="F25" s="7" t="s">
        <v>156</v>
      </c>
      <c r="G25" s="79" t="s">
        <v>502</v>
      </c>
      <c r="H25" s="7">
        <v>5.0</v>
      </c>
      <c r="I25" s="7">
        <v>15000.0</v>
      </c>
      <c r="J25" s="7"/>
      <c r="L25" s="7"/>
      <c r="M25" s="9">
        <f t="shared" si="1"/>
        <v>3000</v>
      </c>
      <c r="N25" s="9">
        <f t="shared" si="2"/>
        <v>600</v>
      </c>
      <c r="O25" s="7">
        <v>1.0</v>
      </c>
      <c r="P25" s="11">
        <f t="shared" si="3"/>
        <v>15000</v>
      </c>
      <c r="Q25" s="79">
        <v>10.0</v>
      </c>
      <c r="R25" s="80">
        <v>12.5</v>
      </c>
      <c r="S25" s="7">
        <v>3.0</v>
      </c>
      <c r="T25" s="7">
        <v>600.0</v>
      </c>
      <c r="U25" s="7">
        <f t="shared" si="4"/>
        <v>18000</v>
      </c>
      <c r="V25" s="7">
        <f t="shared" si="5"/>
        <v>3.375</v>
      </c>
      <c r="W25" s="14">
        <f t="shared" si="6"/>
        <v>2025</v>
      </c>
      <c r="X25" s="94">
        <f t="shared" si="7"/>
        <v>2250</v>
      </c>
      <c r="Y25" s="80">
        <v>12.5</v>
      </c>
      <c r="Z25" s="7">
        <v>600.0</v>
      </c>
      <c r="AA25" s="7">
        <v>1.5</v>
      </c>
      <c r="AB25" s="7">
        <f t="shared" si="8"/>
        <v>900</v>
      </c>
      <c r="AC25" s="7">
        <f t="shared" si="27"/>
        <v>525</v>
      </c>
      <c r="AD25" s="7">
        <f t="shared" si="10"/>
        <v>112.5</v>
      </c>
      <c r="AE25" s="83">
        <f t="shared" si="11"/>
        <v>1125</v>
      </c>
      <c r="AF25" s="84">
        <v>65.0</v>
      </c>
      <c r="AG25" s="7">
        <v>800.0</v>
      </c>
      <c r="AH25" s="78">
        <v>0.8</v>
      </c>
      <c r="AI25" s="7">
        <f t="shared" si="12"/>
        <v>640</v>
      </c>
      <c r="AJ25" s="7">
        <f t="shared" si="13"/>
        <v>280</v>
      </c>
      <c r="AK25" s="7">
        <f t="shared" si="14"/>
        <v>416</v>
      </c>
      <c r="AL25" s="14">
        <f t="shared" si="15"/>
        <v>4160</v>
      </c>
      <c r="AM25" s="84">
        <v>5.0</v>
      </c>
      <c r="AN25" s="78">
        <v>2.0</v>
      </c>
      <c r="AO25" s="78">
        <v>24.0</v>
      </c>
      <c r="AP25" s="7">
        <f t="shared" si="16"/>
        <v>48</v>
      </c>
      <c r="AQ25" s="7">
        <f t="shared" si="17"/>
        <v>1.9</v>
      </c>
      <c r="AR25" s="7">
        <f t="shared" si="18"/>
        <v>2.4</v>
      </c>
      <c r="AS25" s="14">
        <f t="shared" si="19"/>
        <v>24</v>
      </c>
      <c r="AT25" s="84">
        <v>8.0</v>
      </c>
      <c r="AU25" s="78">
        <v>15000.0</v>
      </c>
      <c r="AV25" s="7">
        <f t="shared" si="20"/>
        <v>1200</v>
      </c>
      <c r="AW25" s="80">
        <v>26.0</v>
      </c>
      <c r="AX25" s="78">
        <v>5000.0</v>
      </c>
      <c r="AY25" s="14">
        <f t="shared" si="21"/>
        <v>1300</v>
      </c>
      <c r="AZ25" s="69">
        <f t="shared" si="22"/>
        <v>6459</v>
      </c>
      <c r="BA25" s="77">
        <f t="shared" si="23"/>
        <v>0.4306</v>
      </c>
      <c r="BB25" s="69">
        <f t="shared" si="24"/>
        <v>2.32234092</v>
      </c>
      <c r="BC25" s="78" t="str">
        <f t="shared" si="25"/>
        <v>YES</v>
      </c>
    </row>
    <row r="26" ht="15.75" customHeight="1">
      <c r="A26" s="12"/>
      <c r="B26" s="26" t="s">
        <v>503</v>
      </c>
      <c r="C26" s="25" t="s">
        <v>501</v>
      </c>
      <c r="D26" s="7" t="s">
        <v>171</v>
      </c>
      <c r="E26" s="7" t="s">
        <v>172</v>
      </c>
      <c r="F26" s="7" t="s">
        <v>51</v>
      </c>
      <c r="G26" s="79" t="s">
        <v>176</v>
      </c>
      <c r="H26" s="7">
        <v>5.0</v>
      </c>
      <c r="I26" s="7">
        <v>12500.0</v>
      </c>
      <c r="J26" s="7"/>
      <c r="L26" s="7"/>
      <c r="M26" s="9">
        <f t="shared" si="1"/>
        <v>2500</v>
      </c>
      <c r="N26" s="9">
        <f t="shared" si="2"/>
        <v>500</v>
      </c>
      <c r="O26" s="7">
        <v>1.0</v>
      </c>
      <c r="P26" s="11">
        <f t="shared" si="3"/>
        <v>12500</v>
      </c>
      <c r="Q26" s="79">
        <v>10.0</v>
      </c>
      <c r="R26" s="16">
        <v>12.5</v>
      </c>
      <c r="S26" s="7">
        <v>3.0</v>
      </c>
      <c r="T26" s="7">
        <v>600.0</v>
      </c>
      <c r="U26" s="7">
        <f t="shared" si="4"/>
        <v>18000</v>
      </c>
      <c r="V26" s="7">
        <f t="shared" si="5"/>
        <v>3.375</v>
      </c>
      <c r="W26" s="14">
        <f t="shared" si="6"/>
        <v>2025</v>
      </c>
      <c r="X26" s="94">
        <f t="shared" si="7"/>
        <v>2250</v>
      </c>
      <c r="Y26" s="16">
        <v>12.5</v>
      </c>
      <c r="Z26" s="7">
        <v>600.0</v>
      </c>
      <c r="AA26" s="7">
        <v>1.5</v>
      </c>
      <c r="AB26" s="7">
        <f t="shared" si="8"/>
        <v>900</v>
      </c>
      <c r="AC26" s="7">
        <f t="shared" si="27"/>
        <v>525</v>
      </c>
      <c r="AD26" s="7">
        <f t="shared" si="10"/>
        <v>112.5</v>
      </c>
      <c r="AE26" s="83">
        <f t="shared" si="11"/>
        <v>1125</v>
      </c>
      <c r="AF26" s="84">
        <v>65.0</v>
      </c>
      <c r="AG26" s="7">
        <v>800.0</v>
      </c>
      <c r="AH26" s="78">
        <v>0.8</v>
      </c>
      <c r="AI26" s="7">
        <f t="shared" si="12"/>
        <v>640</v>
      </c>
      <c r="AJ26" s="7">
        <f t="shared" si="13"/>
        <v>280</v>
      </c>
      <c r="AK26" s="7">
        <f t="shared" si="14"/>
        <v>416</v>
      </c>
      <c r="AL26" s="14">
        <f t="shared" si="15"/>
        <v>4160</v>
      </c>
      <c r="AM26" s="84">
        <v>5.0</v>
      </c>
      <c r="AN26" s="78">
        <v>2.0</v>
      </c>
      <c r="AO26" s="78">
        <v>24.0</v>
      </c>
      <c r="AP26" s="7">
        <f t="shared" si="16"/>
        <v>48</v>
      </c>
      <c r="AQ26" s="7">
        <f t="shared" si="17"/>
        <v>1.9</v>
      </c>
      <c r="AR26" s="7">
        <f t="shared" si="18"/>
        <v>2.4</v>
      </c>
      <c r="AS26" s="14">
        <f t="shared" si="19"/>
        <v>24</v>
      </c>
      <c r="AT26" s="84">
        <v>8.0</v>
      </c>
      <c r="AU26" s="78">
        <v>15000.0</v>
      </c>
      <c r="AV26" s="7">
        <f t="shared" si="20"/>
        <v>1200</v>
      </c>
      <c r="AW26" s="80">
        <v>26.0</v>
      </c>
      <c r="AX26" s="78">
        <v>5000.0</v>
      </c>
      <c r="AY26" s="14">
        <f t="shared" si="21"/>
        <v>1300</v>
      </c>
      <c r="AZ26" s="69">
        <f t="shared" si="22"/>
        <v>7059</v>
      </c>
      <c r="BA26" s="77">
        <f t="shared" si="23"/>
        <v>0.56472</v>
      </c>
      <c r="BB26" s="69">
        <f t="shared" si="24"/>
        <v>1.770789064</v>
      </c>
      <c r="BC26" s="78" t="str">
        <f t="shared" si="25"/>
        <v>YES</v>
      </c>
    </row>
    <row r="27" ht="15.75" customHeight="1">
      <c r="A27" s="12"/>
      <c r="B27" s="26" t="s">
        <v>14</v>
      </c>
      <c r="C27" s="25" t="s">
        <v>141</v>
      </c>
      <c r="D27" s="7" t="s">
        <v>212</v>
      </c>
      <c r="E27" s="7" t="s">
        <v>136</v>
      </c>
      <c r="F27" s="7" t="s">
        <v>51</v>
      </c>
      <c r="G27" s="79" t="s">
        <v>504</v>
      </c>
      <c r="H27" s="7">
        <v>5.0</v>
      </c>
      <c r="I27" s="7">
        <v>15000.0</v>
      </c>
      <c r="J27" s="7"/>
      <c r="L27" s="7"/>
      <c r="M27" s="9">
        <f t="shared" si="1"/>
        <v>3000</v>
      </c>
      <c r="N27" s="9">
        <f t="shared" si="2"/>
        <v>600</v>
      </c>
      <c r="O27" s="7">
        <v>1.0</v>
      </c>
      <c r="P27" s="11">
        <f t="shared" si="3"/>
        <v>15000</v>
      </c>
      <c r="Q27" s="79">
        <v>10.0</v>
      </c>
      <c r="R27" s="80">
        <v>12.5</v>
      </c>
      <c r="S27" s="7">
        <v>3.0</v>
      </c>
      <c r="T27" s="7">
        <v>600.0</v>
      </c>
      <c r="U27" s="7">
        <f t="shared" si="4"/>
        <v>18000</v>
      </c>
      <c r="V27" s="7">
        <f t="shared" si="5"/>
        <v>3.375</v>
      </c>
      <c r="W27" s="14">
        <f t="shared" si="6"/>
        <v>2025</v>
      </c>
      <c r="X27" s="94">
        <f t="shared" si="7"/>
        <v>2250</v>
      </c>
      <c r="Y27" s="80">
        <v>12.5</v>
      </c>
      <c r="Z27" s="7">
        <v>600.0</v>
      </c>
      <c r="AA27" s="7">
        <v>1.5</v>
      </c>
      <c r="AB27" s="7">
        <f t="shared" si="8"/>
        <v>900</v>
      </c>
      <c r="AC27" s="7">
        <f t="shared" si="27"/>
        <v>525</v>
      </c>
      <c r="AD27" s="7">
        <f t="shared" si="10"/>
        <v>112.5</v>
      </c>
      <c r="AE27" s="83">
        <f t="shared" si="11"/>
        <v>1125</v>
      </c>
      <c r="AF27" s="84">
        <v>65.0</v>
      </c>
      <c r="AG27" s="7">
        <v>800.0</v>
      </c>
      <c r="AH27" s="78">
        <v>0.8</v>
      </c>
      <c r="AI27" s="7">
        <f t="shared" si="12"/>
        <v>640</v>
      </c>
      <c r="AJ27" s="7">
        <f t="shared" si="13"/>
        <v>280</v>
      </c>
      <c r="AK27" s="7">
        <f t="shared" si="14"/>
        <v>416</v>
      </c>
      <c r="AL27" s="14">
        <f t="shared" si="15"/>
        <v>4160</v>
      </c>
      <c r="AM27" s="84">
        <v>5.0</v>
      </c>
      <c r="AN27" s="78">
        <v>2.0</v>
      </c>
      <c r="AO27" s="78">
        <v>24.0</v>
      </c>
      <c r="AP27" s="7">
        <f t="shared" si="16"/>
        <v>48</v>
      </c>
      <c r="AQ27" s="7">
        <f t="shared" si="17"/>
        <v>1.9</v>
      </c>
      <c r="AR27" s="7">
        <f t="shared" si="18"/>
        <v>2.4</v>
      </c>
      <c r="AS27" s="14">
        <f t="shared" si="19"/>
        <v>24</v>
      </c>
      <c r="AT27" s="84">
        <v>8.0</v>
      </c>
      <c r="AU27" s="78">
        <v>15000.0</v>
      </c>
      <c r="AV27" s="7">
        <f t="shared" si="20"/>
        <v>1200</v>
      </c>
      <c r="AW27" s="80">
        <v>26.0</v>
      </c>
      <c r="AX27" s="78">
        <v>5000.0</v>
      </c>
      <c r="AY27" s="14">
        <f t="shared" si="21"/>
        <v>1300</v>
      </c>
      <c r="AZ27" s="69">
        <f t="shared" si="22"/>
        <v>6459</v>
      </c>
      <c r="BA27" s="77">
        <f t="shared" si="23"/>
        <v>0.4306</v>
      </c>
      <c r="BB27" s="69">
        <f t="shared" si="24"/>
        <v>2.32234092</v>
      </c>
      <c r="BC27" s="78" t="str">
        <f t="shared" si="25"/>
        <v>YES</v>
      </c>
    </row>
    <row r="28" ht="15.75" customHeight="1">
      <c r="A28" s="12"/>
      <c r="B28" s="26" t="s">
        <v>14</v>
      </c>
      <c r="C28" s="25" t="s">
        <v>141</v>
      </c>
      <c r="D28" s="7" t="s">
        <v>216</v>
      </c>
      <c r="E28" s="7" t="s">
        <v>172</v>
      </c>
      <c r="F28" s="7" t="s">
        <v>51</v>
      </c>
      <c r="G28" s="79" t="s">
        <v>181</v>
      </c>
      <c r="H28" s="7">
        <v>5.0</v>
      </c>
      <c r="I28" s="7">
        <v>15000.0</v>
      </c>
      <c r="J28" s="7"/>
      <c r="L28" s="7"/>
      <c r="M28" s="9">
        <f t="shared" si="1"/>
        <v>3000</v>
      </c>
      <c r="N28" s="9">
        <f t="shared" si="2"/>
        <v>600</v>
      </c>
      <c r="O28" s="7">
        <v>1.0</v>
      </c>
      <c r="P28" s="11">
        <f t="shared" si="3"/>
        <v>15000</v>
      </c>
      <c r="Q28" s="79">
        <v>10.0</v>
      </c>
      <c r="R28" s="80">
        <v>12.5</v>
      </c>
      <c r="S28" s="7">
        <v>3.0</v>
      </c>
      <c r="T28" s="7">
        <v>600.0</v>
      </c>
      <c r="U28" s="7">
        <f t="shared" si="4"/>
        <v>18000</v>
      </c>
      <c r="V28" s="7">
        <f t="shared" si="5"/>
        <v>3.375</v>
      </c>
      <c r="W28" s="14">
        <f t="shared" si="6"/>
        <v>2025</v>
      </c>
      <c r="X28" s="94">
        <f t="shared" si="7"/>
        <v>2250</v>
      </c>
      <c r="Y28" s="80">
        <v>12.5</v>
      </c>
      <c r="Z28" s="7">
        <v>600.0</v>
      </c>
      <c r="AA28" s="7">
        <v>1.5</v>
      </c>
      <c r="AB28" s="7">
        <f t="shared" si="8"/>
        <v>900</v>
      </c>
      <c r="AC28" s="7">
        <f t="shared" si="27"/>
        <v>525</v>
      </c>
      <c r="AD28" s="7">
        <f t="shared" si="10"/>
        <v>112.5</v>
      </c>
      <c r="AE28" s="83">
        <f t="shared" si="11"/>
        <v>1125</v>
      </c>
      <c r="AF28" s="84">
        <v>65.0</v>
      </c>
      <c r="AG28" s="7">
        <v>800.0</v>
      </c>
      <c r="AH28" s="78">
        <v>0.8</v>
      </c>
      <c r="AI28" s="7">
        <f t="shared" si="12"/>
        <v>640</v>
      </c>
      <c r="AJ28" s="7">
        <f t="shared" si="13"/>
        <v>280</v>
      </c>
      <c r="AK28" s="7">
        <f t="shared" si="14"/>
        <v>416</v>
      </c>
      <c r="AL28" s="14">
        <f t="shared" si="15"/>
        <v>4160</v>
      </c>
      <c r="AM28" s="84">
        <v>5.0</v>
      </c>
      <c r="AN28" s="78">
        <v>2.0</v>
      </c>
      <c r="AO28" s="78">
        <v>24.0</v>
      </c>
      <c r="AP28" s="7">
        <f t="shared" si="16"/>
        <v>48</v>
      </c>
      <c r="AQ28" s="7">
        <f t="shared" si="17"/>
        <v>1.9</v>
      </c>
      <c r="AR28" s="7">
        <f t="shared" si="18"/>
        <v>2.4</v>
      </c>
      <c r="AS28" s="14">
        <f t="shared" si="19"/>
        <v>24</v>
      </c>
      <c r="AT28" s="84">
        <v>8.0</v>
      </c>
      <c r="AU28" s="78">
        <v>15000.0</v>
      </c>
      <c r="AV28" s="7">
        <f t="shared" si="20"/>
        <v>1200</v>
      </c>
      <c r="AW28" s="80">
        <v>26.0</v>
      </c>
      <c r="AX28" s="78">
        <v>5000.0</v>
      </c>
      <c r="AY28" s="14">
        <f t="shared" si="21"/>
        <v>1300</v>
      </c>
      <c r="AZ28" s="69">
        <f t="shared" si="22"/>
        <v>6459</v>
      </c>
      <c r="BA28" s="77">
        <f t="shared" si="23"/>
        <v>0.4306</v>
      </c>
      <c r="BB28" s="69">
        <f t="shared" si="24"/>
        <v>2.32234092</v>
      </c>
      <c r="BC28" s="78" t="str">
        <f t="shared" si="25"/>
        <v>YES</v>
      </c>
    </row>
    <row r="29" ht="15.75" customHeight="1">
      <c r="A29" s="12"/>
      <c r="B29" s="26" t="s">
        <v>14</v>
      </c>
      <c r="C29" s="25" t="s">
        <v>177</v>
      </c>
      <c r="D29" s="7" t="s">
        <v>505</v>
      </c>
      <c r="E29" s="7" t="s">
        <v>172</v>
      </c>
      <c r="F29" s="7" t="s">
        <v>51</v>
      </c>
      <c r="G29" s="79" t="s">
        <v>181</v>
      </c>
      <c r="H29" s="7">
        <v>5.0</v>
      </c>
      <c r="I29" s="7">
        <v>15000.0</v>
      </c>
      <c r="J29" s="7"/>
      <c r="L29" s="7"/>
      <c r="M29" s="9">
        <f t="shared" si="1"/>
        <v>3000</v>
      </c>
      <c r="N29" s="9">
        <f t="shared" si="2"/>
        <v>600</v>
      </c>
      <c r="O29" s="7">
        <v>1.0</v>
      </c>
      <c r="P29" s="11">
        <f t="shared" si="3"/>
        <v>15000</v>
      </c>
      <c r="Q29" s="79">
        <v>10.0</v>
      </c>
      <c r="R29" s="80">
        <v>12.5</v>
      </c>
      <c r="S29" s="7">
        <v>3.0</v>
      </c>
      <c r="T29" s="7">
        <v>600.0</v>
      </c>
      <c r="U29" s="7">
        <f t="shared" si="4"/>
        <v>18000</v>
      </c>
      <c r="V29" s="7">
        <f t="shared" si="5"/>
        <v>3.375</v>
      </c>
      <c r="W29" s="14">
        <f t="shared" si="6"/>
        <v>2025</v>
      </c>
      <c r="X29" s="94">
        <f t="shared" si="7"/>
        <v>2250</v>
      </c>
      <c r="Y29" s="80">
        <v>12.5</v>
      </c>
      <c r="Z29" s="7">
        <v>600.0</v>
      </c>
      <c r="AA29" s="7">
        <v>1.5</v>
      </c>
      <c r="AB29" s="7">
        <f t="shared" si="8"/>
        <v>900</v>
      </c>
      <c r="AC29" s="7">
        <f t="shared" si="27"/>
        <v>525</v>
      </c>
      <c r="AD29" s="7">
        <f t="shared" si="10"/>
        <v>112.5</v>
      </c>
      <c r="AE29" s="83">
        <f t="shared" si="11"/>
        <v>1125</v>
      </c>
      <c r="AF29" s="84">
        <v>65.0</v>
      </c>
      <c r="AG29" s="7">
        <v>800.0</v>
      </c>
      <c r="AH29" s="78">
        <v>0.8</v>
      </c>
      <c r="AI29" s="7">
        <f t="shared" si="12"/>
        <v>640</v>
      </c>
      <c r="AJ29" s="7">
        <f t="shared" si="13"/>
        <v>280</v>
      </c>
      <c r="AK29" s="7">
        <f t="shared" si="14"/>
        <v>416</v>
      </c>
      <c r="AL29" s="14">
        <f t="shared" si="15"/>
        <v>4160</v>
      </c>
      <c r="AM29" s="84">
        <v>5.0</v>
      </c>
      <c r="AN29" s="78">
        <v>2.0</v>
      </c>
      <c r="AO29" s="78">
        <v>24.0</v>
      </c>
      <c r="AP29" s="7">
        <f t="shared" si="16"/>
        <v>48</v>
      </c>
      <c r="AQ29" s="7">
        <f t="shared" si="17"/>
        <v>1.9</v>
      </c>
      <c r="AR29" s="7">
        <f t="shared" si="18"/>
        <v>2.4</v>
      </c>
      <c r="AS29" s="14">
        <f t="shared" si="19"/>
        <v>24</v>
      </c>
      <c r="AT29" s="84">
        <v>8.0</v>
      </c>
      <c r="AU29" s="78">
        <v>15000.0</v>
      </c>
      <c r="AV29" s="7">
        <f t="shared" si="20"/>
        <v>1200</v>
      </c>
      <c r="AW29" s="80">
        <v>26.0</v>
      </c>
      <c r="AX29" s="78">
        <v>5000.0</v>
      </c>
      <c r="AY29" s="14">
        <f t="shared" si="21"/>
        <v>1300</v>
      </c>
      <c r="AZ29" s="69">
        <f t="shared" si="22"/>
        <v>6459</v>
      </c>
      <c r="BA29" s="77">
        <f t="shared" si="23"/>
        <v>0.4306</v>
      </c>
      <c r="BB29" s="69">
        <f t="shared" si="24"/>
        <v>2.32234092</v>
      </c>
      <c r="BC29" s="78" t="str">
        <f t="shared" si="25"/>
        <v>YES</v>
      </c>
    </row>
    <row r="30" ht="15.75" customHeight="1">
      <c r="A30" s="12"/>
      <c r="B30" s="26" t="s">
        <v>14</v>
      </c>
      <c r="C30" s="25" t="s">
        <v>506</v>
      </c>
      <c r="D30" s="7" t="s">
        <v>166</v>
      </c>
      <c r="E30" s="7" t="s">
        <v>507</v>
      </c>
      <c r="F30" s="7" t="s">
        <v>156</v>
      </c>
      <c r="G30" s="79" t="s">
        <v>508</v>
      </c>
      <c r="H30" s="7">
        <v>5.0</v>
      </c>
      <c r="I30" s="7">
        <v>1100.0</v>
      </c>
      <c r="J30" s="7"/>
      <c r="L30" s="7"/>
      <c r="M30" s="9">
        <f t="shared" si="1"/>
        <v>220</v>
      </c>
      <c r="N30" s="9">
        <f t="shared" si="2"/>
        <v>44</v>
      </c>
      <c r="O30" s="7">
        <v>1.0</v>
      </c>
      <c r="P30" s="11">
        <f t="shared" si="3"/>
        <v>1100</v>
      </c>
      <c r="Q30" s="79">
        <v>10.0</v>
      </c>
      <c r="R30" s="80">
        <v>12.5</v>
      </c>
      <c r="S30" s="7">
        <v>3.0</v>
      </c>
      <c r="T30" s="7">
        <v>600.0</v>
      </c>
      <c r="U30" s="7">
        <f t="shared" si="4"/>
        <v>18000</v>
      </c>
      <c r="V30" s="7">
        <f t="shared" si="5"/>
        <v>3.375</v>
      </c>
      <c r="W30" s="14">
        <f t="shared" si="6"/>
        <v>2025</v>
      </c>
      <c r="X30" s="94">
        <f t="shared" si="7"/>
        <v>2250</v>
      </c>
      <c r="Y30" s="80">
        <v>12.5</v>
      </c>
      <c r="Z30" s="7">
        <v>600.0</v>
      </c>
      <c r="AA30" s="7">
        <v>1.5</v>
      </c>
      <c r="AB30" s="7">
        <f t="shared" si="8"/>
        <v>900</v>
      </c>
      <c r="AC30" s="7">
        <f t="shared" si="27"/>
        <v>525</v>
      </c>
      <c r="AD30" s="7">
        <f t="shared" si="10"/>
        <v>112.5</v>
      </c>
      <c r="AE30" s="83">
        <f t="shared" si="11"/>
        <v>1125</v>
      </c>
      <c r="AF30" s="84">
        <v>65.0</v>
      </c>
      <c r="AG30" s="7">
        <v>800.0</v>
      </c>
      <c r="AH30" s="78">
        <v>0.8</v>
      </c>
      <c r="AI30" s="7">
        <f t="shared" si="12"/>
        <v>640</v>
      </c>
      <c r="AJ30" s="7">
        <f t="shared" si="13"/>
        <v>280</v>
      </c>
      <c r="AK30" s="7">
        <f t="shared" si="14"/>
        <v>416</v>
      </c>
      <c r="AL30" s="14">
        <f t="shared" si="15"/>
        <v>4160</v>
      </c>
      <c r="AM30" s="84">
        <v>5.0</v>
      </c>
      <c r="AN30" s="78">
        <v>2.0</v>
      </c>
      <c r="AO30" s="78">
        <v>24.0</v>
      </c>
      <c r="AP30" s="7">
        <f t="shared" si="16"/>
        <v>48</v>
      </c>
      <c r="AQ30" s="7">
        <f t="shared" si="17"/>
        <v>1.9</v>
      </c>
      <c r="AR30" s="7">
        <f t="shared" si="18"/>
        <v>2.4</v>
      </c>
      <c r="AS30" s="14">
        <f t="shared" si="19"/>
        <v>24</v>
      </c>
      <c r="AT30" s="84">
        <v>8.0</v>
      </c>
      <c r="AU30" s="78">
        <v>15000.0</v>
      </c>
      <c r="AV30" s="7">
        <f t="shared" si="20"/>
        <v>1200</v>
      </c>
      <c r="AW30" s="80">
        <v>26.0</v>
      </c>
      <c r="AX30" s="78">
        <v>5000.0</v>
      </c>
      <c r="AY30" s="14">
        <f t="shared" si="21"/>
        <v>1300</v>
      </c>
      <c r="AZ30" s="69">
        <f t="shared" si="22"/>
        <v>9795</v>
      </c>
      <c r="BA30" s="77">
        <f t="shared" si="23"/>
        <v>8.904545455</v>
      </c>
      <c r="BB30" s="69">
        <f t="shared" si="24"/>
        <v>0.112302195</v>
      </c>
      <c r="BC30" s="78" t="str">
        <f t="shared" si="25"/>
        <v>YES</v>
      </c>
    </row>
    <row r="31" ht="15.75" customHeight="1">
      <c r="A31" s="12"/>
      <c r="B31" s="26" t="s">
        <v>14</v>
      </c>
      <c r="C31" s="25" t="s">
        <v>509</v>
      </c>
      <c r="D31" s="7" t="s">
        <v>182</v>
      </c>
      <c r="E31" s="7" t="s">
        <v>507</v>
      </c>
      <c r="F31" s="7" t="s">
        <v>156</v>
      </c>
      <c r="G31" s="79" t="s">
        <v>510</v>
      </c>
      <c r="H31" s="7">
        <v>5.0</v>
      </c>
      <c r="I31" s="7">
        <v>4320.0</v>
      </c>
      <c r="J31" s="7"/>
      <c r="L31" s="7"/>
      <c r="M31" s="9">
        <f t="shared" si="1"/>
        <v>864</v>
      </c>
      <c r="N31" s="9">
        <f t="shared" si="2"/>
        <v>172.8</v>
      </c>
      <c r="O31" s="7">
        <v>1.0</v>
      </c>
      <c r="P31" s="11">
        <f t="shared" si="3"/>
        <v>4320</v>
      </c>
      <c r="Q31" s="79">
        <v>10.0</v>
      </c>
      <c r="R31" s="16">
        <v>12.5</v>
      </c>
      <c r="S31" s="7">
        <v>3.0</v>
      </c>
      <c r="T31" s="7">
        <v>600.0</v>
      </c>
      <c r="U31" s="7">
        <f t="shared" si="4"/>
        <v>18000</v>
      </c>
      <c r="V31" s="7">
        <f t="shared" si="5"/>
        <v>3.375</v>
      </c>
      <c r="W31" s="14">
        <f t="shared" si="6"/>
        <v>2025</v>
      </c>
      <c r="X31" s="94">
        <f t="shared" si="7"/>
        <v>2250</v>
      </c>
      <c r="Y31" s="16">
        <v>12.5</v>
      </c>
      <c r="Z31" s="7">
        <v>600.0</v>
      </c>
      <c r="AA31" s="7">
        <v>1.5</v>
      </c>
      <c r="AB31" s="7">
        <f t="shared" si="8"/>
        <v>900</v>
      </c>
      <c r="AC31" s="7">
        <f t="shared" si="27"/>
        <v>525</v>
      </c>
      <c r="AD31" s="7">
        <f t="shared" si="10"/>
        <v>112.5</v>
      </c>
      <c r="AE31" s="83">
        <f t="shared" si="11"/>
        <v>1125</v>
      </c>
      <c r="AF31" s="84">
        <v>65.0</v>
      </c>
      <c r="AG31" s="7">
        <v>800.0</v>
      </c>
      <c r="AH31" s="78">
        <v>0.8</v>
      </c>
      <c r="AI31" s="7">
        <f t="shared" si="12"/>
        <v>640</v>
      </c>
      <c r="AJ31" s="7">
        <f t="shared" si="13"/>
        <v>280</v>
      </c>
      <c r="AK31" s="7">
        <f t="shared" si="14"/>
        <v>416</v>
      </c>
      <c r="AL31" s="14">
        <f t="shared" si="15"/>
        <v>4160</v>
      </c>
      <c r="AM31" s="84">
        <v>5.0</v>
      </c>
      <c r="AN31" s="78">
        <v>2.0</v>
      </c>
      <c r="AO31" s="78">
        <v>24.0</v>
      </c>
      <c r="AP31" s="7">
        <f t="shared" si="16"/>
        <v>48</v>
      </c>
      <c r="AQ31" s="7">
        <f t="shared" si="17"/>
        <v>1.9</v>
      </c>
      <c r="AR31" s="7">
        <f t="shared" si="18"/>
        <v>2.4</v>
      </c>
      <c r="AS31" s="14">
        <f t="shared" si="19"/>
        <v>24</v>
      </c>
      <c r="AT31" s="84">
        <v>8.0</v>
      </c>
      <c r="AU31" s="78">
        <v>15000.0</v>
      </c>
      <c r="AV31" s="7">
        <f t="shared" si="20"/>
        <v>1200</v>
      </c>
      <c r="AW31" s="80">
        <v>26.0</v>
      </c>
      <c r="AX31" s="78">
        <v>5000.0</v>
      </c>
      <c r="AY31" s="14">
        <f t="shared" si="21"/>
        <v>1300</v>
      </c>
      <c r="AZ31" s="69">
        <f t="shared" si="22"/>
        <v>9022.2</v>
      </c>
      <c r="BA31" s="77">
        <f t="shared" si="23"/>
        <v>2.088472222</v>
      </c>
      <c r="BB31" s="69">
        <f t="shared" si="24"/>
        <v>0.4788189133</v>
      </c>
      <c r="BC31" s="78" t="str">
        <f t="shared" si="25"/>
        <v>YES</v>
      </c>
    </row>
    <row r="32" ht="15.75" customHeight="1">
      <c r="A32" s="12"/>
      <c r="B32" s="26" t="s">
        <v>14</v>
      </c>
      <c r="C32" s="25" t="s">
        <v>177</v>
      </c>
      <c r="D32" s="7" t="s">
        <v>186</v>
      </c>
      <c r="E32" s="7" t="s">
        <v>187</v>
      </c>
      <c r="F32" s="7" t="s">
        <v>156</v>
      </c>
      <c r="G32" s="79" t="s">
        <v>511</v>
      </c>
      <c r="H32" s="7">
        <v>5.0</v>
      </c>
      <c r="I32" s="7">
        <v>4100.0</v>
      </c>
      <c r="J32" s="7"/>
      <c r="L32" s="7"/>
      <c r="M32" s="9">
        <f t="shared" si="1"/>
        <v>820</v>
      </c>
      <c r="N32" s="9">
        <f t="shared" si="2"/>
        <v>164</v>
      </c>
      <c r="O32" s="7">
        <v>1.0</v>
      </c>
      <c r="P32" s="11">
        <f t="shared" si="3"/>
        <v>4100</v>
      </c>
      <c r="Q32" s="79">
        <v>10.0</v>
      </c>
      <c r="R32" s="80">
        <v>12.5</v>
      </c>
      <c r="S32" s="7">
        <v>3.0</v>
      </c>
      <c r="T32" s="7">
        <v>600.0</v>
      </c>
      <c r="U32" s="7">
        <f t="shared" si="4"/>
        <v>18000</v>
      </c>
      <c r="V32" s="7">
        <f t="shared" si="5"/>
        <v>3.375</v>
      </c>
      <c r="W32" s="14">
        <f t="shared" si="6"/>
        <v>2025</v>
      </c>
      <c r="X32" s="94">
        <f t="shared" si="7"/>
        <v>2250</v>
      </c>
      <c r="Y32" s="80">
        <v>12.5</v>
      </c>
      <c r="Z32" s="7">
        <v>600.0</v>
      </c>
      <c r="AA32" s="7">
        <v>1.5</v>
      </c>
      <c r="AB32" s="7">
        <f t="shared" si="8"/>
        <v>900</v>
      </c>
      <c r="AC32" s="7">
        <f t="shared" si="27"/>
        <v>525</v>
      </c>
      <c r="AD32" s="7">
        <f t="shared" si="10"/>
        <v>112.5</v>
      </c>
      <c r="AE32" s="83">
        <f t="shared" si="11"/>
        <v>1125</v>
      </c>
      <c r="AF32" s="84">
        <v>65.0</v>
      </c>
      <c r="AG32" s="7">
        <v>800.0</v>
      </c>
      <c r="AH32" s="78">
        <v>0.8</v>
      </c>
      <c r="AI32" s="7">
        <f t="shared" si="12"/>
        <v>640</v>
      </c>
      <c r="AJ32" s="7">
        <f t="shared" si="13"/>
        <v>280</v>
      </c>
      <c r="AK32" s="7">
        <f t="shared" si="14"/>
        <v>416</v>
      </c>
      <c r="AL32" s="14">
        <f t="shared" si="15"/>
        <v>4160</v>
      </c>
      <c r="AM32" s="84">
        <v>5.0</v>
      </c>
      <c r="AN32" s="78">
        <v>2.0</v>
      </c>
      <c r="AO32" s="78">
        <v>24.0</v>
      </c>
      <c r="AP32" s="7">
        <f t="shared" si="16"/>
        <v>48</v>
      </c>
      <c r="AQ32" s="7">
        <f t="shared" si="17"/>
        <v>1.9</v>
      </c>
      <c r="AR32" s="7">
        <f t="shared" si="18"/>
        <v>2.4</v>
      </c>
      <c r="AS32" s="14">
        <f t="shared" si="19"/>
        <v>24</v>
      </c>
      <c r="AT32" s="84">
        <v>8.0</v>
      </c>
      <c r="AU32" s="78">
        <v>15000.0</v>
      </c>
      <c r="AV32" s="7">
        <f t="shared" si="20"/>
        <v>1200</v>
      </c>
      <c r="AW32" s="80">
        <v>26.0</v>
      </c>
      <c r="AX32" s="78">
        <v>5000.0</v>
      </c>
      <c r="AY32" s="14">
        <f t="shared" si="21"/>
        <v>1300</v>
      </c>
      <c r="AZ32" s="69">
        <f t="shared" si="22"/>
        <v>9075</v>
      </c>
      <c r="BA32" s="77">
        <f t="shared" si="23"/>
        <v>2.213414634</v>
      </c>
      <c r="BB32" s="69">
        <f t="shared" si="24"/>
        <v>0.4517906336</v>
      </c>
      <c r="BC32" s="78" t="str">
        <f t="shared" si="25"/>
        <v>YES</v>
      </c>
    </row>
    <row r="33" ht="15.75" customHeight="1">
      <c r="A33" s="12"/>
      <c r="B33" s="26" t="s">
        <v>14</v>
      </c>
      <c r="C33" s="25" t="s">
        <v>512</v>
      </c>
      <c r="D33" s="7" t="s">
        <v>207</v>
      </c>
      <c r="E33" s="7" t="s">
        <v>513</v>
      </c>
      <c r="F33" s="7" t="s">
        <v>51</v>
      </c>
      <c r="G33" s="79" t="s">
        <v>514</v>
      </c>
      <c r="H33" s="7">
        <v>5.0</v>
      </c>
      <c r="I33" s="7">
        <v>20000.0</v>
      </c>
      <c r="J33" s="7"/>
      <c r="L33" s="7"/>
      <c r="M33" s="9">
        <f t="shared" si="1"/>
        <v>4000</v>
      </c>
      <c r="N33" s="9">
        <f t="shared" si="2"/>
        <v>800</v>
      </c>
      <c r="O33" s="7">
        <v>1.0</v>
      </c>
      <c r="P33" s="11">
        <f t="shared" si="3"/>
        <v>20000</v>
      </c>
      <c r="Q33" s="79">
        <v>10.0</v>
      </c>
      <c r="R33" s="80">
        <v>12.5</v>
      </c>
      <c r="S33" s="7">
        <v>3.0</v>
      </c>
      <c r="T33" s="7">
        <v>600.0</v>
      </c>
      <c r="U33" s="7">
        <f t="shared" si="4"/>
        <v>18000</v>
      </c>
      <c r="V33" s="7">
        <f t="shared" si="5"/>
        <v>3.375</v>
      </c>
      <c r="W33" s="14">
        <f t="shared" si="6"/>
        <v>2025</v>
      </c>
      <c r="X33" s="94">
        <f t="shared" si="7"/>
        <v>2250</v>
      </c>
      <c r="Y33" s="80">
        <v>12.5</v>
      </c>
      <c r="Z33" s="7">
        <v>600.0</v>
      </c>
      <c r="AA33" s="7">
        <v>1.5</v>
      </c>
      <c r="AB33" s="7">
        <f t="shared" si="8"/>
        <v>900</v>
      </c>
      <c r="AC33" s="7">
        <f t="shared" si="27"/>
        <v>525</v>
      </c>
      <c r="AD33" s="7">
        <f t="shared" si="10"/>
        <v>112.5</v>
      </c>
      <c r="AE33" s="83">
        <f t="shared" si="11"/>
        <v>1125</v>
      </c>
      <c r="AF33" s="84">
        <v>65.0</v>
      </c>
      <c r="AG33" s="7">
        <v>800.0</v>
      </c>
      <c r="AH33" s="78">
        <v>0.8</v>
      </c>
      <c r="AI33" s="7">
        <f t="shared" si="12"/>
        <v>640</v>
      </c>
      <c r="AJ33" s="7">
        <f t="shared" si="13"/>
        <v>280</v>
      </c>
      <c r="AK33" s="7">
        <f t="shared" si="14"/>
        <v>416</v>
      </c>
      <c r="AL33" s="14">
        <f t="shared" si="15"/>
        <v>4160</v>
      </c>
      <c r="AM33" s="84">
        <v>5.0</v>
      </c>
      <c r="AN33" s="78">
        <v>2.0</v>
      </c>
      <c r="AO33" s="78">
        <v>24.0</v>
      </c>
      <c r="AP33" s="7">
        <f t="shared" si="16"/>
        <v>48</v>
      </c>
      <c r="AQ33" s="7">
        <f t="shared" si="17"/>
        <v>1.9</v>
      </c>
      <c r="AR33" s="7">
        <f t="shared" si="18"/>
        <v>2.4</v>
      </c>
      <c r="AS33" s="14">
        <f t="shared" si="19"/>
        <v>24</v>
      </c>
      <c r="AT33" s="84">
        <v>8.0</v>
      </c>
      <c r="AU33" s="78">
        <v>15000.0</v>
      </c>
      <c r="AV33" s="7">
        <f t="shared" si="20"/>
        <v>1200</v>
      </c>
      <c r="AW33" s="80">
        <v>26.0</v>
      </c>
      <c r="AX33" s="78">
        <v>5000.0</v>
      </c>
      <c r="AY33" s="14">
        <f t="shared" si="21"/>
        <v>1300</v>
      </c>
      <c r="AZ33" s="69">
        <f t="shared" si="22"/>
        <v>5259</v>
      </c>
      <c r="BA33" s="77">
        <f t="shared" si="23"/>
        <v>0.26295</v>
      </c>
      <c r="BB33" s="69">
        <f t="shared" si="24"/>
        <v>3.803004373</v>
      </c>
      <c r="BC33" s="78" t="str">
        <f t="shared" si="25"/>
        <v>YES</v>
      </c>
    </row>
    <row r="34" ht="15.75" customHeight="1">
      <c r="A34" s="12"/>
      <c r="B34" s="26" t="s">
        <v>14</v>
      </c>
      <c r="C34" s="25" t="s">
        <v>509</v>
      </c>
      <c r="D34" s="7" t="s">
        <v>191</v>
      </c>
      <c r="E34" s="7" t="s">
        <v>187</v>
      </c>
      <c r="F34" s="7" t="s">
        <v>156</v>
      </c>
      <c r="G34" s="79" t="s">
        <v>515</v>
      </c>
      <c r="H34" s="7">
        <v>5.0</v>
      </c>
      <c r="I34" s="7">
        <v>15000.0</v>
      </c>
      <c r="J34" s="7"/>
      <c r="L34" s="7"/>
      <c r="M34" s="9">
        <f t="shared" si="1"/>
        <v>3000</v>
      </c>
      <c r="N34" s="9">
        <f t="shared" si="2"/>
        <v>600</v>
      </c>
      <c r="O34" s="7">
        <v>1.0</v>
      </c>
      <c r="P34" s="11">
        <f t="shared" si="3"/>
        <v>15000</v>
      </c>
      <c r="Q34" s="79">
        <v>10.0</v>
      </c>
      <c r="R34" s="80">
        <v>12.5</v>
      </c>
      <c r="S34" s="7">
        <v>3.0</v>
      </c>
      <c r="T34" s="7">
        <v>600.0</v>
      </c>
      <c r="U34" s="7">
        <f t="shared" si="4"/>
        <v>18000</v>
      </c>
      <c r="V34" s="7">
        <f t="shared" si="5"/>
        <v>3.375</v>
      </c>
      <c r="W34" s="14">
        <f t="shared" si="6"/>
        <v>2025</v>
      </c>
      <c r="X34" s="94">
        <f t="shared" si="7"/>
        <v>2250</v>
      </c>
      <c r="Y34" s="80">
        <v>12.5</v>
      </c>
      <c r="Z34" s="7">
        <v>600.0</v>
      </c>
      <c r="AA34" s="7">
        <v>1.5</v>
      </c>
      <c r="AB34" s="7">
        <f t="shared" si="8"/>
        <v>900</v>
      </c>
      <c r="AC34" s="7">
        <f t="shared" si="27"/>
        <v>525</v>
      </c>
      <c r="AD34" s="7">
        <f t="shared" si="10"/>
        <v>112.5</v>
      </c>
      <c r="AE34" s="83">
        <f t="shared" si="11"/>
        <v>1125</v>
      </c>
      <c r="AF34" s="84">
        <v>65.0</v>
      </c>
      <c r="AG34" s="7">
        <v>800.0</v>
      </c>
      <c r="AH34" s="78">
        <v>0.8</v>
      </c>
      <c r="AI34" s="7">
        <f t="shared" si="12"/>
        <v>640</v>
      </c>
      <c r="AJ34" s="7">
        <f t="shared" si="13"/>
        <v>280</v>
      </c>
      <c r="AK34" s="7">
        <f t="shared" si="14"/>
        <v>416</v>
      </c>
      <c r="AL34" s="14">
        <f t="shared" si="15"/>
        <v>4160</v>
      </c>
      <c r="AM34" s="84">
        <v>5.0</v>
      </c>
      <c r="AN34" s="78">
        <v>2.0</v>
      </c>
      <c r="AO34" s="78">
        <v>24.0</v>
      </c>
      <c r="AP34" s="7">
        <f t="shared" si="16"/>
        <v>48</v>
      </c>
      <c r="AQ34" s="7">
        <f t="shared" si="17"/>
        <v>1.9</v>
      </c>
      <c r="AR34" s="7">
        <f t="shared" si="18"/>
        <v>2.4</v>
      </c>
      <c r="AS34" s="14">
        <f t="shared" si="19"/>
        <v>24</v>
      </c>
      <c r="AT34" s="84">
        <v>8.0</v>
      </c>
      <c r="AU34" s="78">
        <v>15000.0</v>
      </c>
      <c r="AV34" s="7">
        <f t="shared" si="20"/>
        <v>1200</v>
      </c>
      <c r="AW34" s="80">
        <v>26.0</v>
      </c>
      <c r="AX34" s="78">
        <v>5000.0</v>
      </c>
      <c r="AY34" s="14">
        <f t="shared" si="21"/>
        <v>1300</v>
      </c>
      <c r="AZ34" s="69">
        <f t="shared" si="22"/>
        <v>6459</v>
      </c>
      <c r="BA34" s="77">
        <f t="shared" si="23"/>
        <v>0.4306</v>
      </c>
      <c r="BB34" s="69">
        <f t="shared" si="24"/>
        <v>2.32234092</v>
      </c>
      <c r="BC34" s="78" t="str">
        <f t="shared" si="25"/>
        <v>YES</v>
      </c>
    </row>
    <row r="35" ht="15.75" customHeight="1">
      <c r="A35" s="12"/>
      <c r="B35" s="26" t="s">
        <v>14</v>
      </c>
      <c r="C35" s="25" t="s">
        <v>509</v>
      </c>
      <c r="D35" s="7" t="s">
        <v>201</v>
      </c>
      <c r="E35" s="7" t="s">
        <v>516</v>
      </c>
      <c r="F35" s="7" t="s">
        <v>156</v>
      </c>
      <c r="G35" s="79" t="s">
        <v>205</v>
      </c>
      <c r="H35" s="7">
        <v>5.0</v>
      </c>
      <c r="I35" s="7">
        <v>10000.0</v>
      </c>
      <c r="J35" s="7"/>
      <c r="L35" s="7"/>
      <c r="M35" s="9">
        <f t="shared" si="1"/>
        <v>2000</v>
      </c>
      <c r="N35" s="9">
        <f t="shared" si="2"/>
        <v>400</v>
      </c>
      <c r="O35" s="7">
        <v>1.0</v>
      </c>
      <c r="P35" s="11">
        <f t="shared" si="3"/>
        <v>10000</v>
      </c>
      <c r="Q35" s="79">
        <v>10.0</v>
      </c>
      <c r="R35" s="80">
        <v>12.5</v>
      </c>
      <c r="S35" s="7">
        <v>3.0</v>
      </c>
      <c r="T35" s="7">
        <v>600.0</v>
      </c>
      <c r="U35" s="7">
        <f t="shared" si="4"/>
        <v>18000</v>
      </c>
      <c r="V35" s="7">
        <f t="shared" si="5"/>
        <v>3.375</v>
      </c>
      <c r="W35" s="14">
        <f t="shared" si="6"/>
        <v>2025</v>
      </c>
      <c r="X35" s="94">
        <f t="shared" si="7"/>
        <v>2250</v>
      </c>
      <c r="Y35" s="80">
        <v>12.5</v>
      </c>
      <c r="Z35" s="7">
        <v>600.0</v>
      </c>
      <c r="AA35" s="7">
        <v>1.5</v>
      </c>
      <c r="AB35" s="7">
        <f t="shared" si="8"/>
        <v>900</v>
      </c>
      <c r="AC35" s="7">
        <f t="shared" si="27"/>
        <v>525</v>
      </c>
      <c r="AD35" s="7">
        <f t="shared" si="10"/>
        <v>112.5</v>
      </c>
      <c r="AE35" s="83">
        <f t="shared" si="11"/>
        <v>1125</v>
      </c>
      <c r="AF35" s="84">
        <v>65.0</v>
      </c>
      <c r="AG35" s="7">
        <v>800.0</v>
      </c>
      <c r="AH35" s="78">
        <v>0.8</v>
      </c>
      <c r="AI35" s="7">
        <f t="shared" si="12"/>
        <v>640</v>
      </c>
      <c r="AJ35" s="7">
        <f t="shared" si="13"/>
        <v>280</v>
      </c>
      <c r="AK35" s="7">
        <f t="shared" si="14"/>
        <v>416</v>
      </c>
      <c r="AL35" s="14">
        <f t="shared" si="15"/>
        <v>4160</v>
      </c>
      <c r="AM35" s="84">
        <v>5.0</v>
      </c>
      <c r="AN35" s="78">
        <v>2.0</v>
      </c>
      <c r="AO35" s="78">
        <v>24.0</v>
      </c>
      <c r="AP35" s="7">
        <f t="shared" si="16"/>
        <v>48</v>
      </c>
      <c r="AQ35" s="7">
        <f t="shared" si="17"/>
        <v>1.9</v>
      </c>
      <c r="AR35" s="7">
        <f t="shared" si="18"/>
        <v>2.4</v>
      </c>
      <c r="AS35" s="14">
        <f t="shared" si="19"/>
        <v>24</v>
      </c>
      <c r="AT35" s="84">
        <v>8.0</v>
      </c>
      <c r="AU35" s="78">
        <v>15000.0</v>
      </c>
      <c r="AV35" s="7">
        <f t="shared" si="20"/>
        <v>1200</v>
      </c>
      <c r="AW35" s="80">
        <v>26.0</v>
      </c>
      <c r="AX35" s="78">
        <v>5000.0</v>
      </c>
      <c r="AY35" s="14">
        <f t="shared" si="21"/>
        <v>1300</v>
      </c>
      <c r="AZ35" s="69">
        <f t="shared" si="22"/>
        <v>7659</v>
      </c>
      <c r="BA35" s="77">
        <f t="shared" si="23"/>
        <v>0.7659</v>
      </c>
      <c r="BB35" s="69">
        <f t="shared" si="24"/>
        <v>1.30565348</v>
      </c>
      <c r="BC35" s="78" t="str">
        <f t="shared" si="25"/>
        <v>YES</v>
      </c>
    </row>
    <row r="36" ht="15.75" customHeight="1">
      <c r="A36" s="12"/>
      <c r="B36" s="26" t="s">
        <v>14</v>
      </c>
      <c r="C36" s="25" t="s">
        <v>509</v>
      </c>
      <c r="D36" s="7" t="s">
        <v>198</v>
      </c>
      <c r="E36" s="7" t="s">
        <v>136</v>
      </c>
      <c r="F36" s="7" t="s">
        <v>156</v>
      </c>
      <c r="G36" s="79" t="s">
        <v>517</v>
      </c>
      <c r="H36" s="7">
        <v>5.0</v>
      </c>
      <c r="I36" s="7">
        <v>7000.0</v>
      </c>
      <c r="J36" s="7"/>
      <c r="L36" s="7"/>
      <c r="M36" s="9">
        <f t="shared" si="1"/>
        <v>1400</v>
      </c>
      <c r="N36" s="9">
        <f t="shared" si="2"/>
        <v>280</v>
      </c>
      <c r="O36" s="7">
        <v>1.0</v>
      </c>
      <c r="P36" s="11">
        <f t="shared" si="3"/>
        <v>7000</v>
      </c>
      <c r="Q36" s="79">
        <v>10.0</v>
      </c>
      <c r="R36" s="80">
        <v>12.5</v>
      </c>
      <c r="S36" s="7">
        <v>3.0</v>
      </c>
      <c r="T36" s="7">
        <v>600.0</v>
      </c>
      <c r="U36" s="7">
        <f t="shared" si="4"/>
        <v>18000</v>
      </c>
      <c r="V36" s="7">
        <f t="shared" si="5"/>
        <v>3.375</v>
      </c>
      <c r="W36" s="14">
        <f t="shared" si="6"/>
        <v>2025</v>
      </c>
      <c r="X36" s="94">
        <f t="shared" si="7"/>
        <v>2250</v>
      </c>
      <c r="Y36" s="80">
        <v>12.5</v>
      </c>
      <c r="Z36" s="7">
        <v>600.0</v>
      </c>
      <c r="AA36" s="7">
        <v>1.5</v>
      </c>
      <c r="AB36" s="7">
        <f t="shared" si="8"/>
        <v>900</v>
      </c>
      <c r="AC36" s="7">
        <f t="shared" si="27"/>
        <v>525</v>
      </c>
      <c r="AD36" s="7">
        <f t="shared" si="10"/>
        <v>112.5</v>
      </c>
      <c r="AE36" s="83">
        <f t="shared" si="11"/>
        <v>1125</v>
      </c>
      <c r="AF36" s="84">
        <v>65.0</v>
      </c>
      <c r="AG36" s="7">
        <v>800.0</v>
      </c>
      <c r="AH36" s="78">
        <v>0.8</v>
      </c>
      <c r="AI36" s="7">
        <f t="shared" si="12"/>
        <v>640</v>
      </c>
      <c r="AJ36" s="7">
        <f t="shared" si="13"/>
        <v>280</v>
      </c>
      <c r="AK36" s="7">
        <f t="shared" si="14"/>
        <v>416</v>
      </c>
      <c r="AL36" s="14">
        <f t="shared" si="15"/>
        <v>4160</v>
      </c>
      <c r="AM36" s="84">
        <v>5.0</v>
      </c>
      <c r="AN36" s="78">
        <v>2.0</v>
      </c>
      <c r="AO36" s="78">
        <v>24.0</v>
      </c>
      <c r="AP36" s="7">
        <f t="shared" si="16"/>
        <v>48</v>
      </c>
      <c r="AQ36" s="7">
        <f t="shared" si="17"/>
        <v>1.9</v>
      </c>
      <c r="AR36" s="7">
        <f t="shared" si="18"/>
        <v>2.4</v>
      </c>
      <c r="AS36" s="14">
        <f t="shared" si="19"/>
        <v>24</v>
      </c>
      <c r="AT36" s="84">
        <v>8.0</v>
      </c>
      <c r="AU36" s="78">
        <v>15000.0</v>
      </c>
      <c r="AV36" s="7">
        <f t="shared" si="20"/>
        <v>1200</v>
      </c>
      <c r="AW36" s="80">
        <v>26.0</v>
      </c>
      <c r="AX36" s="78">
        <v>5000.0</v>
      </c>
      <c r="AY36" s="14">
        <f t="shared" si="21"/>
        <v>1300</v>
      </c>
      <c r="AZ36" s="69">
        <f t="shared" si="22"/>
        <v>8379</v>
      </c>
      <c r="BA36" s="77">
        <f t="shared" si="23"/>
        <v>1.197</v>
      </c>
      <c r="BB36" s="69">
        <f t="shared" si="24"/>
        <v>0.8354218881</v>
      </c>
      <c r="BC36" s="78" t="str">
        <f t="shared" si="25"/>
        <v>YES</v>
      </c>
    </row>
    <row r="37" ht="15.75" customHeight="1">
      <c r="A37" s="18"/>
      <c r="B37" s="85" t="s">
        <v>14</v>
      </c>
      <c r="C37" s="86" t="s">
        <v>509</v>
      </c>
      <c r="D37" s="19" t="s">
        <v>194</v>
      </c>
      <c r="E37" s="19" t="s">
        <v>136</v>
      </c>
      <c r="F37" s="19" t="s">
        <v>156</v>
      </c>
      <c r="G37" s="87" t="s">
        <v>518</v>
      </c>
      <c r="H37" s="19">
        <v>5.0</v>
      </c>
      <c r="I37" s="19">
        <v>6000.0</v>
      </c>
      <c r="J37" s="19"/>
      <c r="K37" s="19"/>
      <c r="L37" s="19"/>
      <c r="M37" s="9">
        <f t="shared" si="1"/>
        <v>1200</v>
      </c>
      <c r="N37" s="9">
        <f t="shared" si="2"/>
        <v>240</v>
      </c>
      <c r="O37" s="19">
        <v>1.0</v>
      </c>
      <c r="P37" s="11">
        <f t="shared" si="3"/>
        <v>6000</v>
      </c>
      <c r="Q37" s="87">
        <v>10.0</v>
      </c>
      <c r="R37" s="90">
        <v>12.5</v>
      </c>
      <c r="S37" s="19">
        <v>3.0</v>
      </c>
      <c r="T37" s="19">
        <v>600.0</v>
      </c>
      <c r="U37" s="19">
        <f t="shared" si="4"/>
        <v>18000</v>
      </c>
      <c r="V37" s="19">
        <f t="shared" si="5"/>
        <v>3.375</v>
      </c>
      <c r="W37" s="21">
        <f t="shared" si="6"/>
        <v>2025</v>
      </c>
      <c r="X37" s="89">
        <f t="shared" si="7"/>
        <v>2250</v>
      </c>
      <c r="Y37" s="90">
        <v>12.5</v>
      </c>
      <c r="Z37" s="19">
        <v>600.0</v>
      </c>
      <c r="AA37" s="19">
        <v>1.5</v>
      </c>
      <c r="AB37" s="19">
        <f t="shared" si="8"/>
        <v>900</v>
      </c>
      <c r="AC37" s="19">
        <f t="shared" si="27"/>
        <v>525</v>
      </c>
      <c r="AD37" s="19">
        <f t="shared" si="10"/>
        <v>112.5</v>
      </c>
      <c r="AE37" s="91">
        <f t="shared" si="11"/>
        <v>1125</v>
      </c>
      <c r="AF37" s="88">
        <v>65.0</v>
      </c>
      <c r="AG37" s="19">
        <v>800.0</v>
      </c>
      <c r="AH37" s="93">
        <v>0.8</v>
      </c>
      <c r="AI37" s="19">
        <f t="shared" si="12"/>
        <v>640</v>
      </c>
      <c r="AJ37" s="19">
        <f t="shared" si="13"/>
        <v>280</v>
      </c>
      <c r="AK37" s="19">
        <f t="shared" si="14"/>
        <v>416</v>
      </c>
      <c r="AL37" s="21">
        <f t="shared" si="15"/>
        <v>4160</v>
      </c>
      <c r="AM37" s="88">
        <v>5.0</v>
      </c>
      <c r="AN37" s="93">
        <v>2.0</v>
      </c>
      <c r="AO37" s="93">
        <v>24.0</v>
      </c>
      <c r="AP37" s="19">
        <f t="shared" si="16"/>
        <v>48</v>
      </c>
      <c r="AQ37" s="19">
        <f t="shared" si="17"/>
        <v>1.9</v>
      </c>
      <c r="AR37" s="19">
        <f t="shared" si="18"/>
        <v>2.4</v>
      </c>
      <c r="AS37" s="21">
        <f t="shared" si="19"/>
        <v>24</v>
      </c>
      <c r="AT37" s="88">
        <v>8.0</v>
      </c>
      <c r="AU37" s="93">
        <v>15000.0</v>
      </c>
      <c r="AV37" s="19">
        <f t="shared" si="20"/>
        <v>1200</v>
      </c>
      <c r="AW37" s="90">
        <v>26.0</v>
      </c>
      <c r="AX37" s="93">
        <v>5000.0</v>
      </c>
      <c r="AY37" s="21">
        <f t="shared" si="21"/>
        <v>1300</v>
      </c>
      <c r="AZ37" s="69">
        <f t="shared" si="22"/>
        <v>8619</v>
      </c>
      <c r="BA37" s="77">
        <f t="shared" si="23"/>
        <v>1.4365</v>
      </c>
      <c r="BB37" s="69">
        <f t="shared" si="24"/>
        <v>0.6961364427</v>
      </c>
      <c r="BC37" s="78" t="str">
        <f t="shared" si="25"/>
        <v>YES</v>
      </c>
    </row>
    <row r="38" ht="15.75" customHeight="1">
      <c r="A38" s="66" t="s">
        <v>219</v>
      </c>
      <c r="B38" s="67" t="s">
        <v>14</v>
      </c>
      <c r="C38" s="68" t="s">
        <v>519</v>
      </c>
      <c r="D38" s="9" t="s">
        <v>220</v>
      </c>
      <c r="E38" s="9" t="s">
        <v>221</v>
      </c>
      <c r="F38" s="9" t="s">
        <v>156</v>
      </c>
      <c r="G38" s="69" t="s">
        <v>520</v>
      </c>
      <c r="H38" s="9">
        <v>5.0</v>
      </c>
      <c r="I38" s="9"/>
      <c r="J38" s="9"/>
      <c r="K38" s="9"/>
      <c r="L38" s="9">
        <v>260.0</v>
      </c>
      <c r="M38" s="9">
        <f t="shared" si="1"/>
        <v>0</v>
      </c>
      <c r="N38" s="9">
        <f t="shared" si="2"/>
        <v>0</v>
      </c>
      <c r="O38" s="9">
        <v>1.0</v>
      </c>
      <c r="P38" s="11">
        <f t="shared" si="3"/>
        <v>0</v>
      </c>
      <c r="Q38" s="69">
        <v>10.0</v>
      </c>
      <c r="R38" s="71">
        <v>6.0</v>
      </c>
      <c r="S38" s="9">
        <v>3.0</v>
      </c>
      <c r="T38" s="9">
        <v>600.0</v>
      </c>
      <c r="U38" s="9">
        <f t="shared" si="4"/>
        <v>18000</v>
      </c>
      <c r="V38" s="9">
        <f t="shared" si="5"/>
        <v>3.18</v>
      </c>
      <c r="W38" s="11">
        <f t="shared" si="6"/>
        <v>1908</v>
      </c>
      <c r="X38" s="72">
        <f t="shared" si="7"/>
        <v>1080</v>
      </c>
      <c r="Y38" s="75">
        <v>25.0</v>
      </c>
      <c r="Z38" s="9">
        <v>600.0</v>
      </c>
      <c r="AA38" s="9">
        <v>1.5</v>
      </c>
      <c r="AB38" s="9">
        <f t="shared" si="8"/>
        <v>900</v>
      </c>
      <c r="AC38" s="9">
        <f t="shared" si="27"/>
        <v>450</v>
      </c>
      <c r="AD38" s="9">
        <f t="shared" si="10"/>
        <v>225</v>
      </c>
      <c r="AE38" s="73">
        <f t="shared" si="11"/>
        <v>2250</v>
      </c>
      <c r="AF38" s="75">
        <v>25.0</v>
      </c>
      <c r="AG38" s="9">
        <v>800.0</v>
      </c>
      <c r="AH38" s="74">
        <v>0.8</v>
      </c>
      <c r="AI38" s="9">
        <f t="shared" si="12"/>
        <v>640</v>
      </c>
      <c r="AJ38" s="9">
        <f t="shared" si="13"/>
        <v>600</v>
      </c>
      <c r="AK38" s="9">
        <f t="shared" si="14"/>
        <v>160</v>
      </c>
      <c r="AL38" s="11">
        <f t="shared" si="15"/>
        <v>1600</v>
      </c>
      <c r="AM38" s="75">
        <v>25.0</v>
      </c>
      <c r="AN38" s="74">
        <v>2.0</v>
      </c>
      <c r="AO38" s="74">
        <v>24.0</v>
      </c>
      <c r="AP38" s="9">
        <f t="shared" si="16"/>
        <v>48</v>
      </c>
      <c r="AQ38" s="9">
        <f t="shared" si="17"/>
        <v>1.5</v>
      </c>
      <c r="AR38" s="9">
        <f t="shared" si="18"/>
        <v>12</v>
      </c>
      <c r="AS38" s="11">
        <f t="shared" si="19"/>
        <v>120</v>
      </c>
      <c r="AT38" s="75">
        <v>3.0</v>
      </c>
      <c r="AU38" s="74">
        <v>15000.0</v>
      </c>
      <c r="AV38" s="11">
        <f t="shared" si="20"/>
        <v>450</v>
      </c>
      <c r="AW38" s="75">
        <v>3.0</v>
      </c>
      <c r="AX38" s="74">
        <v>5000.0</v>
      </c>
      <c r="AY38" s="11">
        <f t="shared" si="21"/>
        <v>150</v>
      </c>
      <c r="AZ38" s="69">
        <f t="shared" si="22"/>
        <v>5390</v>
      </c>
      <c r="BA38" s="77" t="str">
        <f t="shared" si="23"/>
        <v>The DAT is free</v>
      </c>
      <c r="BB38" s="69">
        <f t="shared" si="24"/>
        <v>0</v>
      </c>
      <c r="BC38" s="78" t="str">
        <f t="shared" si="25"/>
        <v>YES</v>
      </c>
    </row>
    <row r="39" ht="15.75" customHeight="1">
      <c r="A39" s="12"/>
      <c r="B39" s="26" t="s">
        <v>14</v>
      </c>
      <c r="C39" s="25" t="s">
        <v>225</v>
      </c>
      <c r="D39" s="7" t="s">
        <v>226</v>
      </c>
      <c r="E39" s="7" t="s">
        <v>227</v>
      </c>
      <c r="F39" s="7" t="s">
        <v>156</v>
      </c>
      <c r="G39" s="79" t="s">
        <v>521</v>
      </c>
      <c r="H39" s="7">
        <v>5.0</v>
      </c>
      <c r="I39" s="7">
        <v>22300.0</v>
      </c>
      <c r="J39" s="7"/>
      <c r="L39" s="7"/>
      <c r="M39" s="9">
        <f t="shared" si="1"/>
        <v>4460</v>
      </c>
      <c r="N39" s="9">
        <f t="shared" si="2"/>
        <v>892</v>
      </c>
      <c r="O39" s="7">
        <v>1.0</v>
      </c>
      <c r="P39" s="11">
        <f t="shared" si="3"/>
        <v>22300</v>
      </c>
      <c r="Q39" s="79">
        <v>10.0</v>
      </c>
      <c r="R39" s="80">
        <v>6.0</v>
      </c>
      <c r="S39" s="7">
        <v>3.0</v>
      </c>
      <c r="T39" s="7">
        <v>600.0</v>
      </c>
      <c r="U39" s="7">
        <f t="shared" si="4"/>
        <v>18000</v>
      </c>
      <c r="V39" s="7">
        <f t="shared" si="5"/>
        <v>3.18</v>
      </c>
      <c r="W39" s="14">
        <f t="shared" si="6"/>
        <v>1908</v>
      </c>
      <c r="X39" s="94">
        <f t="shared" si="7"/>
        <v>1080</v>
      </c>
      <c r="Y39" s="84">
        <v>25.0</v>
      </c>
      <c r="Z39" s="7">
        <v>600.0</v>
      </c>
      <c r="AA39" s="7">
        <v>1.5</v>
      </c>
      <c r="AB39" s="7">
        <f t="shared" si="8"/>
        <v>900</v>
      </c>
      <c r="AC39" s="7">
        <f t="shared" si="27"/>
        <v>450</v>
      </c>
      <c r="AD39" s="7">
        <f t="shared" si="10"/>
        <v>225</v>
      </c>
      <c r="AE39" s="83">
        <f t="shared" si="11"/>
        <v>2250</v>
      </c>
      <c r="AF39" s="82">
        <v>0.0</v>
      </c>
      <c r="AG39" s="7">
        <v>800.0</v>
      </c>
      <c r="AH39" s="78">
        <v>0.8</v>
      </c>
      <c r="AI39" s="7">
        <f t="shared" si="12"/>
        <v>640</v>
      </c>
      <c r="AJ39" s="7">
        <f t="shared" si="13"/>
        <v>800</v>
      </c>
      <c r="AK39" s="7">
        <f t="shared" si="14"/>
        <v>0</v>
      </c>
      <c r="AL39" s="14">
        <f t="shared" si="15"/>
        <v>0</v>
      </c>
      <c r="AM39" s="82">
        <v>0.0</v>
      </c>
      <c r="AN39" s="78">
        <v>2.0</v>
      </c>
      <c r="AO39" s="78">
        <v>24.0</v>
      </c>
      <c r="AP39" s="7">
        <f t="shared" si="16"/>
        <v>48</v>
      </c>
      <c r="AQ39" s="7">
        <f t="shared" si="17"/>
        <v>2</v>
      </c>
      <c r="AR39" s="7">
        <f t="shared" si="18"/>
        <v>0</v>
      </c>
      <c r="AS39" s="14">
        <f t="shared" si="19"/>
        <v>0</v>
      </c>
      <c r="AT39" s="84">
        <v>3.0</v>
      </c>
      <c r="AU39" s="78">
        <v>15000.0</v>
      </c>
      <c r="AV39" s="14">
        <f t="shared" si="20"/>
        <v>450</v>
      </c>
      <c r="AW39" s="84">
        <v>3.0</v>
      </c>
      <c r="AX39" s="78">
        <v>5000.0</v>
      </c>
      <c r="AY39" s="14">
        <f t="shared" si="21"/>
        <v>150</v>
      </c>
      <c r="AZ39" s="69">
        <f t="shared" si="22"/>
        <v>-1422</v>
      </c>
      <c r="BA39" s="77">
        <f t="shared" si="23"/>
        <v>-0.06376681614</v>
      </c>
      <c r="BB39" s="69" t="str">
        <f t="shared" si="24"/>
        <v>Payback period not applicable: the investment does not recover its cost under current conditions.</v>
      </c>
      <c r="BC39" s="78" t="str">
        <f t="shared" si="25"/>
        <v>NO</v>
      </c>
    </row>
    <row r="40" ht="15.75" customHeight="1">
      <c r="A40" s="12"/>
      <c r="B40" s="26" t="s">
        <v>14</v>
      </c>
      <c r="C40" s="25" t="s">
        <v>522</v>
      </c>
      <c r="D40" s="7" t="s">
        <v>239</v>
      </c>
      <c r="E40" s="7" t="s">
        <v>187</v>
      </c>
      <c r="F40" s="7" t="s">
        <v>156</v>
      </c>
      <c r="G40" s="79" t="s">
        <v>523</v>
      </c>
      <c r="H40" s="7">
        <v>5.0</v>
      </c>
      <c r="I40" s="7">
        <v>3000.0</v>
      </c>
      <c r="J40" s="7"/>
      <c r="L40" s="7"/>
      <c r="M40" s="9">
        <f t="shared" si="1"/>
        <v>600</v>
      </c>
      <c r="N40" s="9">
        <f t="shared" si="2"/>
        <v>120</v>
      </c>
      <c r="O40" s="7">
        <v>1.0</v>
      </c>
      <c r="P40" s="11">
        <f t="shared" si="3"/>
        <v>3000</v>
      </c>
      <c r="Q40" s="79">
        <v>10.0</v>
      </c>
      <c r="R40" s="80">
        <v>6.0</v>
      </c>
      <c r="S40" s="7">
        <v>3.0</v>
      </c>
      <c r="T40" s="7">
        <v>600.0</v>
      </c>
      <c r="U40" s="7">
        <f t="shared" si="4"/>
        <v>18000</v>
      </c>
      <c r="V40" s="7">
        <f t="shared" si="5"/>
        <v>3.18</v>
      </c>
      <c r="W40" s="14">
        <f t="shared" si="6"/>
        <v>1908</v>
      </c>
      <c r="X40" s="94">
        <f t="shared" si="7"/>
        <v>1080</v>
      </c>
      <c r="Y40" s="82">
        <v>0.0</v>
      </c>
      <c r="Z40" s="7">
        <v>600.0</v>
      </c>
      <c r="AA40" s="7">
        <v>1.5</v>
      </c>
      <c r="AB40" s="7">
        <f t="shared" si="8"/>
        <v>900</v>
      </c>
      <c r="AC40" s="7">
        <f t="shared" si="27"/>
        <v>600</v>
      </c>
      <c r="AD40" s="7">
        <f t="shared" si="10"/>
        <v>0</v>
      </c>
      <c r="AE40" s="83">
        <f t="shared" si="11"/>
        <v>0</v>
      </c>
      <c r="AF40" s="82">
        <v>0.0</v>
      </c>
      <c r="AG40" s="7">
        <v>800.0</v>
      </c>
      <c r="AH40" s="78">
        <v>0.8</v>
      </c>
      <c r="AI40" s="7">
        <f t="shared" si="12"/>
        <v>640</v>
      </c>
      <c r="AJ40" s="7">
        <f t="shared" si="13"/>
        <v>800</v>
      </c>
      <c r="AK40" s="7">
        <f t="shared" si="14"/>
        <v>0</v>
      </c>
      <c r="AL40" s="14">
        <f t="shared" si="15"/>
        <v>0</v>
      </c>
      <c r="AM40" s="84">
        <v>25.0</v>
      </c>
      <c r="AN40" s="78">
        <v>2.0</v>
      </c>
      <c r="AO40" s="78">
        <v>24.0</v>
      </c>
      <c r="AP40" s="7">
        <f t="shared" si="16"/>
        <v>48</v>
      </c>
      <c r="AQ40" s="7">
        <f t="shared" si="17"/>
        <v>1.5</v>
      </c>
      <c r="AR40" s="7">
        <f t="shared" si="18"/>
        <v>12</v>
      </c>
      <c r="AS40" s="14">
        <f t="shared" si="19"/>
        <v>120</v>
      </c>
      <c r="AT40" s="84">
        <v>3.0</v>
      </c>
      <c r="AU40" s="78">
        <v>15000.0</v>
      </c>
      <c r="AV40" s="14">
        <f t="shared" si="20"/>
        <v>450</v>
      </c>
      <c r="AW40" s="84">
        <v>3.0</v>
      </c>
      <c r="AX40" s="78">
        <v>5000.0</v>
      </c>
      <c r="AY40" s="14">
        <f t="shared" si="21"/>
        <v>150</v>
      </c>
      <c r="AZ40" s="69">
        <f t="shared" si="22"/>
        <v>1080</v>
      </c>
      <c r="BA40" s="77">
        <f t="shared" si="23"/>
        <v>0.36</v>
      </c>
      <c r="BB40" s="69">
        <f t="shared" si="24"/>
        <v>2.777777778</v>
      </c>
      <c r="BC40" s="78" t="str">
        <f t="shared" si="25"/>
        <v>YES</v>
      </c>
    </row>
    <row r="41" ht="15.75" customHeight="1">
      <c r="A41" s="12"/>
      <c r="B41" s="26" t="s">
        <v>14</v>
      </c>
      <c r="C41" s="25" t="s">
        <v>522</v>
      </c>
      <c r="D41" s="7" t="s">
        <v>243</v>
      </c>
      <c r="E41" s="7" t="s">
        <v>244</v>
      </c>
      <c r="F41" s="7" t="s">
        <v>156</v>
      </c>
      <c r="G41" s="79" t="s">
        <v>524</v>
      </c>
      <c r="H41" s="7">
        <v>5.0</v>
      </c>
      <c r="I41" s="7">
        <v>2500.0</v>
      </c>
      <c r="J41" s="7"/>
      <c r="L41" s="7"/>
      <c r="M41" s="9">
        <f t="shared" si="1"/>
        <v>500</v>
      </c>
      <c r="N41" s="9">
        <f t="shared" si="2"/>
        <v>100</v>
      </c>
      <c r="O41" s="96">
        <v>1.0</v>
      </c>
      <c r="P41" s="11">
        <f t="shared" si="3"/>
        <v>2500</v>
      </c>
      <c r="Q41" s="79">
        <v>10.0</v>
      </c>
      <c r="R41" s="80">
        <v>6.0</v>
      </c>
      <c r="S41" s="7">
        <v>3.0</v>
      </c>
      <c r="T41" s="7">
        <v>600.0</v>
      </c>
      <c r="U41" s="7">
        <f t="shared" si="4"/>
        <v>18000</v>
      </c>
      <c r="V41" s="7">
        <f t="shared" si="5"/>
        <v>3.18</v>
      </c>
      <c r="W41" s="14">
        <f t="shared" si="6"/>
        <v>1908</v>
      </c>
      <c r="X41" s="94">
        <f t="shared" si="7"/>
        <v>1080</v>
      </c>
      <c r="Y41" s="82">
        <v>0.0</v>
      </c>
      <c r="Z41" s="7">
        <v>600.0</v>
      </c>
      <c r="AA41" s="7">
        <v>1.5</v>
      </c>
      <c r="AB41" s="7">
        <f t="shared" si="8"/>
        <v>900</v>
      </c>
      <c r="AC41" s="7">
        <f t="shared" si="27"/>
        <v>600</v>
      </c>
      <c r="AD41" s="7">
        <f t="shared" si="10"/>
        <v>0</v>
      </c>
      <c r="AE41" s="83">
        <f t="shared" si="11"/>
        <v>0</v>
      </c>
      <c r="AF41" s="82">
        <v>0.0</v>
      </c>
      <c r="AG41" s="7">
        <v>800.0</v>
      </c>
      <c r="AH41" s="78">
        <v>0.8</v>
      </c>
      <c r="AI41" s="7">
        <f t="shared" si="12"/>
        <v>640</v>
      </c>
      <c r="AJ41" s="7">
        <f t="shared" si="13"/>
        <v>800</v>
      </c>
      <c r="AK41" s="7">
        <f t="shared" si="14"/>
        <v>0</v>
      </c>
      <c r="AL41" s="14">
        <f t="shared" si="15"/>
        <v>0</v>
      </c>
      <c r="AM41" s="84">
        <v>25.0</v>
      </c>
      <c r="AN41" s="78">
        <v>2.0</v>
      </c>
      <c r="AO41" s="78">
        <v>24.0</v>
      </c>
      <c r="AP41" s="7">
        <f t="shared" si="16"/>
        <v>48</v>
      </c>
      <c r="AQ41" s="7">
        <f t="shared" si="17"/>
        <v>1.5</v>
      </c>
      <c r="AR41" s="7">
        <f t="shared" si="18"/>
        <v>12</v>
      </c>
      <c r="AS41" s="14">
        <f t="shared" si="19"/>
        <v>120</v>
      </c>
      <c r="AT41" s="84">
        <v>3.0</v>
      </c>
      <c r="AU41" s="78">
        <v>15000.0</v>
      </c>
      <c r="AV41" s="14">
        <f t="shared" si="20"/>
        <v>450</v>
      </c>
      <c r="AW41" s="84">
        <v>3.0</v>
      </c>
      <c r="AX41" s="78">
        <v>5000.0</v>
      </c>
      <c r="AY41" s="14">
        <f t="shared" si="21"/>
        <v>150</v>
      </c>
      <c r="AZ41" s="69">
        <f t="shared" si="22"/>
        <v>1200</v>
      </c>
      <c r="BA41" s="77">
        <f t="shared" si="23"/>
        <v>0.48</v>
      </c>
      <c r="BB41" s="69">
        <f t="shared" si="24"/>
        <v>2.083333333</v>
      </c>
      <c r="BC41" s="78" t="str">
        <f t="shared" si="25"/>
        <v>YES</v>
      </c>
    </row>
    <row r="42" ht="15.75" customHeight="1">
      <c r="A42" s="12"/>
      <c r="B42" s="26" t="s">
        <v>14</v>
      </c>
      <c r="C42" s="25" t="s">
        <v>261</v>
      </c>
      <c r="D42" s="7" t="s">
        <v>262</v>
      </c>
      <c r="E42" s="7" t="s">
        <v>172</v>
      </c>
      <c r="F42" s="7" t="s">
        <v>156</v>
      </c>
      <c r="G42" s="79" t="s">
        <v>525</v>
      </c>
      <c r="H42" s="7">
        <v>5.0</v>
      </c>
      <c r="I42" s="7">
        <v>9500.0</v>
      </c>
      <c r="J42" s="7"/>
      <c r="M42" s="9">
        <f t="shared" si="1"/>
        <v>1900</v>
      </c>
      <c r="N42" s="9">
        <f t="shared" si="2"/>
        <v>380</v>
      </c>
      <c r="O42" s="7">
        <v>1.0</v>
      </c>
      <c r="P42" s="11">
        <f t="shared" si="3"/>
        <v>9500</v>
      </c>
      <c r="Q42" s="79">
        <v>10.0</v>
      </c>
      <c r="R42" s="80">
        <v>6.0</v>
      </c>
      <c r="S42" s="7">
        <v>3.0</v>
      </c>
      <c r="T42" s="7">
        <v>600.0</v>
      </c>
      <c r="U42" s="7">
        <f t="shared" si="4"/>
        <v>18000</v>
      </c>
      <c r="V42" s="7">
        <f t="shared" si="5"/>
        <v>3.18</v>
      </c>
      <c r="W42" s="14">
        <f t="shared" si="6"/>
        <v>1908</v>
      </c>
      <c r="X42" s="94">
        <f t="shared" si="7"/>
        <v>1080</v>
      </c>
      <c r="Y42" s="84">
        <v>25.0</v>
      </c>
      <c r="Z42" s="7">
        <v>600.0</v>
      </c>
      <c r="AA42" s="7">
        <v>1.5</v>
      </c>
      <c r="AB42" s="7">
        <f t="shared" si="8"/>
        <v>900</v>
      </c>
      <c r="AC42" s="7">
        <f t="shared" si="27"/>
        <v>450</v>
      </c>
      <c r="AD42" s="7">
        <f t="shared" si="10"/>
        <v>225</v>
      </c>
      <c r="AE42" s="83">
        <f t="shared" si="11"/>
        <v>2250</v>
      </c>
      <c r="AF42" s="82">
        <v>0.0</v>
      </c>
      <c r="AG42" s="7">
        <v>800.0</v>
      </c>
      <c r="AH42" s="78">
        <v>0.8</v>
      </c>
      <c r="AI42" s="7">
        <f t="shared" si="12"/>
        <v>640</v>
      </c>
      <c r="AJ42" s="7">
        <f t="shared" si="13"/>
        <v>800</v>
      </c>
      <c r="AK42" s="7">
        <f t="shared" si="14"/>
        <v>0</v>
      </c>
      <c r="AL42" s="14">
        <f t="shared" si="15"/>
        <v>0</v>
      </c>
      <c r="AM42" s="84">
        <v>25.0</v>
      </c>
      <c r="AN42" s="78">
        <v>2.0</v>
      </c>
      <c r="AO42" s="78">
        <v>24.0</v>
      </c>
      <c r="AP42" s="7">
        <f t="shared" si="16"/>
        <v>48</v>
      </c>
      <c r="AQ42" s="7">
        <f t="shared" si="17"/>
        <v>1.5</v>
      </c>
      <c r="AR42" s="7">
        <f t="shared" si="18"/>
        <v>12</v>
      </c>
      <c r="AS42" s="14">
        <f t="shared" si="19"/>
        <v>120</v>
      </c>
      <c r="AT42" s="84">
        <v>3.0</v>
      </c>
      <c r="AU42" s="78">
        <v>15000.0</v>
      </c>
      <c r="AV42" s="14">
        <f t="shared" si="20"/>
        <v>450</v>
      </c>
      <c r="AW42" s="84">
        <v>3.0</v>
      </c>
      <c r="AX42" s="78">
        <v>5000.0</v>
      </c>
      <c r="AY42" s="14">
        <f t="shared" si="21"/>
        <v>150</v>
      </c>
      <c r="AZ42" s="69">
        <f t="shared" si="22"/>
        <v>1770</v>
      </c>
      <c r="BA42" s="77">
        <f t="shared" si="23"/>
        <v>0.1863157895</v>
      </c>
      <c r="BB42" s="69">
        <f t="shared" si="24"/>
        <v>5.367231638</v>
      </c>
      <c r="BC42" s="78" t="str">
        <f t="shared" si="25"/>
        <v>YES</v>
      </c>
    </row>
    <row r="43" ht="15.75" customHeight="1">
      <c r="A43" s="12"/>
      <c r="B43" s="26" t="s">
        <v>14</v>
      </c>
      <c r="C43" s="25" t="s">
        <v>526</v>
      </c>
      <c r="D43" s="7" t="s">
        <v>527</v>
      </c>
      <c r="E43" s="7" t="s">
        <v>172</v>
      </c>
      <c r="F43" s="7" t="s">
        <v>252</v>
      </c>
      <c r="G43" s="79" t="s">
        <v>528</v>
      </c>
      <c r="H43" s="7">
        <v>5.0</v>
      </c>
      <c r="I43" s="7">
        <v>15000.0</v>
      </c>
      <c r="J43" s="7"/>
      <c r="M43" s="9">
        <f t="shared" si="1"/>
        <v>3000</v>
      </c>
      <c r="N43" s="9">
        <f t="shared" si="2"/>
        <v>600</v>
      </c>
      <c r="O43" s="7">
        <v>1.0</v>
      </c>
      <c r="P43" s="11">
        <f t="shared" si="3"/>
        <v>15000</v>
      </c>
      <c r="Q43" s="79">
        <v>10.0</v>
      </c>
      <c r="R43" s="80">
        <v>6.0</v>
      </c>
      <c r="S43" s="7">
        <v>3.0</v>
      </c>
      <c r="T43" s="7">
        <v>600.0</v>
      </c>
      <c r="U43" s="7">
        <f t="shared" si="4"/>
        <v>18000</v>
      </c>
      <c r="V43" s="7">
        <f t="shared" si="5"/>
        <v>3.18</v>
      </c>
      <c r="W43" s="14">
        <f t="shared" si="6"/>
        <v>1908</v>
      </c>
      <c r="X43" s="94">
        <f t="shared" si="7"/>
        <v>1080</v>
      </c>
      <c r="Y43" s="84">
        <v>25.0</v>
      </c>
      <c r="Z43" s="7">
        <v>600.0</v>
      </c>
      <c r="AA43" s="7">
        <v>1.5</v>
      </c>
      <c r="AB43" s="7">
        <f t="shared" si="8"/>
        <v>900</v>
      </c>
      <c r="AC43" s="7">
        <f t="shared" si="27"/>
        <v>450</v>
      </c>
      <c r="AD43" s="7">
        <f t="shared" si="10"/>
        <v>225</v>
      </c>
      <c r="AE43" s="83">
        <f t="shared" si="11"/>
        <v>2250</v>
      </c>
      <c r="AF43" s="82">
        <v>0.0</v>
      </c>
      <c r="AG43" s="7">
        <v>800.0</v>
      </c>
      <c r="AH43" s="78">
        <v>0.8</v>
      </c>
      <c r="AI43" s="7">
        <f t="shared" si="12"/>
        <v>640</v>
      </c>
      <c r="AJ43" s="7">
        <f t="shared" si="13"/>
        <v>800</v>
      </c>
      <c r="AK43" s="7">
        <f t="shared" si="14"/>
        <v>0</v>
      </c>
      <c r="AL43" s="14">
        <f t="shared" si="15"/>
        <v>0</v>
      </c>
      <c r="AM43" s="82">
        <v>0.0</v>
      </c>
      <c r="AN43" s="78">
        <v>2.0</v>
      </c>
      <c r="AO43" s="78">
        <v>24.0</v>
      </c>
      <c r="AP43" s="7">
        <f t="shared" si="16"/>
        <v>48</v>
      </c>
      <c r="AQ43" s="7">
        <f t="shared" si="17"/>
        <v>2</v>
      </c>
      <c r="AR43" s="7">
        <f t="shared" si="18"/>
        <v>0</v>
      </c>
      <c r="AS43" s="14">
        <f t="shared" si="19"/>
        <v>0</v>
      </c>
      <c r="AT43" s="84">
        <v>3.0</v>
      </c>
      <c r="AU43" s="78">
        <v>15000.0</v>
      </c>
      <c r="AV43" s="14">
        <f t="shared" si="20"/>
        <v>450</v>
      </c>
      <c r="AW43" s="84">
        <v>3.0</v>
      </c>
      <c r="AX43" s="78">
        <v>5000.0</v>
      </c>
      <c r="AY43" s="14">
        <f t="shared" si="21"/>
        <v>150</v>
      </c>
      <c r="AZ43" s="69">
        <f t="shared" si="22"/>
        <v>330</v>
      </c>
      <c r="BA43" s="77">
        <f t="shared" si="23"/>
        <v>0.022</v>
      </c>
      <c r="BB43" s="69">
        <f t="shared" si="24"/>
        <v>45.45454545</v>
      </c>
      <c r="BC43" s="78" t="str">
        <f t="shared" si="25"/>
        <v>NO</v>
      </c>
    </row>
    <row r="44" ht="15.75" customHeight="1">
      <c r="A44" s="12"/>
      <c r="B44" s="26" t="s">
        <v>14</v>
      </c>
      <c r="C44" s="25" t="s">
        <v>529</v>
      </c>
      <c r="D44" s="7" t="s">
        <v>530</v>
      </c>
      <c r="E44" s="7" t="s">
        <v>531</v>
      </c>
      <c r="F44" s="7" t="s">
        <v>532</v>
      </c>
      <c r="G44" s="79" t="s">
        <v>533</v>
      </c>
      <c r="H44" s="7">
        <v>5.0</v>
      </c>
      <c r="I44" s="7">
        <v>22500.0</v>
      </c>
      <c r="J44" s="7"/>
      <c r="M44" s="9">
        <f t="shared" si="1"/>
        <v>4500</v>
      </c>
      <c r="N44" s="9">
        <f t="shared" si="2"/>
        <v>900</v>
      </c>
      <c r="O44" s="7">
        <v>1.0</v>
      </c>
      <c r="P44" s="11">
        <f t="shared" si="3"/>
        <v>22500</v>
      </c>
      <c r="Q44" s="79">
        <v>10.0</v>
      </c>
      <c r="R44" s="80">
        <v>6.0</v>
      </c>
      <c r="S44" s="7">
        <v>3.0</v>
      </c>
      <c r="T44" s="7">
        <v>600.0</v>
      </c>
      <c r="U44" s="7">
        <f t="shared" si="4"/>
        <v>18000</v>
      </c>
      <c r="V44" s="7">
        <f t="shared" si="5"/>
        <v>3.18</v>
      </c>
      <c r="W44" s="14">
        <f t="shared" si="6"/>
        <v>1908</v>
      </c>
      <c r="X44" s="94">
        <f t="shared" si="7"/>
        <v>1080</v>
      </c>
      <c r="Y44" s="82">
        <v>0.0</v>
      </c>
      <c r="Z44" s="7">
        <v>600.0</v>
      </c>
      <c r="AA44" s="7">
        <v>1.5</v>
      </c>
      <c r="AB44" s="7">
        <f t="shared" si="8"/>
        <v>900</v>
      </c>
      <c r="AC44" s="7">
        <f t="shared" si="27"/>
        <v>600</v>
      </c>
      <c r="AD44" s="7">
        <f t="shared" si="10"/>
        <v>0</v>
      </c>
      <c r="AE44" s="83">
        <f t="shared" si="11"/>
        <v>0</v>
      </c>
      <c r="AF44" s="82">
        <v>0.0</v>
      </c>
      <c r="AG44" s="7">
        <v>800.0</v>
      </c>
      <c r="AH44" s="78">
        <v>0.8</v>
      </c>
      <c r="AI44" s="7">
        <f t="shared" si="12"/>
        <v>640</v>
      </c>
      <c r="AJ44" s="7">
        <f t="shared" si="13"/>
        <v>800</v>
      </c>
      <c r="AK44" s="7">
        <f t="shared" si="14"/>
        <v>0</v>
      </c>
      <c r="AL44" s="14">
        <f t="shared" si="15"/>
        <v>0</v>
      </c>
      <c r="AM44" s="84">
        <v>25.0</v>
      </c>
      <c r="AN44" s="78">
        <v>2.0</v>
      </c>
      <c r="AO44" s="78">
        <v>24.0</v>
      </c>
      <c r="AP44" s="7">
        <f t="shared" si="16"/>
        <v>48</v>
      </c>
      <c r="AQ44" s="7">
        <f t="shared" si="17"/>
        <v>1.5</v>
      </c>
      <c r="AR44" s="7">
        <f t="shared" si="18"/>
        <v>12</v>
      </c>
      <c r="AS44" s="14">
        <f t="shared" si="19"/>
        <v>120</v>
      </c>
      <c r="AT44" s="84">
        <v>3.0</v>
      </c>
      <c r="AU44" s="78">
        <v>15000.0</v>
      </c>
      <c r="AV44" s="14">
        <f t="shared" si="20"/>
        <v>450</v>
      </c>
      <c r="AW44" s="84">
        <v>3.0</v>
      </c>
      <c r="AX44" s="78">
        <v>5000.0</v>
      </c>
      <c r="AY44" s="14">
        <f t="shared" si="21"/>
        <v>150</v>
      </c>
      <c r="AZ44" s="69">
        <f t="shared" si="22"/>
        <v>-3600</v>
      </c>
      <c r="BA44" s="77">
        <f t="shared" si="23"/>
        <v>-0.16</v>
      </c>
      <c r="BB44" s="69" t="str">
        <f t="shared" si="24"/>
        <v>Payback period not applicable: the investment does not recover its cost under current conditions.</v>
      </c>
      <c r="BC44" s="78" t="str">
        <f t="shared" si="25"/>
        <v>NO</v>
      </c>
    </row>
    <row r="45" ht="15.75" customHeight="1">
      <c r="A45" s="12"/>
      <c r="B45" s="26" t="s">
        <v>14</v>
      </c>
      <c r="C45" s="25" t="s">
        <v>534</v>
      </c>
      <c r="D45" s="97" t="s">
        <v>535</v>
      </c>
      <c r="E45" s="7" t="s">
        <v>513</v>
      </c>
      <c r="F45" s="7" t="s">
        <v>51</v>
      </c>
      <c r="G45" s="79" t="s">
        <v>536</v>
      </c>
      <c r="H45" s="7">
        <v>5.0</v>
      </c>
      <c r="I45" s="7">
        <v>7500.0</v>
      </c>
      <c r="J45" s="7"/>
      <c r="M45" s="9">
        <f t="shared" si="1"/>
        <v>1500</v>
      </c>
      <c r="N45" s="9">
        <f t="shared" si="2"/>
        <v>300</v>
      </c>
      <c r="O45" s="7">
        <v>1.0</v>
      </c>
      <c r="P45" s="11">
        <f t="shared" si="3"/>
        <v>7500</v>
      </c>
      <c r="Q45" s="79">
        <v>10.0</v>
      </c>
      <c r="R45" s="80">
        <v>6.0</v>
      </c>
      <c r="S45" s="7">
        <v>3.0</v>
      </c>
      <c r="T45" s="7">
        <v>600.0</v>
      </c>
      <c r="U45" s="7">
        <f t="shared" si="4"/>
        <v>18000</v>
      </c>
      <c r="V45" s="7">
        <f t="shared" si="5"/>
        <v>3.18</v>
      </c>
      <c r="W45" s="14">
        <f t="shared" si="6"/>
        <v>1908</v>
      </c>
      <c r="X45" s="94">
        <f t="shared" si="7"/>
        <v>1080</v>
      </c>
      <c r="Y45" s="84">
        <v>25.0</v>
      </c>
      <c r="Z45" s="7">
        <v>600.0</v>
      </c>
      <c r="AA45" s="7">
        <v>1.5</v>
      </c>
      <c r="AB45" s="7">
        <f t="shared" si="8"/>
        <v>900</v>
      </c>
      <c r="AC45" s="7">
        <f t="shared" si="27"/>
        <v>450</v>
      </c>
      <c r="AD45" s="7">
        <f t="shared" si="10"/>
        <v>225</v>
      </c>
      <c r="AE45" s="83">
        <f t="shared" si="11"/>
        <v>2250</v>
      </c>
      <c r="AF45" s="82">
        <v>0.0</v>
      </c>
      <c r="AG45" s="7">
        <v>800.0</v>
      </c>
      <c r="AH45" s="78">
        <v>0.8</v>
      </c>
      <c r="AI45" s="7">
        <f t="shared" si="12"/>
        <v>640</v>
      </c>
      <c r="AJ45" s="7">
        <f t="shared" si="13"/>
        <v>800</v>
      </c>
      <c r="AK45" s="7">
        <f t="shared" si="14"/>
        <v>0</v>
      </c>
      <c r="AL45" s="14">
        <f t="shared" si="15"/>
        <v>0</v>
      </c>
      <c r="AM45" s="82">
        <v>0.0</v>
      </c>
      <c r="AN45" s="78">
        <v>2.0</v>
      </c>
      <c r="AO45" s="78">
        <v>24.0</v>
      </c>
      <c r="AP45" s="7">
        <f t="shared" si="16"/>
        <v>48</v>
      </c>
      <c r="AQ45" s="7">
        <f t="shared" si="17"/>
        <v>2</v>
      </c>
      <c r="AR45" s="7">
        <f t="shared" si="18"/>
        <v>0</v>
      </c>
      <c r="AS45" s="14">
        <f t="shared" si="19"/>
        <v>0</v>
      </c>
      <c r="AT45" s="84">
        <v>3.0</v>
      </c>
      <c r="AU45" s="78">
        <v>15000.0</v>
      </c>
      <c r="AV45" s="14">
        <f t="shared" si="20"/>
        <v>450</v>
      </c>
      <c r="AW45" s="84">
        <v>3.0</v>
      </c>
      <c r="AX45" s="78">
        <v>5000.0</v>
      </c>
      <c r="AY45" s="14">
        <f t="shared" si="21"/>
        <v>150</v>
      </c>
      <c r="AZ45" s="69">
        <f t="shared" si="22"/>
        <v>2130</v>
      </c>
      <c r="BA45" s="77">
        <f t="shared" si="23"/>
        <v>0.284</v>
      </c>
      <c r="BB45" s="69">
        <f t="shared" si="24"/>
        <v>3.521126761</v>
      </c>
      <c r="BC45" s="78" t="str">
        <f t="shared" si="25"/>
        <v>YES</v>
      </c>
    </row>
    <row r="46" ht="13.5" customHeight="1">
      <c r="A46" s="18"/>
      <c r="B46" s="85" t="s">
        <v>503</v>
      </c>
      <c r="C46" s="86" t="s">
        <v>537</v>
      </c>
      <c r="D46" s="19" t="s">
        <v>538</v>
      </c>
      <c r="E46" s="19" t="s">
        <v>233</v>
      </c>
      <c r="F46" s="19" t="s">
        <v>51</v>
      </c>
      <c r="G46" s="89" t="s">
        <v>237</v>
      </c>
      <c r="H46" s="19">
        <v>5.0</v>
      </c>
      <c r="I46" s="19">
        <v>750.0</v>
      </c>
      <c r="J46" s="19"/>
      <c r="K46" s="19"/>
      <c r="L46" s="19"/>
      <c r="M46" s="9">
        <f t="shared" si="1"/>
        <v>150</v>
      </c>
      <c r="N46" s="9">
        <f t="shared" si="2"/>
        <v>30</v>
      </c>
      <c r="O46" s="19">
        <v>1.0</v>
      </c>
      <c r="P46" s="11">
        <f t="shared" si="3"/>
        <v>750</v>
      </c>
      <c r="Q46" s="87">
        <v>10.0</v>
      </c>
      <c r="R46" s="90">
        <v>6.0</v>
      </c>
      <c r="S46" s="19">
        <v>3.0</v>
      </c>
      <c r="T46" s="19">
        <v>600.0</v>
      </c>
      <c r="U46" s="19">
        <f t="shared" si="4"/>
        <v>18000</v>
      </c>
      <c r="V46" s="19">
        <f t="shared" si="5"/>
        <v>3.18</v>
      </c>
      <c r="W46" s="21">
        <f t="shared" si="6"/>
        <v>1908</v>
      </c>
      <c r="X46" s="89">
        <f t="shared" si="7"/>
        <v>1080</v>
      </c>
      <c r="Y46" s="92">
        <v>0.0</v>
      </c>
      <c r="Z46" s="19">
        <v>600.0</v>
      </c>
      <c r="AA46" s="19">
        <v>1.5</v>
      </c>
      <c r="AB46" s="19">
        <f t="shared" si="8"/>
        <v>900</v>
      </c>
      <c r="AC46" s="19">
        <f t="shared" si="27"/>
        <v>600</v>
      </c>
      <c r="AD46" s="19">
        <f t="shared" si="10"/>
        <v>0</v>
      </c>
      <c r="AE46" s="91">
        <f t="shared" si="11"/>
        <v>0</v>
      </c>
      <c r="AF46" s="88">
        <v>25.0</v>
      </c>
      <c r="AG46" s="19">
        <v>800.0</v>
      </c>
      <c r="AH46" s="93">
        <v>0.8</v>
      </c>
      <c r="AI46" s="19">
        <f t="shared" si="12"/>
        <v>640</v>
      </c>
      <c r="AJ46" s="19">
        <f t="shared" si="13"/>
        <v>600</v>
      </c>
      <c r="AK46" s="19">
        <f t="shared" si="14"/>
        <v>160</v>
      </c>
      <c r="AL46" s="21">
        <f t="shared" si="15"/>
        <v>1600</v>
      </c>
      <c r="AM46" s="92">
        <v>0.0</v>
      </c>
      <c r="AN46" s="93">
        <v>2.0</v>
      </c>
      <c r="AO46" s="93">
        <v>24.0</v>
      </c>
      <c r="AP46" s="19">
        <f t="shared" si="16"/>
        <v>48</v>
      </c>
      <c r="AQ46" s="19">
        <f t="shared" si="17"/>
        <v>2</v>
      </c>
      <c r="AR46" s="19">
        <f t="shared" si="18"/>
        <v>0</v>
      </c>
      <c r="AS46" s="21">
        <f t="shared" si="19"/>
        <v>0</v>
      </c>
      <c r="AT46" s="88">
        <v>3.0</v>
      </c>
      <c r="AU46" s="93">
        <v>15000.0</v>
      </c>
      <c r="AV46" s="21">
        <f t="shared" si="20"/>
        <v>450</v>
      </c>
      <c r="AW46" s="88">
        <v>3.0</v>
      </c>
      <c r="AX46" s="93">
        <v>5000.0</v>
      </c>
      <c r="AY46" s="21">
        <f t="shared" si="21"/>
        <v>150</v>
      </c>
      <c r="AZ46" s="69">
        <f t="shared" si="22"/>
        <v>3100</v>
      </c>
      <c r="BA46" s="77">
        <f t="shared" si="23"/>
        <v>4.133333333</v>
      </c>
      <c r="BB46" s="69">
        <f t="shared" si="24"/>
        <v>0.2419354839</v>
      </c>
      <c r="BC46" s="78" t="str">
        <f t="shared" si="25"/>
        <v>YES</v>
      </c>
    </row>
    <row r="47" ht="15.75" customHeight="1">
      <c r="A47" s="66" t="s">
        <v>270</v>
      </c>
      <c r="B47" s="67" t="s">
        <v>14</v>
      </c>
      <c r="C47" s="9" t="s">
        <v>271</v>
      </c>
      <c r="D47" s="9" t="s">
        <v>272</v>
      </c>
      <c r="E47" s="9" t="s">
        <v>539</v>
      </c>
      <c r="F47" s="9" t="s">
        <v>156</v>
      </c>
      <c r="G47" s="69" t="s">
        <v>540</v>
      </c>
      <c r="H47" s="9">
        <v>5.0</v>
      </c>
      <c r="I47" s="9">
        <v>15750.0</v>
      </c>
      <c r="J47" s="9"/>
      <c r="K47" s="9"/>
      <c r="L47" s="9"/>
      <c r="M47" s="9">
        <f t="shared" si="1"/>
        <v>3150</v>
      </c>
      <c r="N47" s="9">
        <f t="shared" si="2"/>
        <v>630</v>
      </c>
      <c r="O47" s="9">
        <v>1.0</v>
      </c>
      <c r="P47" s="11">
        <f t="shared" si="3"/>
        <v>15750</v>
      </c>
      <c r="Q47" s="69">
        <v>10.0</v>
      </c>
      <c r="R47" s="71">
        <v>11.5</v>
      </c>
      <c r="S47" s="9">
        <v>3.0</v>
      </c>
      <c r="T47" s="9">
        <v>600.0</v>
      </c>
      <c r="U47" s="9">
        <f t="shared" si="4"/>
        <v>18000</v>
      </c>
      <c r="V47" s="9">
        <f t="shared" si="5"/>
        <v>3.345</v>
      </c>
      <c r="W47" s="11">
        <f t="shared" si="6"/>
        <v>2007</v>
      </c>
      <c r="X47" s="72">
        <f t="shared" si="7"/>
        <v>2070</v>
      </c>
      <c r="Y47" s="71">
        <v>22.5</v>
      </c>
      <c r="Z47" s="9">
        <v>600.0</v>
      </c>
      <c r="AA47" s="9">
        <v>1.5</v>
      </c>
      <c r="AB47" s="9">
        <f t="shared" si="8"/>
        <v>900</v>
      </c>
      <c r="AC47" s="9">
        <f t="shared" si="27"/>
        <v>465</v>
      </c>
      <c r="AD47" s="9">
        <f t="shared" si="10"/>
        <v>202.5</v>
      </c>
      <c r="AE47" s="73">
        <f t="shared" si="11"/>
        <v>2025</v>
      </c>
      <c r="AF47" s="75">
        <v>25.0</v>
      </c>
      <c r="AG47" s="9">
        <v>800.0</v>
      </c>
      <c r="AH47" s="74">
        <v>0.8</v>
      </c>
      <c r="AI47" s="9">
        <f t="shared" si="12"/>
        <v>640</v>
      </c>
      <c r="AJ47" s="9">
        <f t="shared" si="13"/>
        <v>600</v>
      </c>
      <c r="AK47" s="9">
        <f t="shared" si="14"/>
        <v>160</v>
      </c>
      <c r="AL47" s="11">
        <f t="shared" si="15"/>
        <v>1600</v>
      </c>
      <c r="AM47" s="75">
        <v>50.0</v>
      </c>
      <c r="AN47" s="74">
        <v>2.0</v>
      </c>
      <c r="AO47" s="74">
        <v>24.0</v>
      </c>
      <c r="AP47" s="9">
        <f t="shared" si="16"/>
        <v>48</v>
      </c>
      <c r="AQ47" s="9">
        <f t="shared" si="17"/>
        <v>1</v>
      </c>
      <c r="AR47" s="9">
        <f t="shared" si="18"/>
        <v>24</v>
      </c>
      <c r="AS47" s="11">
        <f t="shared" si="19"/>
        <v>240</v>
      </c>
      <c r="AT47" s="76">
        <v>0.0</v>
      </c>
      <c r="AU47" s="74">
        <v>15000.0</v>
      </c>
      <c r="AV47" s="11">
        <f t="shared" si="20"/>
        <v>0</v>
      </c>
      <c r="AW47" s="75">
        <v>6.0</v>
      </c>
      <c r="AX47" s="74">
        <v>5000.0</v>
      </c>
      <c r="AY47" s="11">
        <f t="shared" si="21"/>
        <v>300</v>
      </c>
      <c r="AZ47" s="69">
        <f t="shared" si="22"/>
        <v>2455</v>
      </c>
      <c r="BA47" s="77">
        <f t="shared" si="23"/>
        <v>0.1558730159</v>
      </c>
      <c r="BB47" s="69">
        <f t="shared" si="24"/>
        <v>6.415478615</v>
      </c>
      <c r="BC47" s="78" t="str">
        <f t="shared" si="25"/>
        <v>NO</v>
      </c>
    </row>
    <row r="48" ht="15.75" customHeight="1">
      <c r="A48" s="12"/>
      <c r="B48" s="26" t="s">
        <v>14</v>
      </c>
      <c r="C48" s="7" t="s">
        <v>271</v>
      </c>
      <c r="D48" s="7" t="s">
        <v>277</v>
      </c>
      <c r="E48" s="7" t="s">
        <v>539</v>
      </c>
      <c r="F48" s="7" t="s">
        <v>156</v>
      </c>
      <c r="G48" s="79" t="s">
        <v>541</v>
      </c>
      <c r="H48" s="7">
        <v>5.0</v>
      </c>
      <c r="I48" s="7">
        <v>9500.0</v>
      </c>
      <c r="J48" s="7"/>
      <c r="L48" s="7"/>
      <c r="M48" s="9">
        <f t="shared" si="1"/>
        <v>1900</v>
      </c>
      <c r="N48" s="9">
        <f t="shared" si="2"/>
        <v>380</v>
      </c>
      <c r="O48" s="7">
        <v>1.0</v>
      </c>
      <c r="P48" s="11">
        <f t="shared" si="3"/>
        <v>9500</v>
      </c>
      <c r="Q48" s="79">
        <v>10.0</v>
      </c>
      <c r="R48" s="80">
        <v>11.5</v>
      </c>
      <c r="S48" s="7">
        <v>3.0</v>
      </c>
      <c r="T48" s="7">
        <v>600.0</v>
      </c>
      <c r="U48" s="7">
        <f t="shared" si="4"/>
        <v>18000</v>
      </c>
      <c r="V48" s="7">
        <f t="shared" si="5"/>
        <v>3.345</v>
      </c>
      <c r="W48" s="14">
        <f t="shared" si="6"/>
        <v>2007</v>
      </c>
      <c r="X48" s="94">
        <f t="shared" si="7"/>
        <v>2070</v>
      </c>
      <c r="Y48" s="80">
        <v>22.5</v>
      </c>
      <c r="Z48" s="7">
        <v>600.0</v>
      </c>
      <c r="AA48" s="7">
        <v>1.5</v>
      </c>
      <c r="AB48" s="7">
        <f t="shared" si="8"/>
        <v>900</v>
      </c>
      <c r="AC48" s="7">
        <f t="shared" si="27"/>
        <v>465</v>
      </c>
      <c r="AD48" s="7">
        <f t="shared" si="10"/>
        <v>202.5</v>
      </c>
      <c r="AE48" s="83">
        <f t="shared" si="11"/>
        <v>2025</v>
      </c>
      <c r="AF48" s="84">
        <v>25.0</v>
      </c>
      <c r="AG48" s="7">
        <v>800.0</v>
      </c>
      <c r="AH48" s="78">
        <v>0.8</v>
      </c>
      <c r="AI48" s="7">
        <f t="shared" si="12"/>
        <v>640</v>
      </c>
      <c r="AJ48" s="7">
        <f t="shared" si="13"/>
        <v>600</v>
      </c>
      <c r="AK48" s="7">
        <f t="shared" si="14"/>
        <v>160</v>
      </c>
      <c r="AL48" s="14">
        <f t="shared" si="15"/>
        <v>1600</v>
      </c>
      <c r="AM48" s="84">
        <v>50.0</v>
      </c>
      <c r="AN48" s="78">
        <v>2.0</v>
      </c>
      <c r="AO48" s="78">
        <v>24.0</v>
      </c>
      <c r="AP48" s="7">
        <f t="shared" si="16"/>
        <v>48</v>
      </c>
      <c r="AQ48" s="7">
        <f t="shared" si="17"/>
        <v>1</v>
      </c>
      <c r="AR48" s="7">
        <f t="shared" si="18"/>
        <v>24</v>
      </c>
      <c r="AS48" s="14">
        <f t="shared" si="19"/>
        <v>240</v>
      </c>
      <c r="AT48" s="82">
        <v>0.0</v>
      </c>
      <c r="AU48" s="78">
        <v>15000.0</v>
      </c>
      <c r="AV48" s="14">
        <f t="shared" si="20"/>
        <v>0</v>
      </c>
      <c r="AW48" s="84">
        <v>6.0</v>
      </c>
      <c r="AX48" s="78">
        <v>5000.0</v>
      </c>
      <c r="AY48" s="14">
        <f t="shared" si="21"/>
        <v>300</v>
      </c>
      <c r="AZ48" s="69">
        <f t="shared" si="22"/>
        <v>3955</v>
      </c>
      <c r="BA48" s="77">
        <f t="shared" si="23"/>
        <v>0.4163157895</v>
      </c>
      <c r="BB48" s="69">
        <f t="shared" si="24"/>
        <v>2.402022756</v>
      </c>
      <c r="BC48" s="78" t="str">
        <f t="shared" si="25"/>
        <v>YES</v>
      </c>
    </row>
    <row r="49" ht="15.75" customHeight="1">
      <c r="A49" s="12"/>
      <c r="B49" s="26" t="s">
        <v>14</v>
      </c>
      <c r="C49" s="7" t="s">
        <v>542</v>
      </c>
      <c r="D49" s="7" t="s">
        <v>280</v>
      </c>
      <c r="E49" s="7" t="s">
        <v>281</v>
      </c>
      <c r="F49" s="7" t="s">
        <v>156</v>
      </c>
      <c r="G49" s="79" t="s">
        <v>543</v>
      </c>
      <c r="H49" s="7">
        <v>5.0</v>
      </c>
      <c r="I49" s="7">
        <v>1800.0</v>
      </c>
      <c r="J49" s="7"/>
      <c r="L49" s="7"/>
      <c r="M49" s="9">
        <f t="shared" si="1"/>
        <v>360</v>
      </c>
      <c r="N49" s="9">
        <f t="shared" si="2"/>
        <v>72</v>
      </c>
      <c r="O49" s="7">
        <v>1.0</v>
      </c>
      <c r="P49" s="11">
        <f t="shared" si="3"/>
        <v>1800</v>
      </c>
      <c r="Q49" s="79">
        <v>10.0</v>
      </c>
      <c r="R49" s="80">
        <v>11.5</v>
      </c>
      <c r="S49" s="7">
        <v>3.0</v>
      </c>
      <c r="T49" s="7">
        <v>600.0</v>
      </c>
      <c r="U49" s="7">
        <f t="shared" si="4"/>
        <v>18000</v>
      </c>
      <c r="V49" s="7">
        <f t="shared" si="5"/>
        <v>3.345</v>
      </c>
      <c r="W49" s="14">
        <f t="shared" si="6"/>
        <v>2007</v>
      </c>
      <c r="X49" s="94">
        <f t="shared" si="7"/>
        <v>2070</v>
      </c>
      <c r="Y49" s="80">
        <v>22.5</v>
      </c>
      <c r="Z49" s="7">
        <v>600.0</v>
      </c>
      <c r="AA49" s="7">
        <v>1.5</v>
      </c>
      <c r="AB49" s="7">
        <f t="shared" si="8"/>
        <v>900</v>
      </c>
      <c r="AC49" s="7">
        <f t="shared" si="27"/>
        <v>465</v>
      </c>
      <c r="AD49" s="7">
        <f t="shared" si="10"/>
        <v>202.5</v>
      </c>
      <c r="AE49" s="83">
        <f t="shared" si="11"/>
        <v>2025</v>
      </c>
      <c r="AF49" s="84">
        <v>25.0</v>
      </c>
      <c r="AG49" s="7">
        <v>800.0</v>
      </c>
      <c r="AH49" s="78">
        <v>0.8</v>
      </c>
      <c r="AI49" s="7">
        <f t="shared" si="12"/>
        <v>640</v>
      </c>
      <c r="AJ49" s="7">
        <f t="shared" si="13"/>
        <v>600</v>
      </c>
      <c r="AK49" s="7">
        <f t="shared" si="14"/>
        <v>160</v>
      </c>
      <c r="AL49" s="14">
        <f t="shared" si="15"/>
        <v>1600</v>
      </c>
      <c r="AM49" s="84">
        <v>50.0</v>
      </c>
      <c r="AN49" s="78">
        <v>2.0</v>
      </c>
      <c r="AO49" s="78">
        <v>24.0</v>
      </c>
      <c r="AP49" s="7">
        <f t="shared" si="16"/>
        <v>48</v>
      </c>
      <c r="AQ49" s="7">
        <f t="shared" si="17"/>
        <v>1</v>
      </c>
      <c r="AR49" s="7">
        <f t="shared" si="18"/>
        <v>24</v>
      </c>
      <c r="AS49" s="14">
        <f t="shared" si="19"/>
        <v>240</v>
      </c>
      <c r="AT49" s="82">
        <v>0.0</v>
      </c>
      <c r="AU49" s="78">
        <v>15000.0</v>
      </c>
      <c r="AV49" s="14">
        <f t="shared" si="20"/>
        <v>0</v>
      </c>
      <c r="AW49" s="84">
        <v>6.0</v>
      </c>
      <c r="AX49" s="78">
        <v>5000.0</v>
      </c>
      <c r="AY49" s="14">
        <f t="shared" si="21"/>
        <v>300</v>
      </c>
      <c r="AZ49" s="69">
        <f t="shared" si="22"/>
        <v>5803</v>
      </c>
      <c r="BA49" s="77">
        <f t="shared" si="23"/>
        <v>3.223888889</v>
      </c>
      <c r="BB49" s="69">
        <f t="shared" si="24"/>
        <v>0.3101843874</v>
      </c>
      <c r="BC49" s="78" t="str">
        <f t="shared" si="25"/>
        <v>YES</v>
      </c>
    </row>
    <row r="50" ht="15.75" customHeight="1">
      <c r="A50" s="12"/>
      <c r="B50" s="26" t="s">
        <v>14</v>
      </c>
      <c r="C50" s="7" t="s">
        <v>271</v>
      </c>
      <c r="D50" s="7" t="s">
        <v>295</v>
      </c>
      <c r="E50" s="7" t="s">
        <v>296</v>
      </c>
      <c r="F50" s="7" t="s">
        <v>156</v>
      </c>
      <c r="G50" s="79" t="s">
        <v>544</v>
      </c>
      <c r="H50" s="7">
        <v>5.0</v>
      </c>
      <c r="I50" s="7">
        <v>6500.0</v>
      </c>
      <c r="J50" s="7"/>
      <c r="L50" s="7"/>
      <c r="M50" s="9">
        <f t="shared" si="1"/>
        <v>1300</v>
      </c>
      <c r="N50" s="9">
        <f t="shared" si="2"/>
        <v>260</v>
      </c>
      <c r="O50" s="7">
        <v>1.0</v>
      </c>
      <c r="P50" s="11">
        <f t="shared" si="3"/>
        <v>6500</v>
      </c>
      <c r="Q50" s="79">
        <v>10.0</v>
      </c>
      <c r="R50" s="80">
        <v>11.5</v>
      </c>
      <c r="S50" s="7">
        <v>3.0</v>
      </c>
      <c r="T50" s="7">
        <v>600.0</v>
      </c>
      <c r="U50" s="7">
        <f t="shared" si="4"/>
        <v>18000</v>
      </c>
      <c r="V50" s="7">
        <f t="shared" si="5"/>
        <v>3.345</v>
      </c>
      <c r="W50" s="14">
        <f t="shared" si="6"/>
        <v>2007</v>
      </c>
      <c r="X50" s="94">
        <f t="shared" si="7"/>
        <v>2070</v>
      </c>
      <c r="Y50" s="80">
        <v>22.5</v>
      </c>
      <c r="Z50" s="7">
        <v>600.0</v>
      </c>
      <c r="AA50" s="7">
        <v>1.5</v>
      </c>
      <c r="AB50" s="7">
        <f t="shared" si="8"/>
        <v>900</v>
      </c>
      <c r="AC50" s="7">
        <f t="shared" si="27"/>
        <v>465</v>
      </c>
      <c r="AD50" s="7">
        <f t="shared" si="10"/>
        <v>202.5</v>
      </c>
      <c r="AE50" s="83">
        <f t="shared" si="11"/>
        <v>2025</v>
      </c>
      <c r="AF50" s="84">
        <v>25.0</v>
      </c>
      <c r="AG50" s="7">
        <v>800.0</v>
      </c>
      <c r="AH50" s="78">
        <v>0.8</v>
      </c>
      <c r="AI50" s="7">
        <f t="shared" si="12"/>
        <v>640</v>
      </c>
      <c r="AJ50" s="7">
        <f t="shared" si="13"/>
        <v>600</v>
      </c>
      <c r="AK50" s="7">
        <f t="shared" si="14"/>
        <v>160</v>
      </c>
      <c r="AL50" s="14">
        <f t="shared" si="15"/>
        <v>1600</v>
      </c>
      <c r="AM50" s="84">
        <v>50.0</v>
      </c>
      <c r="AN50" s="78">
        <v>2.0</v>
      </c>
      <c r="AO50" s="78">
        <v>24.0</v>
      </c>
      <c r="AP50" s="7">
        <f t="shared" si="16"/>
        <v>48</v>
      </c>
      <c r="AQ50" s="7">
        <f t="shared" si="17"/>
        <v>1</v>
      </c>
      <c r="AR50" s="7">
        <f t="shared" si="18"/>
        <v>24</v>
      </c>
      <c r="AS50" s="14">
        <f t="shared" si="19"/>
        <v>240</v>
      </c>
      <c r="AT50" s="82">
        <v>0.0</v>
      </c>
      <c r="AU50" s="78">
        <v>15000.0</v>
      </c>
      <c r="AV50" s="14">
        <f t="shared" si="20"/>
        <v>0</v>
      </c>
      <c r="AW50" s="84">
        <v>6.0</v>
      </c>
      <c r="AX50" s="78">
        <v>5000.0</v>
      </c>
      <c r="AY50" s="14">
        <f t="shared" si="21"/>
        <v>300</v>
      </c>
      <c r="AZ50" s="69">
        <f t="shared" si="22"/>
        <v>4675</v>
      </c>
      <c r="BA50" s="77">
        <f t="shared" si="23"/>
        <v>0.7192307692</v>
      </c>
      <c r="BB50" s="69">
        <f t="shared" si="24"/>
        <v>1.390374332</v>
      </c>
      <c r="BC50" s="78" t="str">
        <f t="shared" si="25"/>
        <v>YES</v>
      </c>
    </row>
    <row r="51" ht="15.75" customHeight="1">
      <c r="A51" s="12"/>
      <c r="B51" s="26" t="s">
        <v>14</v>
      </c>
      <c r="C51" s="7" t="s">
        <v>300</v>
      </c>
      <c r="D51" s="7" t="s">
        <v>301</v>
      </c>
      <c r="E51" s="7" t="s">
        <v>545</v>
      </c>
      <c r="F51" s="7" t="s">
        <v>156</v>
      </c>
      <c r="G51" s="79" t="s">
        <v>546</v>
      </c>
      <c r="H51" s="7">
        <v>5.0</v>
      </c>
      <c r="I51" s="7">
        <v>12000.0</v>
      </c>
      <c r="J51" s="7"/>
      <c r="L51" s="7"/>
      <c r="M51" s="9">
        <f t="shared" si="1"/>
        <v>2400</v>
      </c>
      <c r="N51" s="9">
        <f t="shared" si="2"/>
        <v>480</v>
      </c>
      <c r="O51" s="7">
        <v>1.0</v>
      </c>
      <c r="P51" s="11">
        <f t="shared" si="3"/>
        <v>12000</v>
      </c>
      <c r="Q51" s="79">
        <v>10.0</v>
      </c>
      <c r="R51" s="80">
        <v>11.5</v>
      </c>
      <c r="S51" s="7">
        <v>3.0</v>
      </c>
      <c r="T51" s="7">
        <v>600.0</v>
      </c>
      <c r="U51" s="7">
        <f t="shared" si="4"/>
        <v>18000</v>
      </c>
      <c r="V51" s="7">
        <f t="shared" si="5"/>
        <v>3.345</v>
      </c>
      <c r="W51" s="14">
        <f t="shared" si="6"/>
        <v>2007</v>
      </c>
      <c r="X51" s="94">
        <f t="shared" si="7"/>
        <v>2070</v>
      </c>
      <c r="Y51" s="80">
        <v>22.5</v>
      </c>
      <c r="Z51" s="7">
        <v>600.0</v>
      </c>
      <c r="AA51" s="7">
        <v>1.5</v>
      </c>
      <c r="AB51" s="7">
        <f t="shared" si="8"/>
        <v>900</v>
      </c>
      <c r="AC51" s="7">
        <f t="shared" si="27"/>
        <v>465</v>
      </c>
      <c r="AD51" s="7">
        <f t="shared" si="10"/>
        <v>202.5</v>
      </c>
      <c r="AE51" s="83">
        <f t="shared" si="11"/>
        <v>2025</v>
      </c>
      <c r="AF51" s="84">
        <v>25.0</v>
      </c>
      <c r="AG51" s="7">
        <v>800.0</v>
      </c>
      <c r="AH51" s="78">
        <v>0.8</v>
      </c>
      <c r="AI51" s="7">
        <f t="shared" si="12"/>
        <v>640</v>
      </c>
      <c r="AJ51" s="7">
        <f t="shared" si="13"/>
        <v>600</v>
      </c>
      <c r="AK51" s="7">
        <f t="shared" si="14"/>
        <v>160</v>
      </c>
      <c r="AL51" s="14">
        <f t="shared" si="15"/>
        <v>1600</v>
      </c>
      <c r="AM51" s="84">
        <v>50.0</v>
      </c>
      <c r="AN51" s="78">
        <v>2.0</v>
      </c>
      <c r="AO51" s="78">
        <v>24.0</v>
      </c>
      <c r="AP51" s="7">
        <f t="shared" si="16"/>
        <v>48</v>
      </c>
      <c r="AQ51" s="7">
        <f t="shared" si="17"/>
        <v>1</v>
      </c>
      <c r="AR51" s="7">
        <f t="shared" si="18"/>
        <v>24</v>
      </c>
      <c r="AS51" s="14">
        <f t="shared" si="19"/>
        <v>240</v>
      </c>
      <c r="AT51" s="82">
        <v>0.0</v>
      </c>
      <c r="AU51" s="78">
        <v>15000.0</v>
      </c>
      <c r="AV51" s="14">
        <f t="shared" si="20"/>
        <v>0</v>
      </c>
      <c r="AW51" s="84">
        <v>6.0</v>
      </c>
      <c r="AX51" s="78">
        <v>5000.0</v>
      </c>
      <c r="AY51" s="14">
        <f t="shared" si="21"/>
        <v>300</v>
      </c>
      <c r="AZ51" s="69">
        <f t="shared" si="22"/>
        <v>3355</v>
      </c>
      <c r="BA51" s="77">
        <f t="shared" si="23"/>
        <v>0.2795833333</v>
      </c>
      <c r="BB51" s="69">
        <f t="shared" si="24"/>
        <v>3.576751118</v>
      </c>
      <c r="BC51" s="78" t="str">
        <f t="shared" si="25"/>
        <v>YES</v>
      </c>
    </row>
    <row r="52" ht="15.75" customHeight="1">
      <c r="A52" s="12"/>
      <c r="B52" s="26" t="s">
        <v>36</v>
      </c>
      <c r="C52" s="7" t="s">
        <v>271</v>
      </c>
      <c r="D52" s="7" t="s">
        <v>547</v>
      </c>
      <c r="E52" s="7" t="s">
        <v>285</v>
      </c>
      <c r="F52" s="7" t="s">
        <v>51</v>
      </c>
      <c r="G52" s="79" t="s">
        <v>44</v>
      </c>
      <c r="H52" s="7">
        <v>5.0</v>
      </c>
      <c r="I52" s="7">
        <v>0.0</v>
      </c>
      <c r="J52" s="7"/>
      <c r="L52" s="7"/>
      <c r="M52" s="9">
        <f t="shared" si="1"/>
        <v>0</v>
      </c>
      <c r="N52" s="9">
        <f t="shared" si="2"/>
        <v>0</v>
      </c>
      <c r="O52" s="7">
        <v>1.0</v>
      </c>
      <c r="P52" s="11">
        <f t="shared" si="3"/>
        <v>0</v>
      </c>
      <c r="Q52" s="79">
        <v>10.0</v>
      </c>
      <c r="R52" s="80">
        <v>11.5</v>
      </c>
      <c r="S52" s="7">
        <v>3.0</v>
      </c>
      <c r="T52" s="7">
        <v>600.0</v>
      </c>
      <c r="U52" s="7">
        <f t="shared" si="4"/>
        <v>18000</v>
      </c>
      <c r="V52" s="7">
        <f t="shared" si="5"/>
        <v>3.345</v>
      </c>
      <c r="W52" s="14">
        <f t="shared" si="6"/>
        <v>2007</v>
      </c>
      <c r="X52" s="94">
        <f t="shared" si="7"/>
        <v>2070</v>
      </c>
      <c r="Y52" s="84">
        <v>22.5</v>
      </c>
      <c r="Z52" s="7">
        <v>600.0</v>
      </c>
      <c r="AA52" s="7">
        <v>1.5</v>
      </c>
      <c r="AB52" s="7">
        <f t="shared" si="8"/>
        <v>900</v>
      </c>
      <c r="AC52" s="7">
        <f t="shared" si="27"/>
        <v>465</v>
      </c>
      <c r="AD52" s="7">
        <f t="shared" si="10"/>
        <v>202.5</v>
      </c>
      <c r="AE52" s="83">
        <f t="shared" si="11"/>
        <v>2025</v>
      </c>
      <c r="AF52" s="84">
        <v>25.0</v>
      </c>
      <c r="AG52" s="7">
        <v>800.0</v>
      </c>
      <c r="AH52" s="78">
        <v>0.8</v>
      </c>
      <c r="AI52" s="7">
        <f t="shared" si="12"/>
        <v>640</v>
      </c>
      <c r="AJ52" s="7">
        <f t="shared" si="13"/>
        <v>600</v>
      </c>
      <c r="AK52" s="7">
        <f t="shared" si="14"/>
        <v>160</v>
      </c>
      <c r="AL52" s="14">
        <f t="shared" si="15"/>
        <v>1600</v>
      </c>
      <c r="AM52" s="84">
        <v>50.0</v>
      </c>
      <c r="AN52" s="78">
        <v>2.0</v>
      </c>
      <c r="AO52" s="78">
        <v>24.0</v>
      </c>
      <c r="AP52" s="7">
        <f t="shared" si="16"/>
        <v>48</v>
      </c>
      <c r="AQ52" s="7">
        <f t="shared" si="17"/>
        <v>1</v>
      </c>
      <c r="AR52" s="7">
        <f t="shared" si="18"/>
        <v>24</v>
      </c>
      <c r="AS52" s="14">
        <f t="shared" si="19"/>
        <v>240</v>
      </c>
      <c r="AT52" s="82">
        <v>0.0</v>
      </c>
      <c r="AU52" s="78">
        <v>15000.0</v>
      </c>
      <c r="AV52" s="14">
        <f t="shared" si="20"/>
        <v>0</v>
      </c>
      <c r="AW52" s="84">
        <v>6.0</v>
      </c>
      <c r="AX52" s="78">
        <v>5000.0</v>
      </c>
      <c r="AY52" s="14">
        <f t="shared" si="21"/>
        <v>300</v>
      </c>
      <c r="AZ52" s="69">
        <f t="shared" si="22"/>
        <v>6235</v>
      </c>
      <c r="BA52" s="77" t="str">
        <f t="shared" si="23"/>
        <v>The DAT is free</v>
      </c>
      <c r="BB52" s="69">
        <f t="shared" si="24"/>
        <v>0</v>
      </c>
      <c r="BC52" s="78" t="str">
        <f t="shared" si="25"/>
        <v>YES</v>
      </c>
    </row>
    <row r="53" ht="15.75" customHeight="1">
      <c r="A53" s="12"/>
      <c r="B53" s="26" t="s">
        <v>14</v>
      </c>
      <c r="C53" s="7" t="s">
        <v>289</v>
      </c>
      <c r="D53" s="7" t="s">
        <v>290</v>
      </c>
      <c r="E53" s="7" t="s">
        <v>291</v>
      </c>
      <c r="F53" s="7" t="s">
        <v>51</v>
      </c>
      <c r="G53" s="79" t="s">
        <v>294</v>
      </c>
      <c r="H53" s="7">
        <v>5.0</v>
      </c>
      <c r="I53" s="7">
        <v>220.0</v>
      </c>
      <c r="J53" s="7"/>
      <c r="L53" s="7"/>
      <c r="M53" s="9">
        <f t="shared" si="1"/>
        <v>0</v>
      </c>
      <c r="N53" s="9">
        <f t="shared" si="2"/>
        <v>8.8</v>
      </c>
      <c r="O53" s="7">
        <v>1.0</v>
      </c>
      <c r="P53" s="11">
        <f t="shared" si="3"/>
        <v>220</v>
      </c>
      <c r="Q53" s="79">
        <v>10.0</v>
      </c>
      <c r="R53" s="80">
        <v>11.5</v>
      </c>
      <c r="S53" s="7">
        <v>3.0</v>
      </c>
      <c r="T53" s="7">
        <v>600.0</v>
      </c>
      <c r="U53" s="7">
        <f t="shared" si="4"/>
        <v>18000</v>
      </c>
      <c r="V53" s="7">
        <f t="shared" si="5"/>
        <v>3.345</v>
      </c>
      <c r="W53" s="14">
        <f t="shared" si="6"/>
        <v>2007</v>
      </c>
      <c r="X53" s="94">
        <f t="shared" si="7"/>
        <v>2070</v>
      </c>
      <c r="Y53" s="80">
        <v>22.5</v>
      </c>
      <c r="Z53" s="7">
        <v>600.0</v>
      </c>
      <c r="AA53" s="7">
        <v>1.5</v>
      </c>
      <c r="AB53" s="7">
        <f t="shared" si="8"/>
        <v>900</v>
      </c>
      <c r="AC53" s="7">
        <f t="shared" si="27"/>
        <v>465</v>
      </c>
      <c r="AD53" s="7">
        <f t="shared" si="10"/>
        <v>202.5</v>
      </c>
      <c r="AE53" s="83">
        <f t="shared" si="11"/>
        <v>2025</v>
      </c>
      <c r="AF53" s="84">
        <v>25.0</v>
      </c>
      <c r="AG53" s="7">
        <v>800.0</v>
      </c>
      <c r="AH53" s="78">
        <v>0.8</v>
      </c>
      <c r="AI53" s="7">
        <f t="shared" si="12"/>
        <v>640</v>
      </c>
      <c r="AJ53" s="7">
        <f t="shared" si="13"/>
        <v>600</v>
      </c>
      <c r="AK53" s="7">
        <f t="shared" si="14"/>
        <v>160</v>
      </c>
      <c r="AL53" s="14">
        <f t="shared" si="15"/>
        <v>1600</v>
      </c>
      <c r="AM53" s="84">
        <v>50.0</v>
      </c>
      <c r="AN53" s="78">
        <v>2.0</v>
      </c>
      <c r="AO53" s="78">
        <v>24.0</v>
      </c>
      <c r="AP53" s="7">
        <f t="shared" si="16"/>
        <v>48</v>
      </c>
      <c r="AQ53" s="7">
        <f t="shared" si="17"/>
        <v>1</v>
      </c>
      <c r="AR53" s="7">
        <f t="shared" si="18"/>
        <v>24</v>
      </c>
      <c r="AS53" s="14">
        <f t="shared" si="19"/>
        <v>240</v>
      </c>
      <c r="AT53" s="82">
        <v>0.0</v>
      </c>
      <c r="AU53" s="78">
        <v>15000.0</v>
      </c>
      <c r="AV53" s="14">
        <f t="shared" si="20"/>
        <v>0</v>
      </c>
      <c r="AW53" s="84">
        <v>6.0</v>
      </c>
      <c r="AX53" s="78">
        <v>5000.0</v>
      </c>
      <c r="AY53" s="14">
        <f t="shared" si="21"/>
        <v>300</v>
      </c>
      <c r="AZ53" s="69">
        <f t="shared" si="22"/>
        <v>6226.2</v>
      </c>
      <c r="BA53" s="77">
        <f t="shared" si="23"/>
        <v>28.30090909</v>
      </c>
      <c r="BB53" s="69">
        <f t="shared" si="24"/>
        <v>0.03533455398</v>
      </c>
      <c r="BC53" s="78" t="str">
        <f t="shared" si="25"/>
        <v>YES</v>
      </c>
    </row>
    <row r="54" ht="15.75" customHeight="1">
      <c r="A54" s="12"/>
      <c r="B54" s="26" t="s">
        <v>14</v>
      </c>
      <c r="C54" s="7" t="s">
        <v>289</v>
      </c>
      <c r="D54" s="7" t="s">
        <v>306</v>
      </c>
      <c r="E54" s="7" t="s">
        <v>548</v>
      </c>
      <c r="F54" s="7" t="s">
        <v>481</v>
      </c>
      <c r="G54" s="79" t="s">
        <v>517</v>
      </c>
      <c r="H54" s="7">
        <v>5.0</v>
      </c>
      <c r="I54" s="7">
        <v>7000.0</v>
      </c>
      <c r="J54" s="7"/>
      <c r="L54" s="7"/>
      <c r="M54" s="9">
        <f t="shared" si="1"/>
        <v>1400</v>
      </c>
      <c r="N54" s="9">
        <f t="shared" si="2"/>
        <v>280</v>
      </c>
      <c r="O54" s="7">
        <v>1.0</v>
      </c>
      <c r="P54" s="11">
        <f t="shared" si="3"/>
        <v>7000</v>
      </c>
      <c r="Q54" s="79">
        <v>10.0</v>
      </c>
      <c r="R54" s="80">
        <v>11.5</v>
      </c>
      <c r="S54" s="7">
        <v>3.0</v>
      </c>
      <c r="T54" s="7">
        <v>600.0</v>
      </c>
      <c r="U54" s="7">
        <f t="shared" si="4"/>
        <v>18000</v>
      </c>
      <c r="V54" s="7">
        <f t="shared" si="5"/>
        <v>3.345</v>
      </c>
      <c r="W54" s="14">
        <f t="shared" si="6"/>
        <v>2007</v>
      </c>
      <c r="X54" s="94">
        <f t="shared" si="7"/>
        <v>2070</v>
      </c>
      <c r="Y54" s="80">
        <v>22.5</v>
      </c>
      <c r="Z54" s="7">
        <v>600.0</v>
      </c>
      <c r="AA54" s="7">
        <v>1.5</v>
      </c>
      <c r="AB54" s="7">
        <f t="shared" si="8"/>
        <v>900</v>
      </c>
      <c r="AC54" s="7">
        <f t="shared" si="27"/>
        <v>465</v>
      </c>
      <c r="AD54" s="7">
        <f t="shared" si="10"/>
        <v>202.5</v>
      </c>
      <c r="AE54" s="83">
        <f t="shared" si="11"/>
        <v>2025</v>
      </c>
      <c r="AF54" s="84">
        <v>25.0</v>
      </c>
      <c r="AG54" s="7">
        <v>800.0</v>
      </c>
      <c r="AH54" s="78">
        <v>0.8</v>
      </c>
      <c r="AI54" s="7">
        <f t="shared" si="12"/>
        <v>640</v>
      </c>
      <c r="AJ54" s="7">
        <f t="shared" si="13"/>
        <v>600</v>
      </c>
      <c r="AK54" s="7">
        <f t="shared" si="14"/>
        <v>160</v>
      </c>
      <c r="AL54" s="14">
        <f t="shared" si="15"/>
        <v>1600</v>
      </c>
      <c r="AM54" s="84">
        <v>50.0</v>
      </c>
      <c r="AN54" s="78">
        <v>2.0</v>
      </c>
      <c r="AO54" s="78">
        <v>24.0</v>
      </c>
      <c r="AP54" s="7">
        <f t="shared" si="16"/>
        <v>48</v>
      </c>
      <c r="AQ54" s="7">
        <f t="shared" si="17"/>
        <v>1</v>
      </c>
      <c r="AR54" s="7">
        <f t="shared" si="18"/>
        <v>24</v>
      </c>
      <c r="AS54" s="14">
        <f t="shared" si="19"/>
        <v>240</v>
      </c>
      <c r="AT54" s="82">
        <v>0.0</v>
      </c>
      <c r="AU54" s="78">
        <v>15000.0</v>
      </c>
      <c r="AV54" s="14">
        <f t="shared" si="20"/>
        <v>0</v>
      </c>
      <c r="AW54" s="84">
        <v>6.0</v>
      </c>
      <c r="AX54" s="78">
        <v>5000.0</v>
      </c>
      <c r="AY54" s="14">
        <f t="shared" si="21"/>
        <v>300</v>
      </c>
      <c r="AZ54" s="69">
        <f t="shared" si="22"/>
        <v>4555</v>
      </c>
      <c r="BA54" s="77">
        <f t="shared" si="23"/>
        <v>0.6507142857</v>
      </c>
      <c r="BB54" s="69">
        <f t="shared" si="24"/>
        <v>1.536772777</v>
      </c>
      <c r="BC54" s="78" t="str">
        <f t="shared" si="25"/>
        <v>YES</v>
      </c>
    </row>
    <row r="55" ht="15.75" customHeight="1">
      <c r="A55" s="12"/>
      <c r="B55" s="26" t="s">
        <v>14</v>
      </c>
      <c r="C55" s="7" t="s">
        <v>289</v>
      </c>
      <c r="D55" s="7" t="s">
        <v>323</v>
      </c>
      <c r="E55" s="7" t="s">
        <v>549</v>
      </c>
      <c r="F55" s="7" t="s">
        <v>156</v>
      </c>
      <c r="G55" s="79" t="s">
        <v>550</v>
      </c>
      <c r="H55" s="7">
        <v>5.0</v>
      </c>
      <c r="I55" s="7">
        <v>115.0</v>
      </c>
      <c r="J55" s="7"/>
      <c r="L55" s="7"/>
      <c r="M55" s="9">
        <f t="shared" si="1"/>
        <v>0</v>
      </c>
      <c r="N55" s="9">
        <f t="shared" si="2"/>
        <v>4.6</v>
      </c>
      <c r="O55" s="7">
        <v>1.0</v>
      </c>
      <c r="P55" s="11">
        <f t="shared" si="3"/>
        <v>115</v>
      </c>
      <c r="Q55" s="79">
        <v>10.0</v>
      </c>
      <c r="R55" s="80">
        <v>11.5</v>
      </c>
      <c r="S55" s="7">
        <v>3.0</v>
      </c>
      <c r="T55" s="7">
        <v>600.0</v>
      </c>
      <c r="U55" s="7">
        <f t="shared" si="4"/>
        <v>18000</v>
      </c>
      <c r="V55" s="7">
        <f t="shared" si="5"/>
        <v>3.345</v>
      </c>
      <c r="W55" s="14">
        <f t="shared" si="6"/>
        <v>2007</v>
      </c>
      <c r="X55" s="94">
        <f t="shared" si="7"/>
        <v>2070</v>
      </c>
      <c r="Y55" s="80">
        <v>22.5</v>
      </c>
      <c r="Z55" s="7">
        <v>600.0</v>
      </c>
      <c r="AA55" s="7">
        <v>1.5</v>
      </c>
      <c r="AB55" s="7">
        <f t="shared" si="8"/>
        <v>900</v>
      </c>
      <c r="AC55" s="7">
        <f t="shared" si="27"/>
        <v>465</v>
      </c>
      <c r="AD55" s="7">
        <f t="shared" si="10"/>
        <v>202.5</v>
      </c>
      <c r="AE55" s="83">
        <f t="shared" si="11"/>
        <v>2025</v>
      </c>
      <c r="AF55" s="84">
        <v>25.0</v>
      </c>
      <c r="AG55" s="7">
        <v>800.0</v>
      </c>
      <c r="AH55" s="78">
        <v>0.8</v>
      </c>
      <c r="AI55" s="7">
        <f t="shared" si="12"/>
        <v>640</v>
      </c>
      <c r="AJ55" s="7">
        <f t="shared" si="13"/>
        <v>600</v>
      </c>
      <c r="AK55" s="7">
        <f t="shared" si="14"/>
        <v>160</v>
      </c>
      <c r="AL55" s="14">
        <f t="shared" si="15"/>
        <v>1600</v>
      </c>
      <c r="AM55" s="84">
        <v>50.0</v>
      </c>
      <c r="AN55" s="78">
        <v>2.0</v>
      </c>
      <c r="AO55" s="78">
        <v>24.0</v>
      </c>
      <c r="AP55" s="7">
        <f t="shared" si="16"/>
        <v>48</v>
      </c>
      <c r="AQ55" s="7">
        <f t="shared" si="17"/>
        <v>1</v>
      </c>
      <c r="AR55" s="7">
        <f t="shared" si="18"/>
        <v>24</v>
      </c>
      <c r="AS55" s="14">
        <f t="shared" si="19"/>
        <v>240</v>
      </c>
      <c r="AT55" s="82">
        <v>0.0</v>
      </c>
      <c r="AU55" s="78">
        <v>15000.0</v>
      </c>
      <c r="AV55" s="14">
        <f t="shared" si="20"/>
        <v>0</v>
      </c>
      <c r="AW55" s="84">
        <v>6.0</v>
      </c>
      <c r="AX55" s="78">
        <v>5000.0</v>
      </c>
      <c r="AY55" s="14">
        <f t="shared" si="21"/>
        <v>300</v>
      </c>
      <c r="AZ55" s="69">
        <f t="shared" si="22"/>
        <v>6230.4</v>
      </c>
      <c r="BA55" s="77">
        <f t="shared" si="23"/>
        <v>54.1773913</v>
      </c>
      <c r="BB55" s="69">
        <f t="shared" si="24"/>
        <v>0.01845788392</v>
      </c>
      <c r="BC55" s="78" t="str">
        <f t="shared" si="25"/>
        <v>YES</v>
      </c>
    </row>
    <row r="56" ht="15.75" customHeight="1">
      <c r="A56" s="12"/>
      <c r="B56" s="26" t="s">
        <v>14</v>
      </c>
      <c r="C56" s="7" t="s">
        <v>271</v>
      </c>
      <c r="D56" s="7" t="s">
        <v>319</v>
      </c>
      <c r="E56" s="7" t="s">
        <v>315</v>
      </c>
      <c r="F56" s="7" t="s">
        <v>156</v>
      </c>
      <c r="G56" s="79" t="s">
        <v>551</v>
      </c>
      <c r="H56" s="7">
        <v>5.0</v>
      </c>
      <c r="I56" s="7">
        <v>900.0</v>
      </c>
      <c r="J56" s="7"/>
      <c r="L56" s="7"/>
      <c r="M56" s="9">
        <f t="shared" si="1"/>
        <v>180</v>
      </c>
      <c r="N56" s="9">
        <f t="shared" si="2"/>
        <v>36</v>
      </c>
      <c r="O56" s="7">
        <v>1.0</v>
      </c>
      <c r="P56" s="11">
        <f t="shared" si="3"/>
        <v>900</v>
      </c>
      <c r="Q56" s="79">
        <v>10.0</v>
      </c>
      <c r="R56" s="80">
        <v>11.5</v>
      </c>
      <c r="S56" s="7">
        <v>3.0</v>
      </c>
      <c r="T56" s="7">
        <v>600.0</v>
      </c>
      <c r="U56" s="7">
        <f t="shared" si="4"/>
        <v>18000</v>
      </c>
      <c r="V56" s="7">
        <f t="shared" si="5"/>
        <v>3.345</v>
      </c>
      <c r="W56" s="14">
        <f t="shared" si="6"/>
        <v>2007</v>
      </c>
      <c r="X56" s="94">
        <f t="shared" si="7"/>
        <v>2070</v>
      </c>
      <c r="Y56" s="80">
        <v>22.5</v>
      </c>
      <c r="Z56" s="7">
        <v>600.0</v>
      </c>
      <c r="AA56" s="7">
        <v>1.5</v>
      </c>
      <c r="AB56" s="7">
        <f t="shared" si="8"/>
        <v>900</v>
      </c>
      <c r="AC56" s="7">
        <f t="shared" si="27"/>
        <v>465</v>
      </c>
      <c r="AD56" s="7">
        <f t="shared" si="10"/>
        <v>202.5</v>
      </c>
      <c r="AE56" s="83">
        <f t="shared" si="11"/>
        <v>2025</v>
      </c>
      <c r="AF56" s="84">
        <v>25.0</v>
      </c>
      <c r="AG56" s="7">
        <v>800.0</v>
      </c>
      <c r="AH56" s="78">
        <v>0.8</v>
      </c>
      <c r="AI56" s="7">
        <f t="shared" si="12"/>
        <v>640</v>
      </c>
      <c r="AJ56" s="7">
        <f t="shared" si="13"/>
        <v>600</v>
      </c>
      <c r="AK56" s="7">
        <f t="shared" si="14"/>
        <v>160</v>
      </c>
      <c r="AL56" s="14">
        <f t="shared" si="15"/>
        <v>1600</v>
      </c>
      <c r="AM56" s="84">
        <v>50.0</v>
      </c>
      <c r="AN56" s="78">
        <v>2.0</v>
      </c>
      <c r="AO56" s="78">
        <v>24.0</v>
      </c>
      <c r="AP56" s="7">
        <f t="shared" si="16"/>
        <v>48</v>
      </c>
      <c r="AQ56" s="7">
        <f t="shared" si="17"/>
        <v>1</v>
      </c>
      <c r="AR56" s="7">
        <f t="shared" si="18"/>
        <v>24</v>
      </c>
      <c r="AS56" s="14">
        <f t="shared" si="19"/>
        <v>240</v>
      </c>
      <c r="AT56" s="82">
        <v>0.0</v>
      </c>
      <c r="AU56" s="78">
        <v>15000.0</v>
      </c>
      <c r="AV56" s="14">
        <f t="shared" si="20"/>
        <v>0</v>
      </c>
      <c r="AW56" s="84">
        <v>6.0</v>
      </c>
      <c r="AX56" s="78">
        <v>5000.0</v>
      </c>
      <c r="AY56" s="14">
        <f t="shared" si="21"/>
        <v>300</v>
      </c>
      <c r="AZ56" s="69">
        <f t="shared" si="22"/>
        <v>6019</v>
      </c>
      <c r="BA56" s="77">
        <f t="shared" si="23"/>
        <v>6.687777778</v>
      </c>
      <c r="BB56" s="69">
        <f t="shared" si="24"/>
        <v>0.1495264994</v>
      </c>
      <c r="BC56" s="78" t="str">
        <f t="shared" si="25"/>
        <v>YES</v>
      </c>
    </row>
    <row r="57" ht="15.75" customHeight="1">
      <c r="A57" s="12"/>
      <c r="B57" s="26" t="s">
        <v>14</v>
      </c>
      <c r="C57" s="7" t="s">
        <v>271</v>
      </c>
      <c r="D57" s="7" t="s">
        <v>310</v>
      </c>
      <c r="E57" s="7" t="s">
        <v>552</v>
      </c>
      <c r="F57" s="7" t="s">
        <v>156</v>
      </c>
      <c r="G57" s="79" t="s">
        <v>524</v>
      </c>
      <c r="H57" s="7">
        <v>5.0</v>
      </c>
      <c r="I57" s="7">
        <v>2500.0</v>
      </c>
      <c r="J57" s="7"/>
      <c r="L57" s="7"/>
      <c r="M57" s="9">
        <f t="shared" si="1"/>
        <v>500</v>
      </c>
      <c r="N57" s="9">
        <f t="shared" si="2"/>
        <v>100</v>
      </c>
      <c r="O57" s="7">
        <v>1.0</v>
      </c>
      <c r="P57" s="11">
        <f t="shared" si="3"/>
        <v>2500</v>
      </c>
      <c r="Q57" s="79">
        <v>10.0</v>
      </c>
      <c r="R57" s="80">
        <v>11.5</v>
      </c>
      <c r="S57" s="7">
        <v>3.0</v>
      </c>
      <c r="T57" s="7">
        <v>600.0</v>
      </c>
      <c r="U57" s="7">
        <f t="shared" si="4"/>
        <v>18000</v>
      </c>
      <c r="V57" s="7">
        <f t="shared" si="5"/>
        <v>3.345</v>
      </c>
      <c r="W57" s="14">
        <f t="shared" si="6"/>
        <v>2007</v>
      </c>
      <c r="X57" s="94">
        <f t="shared" si="7"/>
        <v>2070</v>
      </c>
      <c r="Y57" s="80">
        <v>22.5</v>
      </c>
      <c r="Z57" s="7">
        <v>600.0</v>
      </c>
      <c r="AA57" s="7">
        <v>1.5</v>
      </c>
      <c r="AB57" s="7">
        <f t="shared" si="8"/>
        <v>900</v>
      </c>
      <c r="AC57" s="7">
        <f t="shared" si="27"/>
        <v>465</v>
      </c>
      <c r="AD57" s="7">
        <f t="shared" si="10"/>
        <v>202.5</v>
      </c>
      <c r="AE57" s="83">
        <f t="shared" si="11"/>
        <v>2025</v>
      </c>
      <c r="AF57" s="84">
        <v>25.0</v>
      </c>
      <c r="AG57" s="7">
        <v>800.0</v>
      </c>
      <c r="AH57" s="78">
        <v>0.8</v>
      </c>
      <c r="AI57" s="7">
        <f t="shared" si="12"/>
        <v>640</v>
      </c>
      <c r="AJ57" s="7">
        <f t="shared" si="13"/>
        <v>600</v>
      </c>
      <c r="AK57" s="7">
        <f t="shared" si="14"/>
        <v>160</v>
      </c>
      <c r="AL57" s="14">
        <f t="shared" si="15"/>
        <v>1600</v>
      </c>
      <c r="AM57" s="84">
        <v>50.0</v>
      </c>
      <c r="AN57" s="78">
        <v>2.0</v>
      </c>
      <c r="AO57" s="78">
        <v>24.0</v>
      </c>
      <c r="AP57" s="7">
        <f t="shared" si="16"/>
        <v>48</v>
      </c>
      <c r="AQ57" s="7">
        <f t="shared" si="17"/>
        <v>1</v>
      </c>
      <c r="AR57" s="7">
        <f t="shared" si="18"/>
        <v>24</v>
      </c>
      <c r="AS57" s="14">
        <f t="shared" si="19"/>
        <v>240</v>
      </c>
      <c r="AT57" s="82">
        <v>0.0</v>
      </c>
      <c r="AU57" s="78">
        <v>15000.0</v>
      </c>
      <c r="AV57" s="14">
        <f t="shared" si="20"/>
        <v>0</v>
      </c>
      <c r="AW57" s="84">
        <v>6.0</v>
      </c>
      <c r="AX57" s="78">
        <v>5000.0</v>
      </c>
      <c r="AY57" s="14">
        <f t="shared" si="21"/>
        <v>300</v>
      </c>
      <c r="AZ57" s="69">
        <f t="shared" si="22"/>
        <v>5635</v>
      </c>
      <c r="BA57" s="77">
        <f t="shared" si="23"/>
        <v>2.254</v>
      </c>
      <c r="BB57" s="69">
        <f t="shared" si="24"/>
        <v>0.4436557232</v>
      </c>
      <c r="BC57" s="78" t="str">
        <f t="shared" si="25"/>
        <v>YES</v>
      </c>
    </row>
    <row r="58" ht="15.75" customHeight="1">
      <c r="A58" s="18"/>
      <c r="B58" s="85" t="s">
        <v>14</v>
      </c>
      <c r="C58" s="19" t="s">
        <v>271</v>
      </c>
      <c r="D58" s="19" t="s">
        <v>314</v>
      </c>
      <c r="E58" s="19" t="s">
        <v>315</v>
      </c>
      <c r="F58" s="19" t="s">
        <v>156</v>
      </c>
      <c r="G58" s="87" t="s">
        <v>553</v>
      </c>
      <c r="H58" s="19">
        <v>5.0</v>
      </c>
      <c r="I58" s="19">
        <v>165.0</v>
      </c>
      <c r="J58" s="19"/>
      <c r="K58" s="19"/>
      <c r="L58" s="19"/>
      <c r="M58" s="9">
        <f t="shared" si="1"/>
        <v>0</v>
      </c>
      <c r="N58" s="9">
        <f t="shared" si="2"/>
        <v>6.6</v>
      </c>
      <c r="O58" s="19">
        <v>1.0</v>
      </c>
      <c r="P58" s="11">
        <f t="shared" si="3"/>
        <v>165</v>
      </c>
      <c r="Q58" s="87">
        <v>10.0</v>
      </c>
      <c r="R58" s="90">
        <v>11.5</v>
      </c>
      <c r="S58" s="19">
        <v>3.0</v>
      </c>
      <c r="T58" s="19">
        <v>600.0</v>
      </c>
      <c r="U58" s="19">
        <f t="shared" si="4"/>
        <v>18000</v>
      </c>
      <c r="V58" s="19">
        <f t="shared" si="5"/>
        <v>3.345</v>
      </c>
      <c r="W58" s="21">
        <f t="shared" si="6"/>
        <v>2007</v>
      </c>
      <c r="X58" s="89">
        <f t="shared" si="7"/>
        <v>2070</v>
      </c>
      <c r="Y58" s="90">
        <v>22.5</v>
      </c>
      <c r="Z58" s="19">
        <v>600.0</v>
      </c>
      <c r="AA58" s="19">
        <v>1.5</v>
      </c>
      <c r="AB58" s="19">
        <f t="shared" si="8"/>
        <v>900</v>
      </c>
      <c r="AC58" s="19">
        <f t="shared" si="27"/>
        <v>465</v>
      </c>
      <c r="AD58" s="19">
        <f t="shared" si="10"/>
        <v>202.5</v>
      </c>
      <c r="AE58" s="91">
        <f t="shared" si="11"/>
        <v>2025</v>
      </c>
      <c r="AF58" s="88">
        <v>25.0</v>
      </c>
      <c r="AG58" s="19">
        <v>800.0</v>
      </c>
      <c r="AH58" s="93">
        <v>0.8</v>
      </c>
      <c r="AI58" s="19">
        <f t="shared" si="12"/>
        <v>640</v>
      </c>
      <c r="AJ58" s="19">
        <f t="shared" si="13"/>
        <v>600</v>
      </c>
      <c r="AK58" s="19">
        <f t="shared" si="14"/>
        <v>160</v>
      </c>
      <c r="AL58" s="21">
        <f t="shared" si="15"/>
        <v>1600</v>
      </c>
      <c r="AM58" s="88">
        <v>50.0</v>
      </c>
      <c r="AN58" s="93">
        <v>2.0</v>
      </c>
      <c r="AO58" s="93">
        <v>24.0</v>
      </c>
      <c r="AP58" s="19">
        <f t="shared" si="16"/>
        <v>48</v>
      </c>
      <c r="AQ58" s="19">
        <f t="shared" si="17"/>
        <v>1</v>
      </c>
      <c r="AR58" s="19">
        <f t="shared" si="18"/>
        <v>24</v>
      </c>
      <c r="AS58" s="21">
        <f t="shared" si="19"/>
        <v>240</v>
      </c>
      <c r="AT58" s="92">
        <v>0.0</v>
      </c>
      <c r="AU58" s="93">
        <v>15000.0</v>
      </c>
      <c r="AV58" s="21">
        <f t="shared" si="20"/>
        <v>0</v>
      </c>
      <c r="AW58" s="88">
        <v>6.0</v>
      </c>
      <c r="AX58" s="93">
        <v>5000.0</v>
      </c>
      <c r="AY58" s="21">
        <f t="shared" si="21"/>
        <v>300</v>
      </c>
      <c r="AZ58" s="69">
        <f t="shared" si="22"/>
        <v>6228.4</v>
      </c>
      <c r="BA58" s="77">
        <f t="shared" si="23"/>
        <v>37.74787879</v>
      </c>
      <c r="BB58" s="69">
        <f t="shared" si="24"/>
        <v>0.02649155481</v>
      </c>
      <c r="BC58" s="78" t="str">
        <f t="shared" si="25"/>
        <v>YES</v>
      </c>
    </row>
    <row r="59" ht="15.75" customHeight="1">
      <c r="A59" s="66" t="s">
        <v>328</v>
      </c>
      <c r="B59" s="67" t="s">
        <v>14</v>
      </c>
      <c r="C59" s="68" t="s">
        <v>329</v>
      </c>
      <c r="D59" s="9" t="s">
        <v>330</v>
      </c>
      <c r="E59" s="9" t="s">
        <v>554</v>
      </c>
      <c r="F59" s="9" t="s">
        <v>51</v>
      </c>
      <c r="G59" s="69" t="s">
        <v>555</v>
      </c>
      <c r="H59" s="9">
        <v>5.0</v>
      </c>
      <c r="I59" s="9">
        <v>18000.0</v>
      </c>
      <c r="J59" s="9"/>
      <c r="K59" s="9"/>
      <c r="L59" s="9"/>
      <c r="M59" s="9">
        <f t="shared" si="1"/>
        <v>3600</v>
      </c>
      <c r="N59" s="9">
        <f t="shared" si="2"/>
        <v>720</v>
      </c>
      <c r="O59" s="9">
        <v>1.0</v>
      </c>
      <c r="P59" s="11">
        <f t="shared" si="3"/>
        <v>18000</v>
      </c>
      <c r="Q59" s="69">
        <v>10.0</v>
      </c>
      <c r="R59" s="71">
        <v>0.0</v>
      </c>
      <c r="S59" s="9">
        <v>3.0</v>
      </c>
      <c r="T59" s="9">
        <v>600.0</v>
      </c>
      <c r="U59" s="9">
        <f t="shared" si="4"/>
        <v>18000</v>
      </c>
      <c r="V59" s="9">
        <f t="shared" si="5"/>
        <v>3</v>
      </c>
      <c r="W59" s="11">
        <f t="shared" si="6"/>
        <v>1800</v>
      </c>
      <c r="X59" s="72">
        <f t="shared" si="7"/>
        <v>0</v>
      </c>
      <c r="Y59" s="76">
        <v>0.0</v>
      </c>
      <c r="Z59" s="9">
        <v>600.0</v>
      </c>
      <c r="AA59" s="9">
        <v>1.5</v>
      </c>
      <c r="AB59" s="9">
        <f t="shared" si="8"/>
        <v>900</v>
      </c>
      <c r="AC59" s="9">
        <f t="shared" si="27"/>
        <v>600</v>
      </c>
      <c r="AD59" s="9">
        <f t="shared" si="10"/>
        <v>0</v>
      </c>
      <c r="AE59" s="73">
        <f t="shared" si="11"/>
        <v>0</v>
      </c>
      <c r="AF59" s="76">
        <v>0.0</v>
      </c>
      <c r="AG59" s="9">
        <v>800.0</v>
      </c>
      <c r="AH59" s="74">
        <v>0.8</v>
      </c>
      <c r="AI59" s="9">
        <f t="shared" si="12"/>
        <v>640</v>
      </c>
      <c r="AJ59" s="9">
        <f t="shared" si="13"/>
        <v>800</v>
      </c>
      <c r="AK59" s="9">
        <f t="shared" si="14"/>
        <v>0</v>
      </c>
      <c r="AL59" s="11">
        <f t="shared" si="15"/>
        <v>0</v>
      </c>
      <c r="AM59" s="75">
        <v>45.0</v>
      </c>
      <c r="AN59" s="74">
        <v>2.0</v>
      </c>
      <c r="AO59" s="74">
        <v>24.0</v>
      </c>
      <c r="AP59" s="9">
        <f t="shared" si="16"/>
        <v>48</v>
      </c>
      <c r="AQ59" s="9">
        <f t="shared" si="17"/>
        <v>1.1</v>
      </c>
      <c r="AR59" s="9">
        <f t="shared" si="18"/>
        <v>21.6</v>
      </c>
      <c r="AS59" s="11">
        <f t="shared" si="19"/>
        <v>216</v>
      </c>
      <c r="AT59" s="75">
        <v>37.0</v>
      </c>
      <c r="AU59" s="74">
        <v>15000.0</v>
      </c>
      <c r="AV59" s="11">
        <f t="shared" si="20"/>
        <v>5550</v>
      </c>
      <c r="AW59" s="76">
        <v>0.0</v>
      </c>
      <c r="AX59" s="74">
        <v>5000.0</v>
      </c>
      <c r="AY59" s="11">
        <f t="shared" si="21"/>
        <v>0</v>
      </c>
      <c r="AZ59" s="69">
        <f t="shared" si="22"/>
        <v>1446</v>
      </c>
      <c r="BA59" s="77">
        <f t="shared" si="23"/>
        <v>0.08033333333</v>
      </c>
      <c r="BB59" s="69">
        <f t="shared" si="24"/>
        <v>12.44813278</v>
      </c>
      <c r="BC59" s="78" t="str">
        <f t="shared" si="25"/>
        <v>NO</v>
      </c>
    </row>
    <row r="60" ht="15.75" customHeight="1">
      <c r="A60" s="12"/>
      <c r="B60" s="26" t="s">
        <v>14</v>
      </c>
      <c r="C60" s="25" t="s">
        <v>329</v>
      </c>
      <c r="D60" s="7" t="s">
        <v>556</v>
      </c>
      <c r="E60" s="7" t="s">
        <v>554</v>
      </c>
      <c r="F60" s="7" t="s">
        <v>259</v>
      </c>
      <c r="G60" s="79" t="s">
        <v>557</v>
      </c>
      <c r="H60" s="7">
        <v>5.0</v>
      </c>
      <c r="I60" s="7">
        <v>4650.0</v>
      </c>
      <c r="L60" s="7"/>
      <c r="M60" s="9">
        <f t="shared" si="1"/>
        <v>930</v>
      </c>
      <c r="N60" s="9">
        <f t="shared" si="2"/>
        <v>186</v>
      </c>
      <c r="O60" s="7">
        <v>1.0</v>
      </c>
      <c r="P60" s="11">
        <f t="shared" si="3"/>
        <v>4650</v>
      </c>
      <c r="Q60" s="79">
        <v>10.0</v>
      </c>
      <c r="R60" s="80">
        <v>0.0</v>
      </c>
      <c r="S60" s="7">
        <v>3.0</v>
      </c>
      <c r="T60" s="7">
        <v>600.0</v>
      </c>
      <c r="U60" s="7">
        <f t="shared" si="4"/>
        <v>18000</v>
      </c>
      <c r="V60" s="7">
        <f t="shared" si="5"/>
        <v>3</v>
      </c>
      <c r="W60" s="14">
        <f t="shared" si="6"/>
        <v>1800</v>
      </c>
      <c r="X60" s="94">
        <f t="shared" si="7"/>
        <v>0</v>
      </c>
      <c r="Y60" s="82">
        <v>0.0</v>
      </c>
      <c r="Z60" s="7">
        <v>600.0</v>
      </c>
      <c r="AA60" s="7">
        <v>1.5</v>
      </c>
      <c r="AB60" s="7">
        <f t="shared" si="8"/>
        <v>900</v>
      </c>
      <c r="AC60" s="7">
        <f t="shared" si="27"/>
        <v>600</v>
      </c>
      <c r="AD60" s="7">
        <f t="shared" si="10"/>
        <v>0</v>
      </c>
      <c r="AE60" s="83">
        <f t="shared" si="11"/>
        <v>0</v>
      </c>
      <c r="AF60" s="82">
        <v>0.0</v>
      </c>
      <c r="AG60" s="7">
        <v>800.0</v>
      </c>
      <c r="AH60" s="78">
        <v>0.8</v>
      </c>
      <c r="AI60" s="7">
        <f t="shared" si="12"/>
        <v>640</v>
      </c>
      <c r="AJ60" s="7">
        <f t="shared" si="13"/>
        <v>800</v>
      </c>
      <c r="AK60" s="7">
        <f t="shared" si="14"/>
        <v>0</v>
      </c>
      <c r="AL60" s="14">
        <f t="shared" si="15"/>
        <v>0</v>
      </c>
      <c r="AM60" s="84">
        <v>45.0</v>
      </c>
      <c r="AN60" s="78">
        <v>2.0</v>
      </c>
      <c r="AO60" s="78">
        <v>24.0</v>
      </c>
      <c r="AP60" s="7">
        <f t="shared" si="16"/>
        <v>48</v>
      </c>
      <c r="AQ60" s="7">
        <f t="shared" si="17"/>
        <v>1.1</v>
      </c>
      <c r="AR60" s="7">
        <f t="shared" si="18"/>
        <v>21.6</v>
      </c>
      <c r="AS60" s="14">
        <f t="shared" si="19"/>
        <v>216</v>
      </c>
      <c r="AT60" s="84">
        <v>37.0</v>
      </c>
      <c r="AU60" s="78">
        <v>15000.0</v>
      </c>
      <c r="AV60" s="14">
        <f t="shared" si="20"/>
        <v>5550</v>
      </c>
      <c r="AW60" s="82">
        <v>0.0</v>
      </c>
      <c r="AX60" s="78">
        <v>5000.0</v>
      </c>
      <c r="AY60" s="14">
        <f t="shared" si="21"/>
        <v>0</v>
      </c>
      <c r="AZ60" s="69">
        <f t="shared" si="22"/>
        <v>4650</v>
      </c>
      <c r="BA60" s="77">
        <f t="shared" si="23"/>
        <v>1</v>
      </c>
      <c r="BB60" s="69">
        <f t="shared" si="24"/>
        <v>1</v>
      </c>
      <c r="BC60" s="78" t="str">
        <f t="shared" si="25"/>
        <v>YES</v>
      </c>
    </row>
    <row r="61" ht="15.75" customHeight="1">
      <c r="A61" s="12"/>
      <c r="B61" s="26" t="s">
        <v>14</v>
      </c>
      <c r="C61" s="25" t="s">
        <v>329</v>
      </c>
      <c r="D61" s="7" t="s">
        <v>340</v>
      </c>
      <c r="E61" s="7" t="s">
        <v>554</v>
      </c>
      <c r="F61" s="7" t="s">
        <v>259</v>
      </c>
      <c r="G61" s="94" t="s">
        <v>558</v>
      </c>
      <c r="H61" s="7">
        <v>5.0</v>
      </c>
      <c r="I61" s="7">
        <v>15000.0</v>
      </c>
      <c r="L61" s="7"/>
      <c r="M61" s="9">
        <f t="shared" si="1"/>
        <v>3000</v>
      </c>
      <c r="N61" s="9">
        <f t="shared" si="2"/>
        <v>600</v>
      </c>
      <c r="O61" s="7">
        <v>1.0</v>
      </c>
      <c r="P61" s="11">
        <f t="shared" si="3"/>
        <v>15000</v>
      </c>
      <c r="Q61" s="79">
        <v>10.0</v>
      </c>
      <c r="R61" s="80">
        <v>0.0</v>
      </c>
      <c r="S61" s="7">
        <v>3.0</v>
      </c>
      <c r="T61" s="7">
        <v>600.0</v>
      </c>
      <c r="U61" s="7">
        <f t="shared" si="4"/>
        <v>18000</v>
      </c>
      <c r="V61" s="7">
        <f t="shared" si="5"/>
        <v>3</v>
      </c>
      <c r="W61" s="14">
        <f t="shared" si="6"/>
        <v>1800</v>
      </c>
      <c r="X61" s="94">
        <f t="shared" si="7"/>
        <v>0</v>
      </c>
      <c r="Y61" s="82">
        <v>0.0</v>
      </c>
      <c r="Z61" s="7">
        <v>600.0</v>
      </c>
      <c r="AA61" s="7">
        <v>1.5</v>
      </c>
      <c r="AB61" s="7">
        <f t="shared" si="8"/>
        <v>900</v>
      </c>
      <c r="AC61" s="7">
        <f t="shared" si="27"/>
        <v>600</v>
      </c>
      <c r="AD61" s="7">
        <f t="shared" si="10"/>
        <v>0</v>
      </c>
      <c r="AE61" s="83">
        <f t="shared" si="11"/>
        <v>0</v>
      </c>
      <c r="AF61" s="82">
        <v>0.0</v>
      </c>
      <c r="AG61" s="7">
        <v>800.0</v>
      </c>
      <c r="AH61" s="78">
        <v>0.8</v>
      </c>
      <c r="AI61" s="7">
        <f t="shared" si="12"/>
        <v>640</v>
      </c>
      <c r="AJ61" s="7">
        <f t="shared" si="13"/>
        <v>800</v>
      </c>
      <c r="AK61" s="7">
        <f t="shared" si="14"/>
        <v>0</v>
      </c>
      <c r="AL61" s="14">
        <f t="shared" si="15"/>
        <v>0</v>
      </c>
      <c r="AM61" s="84">
        <v>45.0</v>
      </c>
      <c r="AN61" s="78">
        <v>2.0</v>
      </c>
      <c r="AO61" s="78">
        <v>24.0</v>
      </c>
      <c r="AP61" s="7">
        <f t="shared" si="16"/>
        <v>48</v>
      </c>
      <c r="AQ61" s="7">
        <f t="shared" si="17"/>
        <v>1.1</v>
      </c>
      <c r="AR61" s="7">
        <f t="shared" si="18"/>
        <v>21.6</v>
      </c>
      <c r="AS61" s="14">
        <f t="shared" si="19"/>
        <v>216</v>
      </c>
      <c r="AT61" s="84">
        <v>37.0</v>
      </c>
      <c r="AU61" s="78">
        <v>15000.0</v>
      </c>
      <c r="AV61" s="14">
        <f t="shared" si="20"/>
        <v>5550</v>
      </c>
      <c r="AW61" s="82">
        <v>0.0</v>
      </c>
      <c r="AX61" s="78">
        <v>5000.0</v>
      </c>
      <c r="AY61" s="14">
        <f t="shared" si="21"/>
        <v>0</v>
      </c>
      <c r="AZ61" s="69">
        <f t="shared" si="22"/>
        <v>2166</v>
      </c>
      <c r="BA61" s="77">
        <f t="shared" si="23"/>
        <v>0.1444</v>
      </c>
      <c r="BB61" s="69">
        <f t="shared" si="24"/>
        <v>6.925207756</v>
      </c>
      <c r="BC61" s="78" t="str">
        <f t="shared" si="25"/>
        <v>NO</v>
      </c>
    </row>
    <row r="62" ht="15.75" customHeight="1">
      <c r="A62" s="12"/>
      <c r="B62" s="26" t="s">
        <v>14</v>
      </c>
      <c r="C62" s="25" t="s">
        <v>329</v>
      </c>
      <c r="D62" s="7" t="s">
        <v>357</v>
      </c>
      <c r="E62" s="7" t="s">
        <v>358</v>
      </c>
      <c r="F62" s="7" t="s">
        <v>532</v>
      </c>
      <c r="G62" s="79" t="s">
        <v>515</v>
      </c>
      <c r="H62" s="7">
        <v>5.0</v>
      </c>
      <c r="I62" s="7">
        <v>15000.0</v>
      </c>
      <c r="J62" s="7"/>
      <c r="L62" s="7"/>
      <c r="M62" s="9">
        <f t="shared" si="1"/>
        <v>3000</v>
      </c>
      <c r="N62" s="9">
        <f t="shared" si="2"/>
        <v>600</v>
      </c>
      <c r="O62" s="7">
        <v>1.0</v>
      </c>
      <c r="P62" s="11">
        <f t="shared" si="3"/>
        <v>15000</v>
      </c>
      <c r="Q62" s="79">
        <v>10.0</v>
      </c>
      <c r="R62" s="80">
        <v>0.0</v>
      </c>
      <c r="S62" s="7">
        <v>3.0</v>
      </c>
      <c r="T62" s="7">
        <v>600.0</v>
      </c>
      <c r="U62" s="7">
        <f t="shared" si="4"/>
        <v>18000</v>
      </c>
      <c r="V62" s="7">
        <f t="shared" si="5"/>
        <v>3</v>
      </c>
      <c r="W62" s="14">
        <f t="shared" si="6"/>
        <v>1800</v>
      </c>
      <c r="X62" s="94">
        <f t="shared" si="7"/>
        <v>0</v>
      </c>
      <c r="Y62" s="80">
        <v>7.5</v>
      </c>
      <c r="Z62" s="7">
        <v>600.0</v>
      </c>
      <c r="AA62" s="7">
        <v>1.5</v>
      </c>
      <c r="AB62" s="7">
        <f t="shared" si="8"/>
        <v>900</v>
      </c>
      <c r="AC62" s="7">
        <f t="shared" si="27"/>
        <v>555</v>
      </c>
      <c r="AD62" s="7">
        <f t="shared" si="10"/>
        <v>67.5</v>
      </c>
      <c r="AE62" s="83">
        <f t="shared" si="11"/>
        <v>675</v>
      </c>
      <c r="AF62" s="82">
        <v>0.0</v>
      </c>
      <c r="AG62" s="7">
        <v>800.0</v>
      </c>
      <c r="AH62" s="78">
        <v>0.8</v>
      </c>
      <c r="AI62" s="7">
        <f t="shared" si="12"/>
        <v>640</v>
      </c>
      <c r="AJ62" s="7">
        <f t="shared" si="13"/>
        <v>800</v>
      </c>
      <c r="AK62" s="7">
        <f t="shared" si="14"/>
        <v>0</v>
      </c>
      <c r="AL62" s="14">
        <f t="shared" si="15"/>
        <v>0</v>
      </c>
      <c r="AM62" s="84">
        <v>45.0</v>
      </c>
      <c r="AN62" s="78">
        <v>2.0</v>
      </c>
      <c r="AO62" s="78">
        <v>24.0</v>
      </c>
      <c r="AP62" s="7">
        <f t="shared" si="16"/>
        <v>48</v>
      </c>
      <c r="AQ62" s="7">
        <f t="shared" si="17"/>
        <v>1.1</v>
      </c>
      <c r="AR62" s="7">
        <f t="shared" si="18"/>
        <v>21.6</v>
      </c>
      <c r="AS62" s="14">
        <f t="shared" si="19"/>
        <v>216</v>
      </c>
      <c r="AT62" s="84">
        <v>37.0</v>
      </c>
      <c r="AU62" s="78">
        <v>15000.0</v>
      </c>
      <c r="AV62" s="14">
        <f t="shared" si="20"/>
        <v>5550</v>
      </c>
      <c r="AW62" s="82">
        <v>0.0</v>
      </c>
      <c r="AX62" s="78">
        <v>5000.0</v>
      </c>
      <c r="AY62" s="14">
        <f t="shared" si="21"/>
        <v>0</v>
      </c>
      <c r="AZ62" s="69">
        <f t="shared" si="22"/>
        <v>2841</v>
      </c>
      <c r="BA62" s="77">
        <f t="shared" si="23"/>
        <v>0.1894</v>
      </c>
      <c r="BB62" s="69">
        <f t="shared" si="24"/>
        <v>5.279831045</v>
      </c>
      <c r="BC62" s="78" t="str">
        <f t="shared" si="25"/>
        <v>YES</v>
      </c>
    </row>
    <row r="63" ht="15.75" customHeight="1">
      <c r="A63" s="12"/>
      <c r="B63" s="26" t="s">
        <v>14</v>
      </c>
      <c r="C63" s="25" t="s">
        <v>392</v>
      </c>
      <c r="D63" s="7" t="s">
        <v>393</v>
      </c>
      <c r="E63" s="7" t="s">
        <v>394</v>
      </c>
      <c r="F63" s="7" t="s">
        <v>51</v>
      </c>
      <c r="G63" s="79" t="s">
        <v>559</v>
      </c>
      <c r="H63" s="7">
        <v>5.0</v>
      </c>
      <c r="I63" s="7">
        <v>950.0</v>
      </c>
      <c r="J63" s="7"/>
      <c r="L63" s="7"/>
      <c r="M63" s="9">
        <f t="shared" si="1"/>
        <v>190</v>
      </c>
      <c r="N63" s="9">
        <f t="shared" si="2"/>
        <v>38</v>
      </c>
      <c r="O63" s="7">
        <v>1.0</v>
      </c>
      <c r="P63" s="11">
        <f t="shared" si="3"/>
        <v>950</v>
      </c>
      <c r="Q63" s="79">
        <v>10.0</v>
      </c>
      <c r="R63" s="80">
        <v>4.6</v>
      </c>
      <c r="S63" s="7">
        <v>3.0</v>
      </c>
      <c r="T63" s="7">
        <v>600.0</v>
      </c>
      <c r="U63" s="7">
        <f t="shared" si="4"/>
        <v>18000</v>
      </c>
      <c r="V63" s="7">
        <f t="shared" si="5"/>
        <v>3.138</v>
      </c>
      <c r="W63" s="14">
        <f t="shared" si="6"/>
        <v>1882.8</v>
      </c>
      <c r="X63" s="94">
        <f t="shared" si="7"/>
        <v>828</v>
      </c>
      <c r="Y63" s="82">
        <v>0.0</v>
      </c>
      <c r="Z63" s="7">
        <v>600.0</v>
      </c>
      <c r="AA63" s="7">
        <v>1.5</v>
      </c>
      <c r="AB63" s="7">
        <f t="shared" si="8"/>
        <v>900</v>
      </c>
      <c r="AC63" s="7">
        <f t="shared" si="27"/>
        <v>600</v>
      </c>
      <c r="AD63" s="7">
        <f t="shared" si="10"/>
        <v>0</v>
      </c>
      <c r="AE63" s="83">
        <f t="shared" si="11"/>
        <v>0</v>
      </c>
      <c r="AF63" s="80">
        <v>0.0</v>
      </c>
      <c r="AG63" s="7">
        <v>800.0</v>
      </c>
      <c r="AH63" s="78">
        <v>0.8</v>
      </c>
      <c r="AI63" s="7">
        <f t="shared" si="12"/>
        <v>640</v>
      </c>
      <c r="AJ63" s="7">
        <f t="shared" si="13"/>
        <v>800</v>
      </c>
      <c r="AK63" s="7">
        <f t="shared" si="14"/>
        <v>0</v>
      </c>
      <c r="AL63" s="14">
        <f t="shared" si="15"/>
        <v>0</v>
      </c>
      <c r="AM63" s="80">
        <v>0.0</v>
      </c>
      <c r="AN63" s="78">
        <v>2.0</v>
      </c>
      <c r="AO63" s="78">
        <v>24.0</v>
      </c>
      <c r="AP63" s="7">
        <f t="shared" si="16"/>
        <v>48</v>
      </c>
      <c r="AQ63" s="7">
        <f t="shared" si="17"/>
        <v>2</v>
      </c>
      <c r="AR63" s="7">
        <f t="shared" si="18"/>
        <v>0</v>
      </c>
      <c r="AS63" s="14">
        <f t="shared" si="19"/>
        <v>0</v>
      </c>
      <c r="AT63" s="80">
        <v>0.0</v>
      </c>
      <c r="AU63" s="78">
        <v>15000.0</v>
      </c>
      <c r="AV63" s="14">
        <f t="shared" si="20"/>
        <v>0</v>
      </c>
      <c r="AW63" s="82">
        <v>0.0</v>
      </c>
      <c r="AX63" s="78">
        <v>5000.0</v>
      </c>
      <c r="AY63" s="14">
        <f t="shared" si="21"/>
        <v>0</v>
      </c>
      <c r="AZ63" s="69">
        <f t="shared" si="22"/>
        <v>600</v>
      </c>
      <c r="BA63" s="77">
        <f t="shared" si="23"/>
        <v>0.6315789474</v>
      </c>
      <c r="BB63" s="69">
        <f t="shared" si="24"/>
        <v>1.583333333</v>
      </c>
      <c r="BC63" s="78" t="str">
        <f t="shared" si="25"/>
        <v>YES</v>
      </c>
    </row>
    <row r="64" ht="15.75" customHeight="1">
      <c r="A64" s="12"/>
      <c r="B64" s="26" t="s">
        <v>14</v>
      </c>
      <c r="C64" s="25" t="s">
        <v>560</v>
      </c>
      <c r="D64" s="7" t="s">
        <v>399</v>
      </c>
      <c r="E64" s="7" t="s">
        <v>561</v>
      </c>
      <c r="F64" s="7" t="s">
        <v>259</v>
      </c>
      <c r="G64" s="79" t="s">
        <v>562</v>
      </c>
      <c r="H64" s="7">
        <v>5.0</v>
      </c>
      <c r="I64" s="7">
        <v>187000.0</v>
      </c>
      <c r="J64" s="7"/>
      <c r="L64" s="7"/>
      <c r="M64" s="9">
        <f t="shared" si="1"/>
        <v>37400</v>
      </c>
      <c r="N64" s="9">
        <f t="shared" si="2"/>
        <v>7480</v>
      </c>
      <c r="O64" s="7">
        <v>1.0</v>
      </c>
      <c r="P64" s="11">
        <f t="shared" si="3"/>
        <v>187000</v>
      </c>
      <c r="Q64" s="79">
        <v>10.0</v>
      </c>
      <c r="R64" s="80">
        <v>4.4</v>
      </c>
      <c r="S64" s="7">
        <v>3.0</v>
      </c>
      <c r="T64" s="7">
        <v>600.0</v>
      </c>
      <c r="U64" s="7">
        <f t="shared" si="4"/>
        <v>18000</v>
      </c>
      <c r="V64" s="7">
        <f t="shared" si="5"/>
        <v>3.132</v>
      </c>
      <c r="W64" s="14">
        <f t="shared" si="6"/>
        <v>1879.2</v>
      </c>
      <c r="X64" s="94">
        <f t="shared" si="7"/>
        <v>792</v>
      </c>
      <c r="Y64" s="80">
        <v>7.5</v>
      </c>
      <c r="Z64" s="7">
        <v>600.0</v>
      </c>
      <c r="AA64" s="7">
        <v>1.5</v>
      </c>
      <c r="AB64" s="7">
        <f t="shared" si="8"/>
        <v>900</v>
      </c>
      <c r="AC64" s="7">
        <f t="shared" si="27"/>
        <v>555</v>
      </c>
      <c r="AD64" s="7">
        <f t="shared" si="10"/>
        <v>67.5</v>
      </c>
      <c r="AE64" s="83">
        <f t="shared" si="11"/>
        <v>675</v>
      </c>
      <c r="AF64" s="84">
        <v>13.0</v>
      </c>
      <c r="AG64" s="7">
        <v>800.0</v>
      </c>
      <c r="AH64" s="78">
        <v>0.8</v>
      </c>
      <c r="AI64" s="7">
        <f t="shared" si="12"/>
        <v>640</v>
      </c>
      <c r="AJ64" s="7">
        <f t="shared" si="13"/>
        <v>696</v>
      </c>
      <c r="AK64" s="7">
        <f t="shared" si="14"/>
        <v>83.2</v>
      </c>
      <c r="AL64" s="14">
        <f t="shared" si="15"/>
        <v>832</v>
      </c>
      <c r="AM64" s="84">
        <v>45.0</v>
      </c>
      <c r="AN64" s="78">
        <v>2.0</v>
      </c>
      <c r="AO64" s="78">
        <v>24.0</v>
      </c>
      <c r="AP64" s="7">
        <f t="shared" si="16"/>
        <v>48</v>
      </c>
      <c r="AQ64" s="7">
        <f t="shared" si="17"/>
        <v>1.1</v>
      </c>
      <c r="AR64" s="7">
        <f t="shared" si="18"/>
        <v>21.6</v>
      </c>
      <c r="AS64" s="14">
        <f t="shared" si="19"/>
        <v>216</v>
      </c>
      <c r="AT64" s="84">
        <v>37.0</v>
      </c>
      <c r="AU64" s="78">
        <v>15000.0</v>
      </c>
      <c r="AV64" s="14">
        <f t="shared" si="20"/>
        <v>5550</v>
      </c>
      <c r="AW64" s="82">
        <v>0.0</v>
      </c>
      <c r="AX64" s="78">
        <v>5000.0</v>
      </c>
      <c r="AY64" s="14">
        <f t="shared" si="21"/>
        <v>0</v>
      </c>
      <c r="AZ64" s="69">
        <f t="shared" si="22"/>
        <v>-36815</v>
      </c>
      <c r="BA64" s="77">
        <f t="shared" si="23"/>
        <v>-0.1968716578</v>
      </c>
      <c r="BB64" s="69" t="str">
        <f t="shared" si="24"/>
        <v>Payback period not applicable: the investment does not recover its cost under current conditions.</v>
      </c>
      <c r="BC64" s="78" t="str">
        <f t="shared" si="25"/>
        <v>NO</v>
      </c>
    </row>
    <row r="65" ht="15.75" customHeight="1">
      <c r="A65" s="12"/>
      <c r="B65" s="26" t="s">
        <v>14</v>
      </c>
      <c r="C65" s="25" t="s">
        <v>360</v>
      </c>
      <c r="D65" s="7" t="s">
        <v>563</v>
      </c>
      <c r="E65" s="7" t="s">
        <v>564</v>
      </c>
      <c r="F65" s="7" t="s">
        <v>365</v>
      </c>
      <c r="G65" s="79" t="s">
        <v>565</v>
      </c>
      <c r="H65" s="7">
        <v>5.0</v>
      </c>
      <c r="I65" s="7">
        <v>80000.0</v>
      </c>
      <c r="J65" s="7"/>
      <c r="L65" s="7"/>
      <c r="M65" s="9">
        <f t="shared" si="1"/>
        <v>16000</v>
      </c>
      <c r="N65" s="9">
        <f t="shared" si="2"/>
        <v>3200</v>
      </c>
      <c r="O65" s="7">
        <v>1.0</v>
      </c>
      <c r="P65" s="11">
        <f t="shared" si="3"/>
        <v>80000</v>
      </c>
      <c r="Q65" s="79">
        <v>10.0</v>
      </c>
      <c r="R65" s="80">
        <v>0.0</v>
      </c>
      <c r="S65" s="7">
        <v>3.0</v>
      </c>
      <c r="T65" s="7">
        <v>600.0</v>
      </c>
      <c r="U65" s="7">
        <f t="shared" si="4"/>
        <v>18000</v>
      </c>
      <c r="V65" s="7">
        <f t="shared" si="5"/>
        <v>3</v>
      </c>
      <c r="W65" s="14">
        <f t="shared" si="6"/>
        <v>1800</v>
      </c>
      <c r="X65" s="94">
        <f t="shared" si="7"/>
        <v>0</v>
      </c>
      <c r="Y65" s="80">
        <v>0.0</v>
      </c>
      <c r="Z65" s="7">
        <v>600.0</v>
      </c>
      <c r="AA65" s="7">
        <v>1.5</v>
      </c>
      <c r="AB65" s="7">
        <f t="shared" si="8"/>
        <v>900</v>
      </c>
      <c r="AC65" s="7">
        <f t="shared" si="27"/>
        <v>600</v>
      </c>
      <c r="AD65" s="7">
        <f t="shared" si="10"/>
        <v>0</v>
      </c>
      <c r="AE65" s="83">
        <f t="shared" si="11"/>
        <v>0</v>
      </c>
      <c r="AF65" s="84">
        <v>13.0</v>
      </c>
      <c r="AG65" s="7">
        <v>800.0</v>
      </c>
      <c r="AH65" s="78">
        <v>0.8</v>
      </c>
      <c r="AI65" s="7">
        <f t="shared" si="12"/>
        <v>640</v>
      </c>
      <c r="AJ65" s="7">
        <f t="shared" si="13"/>
        <v>696</v>
      </c>
      <c r="AK65" s="7">
        <f t="shared" si="14"/>
        <v>83.2</v>
      </c>
      <c r="AL65" s="14">
        <f t="shared" si="15"/>
        <v>832</v>
      </c>
      <c r="AM65" s="84">
        <v>45.0</v>
      </c>
      <c r="AN65" s="78">
        <v>2.0</v>
      </c>
      <c r="AO65" s="78">
        <v>24.0</v>
      </c>
      <c r="AP65" s="7">
        <f t="shared" si="16"/>
        <v>48</v>
      </c>
      <c r="AQ65" s="7">
        <f t="shared" si="17"/>
        <v>1.1</v>
      </c>
      <c r="AR65" s="7">
        <f t="shared" si="18"/>
        <v>21.6</v>
      </c>
      <c r="AS65" s="14">
        <f t="shared" si="19"/>
        <v>216</v>
      </c>
      <c r="AT65" s="84">
        <v>37.0</v>
      </c>
      <c r="AU65" s="78">
        <v>15000.0</v>
      </c>
      <c r="AV65" s="14">
        <f t="shared" si="20"/>
        <v>5550</v>
      </c>
      <c r="AW65" s="82">
        <v>0.0</v>
      </c>
      <c r="AX65" s="78">
        <v>5000.0</v>
      </c>
      <c r="AY65" s="14">
        <f t="shared" si="21"/>
        <v>0</v>
      </c>
      <c r="AZ65" s="69">
        <f t="shared" si="22"/>
        <v>-12602</v>
      </c>
      <c r="BA65" s="77">
        <f t="shared" si="23"/>
        <v>-0.157525</v>
      </c>
      <c r="BB65" s="69" t="str">
        <f t="shared" si="24"/>
        <v>Payback period not applicable: the investment does not recover its cost under current conditions.</v>
      </c>
      <c r="BC65" s="78" t="str">
        <f t="shared" si="25"/>
        <v>NO</v>
      </c>
    </row>
    <row r="66" ht="15.75" customHeight="1">
      <c r="A66" s="12"/>
      <c r="B66" s="26" t="s">
        <v>14</v>
      </c>
      <c r="C66" s="25" t="s">
        <v>566</v>
      </c>
      <c r="D66" s="7" t="s">
        <v>567</v>
      </c>
      <c r="E66" s="7" t="s">
        <v>568</v>
      </c>
      <c r="F66" s="7" t="s">
        <v>51</v>
      </c>
      <c r="G66" s="79" t="s">
        <v>569</v>
      </c>
      <c r="H66" s="7">
        <v>5.0</v>
      </c>
      <c r="I66" s="7"/>
      <c r="J66" s="7"/>
      <c r="K66" s="7">
        <v>410.0</v>
      </c>
      <c r="L66" s="7">
        <v>4920.0</v>
      </c>
      <c r="M66" s="9">
        <f t="shared" si="1"/>
        <v>0</v>
      </c>
      <c r="N66" s="9">
        <f t="shared" si="2"/>
        <v>0</v>
      </c>
      <c r="O66" s="7">
        <v>1.0</v>
      </c>
      <c r="P66" s="11">
        <f t="shared" si="3"/>
        <v>0</v>
      </c>
      <c r="Q66" s="79">
        <v>10.0</v>
      </c>
      <c r="R66" s="80">
        <v>0.0</v>
      </c>
      <c r="S66" s="7">
        <v>3.0</v>
      </c>
      <c r="T66" s="7">
        <v>600.0</v>
      </c>
      <c r="U66" s="7">
        <f t="shared" si="4"/>
        <v>18000</v>
      </c>
      <c r="V66" s="7">
        <f t="shared" si="5"/>
        <v>3</v>
      </c>
      <c r="W66" s="14">
        <f t="shared" si="6"/>
        <v>1800</v>
      </c>
      <c r="X66" s="94">
        <f t="shared" si="7"/>
        <v>0</v>
      </c>
      <c r="Y66" s="82">
        <v>0.0</v>
      </c>
      <c r="Z66" s="7">
        <v>600.0</v>
      </c>
      <c r="AA66" s="7">
        <v>1.5</v>
      </c>
      <c r="AB66" s="7">
        <f t="shared" si="8"/>
        <v>900</v>
      </c>
      <c r="AC66" s="7">
        <f t="shared" si="27"/>
        <v>600</v>
      </c>
      <c r="AD66" s="7">
        <f t="shared" si="10"/>
        <v>0</v>
      </c>
      <c r="AE66" s="83">
        <f t="shared" si="11"/>
        <v>0</v>
      </c>
      <c r="AF66" s="82">
        <v>0.0</v>
      </c>
      <c r="AG66" s="7">
        <v>800.0</v>
      </c>
      <c r="AH66" s="78">
        <v>0.8</v>
      </c>
      <c r="AI66" s="7">
        <f t="shared" si="12"/>
        <v>640</v>
      </c>
      <c r="AJ66" s="7">
        <f t="shared" si="13"/>
        <v>800</v>
      </c>
      <c r="AK66" s="7">
        <f t="shared" si="14"/>
        <v>0</v>
      </c>
      <c r="AL66" s="14">
        <f t="shared" si="15"/>
        <v>0</v>
      </c>
      <c r="AM66" s="84">
        <v>45.0</v>
      </c>
      <c r="AN66" s="78">
        <v>2.0</v>
      </c>
      <c r="AO66" s="78">
        <v>24.0</v>
      </c>
      <c r="AP66" s="7">
        <f t="shared" si="16"/>
        <v>48</v>
      </c>
      <c r="AQ66" s="7">
        <f t="shared" si="17"/>
        <v>1.1</v>
      </c>
      <c r="AR66" s="7">
        <f t="shared" si="18"/>
        <v>21.6</v>
      </c>
      <c r="AS66" s="14">
        <f t="shared" si="19"/>
        <v>216</v>
      </c>
      <c r="AT66" s="84">
        <v>37.0</v>
      </c>
      <c r="AU66" s="78">
        <v>15000.0</v>
      </c>
      <c r="AV66" s="14">
        <f t="shared" si="20"/>
        <v>5550</v>
      </c>
      <c r="AW66" s="82">
        <v>0.0</v>
      </c>
      <c r="AX66" s="78">
        <v>5000.0</v>
      </c>
      <c r="AY66" s="14">
        <f t="shared" si="21"/>
        <v>0</v>
      </c>
      <c r="AZ66" s="69">
        <f t="shared" si="22"/>
        <v>846</v>
      </c>
      <c r="BA66" s="77" t="str">
        <f t="shared" si="23"/>
        <v>The DAT is free</v>
      </c>
      <c r="BB66" s="69">
        <f t="shared" si="24"/>
        <v>0</v>
      </c>
      <c r="BC66" s="78" t="str">
        <f t="shared" si="25"/>
        <v>YES</v>
      </c>
    </row>
    <row r="67" ht="15.75" customHeight="1">
      <c r="A67" s="12"/>
      <c r="B67" s="26" t="s">
        <v>14</v>
      </c>
      <c r="C67" s="25" t="s">
        <v>238</v>
      </c>
      <c r="D67" s="7" t="s">
        <v>382</v>
      </c>
      <c r="E67" s="7" t="s">
        <v>187</v>
      </c>
      <c r="F67" s="7" t="s">
        <v>51</v>
      </c>
      <c r="G67" s="79" t="s">
        <v>384</v>
      </c>
      <c r="H67" s="7">
        <v>5.0</v>
      </c>
      <c r="I67" s="7">
        <v>30000.0</v>
      </c>
      <c r="J67" s="7"/>
      <c r="L67" s="7"/>
      <c r="M67" s="9">
        <f t="shared" si="1"/>
        <v>6000</v>
      </c>
      <c r="N67" s="9">
        <f t="shared" si="2"/>
        <v>1200</v>
      </c>
      <c r="O67" s="7">
        <v>1.0</v>
      </c>
      <c r="P67" s="11">
        <f t="shared" si="3"/>
        <v>30000</v>
      </c>
      <c r="Q67" s="79">
        <v>10.0</v>
      </c>
      <c r="R67" s="80">
        <v>4.4</v>
      </c>
      <c r="S67" s="7">
        <v>3.0</v>
      </c>
      <c r="T67" s="7">
        <v>600.0</v>
      </c>
      <c r="U67" s="7">
        <f t="shared" si="4"/>
        <v>18000</v>
      </c>
      <c r="V67" s="7">
        <f t="shared" si="5"/>
        <v>3.132</v>
      </c>
      <c r="W67" s="14">
        <f t="shared" si="6"/>
        <v>1879.2</v>
      </c>
      <c r="X67" s="94">
        <f t="shared" si="7"/>
        <v>792</v>
      </c>
      <c r="Y67" s="80">
        <v>7.5</v>
      </c>
      <c r="Z67" s="7">
        <v>600.0</v>
      </c>
      <c r="AA67" s="7">
        <v>1.5</v>
      </c>
      <c r="AB67" s="7">
        <f t="shared" si="8"/>
        <v>900</v>
      </c>
      <c r="AC67" s="7">
        <f t="shared" si="27"/>
        <v>555</v>
      </c>
      <c r="AD67" s="7">
        <f t="shared" si="10"/>
        <v>67.5</v>
      </c>
      <c r="AE67" s="83">
        <f t="shared" si="11"/>
        <v>675</v>
      </c>
      <c r="AF67" s="84">
        <v>13.0</v>
      </c>
      <c r="AG67" s="7">
        <v>800.0</v>
      </c>
      <c r="AH67" s="78">
        <v>0.8</v>
      </c>
      <c r="AI67" s="7">
        <f t="shared" si="12"/>
        <v>640</v>
      </c>
      <c r="AJ67" s="7">
        <f t="shared" si="13"/>
        <v>696</v>
      </c>
      <c r="AK67" s="7">
        <f t="shared" si="14"/>
        <v>83.2</v>
      </c>
      <c r="AL67" s="14">
        <f t="shared" si="15"/>
        <v>832</v>
      </c>
      <c r="AM67" s="84">
        <v>45.0</v>
      </c>
      <c r="AN67" s="78">
        <v>2.0</v>
      </c>
      <c r="AO67" s="78">
        <v>24.0</v>
      </c>
      <c r="AP67" s="7">
        <f t="shared" si="16"/>
        <v>48</v>
      </c>
      <c r="AQ67" s="7">
        <f t="shared" si="17"/>
        <v>1.1</v>
      </c>
      <c r="AR67" s="7">
        <f t="shared" si="18"/>
        <v>21.6</v>
      </c>
      <c r="AS67" s="14">
        <f t="shared" si="19"/>
        <v>216</v>
      </c>
      <c r="AT67" s="84">
        <v>37.0</v>
      </c>
      <c r="AU67" s="78">
        <v>15000.0</v>
      </c>
      <c r="AV67" s="14">
        <f t="shared" si="20"/>
        <v>5550</v>
      </c>
      <c r="AW67" s="82">
        <v>0.0</v>
      </c>
      <c r="AX67" s="78">
        <v>5000.0</v>
      </c>
      <c r="AY67" s="14">
        <f t="shared" si="21"/>
        <v>0</v>
      </c>
      <c r="AZ67" s="69">
        <f t="shared" si="22"/>
        <v>865</v>
      </c>
      <c r="BA67" s="77">
        <f t="shared" si="23"/>
        <v>0.02883333333</v>
      </c>
      <c r="BB67" s="69">
        <f t="shared" si="24"/>
        <v>34.68208092</v>
      </c>
      <c r="BC67" s="78" t="str">
        <f t="shared" si="25"/>
        <v>NO</v>
      </c>
    </row>
    <row r="68" ht="15.75" customHeight="1">
      <c r="A68" s="18"/>
      <c r="B68" s="85" t="s">
        <v>14</v>
      </c>
      <c r="C68" s="86" t="s">
        <v>238</v>
      </c>
      <c r="D68" s="19" t="s">
        <v>385</v>
      </c>
      <c r="E68" s="19" t="s">
        <v>386</v>
      </c>
      <c r="F68" s="19" t="s">
        <v>532</v>
      </c>
      <c r="G68" s="87" t="s">
        <v>570</v>
      </c>
      <c r="H68" s="19">
        <v>5.0</v>
      </c>
      <c r="I68" s="19">
        <v>6500.0</v>
      </c>
      <c r="J68" s="19"/>
      <c r="K68" s="19"/>
      <c r="L68" s="19"/>
      <c r="M68" s="9">
        <f t="shared" si="1"/>
        <v>1300</v>
      </c>
      <c r="N68" s="9">
        <f t="shared" si="2"/>
        <v>260</v>
      </c>
      <c r="O68" s="19">
        <v>1.0</v>
      </c>
      <c r="P68" s="11">
        <f t="shared" si="3"/>
        <v>6500</v>
      </c>
      <c r="Q68" s="87">
        <v>10.0</v>
      </c>
      <c r="R68" s="90">
        <v>4.4</v>
      </c>
      <c r="S68" s="19">
        <v>3.0</v>
      </c>
      <c r="T68" s="19">
        <v>600.0</v>
      </c>
      <c r="U68" s="19">
        <f t="shared" si="4"/>
        <v>18000</v>
      </c>
      <c r="V68" s="19">
        <f t="shared" si="5"/>
        <v>3.132</v>
      </c>
      <c r="W68" s="21">
        <f t="shared" si="6"/>
        <v>1879.2</v>
      </c>
      <c r="X68" s="89">
        <f t="shared" si="7"/>
        <v>792</v>
      </c>
      <c r="Y68" s="90">
        <v>7.5</v>
      </c>
      <c r="Z68" s="19">
        <v>600.0</v>
      </c>
      <c r="AA68" s="19">
        <v>1.5</v>
      </c>
      <c r="AB68" s="19">
        <f t="shared" si="8"/>
        <v>900</v>
      </c>
      <c r="AC68" s="19">
        <f t="shared" si="27"/>
        <v>555</v>
      </c>
      <c r="AD68" s="19">
        <f t="shared" si="10"/>
        <v>67.5</v>
      </c>
      <c r="AE68" s="91">
        <f t="shared" si="11"/>
        <v>675</v>
      </c>
      <c r="AF68" s="88">
        <v>13.0</v>
      </c>
      <c r="AG68" s="19">
        <v>800.0</v>
      </c>
      <c r="AH68" s="93">
        <v>0.8</v>
      </c>
      <c r="AI68" s="19">
        <f t="shared" si="12"/>
        <v>640</v>
      </c>
      <c r="AJ68" s="19">
        <f t="shared" si="13"/>
        <v>696</v>
      </c>
      <c r="AK68" s="19">
        <f t="shared" si="14"/>
        <v>83.2</v>
      </c>
      <c r="AL68" s="21">
        <f t="shared" si="15"/>
        <v>832</v>
      </c>
      <c r="AM68" s="88">
        <v>45.0</v>
      </c>
      <c r="AN68" s="93">
        <v>2.0</v>
      </c>
      <c r="AO68" s="93">
        <v>24.0</v>
      </c>
      <c r="AP68" s="19">
        <f t="shared" si="16"/>
        <v>48</v>
      </c>
      <c r="AQ68" s="19">
        <f t="shared" si="17"/>
        <v>1.1</v>
      </c>
      <c r="AR68" s="19">
        <f t="shared" si="18"/>
        <v>21.6</v>
      </c>
      <c r="AS68" s="21">
        <f t="shared" si="19"/>
        <v>216</v>
      </c>
      <c r="AT68" s="88">
        <v>37.0</v>
      </c>
      <c r="AU68" s="93">
        <v>15000.0</v>
      </c>
      <c r="AV68" s="21">
        <f t="shared" si="20"/>
        <v>5550</v>
      </c>
      <c r="AW68" s="92">
        <v>0.0</v>
      </c>
      <c r="AX68" s="93">
        <v>5000.0</v>
      </c>
      <c r="AY68" s="21">
        <f t="shared" si="21"/>
        <v>0</v>
      </c>
      <c r="AZ68" s="69">
        <f t="shared" si="22"/>
        <v>6505</v>
      </c>
      <c r="BA68" s="77">
        <f t="shared" si="23"/>
        <v>1.000769231</v>
      </c>
      <c r="BB68" s="69">
        <f t="shared" si="24"/>
        <v>0.9992313605</v>
      </c>
      <c r="BC68" s="78" t="str">
        <f t="shared" si="25"/>
        <v>YES</v>
      </c>
    </row>
    <row r="69" ht="15.75" customHeight="1">
      <c r="A69" s="26"/>
      <c r="B69" s="26"/>
      <c r="C69" s="25"/>
      <c r="P69" s="7"/>
      <c r="W69" s="78"/>
      <c r="X69" s="78"/>
      <c r="AE69" s="78"/>
    </row>
    <row r="70" ht="15.75" customHeight="1">
      <c r="A70" s="26"/>
      <c r="B70" s="26"/>
      <c r="C70" s="25"/>
      <c r="P70" s="7"/>
      <c r="W70" s="78"/>
      <c r="X70" s="78"/>
      <c r="AE70" s="78"/>
    </row>
    <row r="71" ht="15.75" customHeight="1">
      <c r="A71" s="26"/>
      <c r="B71" s="26"/>
      <c r="C71" s="25"/>
      <c r="P71" s="7"/>
      <c r="W71" s="78"/>
      <c r="X71" s="78"/>
      <c r="AE71" s="78"/>
    </row>
    <row r="72" ht="15.75" customHeight="1">
      <c r="A72" s="26"/>
      <c r="B72" s="26"/>
      <c r="C72" s="25"/>
      <c r="P72" s="7"/>
      <c r="W72" s="78"/>
      <c r="X72" s="78"/>
      <c r="AE72" s="78"/>
    </row>
    <row r="73" ht="15.75" customHeight="1">
      <c r="A73" s="26"/>
      <c r="B73" s="26"/>
      <c r="C73" s="25"/>
      <c r="P73" s="7"/>
      <c r="W73" s="78"/>
      <c r="X73" s="78"/>
      <c r="AE73" s="78"/>
    </row>
    <row r="74" ht="15.75" customHeight="1">
      <c r="A74" s="26"/>
      <c r="B74" s="26"/>
      <c r="C74" s="25"/>
      <c r="P74" s="7"/>
      <c r="W74" s="78"/>
      <c r="X74" s="78"/>
      <c r="AE74" s="78"/>
    </row>
    <row r="75" ht="15.75" customHeight="1">
      <c r="C75" s="78"/>
      <c r="W75" s="78"/>
      <c r="X75" s="78"/>
      <c r="AE75" s="78"/>
    </row>
    <row r="76" ht="15.75" customHeight="1">
      <c r="C76" s="78"/>
      <c r="W76" s="78"/>
      <c r="X76" s="78"/>
      <c r="AE76" s="78"/>
    </row>
    <row r="77" ht="15.75" customHeight="1">
      <c r="C77" s="78"/>
      <c r="W77" s="78"/>
      <c r="X77" s="78"/>
      <c r="AE77" s="78"/>
    </row>
    <row r="78" ht="15.75" customHeight="1">
      <c r="C78" s="78"/>
      <c r="W78" s="78"/>
      <c r="X78" s="78"/>
      <c r="AE78" s="78"/>
    </row>
    <row r="79" ht="15.75" customHeight="1">
      <c r="C79" s="78"/>
      <c r="W79" s="78"/>
      <c r="X79" s="78"/>
      <c r="AE79" s="78"/>
    </row>
    <row r="80" ht="15.75" customHeight="1">
      <c r="C80" s="78"/>
      <c r="W80" s="78"/>
      <c r="X80" s="78"/>
      <c r="AE80" s="78"/>
    </row>
    <row r="81" ht="15.75" customHeight="1">
      <c r="C81" s="78"/>
      <c r="W81" s="78"/>
      <c r="X81" s="78"/>
      <c r="AE81" s="78"/>
    </row>
    <row r="82" ht="15.75" customHeight="1">
      <c r="C82" s="78"/>
      <c r="W82" s="78"/>
      <c r="X82" s="78"/>
      <c r="AE82" s="78"/>
    </row>
    <row r="83" ht="15.75" customHeight="1">
      <c r="C83" s="78"/>
      <c r="W83" s="78"/>
      <c r="X83" s="78"/>
      <c r="AE83" s="78"/>
    </row>
    <row r="84" ht="15.75" customHeight="1">
      <c r="C84" s="78"/>
      <c r="W84" s="78"/>
      <c r="X84" s="78"/>
      <c r="AE84" s="78"/>
    </row>
    <row r="85" ht="15.75" customHeight="1">
      <c r="C85" s="78"/>
      <c r="W85" s="78"/>
      <c r="X85" s="78"/>
      <c r="AE85" s="78"/>
    </row>
    <row r="86" ht="15.75" customHeight="1">
      <c r="C86" s="78"/>
      <c r="W86" s="78"/>
      <c r="X86" s="78"/>
      <c r="AE86" s="78"/>
    </row>
    <row r="87" ht="15.75" customHeight="1">
      <c r="C87" s="78"/>
      <c r="W87" s="78"/>
      <c r="X87" s="78"/>
      <c r="AE87" s="78"/>
    </row>
    <row r="88" ht="15.75" customHeight="1">
      <c r="C88" s="78"/>
      <c r="W88" s="78"/>
      <c r="X88" s="78"/>
      <c r="AE88" s="78"/>
    </row>
    <row r="89" ht="15.75" customHeight="1">
      <c r="C89" s="78"/>
      <c r="W89" s="78"/>
      <c r="X89" s="78"/>
      <c r="AE89" s="78"/>
    </row>
    <row r="90" ht="15.75" customHeight="1">
      <c r="C90" s="78"/>
      <c r="W90" s="78"/>
      <c r="X90" s="78"/>
      <c r="AE90" s="78"/>
    </row>
    <row r="91" ht="15.75" customHeight="1">
      <c r="C91" s="78"/>
      <c r="W91" s="78"/>
      <c r="X91" s="78"/>
      <c r="AE91" s="78"/>
    </row>
    <row r="92" ht="15.75" customHeight="1">
      <c r="C92" s="78"/>
      <c r="W92" s="78"/>
      <c r="X92" s="78"/>
      <c r="AE92" s="78"/>
    </row>
    <row r="93" ht="15.75" customHeight="1">
      <c r="C93" s="78"/>
      <c r="W93" s="78"/>
      <c r="X93" s="78"/>
      <c r="AE93" s="78"/>
    </row>
    <row r="94" ht="15.75" customHeight="1">
      <c r="C94" s="78"/>
      <c r="W94" s="78"/>
      <c r="X94" s="78"/>
      <c r="AE94" s="78"/>
    </row>
    <row r="95" ht="15.75" customHeight="1">
      <c r="C95" s="78"/>
      <c r="W95" s="78"/>
      <c r="X95" s="78"/>
      <c r="AE95" s="78"/>
    </row>
    <row r="96" ht="15.75" customHeight="1">
      <c r="C96" s="78"/>
      <c r="W96" s="78"/>
      <c r="X96" s="78"/>
      <c r="AE96" s="78"/>
    </row>
    <row r="97" ht="15.75" customHeight="1">
      <c r="C97" s="78"/>
      <c r="W97" s="78"/>
      <c r="X97" s="78"/>
      <c r="AE97" s="78"/>
    </row>
    <row r="98" ht="15.75" customHeight="1">
      <c r="C98" s="78"/>
      <c r="W98" s="78"/>
      <c r="X98" s="78"/>
      <c r="AE98" s="78"/>
    </row>
    <row r="99" ht="15.75" customHeight="1">
      <c r="C99" s="78"/>
      <c r="W99" s="78"/>
      <c r="X99" s="78"/>
      <c r="AE99" s="78"/>
    </row>
    <row r="100" ht="15.75" customHeight="1">
      <c r="C100" s="78"/>
      <c r="W100" s="78"/>
      <c r="X100" s="78"/>
      <c r="AE100" s="78"/>
    </row>
    <row r="101" ht="15.75" customHeight="1">
      <c r="C101" s="78"/>
      <c r="W101" s="78"/>
      <c r="X101" s="78"/>
      <c r="AE101" s="78"/>
    </row>
    <row r="102" ht="15.75" customHeight="1">
      <c r="C102" s="78"/>
      <c r="W102" s="78"/>
      <c r="X102" s="78"/>
      <c r="AE102" s="78"/>
    </row>
    <row r="103" ht="15.75" customHeight="1">
      <c r="C103" s="78"/>
      <c r="W103" s="78"/>
      <c r="X103" s="78"/>
      <c r="AE103" s="78"/>
    </row>
    <row r="104" ht="15.75" customHeight="1">
      <c r="C104" s="78"/>
      <c r="W104" s="78"/>
      <c r="X104" s="78"/>
      <c r="AE104" s="78"/>
    </row>
    <row r="105" ht="15.75" customHeight="1">
      <c r="C105" s="78"/>
      <c r="W105" s="78"/>
      <c r="X105" s="78"/>
      <c r="AE105" s="78"/>
    </row>
    <row r="106" ht="15.75" customHeight="1">
      <c r="C106" s="78"/>
      <c r="W106" s="78"/>
      <c r="X106" s="78"/>
      <c r="AE106" s="78"/>
    </row>
    <row r="107" ht="15.75" customHeight="1">
      <c r="C107" s="78"/>
      <c r="W107" s="78"/>
      <c r="X107" s="78"/>
      <c r="AE107" s="78"/>
    </row>
    <row r="108" ht="15.75" customHeight="1">
      <c r="C108" s="78"/>
      <c r="W108" s="78"/>
      <c r="X108" s="78"/>
      <c r="AE108" s="78"/>
    </row>
    <row r="109" ht="15.75" customHeight="1">
      <c r="C109" s="78"/>
      <c r="W109" s="78"/>
      <c r="X109" s="78"/>
      <c r="AE109" s="78"/>
    </row>
    <row r="110" ht="15.75" customHeight="1">
      <c r="C110" s="78"/>
      <c r="W110" s="78"/>
      <c r="X110" s="78"/>
      <c r="AE110" s="78"/>
    </row>
    <row r="111" ht="15.75" customHeight="1">
      <c r="C111" s="78"/>
      <c r="W111" s="78"/>
      <c r="X111" s="78"/>
      <c r="AE111" s="78"/>
    </row>
    <row r="112" ht="15.75" customHeight="1">
      <c r="C112" s="78"/>
      <c r="W112" s="78"/>
      <c r="X112" s="78"/>
      <c r="AE112" s="78"/>
    </row>
    <row r="113" ht="15.75" customHeight="1">
      <c r="C113" s="78"/>
      <c r="W113" s="78"/>
      <c r="X113" s="78"/>
      <c r="AE113" s="78"/>
    </row>
    <row r="114" ht="15.75" customHeight="1">
      <c r="C114" s="78"/>
      <c r="W114" s="78"/>
      <c r="X114" s="78"/>
      <c r="AE114" s="78"/>
    </row>
    <row r="115" ht="15.75" customHeight="1">
      <c r="C115" s="78"/>
      <c r="W115" s="78"/>
      <c r="X115" s="78"/>
      <c r="AE115" s="78"/>
    </row>
    <row r="116" ht="15.75" customHeight="1">
      <c r="C116" s="78"/>
      <c r="W116" s="78"/>
      <c r="X116" s="78"/>
      <c r="AE116" s="78"/>
    </row>
    <row r="117" ht="15.75" customHeight="1">
      <c r="C117" s="78"/>
      <c r="W117" s="78"/>
      <c r="X117" s="78"/>
      <c r="AE117" s="78"/>
    </row>
    <row r="118" ht="15.75" customHeight="1">
      <c r="C118" s="78"/>
      <c r="W118" s="78"/>
      <c r="X118" s="78"/>
      <c r="AE118" s="78"/>
    </row>
    <row r="119" ht="15.75" customHeight="1">
      <c r="C119" s="78"/>
      <c r="W119" s="78"/>
      <c r="X119" s="78"/>
      <c r="AE119" s="78"/>
    </row>
    <row r="120" ht="15.75" customHeight="1">
      <c r="C120" s="78"/>
      <c r="W120" s="78"/>
      <c r="X120" s="78"/>
      <c r="AE120" s="78"/>
    </row>
    <row r="121" ht="15.75" customHeight="1">
      <c r="C121" s="78"/>
      <c r="W121" s="78"/>
      <c r="X121" s="78"/>
      <c r="AE121" s="78"/>
    </row>
    <row r="122" ht="15.75" customHeight="1">
      <c r="C122" s="78"/>
      <c r="W122" s="78"/>
      <c r="X122" s="78"/>
      <c r="AE122" s="78"/>
    </row>
    <row r="123" ht="15.75" customHeight="1">
      <c r="C123" s="78"/>
      <c r="W123" s="78"/>
      <c r="X123" s="78"/>
      <c r="AE123" s="78"/>
    </row>
    <row r="124" ht="15.75" customHeight="1">
      <c r="C124" s="78"/>
      <c r="W124" s="78"/>
      <c r="X124" s="78"/>
      <c r="AE124" s="78"/>
    </row>
    <row r="125" ht="15.75" customHeight="1">
      <c r="C125" s="78"/>
      <c r="W125" s="78"/>
      <c r="X125" s="78"/>
      <c r="AE125" s="78"/>
    </row>
    <row r="126" ht="15.75" customHeight="1">
      <c r="C126" s="78"/>
      <c r="W126" s="78"/>
      <c r="X126" s="78"/>
      <c r="AE126" s="78"/>
    </row>
    <row r="127" ht="15.75" customHeight="1">
      <c r="C127" s="78"/>
      <c r="W127" s="78"/>
      <c r="X127" s="78"/>
      <c r="AE127" s="78"/>
    </row>
    <row r="128" ht="15.75" customHeight="1">
      <c r="C128" s="78"/>
      <c r="W128" s="78"/>
      <c r="X128" s="78"/>
      <c r="AE128" s="78"/>
    </row>
    <row r="129" ht="15.75" customHeight="1">
      <c r="C129" s="78"/>
      <c r="W129" s="78"/>
      <c r="X129" s="78"/>
      <c r="AE129" s="78"/>
    </row>
    <row r="130" ht="15.75" customHeight="1">
      <c r="C130" s="78"/>
      <c r="W130" s="78"/>
      <c r="X130" s="78"/>
      <c r="AE130" s="78"/>
    </row>
    <row r="131" ht="15.75" customHeight="1">
      <c r="C131" s="78"/>
      <c r="W131" s="78"/>
      <c r="X131" s="78"/>
      <c r="AE131" s="78"/>
    </row>
    <row r="132" ht="15.75" customHeight="1">
      <c r="C132" s="78"/>
      <c r="W132" s="78"/>
      <c r="X132" s="78"/>
      <c r="AE132" s="78"/>
    </row>
    <row r="133" ht="15.75" customHeight="1">
      <c r="C133" s="78"/>
      <c r="W133" s="78"/>
      <c r="X133" s="78"/>
      <c r="AE133" s="78"/>
    </row>
    <row r="134" ht="15.75" customHeight="1">
      <c r="C134" s="78"/>
      <c r="W134" s="78"/>
      <c r="X134" s="78"/>
      <c r="AE134" s="78"/>
    </row>
    <row r="135" ht="15.75" customHeight="1">
      <c r="C135" s="78"/>
      <c r="W135" s="78"/>
      <c r="X135" s="78"/>
      <c r="AE135" s="78"/>
    </row>
    <row r="136" ht="15.75" customHeight="1">
      <c r="C136" s="78"/>
      <c r="W136" s="78"/>
      <c r="X136" s="78"/>
      <c r="AE136" s="78"/>
    </row>
    <row r="137" ht="15.75" customHeight="1">
      <c r="C137" s="78"/>
      <c r="W137" s="78"/>
      <c r="X137" s="78"/>
      <c r="AE137" s="78"/>
    </row>
    <row r="138" ht="15.75" customHeight="1">
      <c r="C138" s="78"/>
      <c r="W138" s="78"/>
      <c r="X138" s="78"/>
      <c r="AE138" s="78"/>
    </row>
    <row r="139" ht="15.75" customHeight="1">
      <c r="C139" s="78"/>
      <c r="W139" s="78"/>
      <c r="X139" s="78"/>
      <c r="AE139" s="78"/>
    </row>
    <row r="140" ht="15.75" customHeight="1">
      <c r="C140" s="78"/>
      <c r="W140" s="78"/>
      <c r="X140" s="78"/>
      <c r="AE140" s="78"/>
    </row>
    <row r="141" ht="15.75" customHeight="1">
      <c r="C141" s="78"/>
      <c r="W141" s="78"/>
      <c r="X141" s="78"/>
      <c r="AE141" s="78"/>
    </row>
    <row r="142" ht="15.75" customHeight="1">
      <c r="C142" s="78"/>
      <c r="W142" s="78"/>
      <c r="X142" s="78"/>
      <c r="AE142" s="78"/>
    </row>
    <row r="143" ht="15.75" customHeight="1">
      <c r="C143" s="78"/>
      <c r="W143" s="78"/>
      <c r="X143" s="78"/>
      <c r="AE143" s="78"/>
    </row>
    <row r="144" ht="15.75" customHeight="1">
      <c r="C144" s="78"/>
      <c r="W144" s="78"/>
      <c r="X144" s="78"/>
      <c r="AE144" s="78"/>
    </row>
    <row r="145" ht="15.75" customHeight="1">
      <c r="C145" s="78"/>
      <c r="W145" s="78"/>
      <c r="X145" s="78"/>
      <c r="AE145" s="78"/>
    </row>
    <row r="146" ht="15.75" customHeight="1">
      <c r="C146" s="78"/>
      <c r="W146" s="78"/>
      <c r="X146" s="78"/>
      <c r="AE146" s="78"/>
    </row>
    <row r="147" ht="15.75" customHeight="1">
      <c r="C147" s="78"/>
      <c r="W147" s="78"/>
      <c r="X147" s="78"/>
      <c r="AE147" s="78"/>
    </row>
    <row r="148" ht="15.75" customHeight="1">
      <c r="C148" s="78"/>
      <c r="W148" s="78"/>
      <c r="X148" s="78"/>
      <c r="AE148" s="78"/>
    </row>
    <row r="149" ht="15.75" customHeight="1">
      <c r="C149" s="78"/>
      <c r="W149" s="78"/>
      <c r="X149" s="78"/>
      <c r="AE149" s="78"/>
    </row>
    <row r="150" ht="15.75" customHeight="1">
      <c r="C150" s="78"/>
      <c r="W150" s="78"/>
      <c r="X150" s="78"/>
      <c r="AE150" s="78"/>
    </row>
    <row r="151" ht="15.75" customHeight="1">
      <c r="C151" s="78"/>
      <c r="W151" s="78"/>
      <c r="X151" s="78"/>
      <c r="AE151" s="78"/>
    </row>
    <row r="152" ht="15.75" customHeight="1">
      <c r="C152" s="78"/>
      <c r="W152" s="78"/>
      <c r="X152" s="78"/>
      <c r="AE152" s="78"/>
    </row>
    <row r="153" ht="15.75" customHeight="1">
      <c r="C153" s="78"/>
      <c r="W153" s="78"/>
      <c r="X153" s="78"/>
      <c r="AE153" s="78"/>
    </row>
    <row r="154" ht="15.75" customHeight="1">
      <c r="C154" s="78"/>
      <c r="W154" s="78"/>
      <c r="X154" s="78"/>
      <c r="AE154" s="78"/>
    </row>
    <row r="155" ht="15.75" customHeight="1">
      <c r="C155" s="78"/>
      <c r="W155" s="78"/>
      <c r="X155" s="78"/>
      <c r="AE155" s="78"/>
    </row>
    <row r="156" ht="15.75" customHeight="1">
      <c r="C156" s="78"/>
      <c r="W156" s="78"/>
      <c r="X156" s="78"/>
      <c r="AE156" s="78"/>
    </row>
    <row r="157" ht="15.75" customHeight="1">
      <c r="C157" s="78"/>
      <c r="W157" s="78"/>
      <c r="X157" s="78"/>
      <c r="AE157" s="78"/>
    </row>
    <row r="158" ht="15.75" customHeight="1">
      <c r="C158" s="78"/>
      <c r="W158" s="78"/>
      <c r="X158" s="78"/>
      <c r="AE158" s="78"/>
    </row>
    <row r="159" ht="15.75" customHeight="1">
      <c r="C159" s="78"/>
      <c r="W159" s="78"/>
      <c r="X159" s="78"/>
      <c r="AE159" s="78"/>
    </row>
    <row r="160" ht="15.75" customHeight="1">
      <c r="C160" s="78"/>
      <c r="W160" s="78"/>
      <c r="X160" s="78"/>
      <c r="AE160" s="78"/>
    </row>
    <row r="161" ht="15.75" customHeight="1">
      <c r="C161" s="78"/>
      <c r="W161" s="78"/>
      <c r="X161" s="78"/>
      <c r="AE161" s="78"/>
    </row>
    <row r="162" ht="15.75" customHeight="1">
      <c r="C162" s="78"/>
      <c r="W162" s="78"/>
      <c r="X162" s="78"/>
      <c r="AE162" s="78"/>
    </row>
    <row r="163" ht="15.75" customHeight="1">
      <c r="C163" s="78"/>
      <c r="W163" s="78"/>
      <c r="X163" s="78"/>
      <c r="AE163" s="78"/>
    </row>
    <row r="164" ht="15.75" customHeight="1">
      <c r="C164" s="78"/>
      <c r="W164" s="78"/>
      <c r="X164" s="78"/>
      <c r="AE164" s="78"/>
    </row>
    <row r="165" ht="15.75" customHeight="1">
      <c r="C165" s="78"/>
      <c r="W165" s="78"/>
      <c r="X165" s="78"/>
      <c r="AE165" s="78"/>
    </row>
    <row r="166" ht="15.75" customHeight="1">
      <c r="C166" s="78"/>
      <c r="W166" s="78"/>
      <c r="X166" s="78"/>
      <c r="AE166" s="78"/>
    </row>
    <row r="167" ht="15.75" customHeight="1">
      <c r="C167" s="78"/>
      <c r="W167" s="78"/>
      <c r="X167" s="78"/>
      <c r="AE167" s="78"/>
    </row>
    <row r="168" ht="15.75" customHeight="1">
      <c r="C168" s="78"/>
      <c r="W168" s="78"/>
      <c r="X168" s="78"/>
      <c r="AE168" s="78"/>
    </row>
    <row r="169" ht="15.75" customHeight="1">
      <c r="C169" s="78"/>
      <c r="W169" s="78"/>
      <c r="X169" s="78"/>
      <c r="AE169" s="78"/>
    </row>
    <row r="170" ht="15.75" customHeight="1">
      <c r="C170" s="78"/>
      <c r="W170" s="78"/>
      <c r="X170" s="78"/>
      <c r="AE170" s="78"/>
    </row>
    <row r="171" ht="15.75" customHeight="1">
      <c r="C171" s="78"/>
      <c r="W171" s="78"/>
      <c r="X171" s="78"/>
      <c r="AE171" s="78"/>
    </row>
    <row r="172" ht="15.75" customHeight="1">
      <c r="C172" s="78"/>
      <c r="W172" s="78"/>
      <c r="X172" s="78"/>
      <c r="AE172" s="78"/>
    </row>
    <row r="173" ht="15.75" customHeight="1">
      <c r="C173" s="78"/>
      <c r="W173" s="78"/>
      <c r="X173" s="78"/>
      <c r="AE173" s="78"/>
    </row>
    <row r="174" ht="15.75" customHeight="1">
      <c r="C174" s="78"/>
      <c r="W174" s="78"/>
      <c r="X174" s="78"/>
      <c r="AE174" s="78"/>
    </row>
    <row r="175" ht="15.75" customHeight="1">
      <c r="C175" s="78"/>
      <c r="W175" s="78"/>
      <c r="X175" s="78"/>
      <c r="AE175" s="78"/>
    </row>
    <row r="176" ht="15.75" customHeight="1">
      <c r="C176" s="78"/>
      <c r="W176" s="78"/>
      <c r="X176" s="78"/>
      <c r="AE176" s="78"/>
    </row>
    <row r="177" ht="15.75" customHeight="1">
      <c r="C177" s="78"/>
      <c r="W177" s="78"/>
      <c r="X177" s="78"/>
      <c r="AE177" s="78"/>
    </row>
    <row r="178" ht="15.75" customHeight="1">
      <c r="C178" s="78"/>
      <c r="W178" s="78"/>
      <c r="X178" s="78"/>
      <c r="AE178" s="78"/>
    </row>
    <row r="179" ht="15.75" customHeight="1">
      <c r="C179" s="78"/>
      <c r="W179" s="78"/>
      <c r="X179" s="78"/>
      <c r="AE179" s="78"/>
    </row>
    <row r="180" ht="15.75" customHeight="1">
      <c r="C180" s="78"/>
      <c r="W180" s="78"/>
      <c r="X180" s="78"/>
      <c r="AE180" s="78"/>
    </row>
    <row r="181" ht="15.75" customHeight="1">
      <c r="C181" s="78"/>
      <c r="W181" s="78"/>
      <c r="X181" s="78"/>
      <c r="AE181" s="78"/>
    </row>
    <row r="182" ht="15.75" customHeight="1">
      <c r="C182" s="78"/>
      <c r="W182" s="78"/>
      <c r="X182" s="78"/>
      <c r="AE182" s="78"/>
    </row>
    <row r="183" ht="15.75" customHeight="1">
      <c r="C183" s="78"/>
      <c r="W183" s="78"/>
      <c r="X183" s="78"/>
      <c r="AE183" s="78"/>
    </row>
    <row r="184" ht="15.75" customHeight="1">
      <c r="C184" s="78"/>
      <c r="W184" s="78"/>
      <c r="X184" s="78"/>
      <c r="AE184" s="78"/>
    </row>
    <row r="185" ht="15.75" customHeight="1">
      <c r="C185" s="78"/>
      <c r="W185" s="78"/>
      <c r="X185" s="78"/>
      <c r="AE185" s="78"/>
    </row>
    <row r="186" ht="15.75" customHeight="1">
      <c r="C186" s="78"/>
      <c r="W186" s="78"/>
      <c r="X186" s="78"/>
      <c r="AE186" s="78"/>
    </row>
    <row r="187" ht="15.75" customHeight="1">
      <c r="C187" s="78"/>
      <c r="W187" s="78"/>
      <c r="X187" s="78"/>
      <c r="AE187" s="78"/>
    </row>
    <row r="188" ht="15.75" customHeight="1">
      <c r="C188" s="78"/>
      <c r="W188" s="78"/>
      <c r="X188" s="78"/>
      <c r="AE188" s="78"/>
    </row>
    <row r="189" ht="15.75" customHeight="1">
      <c r="C189" s="78"/>
      <c r="W189" s="78"/>
      <c r="X189" s="78"/>
      <c r="AE189" s="78"/>
    </row>
    <row r="190" ht="15.75" customHeight="1">
      <c r="C190" s="78"/>
      <c r="W190" s="78"/>
      <c r="X190" s="78"/>
      <c r="AE190" s="78"/>
    </row>
    <row r="191" ht="15.75" customHeight="1">
      <c r="C191" s="78"/>
      <c r="W191" s="78"/>
      <c r="X191" s="78"/>
      <c r="AE191" s="78"/>
    </row>
    <row r="192" ht="15.75" customHeight="1">
      <c r="C192" s="78"/>
      <c r="W192" s="78"/>
      <c r="X192" s="78"/>
      <c r="AE192" s="78"/>
    </row>
    <row r="193" ht="15.75" customHeight="1">
      <c r="C193" s="78"/>
      <c r="W193" s="78"/>
      <c r="X193" s="78"/>
      <c r="AE193" s="78"/>
    </row>
    <row r="194" ht="15.75" customHeight="1">
      <c r="C194" s="78"/>
      <c r="W194" s="78"/>
      <c r="X194" s="78"/>
      <c r="AE194" s="78"/>
    </row>
    <row r="195" ht="15.75" customHeight="1">
      <c r="C195" s="78"/>
      <c r="W195" s="78"/>
      <c r="X195" s="78"/>
      <c r="AE195" s="78"/>
    </row>
    <row r="196" ht="15.75" customHeight="1">
      <c r="C196" s="78"/>
      <c r="W196" s="78"/>
      <c r="X196" s="78"/>
      <c r="AE196" s="78"/>
    </row>
    <row r="197" ht="15.75" customHeight="1">
      <c r="C197" s="78"/>
      <c r="W197" s="78"/>
      <c r="X197" s="78"/>
      <c r="AE197" s="78"/>
    </row>
    <row r="198" ht="15.75" customHeight="1">
      <c r="C198" s="78"/>
      <c r="W198" s="78"/>
      <c r="X198" s="78"/>
      <c r="AE198" s="78"/>
    </row>
    <row r="199" ht="15.75" customHeight="1">
      <c r="C199" s="78"/>
      <c r="W199" s="78"/>
      <c r="X199" s="78"/>
      <c r="AE199" s="78"/>
    </row>
    <row r="200" ht="15.75" customHeight="1">
      <c r="C200" s="78"/>
      <c r="W200" s="78"/>
      <c r="X200" s="78"/>
      <c r="AE200" s="78"/>
    </row>
    <row r="201" ht="15.75" customHeight="1">
      <c r="C201" s="78"/>
      <c r="W201" s="78"/>
      <c r="X201" s="78"/>
      <c r="AE201" s="78"/>
    </row>
    <row r="202" ht="15.75" customHeight="1">
      <c r="C202" s="78"/>
      <c r="W202" s="78"/>
      <c r="X202" s="78"/>
      <c r="AE202" s="78"/>
    </row>
    <row r="203" ht="15.75" customHeight="1">
      <c r="C203" s="78"/>
      <c r="W203" s="78"/>
      <c r="X203" s="78"/>
      <c r="AE203" s="78"/>
    </row>
    <row r="204" ht="15.75" customHeight="1">
      <c r="C204" s="78"/>
      <c r="W204" s="78"/>
      <c r="X204" s="78"/>
      <c r="AE204" s="78"/>
    </row>
    <row r="205" ht="15.75" customHeight="1">
      <c r="C205" s="78"/>
      <c r="W205" s="78"/>
      <c r="X205" s="78"/>
      <c r="AE205" s="78"/>
    </row>
    <row r="206" ht="15.75" customHeight="1">
      <c r="C206" s="78"/>
      <c r="W206" s="78"/>
      <c r="X206" s="78"/>
      <c r="AE206" s="78"/>
    </row>
    <row r="207" ht="15.75" customHeight="1">
      <c r="C207" s="78"/>
      <c r="W207" s="78"/>
      <c r="X207" s="78"/>
      <c r="AE207" s="78"/>
    </row>
    <row r="208" ht="15.75" customHeight="1">
      <c r="C208" s="78"/>
      <c r="W208" s="78"/>
      <c r="X208" s="78"/>
      <c r="AE208" s="78"/>
    </row>
    <row r="209" ht="15.75" customHeight="1">
      <c r="C209" s="78"/>
      <c r="W209" s="78"/>
      <c r="X209" s="78"/>
      <c r="AE209" s="78"/>
    </row>
    <row r="210" ht="15.75" customHeight="1">
      <c r="C210" s="78"/>
      <c r="W210" s="78"/>
      <c r="X210" s="78"/>
      <c r="AE210" s="78"/>
    </row>
    <row r="211" ht="15.75" customHeight="1">
      <c r="C211" s="78"/>
      <c r="W211" s="78"/>
      <c r="X211" s="78"/>
      <c r="AE211" s="78"/>
    </row>
    <row r="212" ht="15.75" customHeight="1">
      <c r="C212" s="78"/>
      <c r="W212" s="78"/>
      <c r="X212" s="78"/>
      <c r="AE212" s="78"/>
    </row>
    <row r="213" ht="15.75" customHeight="1">
      <c r="C213" s="78"/>
      <c r="W213" s="78"/>
      <c r="X213" s="78"/>
      <c r="AE213" s="78"/>
    </row>
    <row r="214" ht="15.75" customHeight="1">
      <c r="C214" s="78"/>
      <c r="W214" s="78"/>
      <c r="X214" s="78"/>
      <c r="AE214" s="78"/>
    </row>
    <row r="215" ht="15.75" customHeight="1">
      <c r="C215" s="78"/>
      <c r="W215" s="78"/>
      <c r="X215" s="78"/>
      <c r="AE215" s="78"/>
    </row>
    <row r="216" ht="15.75" customHeight="1">
      <c r="C216" s="78"/>
      <c r="W216" s="78"/>
      <c r="X216" s="78"/>
      <c r="AE216" s="78"/>
    </row>
    <row r="217" ht="15.75" customHeight="1">
      <c r="C217" s="78"/>
      <c r="W217" s="78"/>
      <c r="X217" s="78"/>
      <c r="AE217" s="78"/>
    </row>
    <row r="218" ht="15.75" customHeight="1">
      <c r="C218" s="78"/>
      <c r="W218" s="78"/>
      <c r="X218" s="78"/>
      <c r="AE218" s="78"/>
    </row>
    <row r="219" ht="15.75" customHeight="1">
      <c r="C219" s="78"/>
      <c r="W219" s="78"/>
      <c r="X219" s="78"/>
      <c r="AE219" s="78"/>
    </row>
    <row r="220" ht="15.75" customHeight="1">
      <c r="C220" s="78"/>
      <c r="W220" s="78"/>
      <c r="X220" s="78"/>
      <c r="AE220" s="78"/>
    </row>
    <row r="221" ht="15.75" customHeight="1">
      <c r="C221" s="78"/>
      <c r="W221" s="78"/>
      <c r="X221" s="78"/>
      <c r="AE221" s="78"/>
    </row>
    <row r="222" ht="15.75" customHeight="1">
      <c r="C222" s="78"/>
      <c r="W222" s="78"/>
      <c r="X222" s="78"/>
      <c r="AE222" s="78"/>
    </row>
    <row r="223" ht="15.75" customHeight="1">
      <c r="C223" s="78"/>
      <c r="W223" s="78"/>
      <c r="X223" s="78"/>
      <c r="AE223" s="78"/>
    </row>
    <row r="224" ht="15.75" customHeight="1">
      <c r="C224" s="78"/>
      <c r="W224" s="78"/>
      <c r="X224" s="78"/>
      <c r="AE224" s="78"/>
    </row>
    <row r="225" ht="15.75" customHeight="1">
      <c r="C225" s="78"/>
      <c r="W225" s="78"/>
      <c r="X225" s="78"/>
      <c r="AE225" s="78"/>
    </row>
    <row r="226" ht="15.75" customHeight="1">
      <c r="C226" s="78"/>
      <c r="W226" s="78"/>
      <c r="X226" s="78"/>
      <c r="AE226" s="78"/>
    </row>
    <row r="227" ht="15.75" customHeight="1">
      <c r="C227" s="78"/>
      <c r="W227" s="78"/>
      <c r="X227" s="78"/>
      <c r="AE227" s="78"/>
    </row>
    <row r="228" ht="15.75" customHeight="1">
      <c r="C228" s="78"/>
      <c r="W228" s="78"/>
      <c r="X228" s="78"/>
      <c r="AE228" s="78"/>
    </row>
    <row r="229" ht="15.75" customHeight="1">
      <c r="C229" s="78"/>
      <c r="W229" s="78"/>
      <c r="X229" s="78"/>
      <c r="AE229" s="78"/>
    </row>
    <row r="230" ht="15.75" customHeight="1">
      <c r="C230" s="78"/>
      <c r="W230" s="78"/>
      <c r="X230" s="78"/>
      <c r="AE230" s="78"/>
    </row>
    <row r="231" ht="15.75" customHeight="1">
      <c r="C231" s="78"/>
      <c r="W231" s="78"/>
      <c r="X231" s="78"/>
      <c r="AE231" s="78"/>
    </row>
    <row r="232" ht="15.75" customHeight="1">
      <c r="C232" s="78"/>
      <c r="W232" s="78"/>
      <c r="X232" s="78"/>
      <c r="AE232" s="78"/>
    </row>
    <row r="233" ht="15.75" customHeight="1">
      <c r="C233" s="78"/>
      <c r="W233" s="78"/>
      <c r="X233" s="78"/>
      <c r="AE233" s="78"/>
    </row>
    <row r="234" ht="15.75" customHeight="1">
      <c r="C234" s="78"/>
      <c r="W234" s="78"/>
      <c r="X234" s="78"/>
      <c r="AE234" s="78"/>
    </row>
    <row r="235" ht="15.75" customHeight="1">
      <c r="C235" s="78"/>
      <c r="W235" s="78"/>
      <c r="X235" s="78"/>
      <c r="AE235" s="78"/>
    </row>
    <row r="236" ht="15.75" customHeight="1">
      <c r="C236" s="78"/>
      <c r="W236" s="78"/>
      <c r="X236" s="78"/>
      <c r="AE236" s="78"/>
    </row>
    <row r="237" ht="15.75" customHeight="1">
      <c r="C237" s="78"/>
      <c r="W237" s="78"/>
      <c r="X237" s="78"/>
      <c r="AE237" s="78"/>
    </row>
    <row r="238" ht="15.75" customHeight="1">
      <c r="C238" s="78"/>
      <c r="W238" s="78"/>
      <c r="X238" s="78"/>
      <c r="AE238" s="78"/>
    </row>
    <row r="239" ht="15.75" customHeight="1">
      <c r="C239" s="78"/>
      <c r="W239" s="78"/>
      <c r="X239" s="78"/>
      <c r="AE239" s="78"/>
    </row>
    <row r="240" ht="15.75" customHeight="1">
      <c r="C240" s="78"/>
      <c r="W240" s="78"/>
      <c r="X240" s="78"/>
      <c r="AE240" s="78"/>
    </row>
    <row r="241" ht="15.75" customHeight="1">
      <c r="C241" s="78"/>
      <c r="W241" s="78"/>
      <c r="X241" s="78"/>
      <c r="AE241" s="78"/>
    </row>
    <row r="242" ht="15.75" customHeight="1">
      <c r="C242" s="78"/>
      <c r="W242" s="78"/>
      <c r="X242" s="78"/>
      <c r="AE242" s="78"/>
    </row>
    <row r="243" ht="15.75" customHeight="1">
      <c r="C243" s="78"/>
      <c r="W243" s="78"/>
      <c r="X243" s="78"/>
      <c r="AE243" s="78"/>
    </row>
    <row r="244" ht="15.75" customHeight="1">
      <c r="C244" s="78"/>
      <c r="W244" s="78"/>
      <c r="X244" s="78"/>
      <c r="AE244" s="78"/>
    </row>
    <row r="245" ht="15.75" customHeight="1">
      <c r="C245" s="78"/>
      <c r="W245" s="78"/>
      <c r="X245" s="78"/>
      <c r="AE245" s="78"/>
    </row>
    <row r="246" ht="15.75" customHeight="1">
      <c r="C246" s="78"/>
      <c r="W246" s="78"/>
      <c r="X246" s="78"/>
      <c r="AE246" s="78"/>
    </row>
    <row r="247" ht="15.75" customHeight="1">
      <c r="C247" s="78"/>
      <c r="W247" s="78"/>
      <c r="X247" s="78"/>
      <c r="AE247" s="78"/>
    </row>
    <row r="248" ht="15.75" customHeight="1">
      <c r="C248" s="78"/>
      <c r="W248" s="78"/>
      <c r="X248" s="78"/>
      <c r="AE248" s="78"/>
    </row>
    <row r="249" ht="15.75" customHeight="1">
      <c r="C249" s="78"/>
      <c r="W249" s="78"/>
      <c r="X249" s="78"/>
      <c r="AE249" s="78"/>
    </row>
    <row r="250" ht="15.75" customHeight="1">
      <c r="C250" s="78"/>
      <c r="W250" s="78"/>
      <c r="X250" s="78"/>
      <c r="AE250" s="78"/>
    </row>
    <row r="251" ht="15.75" customHeight="1">
      <c r="C251" s="78"/>
      <c r="W251" s="78"/>
      <c r="X251" s="78"/>
      <c r="AE251" s="78"/>
    </row>
    <row r="252" ht="15.75" customHeight="1">
      <c r="C252" s="78"/>
      <c r="W252" s="78"/>
      <c r="X252" s="78"/>
      <c r="AE252" s="78"/>
    </row>
    <row r="253" ht="15.75" customHeight="1">
      <c r="C253" s="78"/>
      <c r="W253" s="78"/>
      <c r="X253" s="78"/>
      <c r="AE253" s="78"/>
    </row>
    <row r="254" ht="15.75" customHeight="1">
      <c r="C254" s="78"/>
      <c r="W254" s="78"/>
      <c r="X254" s="78"/>
      <c r="AE254" s="78"/>
    </row>
    <row r="255" ht="15.75" customHeight="1">
      <c r="C255" s="78"/>
      <c r="W255" s="78"/>
      <c r="X255" s="78"/>
      <c r="AE255" s="78"/>
    </row>
    <row r="256" ht="15.75" customHeight="1">
      <c r="C256" s="78"/>
      <c r="W256" s="78"/>
      <c r="X256" s="78"/>
      <c r="AE256" s="78"/>
    </row>
    <row r="257" ht="15.75" customHeight="1">
      <c r="C257" s="78"/>
      <c r="W257" s="78"/>
      <c r="X257" s="78"/>
      <c r="AE257" s="78"/>
    </row>
    <row r="258" ht="15.75" customHeight="1">
      <c r="C258" s="78"/>
      <c r="W258" s="78"/>
      <c r="X258" s="78"/>
      <c r="AE258" s="78"/>
    </row>
    <row r="259" ht="15.75" customHeight="1">
      <c r="C259" s="78"/>
      <c r="W259" s="78"/>
      <c r="X259" s="78"/>
      <c r="AE259" s="78"/>
    </row>
    <row r="260" ht="15.75" customHeight="1">
      <c r="C260" s="78"/>
      <c r="W260" s="78"/>
      <c r="X260" s="78"/>
      <c r="AE260" s="78"/>
    </row>
    <row r="261" ht="15.75" customHeight="1">
      <c r="C261" s="78"/>
      <c r="W261" s="78"/>
      <c r="X261" s="78"/>
      <c r="AE261" s="78"/>
    </row>
    <row r="262" ht="15.75" customHeight="1">
      <c r="C262" s="78"/>
      <c r="W262" s="78"/>
      <c r="X262" s="78"/>
      <c r="AE262" s="78"/>
    </row>
    <row r="263" ht="15.75" customHeight="1">
      <c r="C263" s="78"/>
      <c r="W263" s="78"/>
      <c r="X263" s="78"/>
      <c r="AE263" s="78"/>
    </row>
    <row r="264" ht="15.75" customHeight="1">
      <c r="C264" s="78"/>
      <c r="W264" s="78"/>
      <c r="X264" s="78"/>
      <c r="AE264" s="78"/>
    </row>
    <row r="265" ht="15.75" customHeight="1">
      <c r="C265" s="78"/>
      <c r="W265" s="78"/>
      <c r="X265" s="78"/>
      <c r="AE265" s="78"/>
    </row>
    <row r="266" ht="15.75" customHeight="1">
      <c r="C266" s="78"/>
      <c r="W266" s="78"/>
      <c r="X266" s="78"/>
      <c r="AE266" s="78"/>
    </row>
    <row r="267" ht="15.75" customHeight="1">
      <c r="C267" s="78"/>
      <c r="W267" s="78"/>
      <c r="X267" s="78"/>
      <c r="AE267" s="78"/>
    </row>
    <row r="268" ht="15.75" customHeight="1">
      <c r="C268" s="78"/>
      <c r="W268" s="78"/>
      <c r="X268" s="78"/>
      <c r="AE268" s="78"/>
    </row>
    <row r="269" ht="15.75" customHeight="1">
      <c r="C269" s="78"/>
      <c r="W269" s="78"/>
      <c r="X269" s="78"/>
      <c r="AE269" s="78"/>
    </row>
    <row r="270" ht="15.75" customHeight="1">
      <c r="C270" s="78"/>
      <c r="W270" s="78"/>
      <c r="X270" s="78"/>
      <c r="AE270" s="78"/>
    </row>
    <row r="271" ht="15.75" customHeight="1">
      <c r="C271" s="78"/>
      <c r="W271" s="78"/>
      <c r="X271" s="78"/>
      <c r="AE271" s="78"/>
    </row>
    <row r="272" ht="15.75" customHeight="1">
      <c r="C272" s="78"/>
      <c r="W272" s="78"/>
      <c r="X272" s="78"/>
      <c r="AE272" s="78"/>
    </row>
    <row r="273" ht="15.75" customHeight="1">
      <c r="C273" s="78"/>
      <c r="W273" s="78"/>
      <c r="X273" s="78"/>
      <c r="AE273" s="78"/>
    </row>
    <row r="274" ht="15.75" customHeight="1">
      <c r="C274" s="78"/>
      <c r="W274" s="78"/>
      <c r="X274" s="78"/>
      <c r="AE274" s="78"/>
    </row>
    <row r="275" ht="15.75" customHeight="1">
      <c r="C275" s="78"/>
      <c r="W275" s="78"/>
      <c r="X275" s="78"/>
      <c r="AE275" s="78"/>
    </row>
    <row r="276" ht="15.75" customHeight="1">
      <c r="C276" s="78"/>
      <c r="W276" s="78"/>
      <c r="X276" s="78"/>
      <c r="AE276" s="78"/>
    </row>
    <row r="277" ht="15.75" customHeight="1">
      <c r="C277" s="78"/>
      <c r="W277" s="78"/>
      <c r="X277" s="78"/>
      <c r="AE277" s="78"/>
    </row>
    <row r="278" ht="15.75" customHeight="1">
      <c r="C278" s="78"/>
      <c r="W278" s="78"/>
      <c r="X278" s="78"/>
      <c r="AE278" s="78"/>
    </row>
    <row r="279" ht="15.75" customHeight="1">
      <c r="C279" s="78"/>
      <c r="W279" s="78"/>
      <c r="X279" s="78"/>
      <c r="AE279" s="78"/>
    </row>
    <row r="280" ht="15.75" customHeight="1">
      <c r="C280" s="78"/>
      <c r="W280" s="78"/>
      <c r="X280" s="78"/>
      <c r="AE280" s="78"/>
    </row>
    <row r="281" ht="15.75" customHeight="1">
      <c r="C281" s="78"/>
      <c r="W281" s="78"/>
      <c r="X281" s="78"/>
      <c r="AE281" s="78"/>
    </row>
    <row r="282" ht="15.75" customHeight="1">
      <c r="C282" s="78"/>
      <c r="W282" s="78"/>
      <c r="X282" s="78"/>
      <c r="AE282" s="78"/>
    </row>
    <row r="283" ht="15.75" customHeight="1">
      <c r="C283" s="78"/>
      <c r="W283" s="78"/>
      <c r="X283" s="78"/>
      <c r="AE283" s="78"/>
    </row>
    <row r="284" ht="15.75" customHeight="1">
      <c r="C284" s="78"/>
      <c r="W284" s="78"/>
      <c r="X284" s="78"/>
      <c r="AE284" s="78"/>
    </row>
    <row r="285" ht="15.75" customHeight="1">
      <c r="C285" s="78"/>
      <c r="W285" s="78"/>
      <c r="X285" s="78"/>
      <c r="AE285" s="78"/>
    </row>
    <row r="286" ht="15.75" customHeight="1">
      <c r="C286" s="78"/>
      <c r="W286" s="78"/>
      <c r="X286" s="78"/>
      <c r="AE286" s="78"/>
    </row>
    <row r="287" ht="15.75" customHeight="1">
      <c r="C287" s="78"/>
      <c r="W287" s="78"/>
      <c r="X287" s="78"/>
      <c r="AE287" s="78"/>
    </row>
    <row r="288" ht="15.75" customHeight="1">
      <c r="C288" s="78"/>
      <c r="W288" s="78"/>
      <c r="X288" s="78"/>
      <c r="AE288" s="78"/>
    </row>
    <row r="289" ht="15.75" customHeight="1">
      <c r="C289" s="78"/>
      <c r="W289" s="78"/>
      <c r="X289" s="78"/>
      <c r="AE289" s="78"/>
    </row>
    <row r="290" ht="15.75" customHeight="1">
      <c r="C290" s="78"/>
      <c r="W290" s="78"/>
      <c r="X290" s="78"/>
      <c r="AE290" s="78"/>
    </row>
    <row r="291" ht="15.75" customHeight="1">
      <c r="C291" s="78"/>
      <c r="W291" s="78"/>
      <c r="X291" s="78"/>
      <c r="AE291" s="78"/>
    </row>
    <row r="292" ht="15.75" customHeight="1">
      <c r="C292" s="78"/>
      <c r="W292" s="78"/>
      <c r="X292" s="78"/>
      <c r="AE292" s="78"/>
    </row>
    <row r="293" ht="15.75" customHeight="1">
      <c r="C293" s="78"/>
      <c r="W293" s="78"/>
      <c r="X293" s="78"/>
      <c r="AE293" s="78"/>
    </row>
    <row r="294" ht="15.75" customHeight="1">
      <c r="C294" s="78"/>
      <c r="W294" s="78"/>
      <c r="X294" s="78"/>
      <c r="AE294" s="78"/>
    </row>
    <row r="295" ht="15.75" customHeight="1">
      <c r="C295" s="78"/>
      <c r="W295" s="78"/>
      <c r="X295" s="78"/>
      <c r="AE295" s="78"/>
    </row>
    <row r="296" ht="15.75" customHeight="1">
      <c r="C296" s="78"/>
      <c r="W296" s="78"/>
      <c r="X296" s="78"/>
      <c r="AE296" s="78"/>
    </row>
    <row r="297" ht="15.75" customHeight="1">
      <c r="C297" s="78"/>
      <c r="W297" s="78"/>
      <c r="X297" s="78"/>
      <c r="AE297" s="78"/>
    </row>
    <row r="298" ht="15.75" customHeight="1">
      <c r="C298" s="78"/>
      <c r="W298" s="78"/>
      <c r="X298" s="78"/>
      <c r="AE298" s="78"/>
    </row>
    <row r="299" ht="15.75" customHeight="1">
      <c r="C299" s="78"/>
      <c r="W299" s="78"/>
      <c r="X299" s="78"/>
      <c r="AE299" s="78"/>
    </row>
    <row r="300" ht="15.75" customHeight="1">
      <c r="C300" s="78"/>
      <c r="W300" s="78"/>
      <c r="X300" s="78"/>
      <c r="AE300" s="78"/>
    </row>
    <row r="301" ht="15.75" customHeight="1">
      <c r="C301" s="78"/>
      <c r="W301" s="78"/>
      <c r="X301" s="78"/>
      <c r="AE301" s="78"/>
    </row>
    <row r="302" ht="15.75" customHeight="1">
      <c r="C302" s="78"/>
      <c r="W302" s="78"/>
      <c r="X302" s="78"/>
      <c r="AE302" s="78"/>
    </row>
    <row r="303" ht="15.75" customHeight="1">
      <c r="C303" s="78"/>
      <c r="W303" s="78"/>
      <c r="X303" s="78"/>
      <c r="AE303" s="78"/>
    </row>
    <row r="304" ht="15.75" customHeight="1">
      <c r="C304" s="78"/>
      <c r="W304" s="78"/>
      <c r="X304" s="78"/>
      <c r="AE304" s="78"/>
    </row>
    <row r="305" ht="15.75" customHeight="1">
      <c r="C305" s="78"/>
      <c r="W305" s="78"/>
      <c r="X305" s="78"/>
      <c r="AE305" s="78"/>
    </row>
    <row r="306" ht="15.75" customHeight="1">
      <c r="C306" s="78"/>
      <c r="W306" s="78"/>
      <c r="X306" s="78"/>
      <c r="AE306" s="78"/>
    </row>
    <row r="307" ht="15.75" customHeight="1">
      <c r="C307" s="78"/>
      <c r="W307" s="78"/>
      <c r="X307" s="78"/>
      <c r="AE307" s="78"/>
    </row>
    <row r="308" ht="15.75" customHeight="1">
      <c r="C308" s="78"/>
      <c r="W308" s="78"/>
      <c r="X308" s="78"/>
      <c r="AE308" s="78"/>
    </row>
    <row r="309" ht="15.75" customHeight="1">
      <c r="C309" s="78"/>
      <c r="W309" s="78"/>
      <c r="X309" s="78"/>
      <c r="AE309" s="78"/>
    </row>
    <row r="310" ht="15.75" customHeight="1">
      <c r="C310" s="78"/>
      <c r="W310" s="78"/>
      <c r="X310" s="78"/>
      <c r="AE310" s="78"/>
    </row>
    <row r="311" ht="15.75" customHeight="1">
      <c r="C311" s="78"/>
      <c r="W311" s="78"/>
      <c r="X311" s="78"/>
      <c r="AE311" s="78"/>
    </row>
    <row r="312" ht="15.75" customHeight="1">
      <c r="C312" s="78"/>
      <c r="W312" s="78"/>
      <c r="X312" s="78"/>
      <c r="AE312" s="78"/>
    </row>
    <row r="313" ht="15.75" customHeight="1">
      <c r="C313" s="78"/>
      <c r="W313" s="78"/>
      <c r="X313" s="78"/>
      <c r="AE313" s="78"/>
    </row>
    <row r="314" ht="15.75" customHeight="1">
      <c r="C314" s="78"/>
      <c r="W314" s="78"/>
      <c r="X314" s="78"/>
      <c r="AE314" s="78"/>
    </row>
    <row r="315" ht="15.75" customHeight="1">
      <c r="C315" s="78"/>
      <c r="W315" s="78"/>
      <c r="X315" s="78"/>
      <c r="AE315" s="78"/>
    </row>
    <row r="316" ht="15.75" customHeight="1">
      <c r="C316" s="78"/>
      <c r="W316" s="78"/>
      <c r="X316" s="78"/>
      <c r="AE316" s="78"/>
    </row>
    <row r="317" ht="15.75" customHeight="1">
      <c r="C317" s="78"/>
      <c r="W317" s="78"/>
      <c r="X317" s="78"/>
      <c r="AE317" s="78"/>
    </row>
    <row r="318" ht="15.75" customHeight="1">
      <c r="C318" s="78"/>
      <c r="W318" s="78"/>
      <c r="X318" s="78"/>
      <c r="AE318" s="78"/>
    </row>
    <row r="319" ht="15.75" customHeight="1">
      <c r="C319" s="78"/>
      <c r="W319" s="78"/>
      <c r="X319" s="78"/>
      <c r="AE319" s="78"/>
    </row>
    <row r="320" ht="15.75" customHeight="1">
      <c r="C320" s="78"/>
      <c r="W320" s="78"/>
      <c r="X320" s="78"/>
      <c r="AE320" s="78"/>
    </row>
    <row r="321" ht="15.75" customHeight="1">
      <c r="C321" s="78"/>
      <c r="W321" s="78"/>
      <c r="X321" s="78"/>
      <c r="AE321" s="78"/>
    </row>
    <row r="322" ht="15.75" customHeight="1">
      <c r="C322" s="78"/>
      <c r="W322" s="78"/>
      <c r="X322" s="78"/>
      <c r="AE322" s="78"/>
    </row>
    <row r="323" ht="15.75" customHeight="1">
      <c r="C323" s="78"/>
      <c r="W323" s="78"/>
      <c r="X323" s="78"/>
      <c r="AE323" s="78"/>
    </row>
    <row r="324" ht="15.75" customHeight="1">
      <c r="C324" s="78"/>
      <c r="W324" s="78"/>
      <c r="X324" s="78"/>
      <c r="AE324" s="78"/>
    </row>
    <row r="325" ht="15.75" customHeight="1">
      <c r="C325" s="78"/>
      <c r="W325" s="78"/>
      <c r="X325" s="78"/>
      <c r="AE325" s="78"/>
    </row>
    <row r="326" ht="15.75" customHeight="1">
      <c r="C326" s="78"/>
      <c r="W326" s="78"/>
      <c r="X326" s="78"/>
      <c r="AE326" s="78"/>
    </row>
    <row r="327" ht="15.75" customHeight="1">
      <c r="C327" s="78"/>
      <c r="W327" s="78"/>
      <c r="X327" s="78"/>
      <c r="AE327" s="78"/>
    </row>
    <row r="328" ht="15.75" customHeight="1">
      <c r="C328" s="78"/>
      <c r="W328" s="78"/>
      <c r="X328" s="78"/>
      <c r="AE328" s="78"/>
    </row>
    <row r="329" ht="15.75" customHeight="1">
      <c r="C329" s="78"/>
      <c r="W329" s="78"/>
      <c r="X329" s="78"/>
      <c r="AE329" s="78"/>
    </row>
    <row r="330" ht="15.75" customHeight="1">
      <c r="C330" s="78"/>
      <c r="W330" s="78"/>
      <c r="X330" s="78"/>
      <c r="AE330" s="78"/>
    </row>
    <row r="331" ht="15.75" customHeight="1">
      <c r="C331" s="78"/>
      <c r="W331" s="78"/>
      <c r="X331" s="78"/>
      <c r="AE331" s="78"/>
    </row>
    <row r="332" ht="15.75" customHeight="1">
      <c r="C332" s="78"/>
      <c r="W332" s="78"/>
      <c r="X332" s="78"/>
      <c r="AE332" s="78"/>
    </row>
    <row r="333" ht="15.75" customHeight="1">
      <c r="C333" s="78"/>
      <c r="W333" s="78"/>
      <c r="X333" s="78"/>
      <c r="AE333" s="78"/>
    </row>
    <row r="334" ht="15.75" customHeight="1">
      <c r="C334" s="78"/>
      <c r="W334" s="78"/>
      <c r="X334" s="78"/>
      <c r="AE334" s="78"/>
    </row>
    <row r="335" ht="15.75" customHeight="1">
      <c r="C335" s="78"/>
      <c r="W335" s="78"/>
      <c r="X335" s="78"/>
      <c r="AE335" s="78"/>
    </row>
    <row r="336" ht="15.75" customHeight="1">
      <c r="C336" s="78"/>
      <c r="W336" s="78"/>
      <c r="X336" s="78"/>
      <c r="AE336" s="78"/>
    </row>
    <row r="337" ht="15.75" customHeight="1">
      <c r="C337" s="78"/>
      <c r="W337" s="78"/>
      <c r="X337" s="78"/>
      <c r="AE337" s="78"/>
    </row>
    <row r="338" ht="15.75" customHeight="1">
      <c r="C338" s="78"/>
      <c r="W338" s="78"/>
      <c r="X338" s="78"/>
      <c r="AE338" s="78"/>
    </row>
    <row r="339" ht="15.75" customHeight="1">
      <c r="C339" s="78"/>
      <c r="W339" s="78"/>
      <c r="X339" s="78"/>
      <c r="AE339" s="78"/>
    </row>
    <row r="340" ht="15.75" customHeight="1">
      <c r="C340" s="78"/>
      <c r="W340" s="78"/>
      <c r="X340" s="78"/>
      <c r="AE340" s="78"/>
    </row>
    <row r="341" ht="15.75" customHeight="1">
      <c r="C341" s="78"/>
      <c r="W341" s="78"/>
      <c r="X341" s="78"/>
      <c r="AE341" s="78"/>
    </row>
    <row r="342" ht="15.75" customHeight="1">
      <c r="C342" s="78"/>
      <c r="W342" s="78"/>
      <c r="X342" s="78"/>
      <c r="AE342" s="78"/>
    </row>
    <row r="343" ht="15.75" customHeight="1">
      <c r="C343" s="78"/>
      <c r="W343" s="78"/>
      <c r="X343" s="78"/>
      <c r="AE343" s="78"/>
    </row>
    <row r="344" ht="15.75" customHeight="1">
      <c r="C344" s="78"/>
      <c r="W344" s="78"/>
      <c r="X344" s="78"/>
      <c r="AE344" s="78"/>
    </row>
    <row r="345" ht="15.75" customHeight="1">
      <c r="C345" s="78"/>
      <c r="W345" s="78"/>
      <c r="X345" s="78"/>
      <c r="AE345" s="78"/>
    </row>
    <row r="346" ht="15.75" customHeight="1">
      <c r="C346" s="78"/>
      <c r="W346" s="78"/>
      <c r="X346" s="78"/>
      <c r="AE346" s="78"/>
    </row>
    <row r="347" ht="15.75" customHeight="1">
      <c r="C347" s="78"/>
      <c r="W347" s="78"/>
      <c r="X347" s="78"/>
      <c r="AE347" s="78"/>
    </row>
    <row r="348" ht="15.75" customHeight="1">
      <c r="C348" s="78"/>
      <c r="W348" s="78"/>
      <c r="X348" s="78"/>
      <c r="AE348" s="78"/>
    </row>
    <row r="349" ht="15.75" customHeight="1">
      <c r="C349" s="78"/>
      <c r="W349" s="78"/>
      <c r="X349" s="78"/>
      <c r="AE349" s="78"/>
    </row>
    <row r="350" ht="15.75" customHeight="1">
      <c r="C350" s="78"/>
      <c r="W350" s="78"/>
      <c r="X350" s="78"/>
      <c r="AE350" s="78"/>
    </row>
    <row r="351" ht="15.75" customHeight="1">
      <c r="C351" s="78"/>
      <c r="W351" s="78"/>
      <c r="X351" s="78"/>
      <c r="AE351" s="78"/>
    </row>
    <row r="352" ht="15.75" customHeight="1">
      <c r="C352" s="78"/>
      <c r="W352" s="78"/>
      <c r="X352" s="78"/>
      <c r="AE352" s="78"/>
    </row>
    <row r="353" ht="15.75" customHeight="1">
      <c r="C353" s="78"/>
      <c r="W353" s="78"/>
      <c r="X353" s="78"/>
      <c r="AE353" s="78"/>
    </row>
    <row r="354" ht="15.75" customHeight="1">
      <c r="C354" s="78"/>
      <c r="W354" s="78"/>
      <c r="X354" s="78"/>
      <c r="AE354" s="78"/>
    </row>
    <row r="355" ht="15.75" customHeight="1">
      <c r="C355" s="78"/>
      <c r="W355" s="78"/>
      <c r="X355" s="78"/>
      <c r="AE355" s="78"/>
    </row>
    <row r="356" ht="15.75" customHeight="1">
      <c r="C356" s="78"/>
      <c r="W356" s="78"/>
      <c r="X356" s="78"/>
      <c r="AE356" s="78"/>
    </row>
    <row r="357" ht="15.75" customHeight="1">
      <c r="C357" s="78"/>
      <c r="W357" s="78"/>
      <c r="X357" s="78"/>
      <c r="AE357" s="78"/>
    </row>
    <row r="358" ht="15.75" customHeight="1">
      <c r="C358" s="78"/>
      <c r="W358" s="78"/>
      <c r="X358" s="78"/>
      <c r="AE358" s="78"/>
    </row>
    <row r="359" ht="15.75" customHeight="1">
      <c r="C359" s="78"/>
      <c r="W359" s="78"/>
      <c r="X359" s="78"/>
      <c r="AE359" s="78"/>
    </row>
    <row r="360" ht="15.75" customHeight="1">
      <c r="C360" s="78"/>
      <c r="W360" s="78"/>
      <c r="X360" s="78"/>
      <c r="AE360" s="78"/>
    </row>
    <row r="361" ht="15.75" customHeight="1">
      <c r="C361" s="78"/>
      <c r="W361" s="78"/>
      <c r="X361" s="78"/>
      <c r="AE361" s="78"/>
    </row>
    <row r="362" ht="15.75" customHeight="1">
      <c r="C362" s="78"/>
      <c r="W362" s="78"/>
      <c r="X362" s="78"/>
      <c r="AE362" s="78"/>
    </row>
    <row r="363" ht="15.75" customHeight="1">
      <c r="C363" s="78"/>
      <c r="W363" s="78"/>
      <c r="X363" s="78"/>
      <c r="AE363" s="78"/>
    </row>
    <row r="364" ht="15.75" customHeight="1">
      <c r="C364" s="78"/>
      <c r="W364" s="78"/>
      <c r="X364" s="78"/>
      <c r="AE364" s="78"/>
    </row>
    <row r="365" ht="15.75" customHeight="1">
      <c r="C365" s="78"/>
      <c r="W365" s="78"/>
      <c r="X365" s="78"/>
      <c r="AE365" s="78"/>
    </row>
    <row r="366" ht="15.75" customHeight="1">
      <c r="C366" s="78"/>
      <c r="W366" s="78"/>
      <c r="X366" s="78"/>
      <c r="AE366" s="78"/>
    </row>
    <row r="367" ht="15.75" customHeight="1">
      <c r="C367" s="78"/>
      <c r="W367" s="78"/>
      <c r="X367" s="78"/>
      <c r="AE367" s="78"/>
    </row>
    <row r="368" ht="15.75" customHeight="1">
      <c r="C368" s="78"/>
      <c r="W368" s="78"/>
      <c r="X368" s="78"/>
      <c r="AE368" s="78"/>
    </row>
    <row r="369" ht="15.75" customHeight="1">
      <c r="C369" s="78"/>
      <c r="W369" s="78"/>
      <c r="X369" s="78"/>
      <c r="AE369" s="78"/>
    </row>
    <row r="370" ht="15.75" customHeight="1">
      <c r="C370" s="78"/>
      <c r="W370" s="78"/>
      <c r="X370" s="78"/>
      <c r="AE370" s="78"/>
    </row>
    <row r="371" ht="15.75" customHeight="1">
      <c r="C371" s="78"/>
      <c r="W371" s="78"/>
      <c r="X371" s="78"/>
      <c r="AE371" s="78"/>
    </row>
    <row r="372" ht="15.75" customHeight="1">
      <c r="C372" s="78"/>
      <c r="W372" s="78"/>
      <c r="X372" s="78"/>
      <c r="AE372" s="78"/>
    </row>
    <row r="373" ht="15.75" customHeight="1">
      <c r="C373" s="78"/>
      <c r="W373" s="78"/>
      <c r="X373" s="78"/>
      <c r="AE373" s="78"/>
    </row>
    <row r="374" ht="15.75" customHeight="1">
      <c r="C374" s="78"/>
      <c r="W374" s="78"/>
      <c r="X374" s="78"/>
      <c r="AE374" s="78"/>
    </row>
    <row r="375" ht="15.75" customHeight="1">
      <c r="C375" s="78"/>
      <c r="W375" s="78"/>
      <c r="X375" s="78"/>
      <c r="AE375" s="78"/>
    </row>
    <row r="376" ht="15.75" customHeight="1">
      <c r="C376" s="78"/>
      <c r="W376" s="78"/>
      <c r="X376" s="78"/>
      <c r="AE376" s="78"/>
    </row>
    <row r="377" ht="15.75" customHeight="1">
      <c r="C377" s="78"/>
      <c r="W377" s="78"/>
      <c r="X377" s="78"/>
      <c r="AE377" s="78"/>
    </row>
    <row r="378" ht="15.75" customHeight="1">
      <c r="C378" s="78"/>
      <c r="W378" s="78"/>
      <c r="X378" s="78"/>
      <c r="AE378" s="78"/>
    </row>
    <row r="379" ht="15.75" customHeight="1">
      <c r="C379" s="78"/>
      <c r="W379" s="78"/>
      <c r="X379" s="78"/>
      <c r="AE379" s="78"/>
    </row>
    <row r="380" ht="15.75" customHeight="1">
      <c r="C380" s="78"/>
      <c r="W380" s="78"/>
      <c r="X380" s="78"/>
      <c r="AE380" s="78"/>
    </row>
    <row r="381" ht="15.75" customHeight="1">
      <c r="C381" s="78"/>
      <c r="W381" s="78"/>
      <c r="X381" s="78"/>
      <c r="AE381" s="78"/>
    </row>
    <row r="382" ht="15.75" customHeight="1">
      <c r="C382" s="78"/>
      <c r="W382" s="78"/>
      <c r="X382" s="78"/>
      <c r="AE382" s="78"/>
    </row>
    <row r="383" ht="15.75" customHeight="1">
      <c r="C383" s="78"/>
      <c r="W383" s="78"/>
      <c r="X383" s="78"/>
      <c r="AE383" s="78"/>
    </row>
    <row r="384" ht="15.75" customHeight="1">
      <c r="C384" s="78"/>
      <c r="W384" s="78"/>
      <c r="X384" s="78"/>
      <c r="AE384" s="78"/>
    </row>
    <row r="385" ht="15.75" customHeight="1">
      <c r="C385" s="78"/>
      <c r="W385" s="78"/>
      <c r="X385" s="78"/>
      <c r="AE385" s="78"/>
    </row>
    <row r="386" ht="15.75" customHeight="1">
      <c r="C386" s="78"/>
      <c r="W386" s="78"/>
      <c r="X386" s="78"/>
      <c r="AE386" s="78"/>
    </row>
    <row r="387" ht="15.75" customHeight="1">
      <c r="C387" s="78"/>
      <c r="W387" s="78"/>
      <c r="X387" s="78"/>
      <c r="AE387" s="78"/>
    </row>
    <row r="388" ht="15.75" customHeight="1">
      <c r="C388" s="78"/>
      <c r="W388" s="78"/>
      <c r="X388" s="78"/>
      <c r="AE388" s="78"/>
    </row>
    <row r="389" ht="15.75" customHeight="1">
      <c r="C389" s="78"/>
      <c r="W389" s="78"/>
      <c r="X389" s="78"/>
      <c r="AE389" s="78"/>
    </row>
    <row r="390" ht="15.75" customHeight="1">
      <c r="C390" s="78"/>
      <c r="W390" s="78"/>
      <c r="X390" s="78"/>
      <c r="AE390" s="78"/>
    </row>
    <row r="391" ht="15.75" customHeight="1">
      <c r="C391" s="78"/>
      <c r="W391" s="78"/>
      <c r="X391" s="78"/>
      <c r="AE391" s="78"/>
    </row>
    <row r="392" ht="15.75" customHeight="1">
      <c r="C392" s="78"/>
      <c r="W392" s="78"/>
      <c r="X392" s="78"/>
      <c r="AE392" s="78"/>
    </row>
    <row r="393" ht="15.75" customHeight="1">
      <c r="C393" s="78"/>
      <c r="W393" s="78"/>
      <c r="X393" s="78"/>
      <c r="AE393" s="78"/>
    </row>
    <row r="394" ht="15.75" customHeight="1">
      <c r="C394" s="78"/>
      <c r="W394" s="78"/>
      <c r="X394" s="78"/>
      <c r="AE394" s="78"/>
    </row>
    <row r="395" ht="15.75" customHeight="1">
      <c r="C395" s="78"/>
      <c r="W395" s="78"/>
      <c r="X395" s="78"/>
      <c r="AE395" s="78"/>
    </row>
    <row r="396" ht="15.75" customHeight="1">
      <c r="C396" s="78"/>
      <c r="W396" s="78"/>
      <c r="X396" s="78"/>
      <c r="AE396" s="78"/>
    </row>
    <row r="397" ht="15.75" customHeight="1">
      <c r="C397" s="78"/>
      <c r="W397" s="78"/>
      <c r="X397" s="78"/>
      <c r="AE397" s="78"/>
    </row>
    <row r="398" ht="15.75" customHeight="1">
      <c r="C398" s="78"/>
      <c r="W398" s="78"/>
      <c r="X398" s="78"/>
      <c r="AE398" s="78"/>
    </row>
    <row r="399" ht="15.75" customHeight="1">
      <c r="C399" s="78"/>
      <c r="W399" s="78"/>
      <c r="X399" s="78"/>
      <c r="AE399" s="78"/>
    </row>
    <row r="400" ht="15.75" customHeight="1">
      <c r="C400" s="78"/>
      <c r="W400" s="78"/>
      <c r="X400" s="78"/>
      <c r="AE400" s="78"/>
    </row>
    <row r="401" ht="15.75" customHeight="1">
      <c r="C401" s="78"/>
      <c r="W401" s="78"/>
      <c r="X401" s="78"/>
      <c r="AE401" s="78"/>
    </row>
    <row r="402" ht="15.75" customHeight="1">
      <c r="C402" s="78"/>
      <c r="W402" s="78"/>
      <c r="X402" s="78"/>
      <c r="AE402" s="78"/>
    </row>
    <row r="403" ht="15.75" customHeight="1">
      <c r="C403" s="78"/>
      <c r="W403" s="78"/>
      <c r="X403" s="78"/>
      <c r="AE403" s="78"/>
    </row>
    <row r="404" ht="15.75" customHeight="1">
      <c r="C404" s="78"/>
      <c r="W404" s="78"/>
      <c r="X404" s="78"/>
      <c r="AE404" s="78"/>
    </row>
    <row r="405" ht="15.75" customHeight="1">
      <c r="C405" s="78"/>
      <c r="W405" s="78"/>
      <c r="X405" s="78"/>
      <c r="AE405" s="78"/>
    </row>
    <row r="406" ht="15.75" customHeight="1">
      <c r="C406" s="78"/>
      <c r="W406" s="78"/>
      <c r="X406" s="78"/>
      <c r="AE406" s="78"/>
    </row>
    <row r="407" ht="15.75" customHeight="1">
      <c r="C407" s="78"/>
      <c r="W407" s="78"/>
      <c r="X407" s="78"/>
      <c r="AE407" s="78"/>
    </row>
    <row r="408" ht="15.75" customHeight="1">
      <c r="C408" s="78"/>
      <c r="W408" s="78"/>
      <c r="X408" s="78"/>
      <c r="AE408" s="78"/>
    </row>
    <row r="409" ht="15.75" customHeight="1">
      <c r="C409" s="78"/>
      <c r="W409" s="78"/>
      <c r="X409" s="78"/>
      <c r="AE409" s="78"/>
    </row>
    <row r="410" ht="15.75" customHeight="1">
      <c r="C410" s="78"/>
      <c r="W410" s="78"/>
      <c r="X410" s="78"/>
      <c r="AE410" s="78"/>
    </row>
    <row r="411" ht="15.75" customHeight="1">
      <c r="C411" s="78"/>
      <c r="W411" s="78"/>
      <c r="X411" s="78"/>
      <c r="AE411" s="78"/>
    </row>
    <row r="412" ht="15.75" customHeight="1">
      <c r="C412" s="78"/>
      <c r="W412" s="78"/>
      <c r="X412" s="78"/>
      <c r="AE412" s="78"/>
    </row>
    <row r="413" ht="15.75" customHeight="1">
      <c r="C413" s="78"/>
      <c r="W413" s="78"/>
      <c r="X413" s="78"/>
      <c r="AE413" s="78"/>
    </row>
    <row r="414" ht="15.75" customHeight="1">
      <c r="C414" s="78"/>
      <c r="W414" s="78"/>
      <c r="X414" s="78"/>
      <c r="AE414" s="78"/>
    </row>
    <row r="415" ht="15.75" customHeight="1">
      <c r="C415" s="78"/>
      <c r="W415" s="78"/>
      <c r="X415" s="78"/>
      <c r="AE415" s="78"/>
    </row>
    <row r="416" ht="15.75" customHeight="1">
      <c r="C416" s="78"/>
      <c r="W416" s="78"/>
      <c r="X416" s="78"/>
      <c r="AE416" s="78"/>
    </row>
    <row r="417" ht="15.75" customHeight="1">
      <c r="C417" s="78"/>
      <c r="W417" s="78"/>
      <c r="X417" s="78"/>
      <c r="AE417" s="78"/>
    </row>
    <row r="418" ht="15.75" customHeight="1">
      <c r="C418" s="78"/>
      <c r="W418" s="78"/>
      <c r="X418" s="78"/>
      <c r="AE418" s="78"/>
    </row>
    <row r="419" ht="15.75" customHeight="1">
      <c r="C419" s="78"/>
      <c r="W419" s="78"/>
      <c r="X419" s="78"/>
      <c r="AE419" s="78"/>
    </row>
    <row r="420" ht="15.75" customHeight="1">
      <c r="C420" s="78"/>
      <c r="W420" s="78"/>
      <c r="X420" s="78"/>
      <c r="AE420" s="78"/>
    </row>
    <row r="421" ht="15.75" customHeight="1">
      <c r="C421" s="78"/>
      <c r="W421" s="78"/>
      <c r="X421" s="78"/>
      <c r="AE421" s="78"/>
    </row>
    <row r="422" ht="15.75" customHeight="1">
      <c r="C422" s="78"/>
      <c r="W422" s="78"/>
      <c r="X422" s="78"/>
      <c r="AE422" s="78"/>
    </row>
    <row r="423" ht="15.75" customHeight="1">
      <c r="C423" s="78"/>
      <c r="W423" s="78"/>
      <c r="X423" s="78"/>
      <c r="AE423" s="78"/>
    </row>
    <row r="424" ht="15.75" customHeight="1">
      <c r="C424" s="78"/>
      <c r="W424" s="78"/>
      <c r="X424" s="78"/>
      <c r="AE424" s="78"/>
    </row>
    <row r="425" ht="15.75" customHeight="1">
      <c r="C425" s="78"/>
      <c r="W425" s="78"/>
      <c r="X425" s="78"/>
      <c r="AE425" s="78"/>
    </row>
    <row r="426" ht="15.75" customHeight="1">
      <c r="C426" s="78"/>
      <c r="W426" s="78"/>
      <c r="X426" s="78"/>
      <c r="AE426" s="78"/>
    </row>
    <row r="427" ht="15.75" customHeight="1">
      <c r="C427" s="78"/>
      <c r="W427" s="78"/>
      <c r="X427" s="78"/>
      <c r="AE427" s="78"/>
    </row>
    <row r="428" ht="15.75" customHeight="1">
      <c r="C428" s="78"/>
      <c r="W428" s="78"/>
      <c r="X428" s="78"/>
      <c r="AE428" s="78"/>
    </row>
    <row r="429" ht="15.75" customHeight="1">
      <c r="C429" s="78"/>
      <c r="W429" s="78"/>
      <c r="X429" s="78"/>
      <c r="AE429" s="78"/>
    </row>
    <row r="430" ht="15.75" customHeight="1">
      <c r="C430" s="78"/>
      <c r="W430" s="78"/>
      <c r="X430" s="78"/>
      <c r="AE430" s="78"/>
    </row>
    <row r="431" ht="15.75" customHeight="1">
      <c r="C431" s="78"/>
      <c r="W431" s="78"/>
      <c r="X431" s="78"/>
      <c r="AE431" s="78"/>
    </row>
    <row r="432" ht="15.75" customHeight="1">
      <c r="C432" s="78"/>
      <c r="W432" s="78"/>
      <c r="X432" s="78"/>
      <c r="AE432" s="78"/>
    </row>
    <row r="433" ht="15.75" customHeight="1">
      <c r="C433" s="78"/>
      <c r="W433" s="78"/>
      <c r="X433" s="78"/>
      <c r="AE433" s="78"/>
    </row>
    <row r="434" ht="15.75" customHeight="1">
      <c r="C434" s="78"/>
      <c r="W434" s="78"/>
      <c r="X434" s="78"/>
      <c r="AE434" s="78"/>
    </row>
    <row r="435" ht="15.75" customHeight="1">
      <c r="C435" s="78"/>
      <c r="W435" s="78"/>
      <c r="X435" s="78"/>
      <c r="AE435" s="78"/>
    </row>
    <row r="436" ht="15.75" customHeight="1">
      <c r="C436" s="78"/>
      <c r="W436" s="78"/>
      <c r="X436" s="78"/>
      <c r="AE436" s="78"/>
    </row>
    <row r="437" ht="15.75" customHeight="1">
      <c r="C437" s="78"/>
      <c r="W437" s="78"/>
      <c r="X437" s="78"/>
      <c r="AE437" s="78"/>
    </row>
    <row r="438" ht="15.75" customHeight="1">
      <c r="C438" s="78"/>
      <c r="W438" s="78"/>
      <c r="X438" s="78"/>
      <c r="AE438" s="78"/>
    </row>
    <row r="439" ht="15.75" customHeight="1">
      <c r="C439" s="78"/>
      <c r="W439" s="78"/>
      <c r="X439" s="78"/>
      <c r="AE439" s="78"/>
    </row>
    <row r="440" ht="15.75" customHeight="1">
      <c r="C440" s="78"/>
      <c r="W440" s="78"/>
      <c r="X440" s="78"/>
      <c r="AE440" s="78"/>
    </row>
    <row r="441" ht="15.75" customHeight="1">
      <c r="C441" s="78"/>
      <c r="W441" s="78"/>
      <c r="X441" s="78"/>
      <c r="AE441" s="78"/>
    </row>
    <row r="442" ht="15.75" customHeight="1">
      <c r="C442" s="78"/>
      <c r="W442" s="78"/>
      <c r="X442" s="78"/>
      <c r="AE442" s="78"/>
    </row>
    <row r="443" ht="15.75" customHeight="1">
      <c r="C443" s="78"/>
      <c r="W443" s="78"/>
      <c r="X443" s="78"/>
      <c r="AE443" s="78"/>
    </row>
    <row r="444" ht="15.75" customHeight="1">
      <c r="C444" s="78"/>
      <c r="W444" s="78"/>
      <c r="X444" s="78"/>
      <c r="AE444" s="78"/>
    </row>
    <row r="445" ht="15.75" customHeight="1">
      <c r="C445" s="78"/>
      <c r="W445" s="78"/>
      <c r="X445" s="78"/>
      <c r="AE445" s="78"/>
    </row>
    <row r="446" ht="15.75" customHeight="1">
      <c r="C446" s="78"/>
      <c r="W446" s="78"/>
      <c r="X446" s="78"/>
      <c r="AE446" s="78"/>
    </row>
    <row r="447" ht="15.75" customHeight="1">
      <c r="C447" s="78"/>
      <c r="W447" s="78"/>
      <c r="X447" s="78"/>
      <c r="AE447" s="78"/>
    </row>
    <row r="448" ht="15.75" customHeight="1">
      <c r="C448" s="78"/>
      <c r="W448" s="78"/>
      <c r="X448" s="78"/>
      <c r="AE448" s="78"/>
    </row>
    <row r="449" ht="15.75" customHeight="1">
      <c r="C449" s="78"/>
      <c r="W449" s="78"/>
      <c r="X449" s="78"/>
      <c r="AE449" s="78"/>
    </row>
    <row r="450" ht="15.75" customHeight="1">
      <c r="C450" s="78"/>
      <c r="W450" s="78"/>
      <c r="X450" s="78"/>
      <c r="AE450" s="78"/>
    </row>
    <row r="451" ht="15.75" customHeight="1">
      <c r="C451" s="78"/>
      <c r="W451" s="78"/>
      <c r="X451" s="78"/>
      <c r="AE451" s="78"/>
    </row>
    <row r="452" ht="15.75" customHeight="1">
      <c r="C452" s="78"/>
      <c r="W452" s="78"/>
      <c r="X452" s="78"/>
      <c r="AE452" s="78"/>
    </row>
    <row r="453" ht="15.75" customHeight="1">
      <c r="C453" s="78"/>
      <c r="W453" s="78"/>
      <c r="X453" s="78"/>
      <c r="AE453" s="78"/>
    </row>
    <row r="454" ht="15.75" customHeight="1">
      <c r="C454" s="78"/>
      <c r="W454" s="78"/>
      <c r="X454" s="78"/>
      <c r="AE454" s="78"/>
    </row>
    <row r="455" ht="15.75" customHeight="1">
      <c r="C455" s="78"/>
      <c r="W455" s="78"/>
      <c r="X455" s="78"/>
      <c r="AE455" s="78"/>
    </row>
    <row r="456" ht="15.75" customHeight="1">
      <c r="C456" s="78"/>
      <c r="W456" s="78"/>
      <c r="X456" s="78"/>
      <c r="AE456" s="78"/>
    </row>
    <row r="457" ht="15.75" customHeight="1">
      <c r="C457" s="78"/>
      <c r="W457" s="78"/>
      <c r="X457" s="78"/>
      <c r="AE457" s="78"/>
    </row>
    <row r="458" ht="15.75" customHeight="1">
      <c r="C458" s="78"/>
      <c r="W458" s="78"/>
      <c r="X458" s="78"/>
      <c r="AE458" s="78"/>
    </row>
    <row r="459" ht="15.75" customHeight="1">
      <c r="C459" s="78"/>
      <c r="W459" s="78"/>
      <c r="X459" s="78"/>
      <c r="AE459" s="78"/>
    </row>
    <row r="460" ht="15.75" customHeight="1">
      <c r="C460" s="78"/>
      <c r="W460" s="78"/>
      <c r="X460" s="78"/>
      <c r="AE460" s="78"/>
    </row>
    <row r="461" ht="15.75" customHeight="1">
      <c r="C461" s="78"/>
      <c r="W461" s="78"/>
      <c r="X461" s="78"/>
      <c r="AE461" s="78"/>
    </row>
    <row r="462" ht="15.75" customHeight="1">
      <c r="C462" s="78"/>
      <c r="W462" s="78"/>
      <c r="X462" s="78"/>
      <c r="AE462" s="78"/>
    </row>
    <row r="463" ht="15.75" customHeight="1">
      <c r="C463" s="78"/>
      <c r="W463" s="78"/>
      <c r="X463" s="78"/>
      <c r="AE463" s="78"/>
    </row>
    <row r="464" ht="15.75" customHeight="1">
      <c r="C464" s="78"/>
      <c r="W464" s="78"/>
      <c r="X464" s="78"/>
      <c r="AE464" s="78"/>
    </row>
    <row r="465" ht="15.75" customHeight="1">
      <c r="C465" s="78"/>
      <c r="W465" s="78"/>
      <c r="X465" s="78"/>
      <c r="AE465" s="78"/>
    </row>
    <row r="466" ht="15.75" customHeight="1">
      <c r="C466" s="78"/>
      <c r="W466" s="78"/>
      <c r="X466" s="78"/>
      <c r="AE466" s="78"/>
    </row>
    <row r="467" ht="15.75" customHeight="1">
      <c r="C467" s="78"/>
      <c r="W467" s="78"/>
      <c r="X467" s="78"/>
      <c r="AE467" s="78"/>
    </row>
    <row r="468" ht="15.75" customHeight="1">
      <c r="C468" s="78"/>
      <c r="W468" s="78"/>
      <c r="X468" s="78"/>
      <c r="AE468" s="78"/>
    </row>
    <row r="469" ht="15.75" customHeight="1">
      <c r="C469" s="78"/>
      <c r="W469" s="78"/>
      <c r="X469" s="78"/>
      <c r="AE469" s="78"/>
    </row>
    <row r="470" ht="15.75" customHeight="1">
      <c r="C470" s="78"/>
      <c r="W470" s="78"/>
      <c r="X470" s="78"/>
      <c r="AE470" s="78"/>
    </row>
    <row r="471" ht="15.75" customHeight="1">
      <c r="C471" s="78"/>
      <c r="W471" s="78"/>
      <c r="X471" s="78"/>
      <c r="AE471" s="78"/>
    </row>
    <row r="472" ht="15.75" customHeight="1">
      <c r="C472" s="78"/>
      <c r="W472" s="78"/>
      <c r="X472" s="78"/>
      <c r="AE472" s="78"/>
    </row>
    <row r="473" ht="15.75" customHeight="1">
      <c r="C473" s="78"/>
      <c r="W473" s="78"/>
      <c r="X473" s="78"/>
      <c r="AE473" s="78"/>
    </row>
    <row r="474" ht="15.75" customHeight="1">
      <c r="C474" s="78"/>
      <c r="W474" s="78"/>
      <c r="X474" s="78"/>
      <c r="AE474" s="78"/>
    </row>
    <row r="475" ht="15.75" customHeight="1">
      <c r="C475" s="78"/>
      <c r="W475" s="78"/>
      <c r="X475" s="78"/>
      <c r="AE475" s="78"/>
    </row>
    <row r="476" ht="15.75" customHeight="1">
      <c r="C476" s="78"/>
      <c r="W476" s="78"/>
      <c r="X476" s="78"/>
      <c r="AE476" s="78"/>
    </row>
    <row r="477" ht="15.75" customHeight="1">
      <c r="C477" s="78"/>
      <c r="W477" s="78"/>
      <c r="X477" s="78"/>
      <c r="AE477" s="78"/>
    </row>
    <row r="478" ht="15.75" customHeight="1">
      <c r="C478" s="78"/>
      <c r="W478" s="78"/>
      <c r="X478" s="78"/>
      <c r="AE478" s="78"/>
    </row>
    <row r="479" ht="15.75" customHeight="1">
      <c r="C479" s="78"/>
      <c r="W479" s="78"/>
      <c r="X479" s="78"/>
      <c r="AE479" s="78"/>
    </row>
    <row r="480" ht="15.75" customHeight="1">
      <c r="C480" s="78"/>
      <c r="W480" s="78"/>
      <c r="X480" s="78"/>
      <c r="AE480" s="78"/>
    </row>
    <row r="481" ht="15.75" customHeight="1">
      <c r="C481" s="78"/>
      <c r="W481" s="78"/>
      <c r="X481" s="78"/>
      <c r="AE481" s="78"/>
    </row>
    <row r="482" ht="15.75" customHeight="1">
      <c r="C482" s="78"/>
      <c r="W482" s="78"/>
      <c r="X482" s="78"/>
      <c r="AE482" s="78"/>
    </row>
    <row r="483" ht="15.75" customHeight="1">
      <c r="C483" s="78"/>
      <c r="W483" s="78"/>
      <c r="X483" s="78"/>
      <c r="AE483" s="78"/>
    </row>
    <row r="484" ht="15.75" customHeight="1">
      <c r="C484" s="78"/>
      <c r="W484" s="78"/>
      <c r="X484" s="78"/>
      <c r="AE484" s="78"/>
    </row>
    <row r="485" ht="15.75" customHeight="1">
      <c r="C485" s="78"/>
      <c r="W485" s="78"/>
      <c r="X485" s="78"/>
      <c r="AE485" s="78"/>
    </row>
    <row r="486" ht="15.75" customHeight="1">
      <c r="C486" s="78"/>
      <c r="W486" s="78"/>
      <c r="X486" s="78"/>
      <c r="AE486" s="78"/>
    </row>
    <row r="487" ht="15.75" customHeight="1">
      <c r="C487" s="78"/>
      <c r="W487" s="78"/>
      <c r="X487" s="78"/>
      <c r="AE487" s="78"/>
    </row>
    <row r="488" ht="15.75" customHeight="1">
      <c r="C488" s="78"/>
      <c r="W488" s="78"/>
      <c r="X488" s="78"/>
      <c r="AE488" s="78"/>
    </row>
    <row r="489" ht="15.75" customHeight="1">
      <c r="C489" s="78"/>
      <c r="W489" s="78"/>
      <c r="X489" s="78"/>
      <c r="AE489" s="78"/>
    </row>
    <row r="490" ht="15.75" customHeight="1">
      <c r="C490" s="78"/>
      <c r="W490" s="78"/>
      <c r="X490" s="78"/>
      <c r="AE490" s="78"/>
    </row>
    <row r="491" ht="15.75" customHeight="1">
      <c r="C491" s="78"/>
      <c r="W491" s="78"/>
      <c r="X491" s="78"/>
      <c r="AE491" s="78"/>
    </row>
    <row r="492" ht="15.75" customHeight="1">
      <c r="C492" s="78"/>
      <c r="W492" s="78"/>
      <c r="X492" s="78"/>
      <c r="AE492" s="78"/>
    </row>
    <row r="493" ht="15.75" customHeight="1">
      <c r="C493" s="78"/>
      <c r="W493" s="78"/>
      <c r="X493" s="78"/>
      <c r="AE493" s="78"/>
    </row>
    <row r="494" ht="15.75" customHeight="1">
      <c r="C494" s="78"/>
      <c r="W494" s="78"/>
      <c r="X494" s="78"/>
      <c r="AE494" s="78"/>
    </row>
    <row r="495" ht="15.75" customHeight="1">
      <c r="C495" s="78"/>
      <c r="W495" s="78"/>
      <c r="X495" s="78"/>
      <c r="AE495" s="78"/>
    </row>
    <row r="496" ht="15.75" customHeight="1">
      <c r="C496" s="78"/>
      <c r="W496" s="78"/>
      <c r="X496" s="78"/>
      <c r="AE496" s="78"/>
    </row>
    <row r="497" ht="15.75" customHeight="1">
      <c r="C497" s="78"/>
      <c r="W497" s="78"/>
      <c r="X497" s="78"/>
      <c r="AE497" s="78"/>
    </row>
    <row r="498" ht="15.75" customHeight="1">
      <c r="C498" s="78"/>
      <c r="W498" s="78"/>
      <c r="X498" s="78"/>
      <c r="AE498" s="78"/>
    </row>
    <row r="499" ht="15.75" customHeight="1">
      <c r="C499" s="78"/>
      <c r="W499" s="78"/>
      <c r="X499" s="78"/>
      <c r="AE499" s="78"/>
    </row>
    <row r="500" ht="15.75" customHeight="1">
      <c r="C500" s="78"/>
      <c r="W500" s="78"/>
      <c r="X500" s="78"/>
      <c r="AE500" s="78"/>
    </row>
    <row r="501" ht="15.75" customHeight="1">
      <c r="C501" s="78"/>
      <c r="W501" s="78"/>
      <c r="X501" s="78"/>
      <c r="AE501" s="78"/>
    </row>
    <row r="502" ht="15.75" customHeight="1">
      <c r="C502" s="78"/>
      <c r="W502" s="78"/>
      <c r="X502" s="78"/>
      <c r="AE502" s="78"/>
    </row>
    <row r="503" ht="15.75" customHeight="1">
      <c r="C503" s="78"/>
      <c r="W503" s="78"/>
      <c r="X503" s="78"/>
      <c r="AE503" s="78"/>
    </row>
    <row r="504" ht="15.75" customHeight="1">
      <c r="C504" s="78"/>
      <c r="W504" s="78"/>
      <c r="X504" s="78"/>
      <c r="AE504" s="78"/>
    </row>
    <row r="505" ht="15.75" customHeight="1">
      <c r="C505" s="78"/>
      <c r="W505" s="78"/>
      <c r="X505" s="78"/>
      <c r="AE505" s="78"/>
    </row>
    <row r="506" ht="15.75" customHeight="1">
      <c r="C506" s="78"/>
      <c r="W506" s="78"/>
      <c r="X506" s="78"/>
      <c r="AE506" s="78"/>
    </row>
    <row r="507" ht="15.75" customHeight="1">
      <c r="C507" s="78"/>
      <c r="W507" s="78"/>
      <c r="X507" s="78"/>
      <c r="AE507" s="78"/>
    </row>
    <row r="508" ht="15.75" customHeight="1">
      <c r="C508" s="78"/>
      <c r="W508" s="78"/>
      <c r="X508" s="78"/>
      <c r="AE508" s="78"/>
    </row>
    <row r="509" ht="15.75" customHeight="1">
      <c r="C509" s="78"/>
      <c r="W509" s="78"/>
      <c r="X509" s="78"/>
      <c r="AE509" s="78"/>
    </row>
    <row r="510" ht="15.75" customHeight="1">
      <c r="C510" s="78"/>
      <c r="W510" s="78"/>
      <c r="X510" s="78"/>
      <c r="AE510" s="78"/>
    </row>
    <row r="511" ht="15.75" customHeight="1">
      <c r="C511" s="78"/>
      <c r="W511" s="78"/>
      <c r="X511" s="78"/>
      <c r="AE511" s="78"/>
    </row>
    <row r="512" ht="15.75" customHeight="1">
      <c r="C512" s="78"/>
      <c r="W512" s="78"/>
      <c r="X512" s="78"/>
      <c r="AE512" s="78"/>
    </row>
    <row r="513" ht="15.75" customHeight="1">
      <c r="C513" s="78"/>
      <c r="W513" s="78"/>
      <c r="X513" s="78"/>
      <c r="AE513" s="78"/>
    </row>
    <row r="514" ht="15.75" customHeight="1">
      <c r="C514" s="78"/>
      <c r="W514" s="78"/>
      <c r="X514" s="78"/>
      <c r="AE514" s="78"/>
    </row>
    <row r="515" ht="15.75" customHeight="1">
      <c r="C515" s="78"/>
      <c r="W515" s="78"/>
      <c r="X515" s="78"/>
      <c r="AE515" s="78"/>
    </row>
    <row r="516" ht="15.75" customHeight="1">
      <c r="C516" s="78"/>
      <c r="W516" s="78"/>
      <c r="X516" s="78"/>
      <c r="AE516" s="78"/>
    </row>
    <row r="517" ht="15.75" customHeight="1">
      <c r="C517" s="78"/>
      <c r="W517" s="78"/>
      <c r="X517" s="78"/>
      <c r="AE517" s="78"/>
    </row>
    <row r="518" ht="15.75" customHeight="1">
      <c r="C518" s="78"/>
      <c r="W518" s="78"/>
      <c r="X518" s="78"/>
      <c r="AE518" s="78"/>
    </row>
    <row r="519" ht="15.75" customHeight="1">
      <c r="C519" s="78"/>
      <c r="W519" s="78"/>
      <c r="X519" s="78"/>
      <c r="AE519" s="78"/>
    </row>
    <row r="520" ht="15.75" customHeight="1">
      <c r="C520" s="78"/>
      <c r="W520" s="78"/>
      <c r="X520" s="78"/>
      <c r="AE520" s="78"/>
    </row>
    <row r="521" ht="15.75" customHeight="1">
      <c r="C521" s="78"/>
      <c r="W521" s="78"/>
      <c r="X521" s="78"/>
      <c r="AE521" s="78"/>
    </row>
    <row r="522" ht="15.75" customHeight="1">
      <c r="C522" s="78"/>
      <c r="W522" s="78"/>
      <c r="X522" s="78"/>
      <c r="AE522" s="78"/>
    </row>
    <row r="523" ht="15.75" customHeight="1">
      <c r="C523" s="78"/>
      <c r="W523" s="78"/>
      <c r="X523" s="78"/>
      <c r="AE523" s="78"/>
    </row>
    <row r="524" ht="15.75" customHeight="1">
      <c r="C524" s="78"/>
      <c r="W524" s="78"/>
      <c r="X524" s="78"/>
      <c r="AE524" s="78"/>
    </row>
    <row r="525" ht="15.75" customHeight="1">
      <c r="C525" s="78"/>
      <c r="W525" s="78"/>
      <c r="X525" s="78"/>
      <c r="AE525" s="78"/>
    </row>
    <row r="526" ht="15.75" customHeight="1">
      <c r="C526" s="78"/>
      <c r="W526" s="78"/>
      <c r="X526" s="78"/>
      <c r="AE526" s="78"/>
    </row>
    <row r="527" ht="15.75" customHeight="1">
      <c r="C527" s="78"/>
      <c r="W527" s="78"/>
      <c r="X527" s="78"/>
      <c r="AE527" s="78"/>
    </row>
    <row r="528" ht="15.75" customHeight="1">
      <c r="C528" s="78"/>
      <c r="W528" s="78"/>
      <c r="X528" s="78"/>
      <c r="AE528" s="78"/>
    </row>
    <row r="529" ht="15.75" customHeight="1">
      <c r="C529" s="78"/>
      <c r="W529" s="78"/>
      <c r="X529" s="78"/>
      <c r="AE529" s="78"/>
    </row>
    <row r="530" ht="15.75" customHeight="1">
      <c r="C530" s="78"/>
      <c r="W530" s="78"/>
      <c r="X530" s="78"/>
      <c r="AE530" s="78"/>
    </row>
    <row r="531" ht="15.75" customHeight="1">
      <c r="C531" s="78"/>
      <c r="W531" s="78"/>
      <c r="X531" s="78"/>
      <c r="AE531" s="78"/>
    </row>
    <row r="532" ht="15.75" customHeight="1">
      <c r="C532" s="78"/>
      <c r="W532" s="78"/>
      <c r="X532" s="78"/>
      <c r="AE532" s="78"/>
    </row>
    <row r="533" ht="15.75" customHeight="1">
      <c r="C533" s="78"/>
      <c r="W533" s="78"/>
      <c r="X533" s="78"/>
      <c r="AE533" s="78"/>
    </row>
    <row r="534" ht="15.75" customHeight="1">
      <c r="C534" s="78"/>
      <c r="W534" s="78"/>
      <c r="X534" s="78"/>
      <c r="AE534" s="78"/>
    </row>
    <row r="535" ht="15.75" customHeight="1">
      <c r="C535" s="78"/>
      <c r="W535" s="78"/>
      <c r="X535" s="78"/>
      <c r="AE535" s="78"/>
    </row>
    <row r="536" ht="15.75" customHeight="1">
      <c r="C536" s="78"/>
      <c r="W536" s="78"/>
      <c r="X536" s="78"/>
      <c r="AE536" s="78"/>
    </row>
    <row r="537" ht="15.75" customHeight="1">
      <c r="C537" s="78"/>
      <c r="W537" s="78"/>
      <c r="X537" s="78"/>
      <c r="AE537" s="78"/>
    </row>
    <row r="538" ht="15.75" customHeight="1">
      <c r="C538" s="78"/>
      <c r="W538" s="78"/>
      <c r="X538" s="78"/>
      <c r="AE538" s="78"/>
    </row>
    <row r="539" ht="15.75" customHeight="1">
      <c r="C539" s="78"/>
      <c r="W539" s="78"/>
      <c r="X539" s="78"/>
      <c r="AE539" s="78"/>
    </row>
    <row r="540" ht="15.75" customHeight="1">
      <c r="C540" s="78"/>
      <c r="W540" s="78"/>
      <c r="X540" s="78"/>
      <c r="AE540" s="78"/>
    </row>
    <row r="541" ht="15.75" customHeight="1">
      <c r="C541" s="78"/>
      <c r="W541" s="78"/>
      <c r="X541" s="78"/>
      <c r="AE541" s="78"/>
    </row>
    <row r="542" ht="15.75" customHeight="1">
      <c r="C542" s="78"/>
      <c r="W542" s="78"/>
      <c r="X542" s="78"/>
      <c r="AE542" s="78"/>
    </row>
    <row r="543" ht="15.75" customHeight="1">
      <c r="C543" s="78"/>
      <c r="W543" s="78"/>
      <c r="X543" s="78"/>
      <c r="AE543" s="78"/>
    </row>
    <row r="544" ht="15.75" customHeight="1">
      <c r="C544" s="78"/>
      <c r="W544" s="78"/>
      <c r="X544" s="78"/>
      <c r="AE544" s="78"/>
    </row>
    <row r="545" ht="15.75" customHeight="1">
      <c r="C545" s="78"/>
      <c r="W545" s="78"/>
      <c r="X545" s="78"/>
      <c r="AE545" s="78"/>
    </row>
    <row r="546" ht="15.75" customHeight="1">
      <c r="C546" s="78"/>
      <c r="W546" s="78"/>
      <c r="X546" s="78"/>
      <c r="AE546" s="78"/>
    </row>
    <row r="547" ht="15.75" customHeight="1">
      <c r="C547" s="78"/>
      <c r="W547" s="78"/>
      <c r="X547" s="78"/>
      <c r="AE547" s="78"/>
    </row>
    <row r="548" ht="15.75" customHeight="1">
      <c r="C548" s="78"/>
      <c r="W548" s="78"/>
      <c r="X548" s="78"/>
      <c r="AE548" s="78"/>
    </row>
    <row r="549" ht="15.75" customHeight="1">
      <c r="C549" s="78"/>
      <c r="W549" s="78"/>
      <c r="X549" s="78"/>
      <c r="AE549" s="78"/>
    </row>
    <row r="550" ht="15.75" customHeight="1">
      <c r="C550" s="78"/>
      <c r="W550" s="78"/>
      <c r="X550" s="78"/>
      <c r="AE550" s="78"/>
    </row>
    <row r="551" ht="15.75" customHeight="1">
      <c r="C551" s="78"/>
      <c r="W551" s="78"/>
      <c r="X551" s="78"/>
      <c r="AE551" s="78"/>
    </row>
    <row r="552" ht="15.75" customHeight="1">
      <c r="C552" s="78"/>
      <c r="W552" s="78"/>
      <c r="X552" s="78"/>
      <c r="AE552" s="78"/>
    </row>
    <row r="553" ht="15.75" customHeight="1">
      <c r="C553" s="78"/>
      <c r="W553" s="78"/>
      <c r="X553" s="78"/>
      <c r="AE553" s="78"/>
    </row>
    <row r="554" ht="15.75" customHeight="1">
      <c r="C554" s="78"/>
      <c r="W554" s="78"/>
      <c r="X554" s="78"/>
      <c r="AE554" s="78"/>
    </row>
    <row r="555" ht="15.75" customHeight="1">
      <c r="C555" s="78"/>
      <c r="W555" s="78"/>
      <c r="X555" s="78"/>
      <c r="AE555" s="78"/>
    </row>
    <row r="556" ht="15.75" customHeight="1">
      <c r="C556" s="78"/>
      <c r="W556" s="78"/>
      <c r="X556" s="78"/>
      <c r="AE556" s="78"/>
    </row>
    <row r="557" ht="15.75" customHeight="1">
      <c r="C557" s="78"/>
      <c r="W557" s="78"/>
      <c r="X557" s="78"/>
      <c r="AE557" s="78"/>
    </row>
    <row r="558" ht="15.75" customHeight="1">
      <c r="C558" s="78"/>
      <c r="W558" s="78"/>
      <c r="X558" s="78"/>
      <c r="AE558" s="78"/>
    </row>
    <row r="559" ht="15.75" customHeight="1">
      <c r="C559" s="78"/>
      <c r="W559" s="78"/>
      <c r="X559" s="78"/>
      <c r="AE559" s="78"/>
    </row>
    <row r="560" ht="15.75" customHeight="1">
      <c r="C560" s="78"/>
      <c r="W560" s="78"/>
      <c r="X560" s="78"/>
      <c r="AE560" s="78"/>
    </row>
    <row r="561" ht="15.75" customHeight="1">
      <c r="C561" s="78"/>
      <c r="W561" s="78"/>
      <c r="X561" s="78"/>
      <c r="AE561" s="78"/>
    </row>
    <row r="562" ht="15.75" customHeight="1">
      <c r="C562" s="78"/>
      <c r="W562" s="78"/>
      <c r="X562" s="78"/>
      <c r="AE562" s="78"/>
    </row>
    <row r="563" ht="15.75" customHeight="1">
      <c r="C563" s="78"/>
      <c r="W563" s="78"/>
      <c r="X563" s="78"/>
      <c r="AE563" s="78"/>
    </row>
    <row r="564" ht="15.75" customHeight="1">
      <c r="C564" s="78"/>
      <c r="W564" s="78"/>
      <c r="X564" s="78"/>
      <c r="AE564" s="78"/>
    </row>
    <row r="565" ht="15.75" customHeight="1">
      <c r="C565" s="78"/>
      <c r="W565" s="78"/>
      <c r="X565" s="78"/>
      <c r="AE565" s="78"/>
    </row>
    <row r="566" ht="15.75" customHeight="1">
      <c r="C566" s="78"/>
      <c r="W566" s="78"/>
      <c r="X566" s="78"/>
      <c r="AE566" s="78"/>
    </row>
    <row r="567" ht="15.75" customHeight="1">
      <c r="C567" s="78"/>
      <c r="W567" s="78"/>
      <c r="X567" s="78"/>
      <c r="AE567" s="78"/>
    </row>
    <row r="568" ht="15.75" customHeight="1">
      <c r="C568" s="78"/>
      <c r="W568" s="78"/>
      <c r="X568" s="78"/>
      <c r="AE568" s="78"/>
    </row>
    <row r="569" ht="15.75" customHeight="1">
      <c r="C569" s="78"/>
      <c r="W569" s="78"/>
      <c r="X569" s="78"/>
      <c r="AE569" s="78"/>
    </row>
    <row r="570" ht="15.75" customHeight="1">
      <c r="C570" s="78"/>
      <c r="W570" s="78"/>
      <c r="X570" s="78"/>
      <c r="AE570" s="78"/>
    </row>
    <row r="571" ht="15.75" customHeight="1">
      <c r="C571" s="78"/>
      <c r="W571" s="78"/>
      <c r="X571" s="78"/>
      <c r="AE571" s="78"/>
    </row>
    <row r="572" ht="15.75" customHeight="1">
      <c r="C572" s="78"/>
      <c r="W572" s="78"/>
      <c r="X572" s="78"/>
      <c r="AE572" s="78"/>
    </row>
    <row r="573" ht="15.75" customHeight="1">
      <c r="C573" s="78"/>
      <c r="W573" s="78"/>
      <c r="X573" s="78"/>
      <c r="AE573" s="78"/>
    </row>
    <row r="574" ht="15.75" customHeight="1">
      <c r="C574" s="78"/>
      <c r="W574" s="78"/>
      <c r="X574" s="78"/>
      <c r="AE574" s="78"/>
    </row>
    <row r="575" ht="15.75" customHeight="1">
      <c r="C575" s="78"/>
      <c r="W575" s="78"/>
      <c r="X575" s="78"/>
      <c r="AE575" s="78"/>
    </row>
    <row r="576" ht="15.75" customHeight="1">
      <c r="C576" s="78"/>
      <c r="W576" s="78"/>
      <c r="X576" s="78"/>
      <c r="AE576" s="78"/>
    </row>
    <row r="577" ht="15.75" customHeight="1">
      <c r="C577" s="78"/>
      <c r="W577" s="78"/>
      <c r="X577" s="78"/>
      <c r="AE577" s="78"/>
    </row>
    <row r="578" ht="15.75" customHeight="1">
      <c r="C578" s="78"/>
      <c r="W578" s="78"/>
      <c r="X578" s="78"/>
      <c r="AE578" s="78"/>
    </row>
    <row r="579" ht="15.75" customHeight="1">
      <c r="C579" s="78"/>
      <c r="W579" s="78"/>
      <c r="X579" s="78"/>
      <c r="AE579" s="78"/>
    </row>
    <row r="580" ht="15.75" customHeight="1">
      <c r="C580" s="78"/>
      <c r="W580" s="78"/>
      <c r="X580" s="78"/>
      <c r="AE580" s="78"/>
    </row>
    <row r="581" ht="15.75" customHeight="1">
      <c r="C581" s="78"/>
      <c r="W581" s="78"/>
      <c r="X581" s="78"/>
      <c r="AE581" s="78"/>
    </row>
    <row r="582" ht="15.75" customHeight="1">
      <c r="C582" s="78"/>
      <c r="W582" s="78"/>
      <c r="X582" s="78"/>
      <c r="AE582" s="78"/>
    </row>
    <row r="583" ht="15.75" customHeight="1">
      <c r="C583" s="78"/>
      <c r="W583" s="78"/>
      <c r="X583" s="78"/>
      <c r="AE583" s="78"/>
    </row>
    <row r="584" ht="15.75" customHeight="1">
      <c r="C584" s="78"/>
      <c r="W584" s="78"/>
      <c r="X584" s="78"/>
      <c r="AE584" s="78"/>
    </row>
    <row r="585" ht="15.75" customHeight="1">
      <c r="C585" s="78"/>
      <c r="W585" s="78"/>
      <c r="X585" s="78"/>
      <c r="AE585" s="78"/>
    </row>
    <row r="586" ht="15.75" customHeight="1">
      <c r="C586" s="78"/>
      <c r="W586" s="78"/>
      <c r="X586" s="78"/>
      <c r="AE586" s="78"/>
    </row>
    <row r="587" ht="15.75" customHeight="1">
      <c r="C587" s="78"/>
      <c r="W587" s="78"/>
      <c r="X587" s="78"/>
      <c r="AE587" s="78"/>
    </row>
    <row r="588" ht="15.75" customHeight="1">
      <c r="C588" s="78"/>
      <c r="W588" s="78"/>
      <c r="X588" s="78"/>
      <c r="AE588" s="78"/>
    </row>
    <row r="589" ht="15.75" customHeight="1">
      <c r="C589" s="78"/>
      <c r="W589" s="78"/>
      <c r="X589" s="78"/>
      <c r="AE589" s="78"/>
    </row>
    <row r="590" ht="15.75" customHeight="1">
      <c r="C590" s="78"/>
      <c r="W590" s="78"/>
      <c r="X590" s="78"/>
      <c r="AE590" s="78"/>
    </row>
    <row r="591" ht="15.75" customHeight="1">
      <c r="C591" s="78"/>
      <c r="W591" s="78"/>
      <c r="X591" s="78"/>
      <c r="AE591" s="78"/>
    </row>
    <row r="592" ht="15.75" customHeight="1">
      <c r="C592" s="78"/>
      <c r="W592" s="78"/>
      <c r="X592" s="78"/>
      <c r="AE592" s="78"/>
    </row>
    <row r="593" ht="15.75" customHeight="1">
      <c r="C593" s="78"/>
      <c r="W593" s="78"/>
      <c r="X593" s="78"/>
      <c r="AE593" s="78"/>
    </row>
    <row r="594" ht="15.75" customHeight="1">
      <c r="C594" s="78"/>
      <c r="W594" s="78"/>
      <c r="X594" s="78"/>
      <c r="AE594" s="78"/>
    </row>
    <row r="595" ht="15.75" customHeight="1">
      <c r="C595" s="78"/>
      <c r="W595" s="78"/>
      <c r="X595" s="78"/>
      <c r="AE595" s="78"/>
    </row>
    <row r="596" ht="15.75" customHeight="1">
      <c r="C596" s="78"/>
      <c r="W596" s="78"/>
      <c r="X596" s="78"/>
      <c r="AE596" s="78"/>
    </row>
    <row r="597" ht="15.75" customHeight="1">
      <c r="C597" s="78"/>
      <c r="W597" s="78"/>
      <c r="X597" s="78"/>
      <c r="AE597" s="78"/>
    </row>
    <row r="598" ht="15.75" customHeight="1">
      <c r="C598" s="78"/>
      <c r="W598" s="78"/>
      <c r="X598" s="78"/>
      <c r="AE598" s="78"/>
    </row>
    <row r="599" ht="15.75" customHeight="1">
      <c r="C599" s="78"/>
      <c r="W599" s="78"/>
      <c r="X599" s="78"/>
      <c r="AE599" s="78"/>
    </row>
    <row r="600" ht="15.75" customHeight="1">
      <c r="C600" s="78"/>
      <c r="W600" s="78"/>
      <c r="X600" s="78"/>
      <c r="AE600" s="78"/>
    </row>
    <row r="601" ht="15.75" customHeight="1">
      <c r="C601" s="78"/>
      <c r="W601" s="78"/>
      <c r="X601" s="78"/>
      <c r="AE601" s="78"/>
    </row>
    <row r="602" ht="15.75" customHeight="1">
      <c r="C602" s="78"/>
      <c r="W602" s="78"/>
      <c r="X602" s="78"/>
      <c r="AE602" s="78"/>
    </row>
    <row r="603" ht="15.75" customHeight="1">
      <c r="C603" s="78"/>
      <c r="W603" s="78"/>
      <c r="X603" s="78"/>
      <c r="AE603" s="78"/>
    </row>
    <row r="604" ht="15.75" customHeight="1">
      <c r="C604" s="78"/>
      <c r="W604" s="78"/>
      <c r="X604" s="78"/>
      <c r="AE604" s="78"/>
    </row>
    <row r="605" ht="15.75" customHeight="1">
      <c r="C605" s="78"/>
      <c r="W605" s="78"/>
      <c r="X605" s="78"/>
      <c r="AE605" s="78"/>
    </row>
    <row r="606" ht="15.75" customHeight="1">
      <c r="C606" s="78"/>
      <c r="W606" s="78"/>
      <c r="X606" s="78"/>
      <c r="AE606" s="78"/>
    </row>
    <row r="607" ht="15.75" customHeight="1">
      <c r="C607" s="78"/>
      <c r="W607" s="78"/>
      <c r="X607" s="78"/>
      <c r="AE607" s="78"/>
    </row>
    <row r="608" ht="15.75" customHeight="1">
      <c r="C608" s="78"/>
      <c r="W608" s="78"/>
      <c r="X608" s="78"/>
      <c r="AE608" s="78"/>
    </row>
    <row r="609" ht="15.75" customHeight="1">
      <c r="C609" s="78"/>
      <c r="W609" s="78"/>
      <c r="X609" s="78"/>
      <c r="AE609" s="78"/>
    </row>
    <row r="610" ht="15.75" customHeight="1">
      <c r="C610" s="78"/>
      <c r="W610" s="78"/>
      <c r="X610" s="78"/>
      <c r="AE610" s="78"/>
    </row>
    <row r="611" ht="15.75" customHeight="1">
      <c r="C611" s="78"/>
      <c r="W611" s="78"/>
      <c r="X611" s="78"/>
      <c r="AE611" s="78"/>
    </row>
    <row r="612" ht="15.75" customHeight="1">
      <c r="C612" s="78"/>
      <c r="W612" s="78"/>
      <c r="X612" s="78"/>
      <c r="AE612" s="78"/>
    </row>
    <row r="613" ht="15.75" customHeight="1">
      <c r="C613" s="78"/>
      <c r="W613" s="78"/>
      <c r="X613" s="78"/>
      <c r="AE613" s="78"/>
    </row>
    <row r="614" ht="15.75" customHeight="1">
      <c r="C614" s="78"/>
      <c r="W614" s="78"/>
      <c r="X614" s="78"/>
      <c r="AE614" s="78"/>
    </row>
    <row r="615" ht="15.75" customHeight="1">
      <c r="C615" s="78"/>
      <c r="W615" s="78"/>
      <c r="X615" s="78"/>
      <c r="AE615" s="78"/>
    </row>
    <row r="616" ht="15.75" customHeight="1">
      <c r="C616" s="78"/>
      <c r="W616" s="78"/>
      <c r="X616" s="78"/>
      <c r="AE616" s="78"/>
    </row>
    <row r="617" ht="15.75" customHeight="1">
      <c r="C617" s="78"/>
      <c r="W617" s="78"/>
      <c r="X617" s="78"/>
      <c r="AE617" s="78"/>
    </row>
    <row r="618" ht="15.75" customHeight="1">
      <c r="C618" s="78"/>
      <c r="W618" s="78"/>
      <c r="X618" s="78"/>
      <c r="AE618" s="78"/>
    </row>
    <row r="619" ht="15.75" customHeight="1">
      <c r="C619" s="78"/>
      <c r="W619" s="78"/>
      <c r="X619" s="78"/>
      <c r="AE619" s="78"/>
    </row>
    <row r="620" ht="15.75" customHeight="1">
      <c r="C620" s="78"/>
      <c r="W620" s="78"/>
      <c r="X620" s="78"/>
      <c r="AE620" s="78"/>
    </row>
    <row r="621" ht="15.75" customHeight="1">
      <c r="C621" s="78"/>
      <c r="W621" s="78"/>
      <c r="X621" s="78"/>
      <c r="AE621" s="78"/>
    </row>
    <row r="622" ht="15.75" customHeight="1">
      <c r="C622" s="78"/>
      <c r="W622" s="78"/>
      <c r="X622" s="78"/>
      <c r="AE622" s="78"/>
    </row>
    <row r="623" ht="15.75" customHeight="1">
      <c r="C623" s="78"/>
      <c r="W623" s="78"/>
      <c r="X623" s="78"/>
      <c r="AE623" s="78"/>
    </row>
    <row r="624" ht="15.75" customHeight="1">
      <c r="C624" s="78"/>
      <c r="W624" s="78"/>
      <c r="X624" s="78"/>
      <c r="AE624" s="78"/>
    </row>
    <row r="625" ht="15.75" customHeight="1">
      <c r="C625" s="78"/>
      <c r="W625" s="78"/>
      <c r="X625" s="78"/>
      <c r="AE625" s="78"/>
    </row>
    <row r="626" ht="15.75" customHeight="1">
      <c r="C626" s="78"/>
      <c r="W626" s="78"/>
      <c r="X626" s="78"/>
      <c r="AE626" s="78"/>
    </row>
    <row r="627" ht="15.75" customHeight="1">
      <c r="C627" s="78"/>
      <c r="W627" s="78"/>
      <c r="X627" s="78"/>
      <c r="AE627" s="78"/>
    </row>
    <row r="628" ht="15.75" customHeight="1">
      <c r="C628" s="78"/>
      <c r="W628" s="78"/>
      <c r="X628" s="78"/>
      <c r="AE628" s="78"/>
    </row>
    <row r="629" ht="15.75" customHeight="1">
      <c r="C629" s="78"/>
      <c r="W629" s="78"/>
      <c r="X629" s="78"/>
      <c r="AE629" s="78"/>
    </row>
    <row r="630" ht="15.75" customHeight="1">
      <c r="C630" s="78"/>
      <c r="W630" s="78"/>
      <c r="X630" s="78"/>
      <c r="AE630" s="78"/>
    </row>
    <row r="631" ht="15.75" customHeight="1">
      <c r="C631" s="78"/>
      <c r="W631" s="78"/>
      <c r="X631" s="78"/>
      <c r="AE631" s="78"/>
    </row>
    <row r="632" ht="15.75" customHeight="1">
      <c r="C632" s="78"/>
      <c r="W632" s="78"/>
      <c r="X632" s="78"/>
      <c r="AE632" s="78"/>
    </row>
    <row r="633" ht="15.75" customHeight="1">
      <c r="C633" s="78"/>
      <c r="W633" s="78"/>
      <c r="X633" s="78"/>
      <c r="AE633" s="78"/>
    </row>
    <row r="634" ht="15.75" customHeight="1">
      <c r="C634" s="78"/>
      <c r="W634" s="78"/>
      <c r="X634" s="78"/>
      <c r="AE634" s="78"/>
    </row>
    <row r="635" ht="15.75" customHeight="1">
      <c r="C635" s="78"/>
      <c r="W635" s="78"/>
      <c r="X635" s="78"/>
      <c r="AE635" s="78"/>
    </row>
    <row r="636" ht="15.75" customHeight="1">
      <c r="C636" s="78"/>
      <c r="W636" s="78"/>
      <c r="X636" s="78"/>
      <c r="AE636" s="78"/>
    </row>
    <row r="637" ht="15.75" customHeight="1">
      <c r="C637" s="78"/>
      <c r="W637" s="78"/>
      <c r="X637" s="78"/>
      <c r="AE637" s="78"/>
    </row>
    <row r="638" ht="15.75" customHeight="1">
      <c r="C638" s="78"/>
      <c r="W638" s="78"/>
      <c r="X638" s="78"/>
      <c r="AE638" s="78"/>
    </row>
    <row r="639" ht="15.75" customHeight="1">
      <c r="C639" s="78"/>
      <c r="W639" s="78"/>
      <c r="X639" s="78"/>
      <c r="AE639" s="78"/>
    </row>
    <row r="640" ht="15.75" customHeight="1">
      <c r="C640" s="78"/>
      <c r="W640" s="78"/>
      <c r="X640" s="78"/>
      <c r="AE640" s="78"/>
    </row>
    <row r="641" ht="15.75" customHeight="1">
      <c r="C641" s="78"/>
      <c r="W641" s="78"/>
      <c r="X641" s="78"/>
      <c r="AE641" s="78"/>
    </row>
    <row r="642" ht="15.75" customHeight="1">
      <c r="C642" s="78"/>
      <c r="W642" s="78"/>
      <c r="X642" s="78"/>
      <c r="AE642" s="78"/>
    </row>
    <row r="643" ht="15.75" customHeight="1">
      <c r="C643" s="78"/>
      <c r="W643" s="78"/>
      <c r="X643" s="78"/>
      <c r="AE643" s="78"/>
    </row>
    <row r="644" ht="15.75" customHeight="1">
      <c r="C644" s="78"/>
      <c r="W644" s="78"/>
      <c r="X644" s="78"/>
      <c r="AE644" s="78"/>
    </row>
    <row r="645" ht="15.75" customHeight="1">
      <c r="C645" s="78"/>
      <c r="W645" s="78"/>
      <c r="X645" s="78"/>
      <c r="AE645" s="78"/>
    </row>
    <row r="646" ht="15.75" customHeight="1">
      <c r="C646" s="78"/>
      <c r="W646" s="78"/>
      <c r="X646" s="78"/>
      <c r="AE646" s="78"/>
    </row>
    <row r="647" ht="15.75" customHeight="1">
      <c r="C647" s="78"/>
      <c r="W647" s="78"/>
      <c r="X647" s="78"/>
      <c r="AE647" s="78"/>
    </row>
    <row r="648" ht="15.75" customHeight="1">
      <c r="C648" s="78"/>
      <c r="W648" s="78"/>
      <c r="X648" s="78"/>
      <c r="AE648" s="78"/>
    </row>
    <row r="649" ht="15.75" customHeight="1">
      <c r="C649" s="78"/>
      <c r="W649" s="78"/>
      <c r="X649" s="78"/>
      <c r="AE649" s="78"/>
    </row>
    <row r="650" ht="15.75" customHeight="1">
      <c r="C650" s="78"/>
      <c r="W650" s="78"/>
      <c r="X650" s="78"/>
      <c r="AE650" s="78"/>
    </row>
    <row r="651" ht="15.75" customHeight="1">
      <c r="C651" s="78"/>
      <c r="W651" s="78"/>
      <c r="X651" s="78"/>
      <c r="AE651" s="78"/>
    </row>
    <row r="652" ht="15.75" customHeight="1">
      <c r="C652" s="78"/>
      <c r="W652" s="78"/>
      <c r="X652" s="78"/>
      <c r="AE652" s="78"/>
    </row>
    <row r="653" ht="15.75" customHeight="1">
      <c r="C653" s="78"/>
      <c r="W653" s="78"/>
      <c r="X653" s="78"/>
      <c r="AE653" s="78"/>
    </row>
    <row r="654" ht="15.75" customHeight="1">
      <c r="C654" s="78"/>
      <c r="W654" s="78"/>
      <c r="X654" s="78"/>
      <c r="AE654" s="78"/>
    </row>
    <row r="655" ht="15.75" customHeight="1">
      <c r="C655" s="78"/>
      <c r="W655" s="78"/>
      <c r="X655" s="78"/>
      <c r="AE655" s="78"/>
    </row>
    <row r="656" ht="15.75" customHeight="1">
      <c r="C656" s="78"/>
      <c r="W656" s="78"/>
      <c r="X656" s="78"/>
      <c r="AE656" s="78"/>
    </row>
    <row r="657" ht="15.75" customHeight="1">
      <c r="C657" s="78"/>
      <c r="W657" s="78"/>
      <c r="X657" s="78"/>
      <c r="AE657" s="78"/>
    </row>
    <row r="658" ht="15.75" customHeight="1">
      <c r="C658" s="78"/>
      <c r="W658" s="78"/>
      <c r="X658" s="78"/>
      <c r="AE658" s="78"/>
    </row>
    <row r="659" ht="15.75" customHeight="1">
      <c r="C659" s="78"/>
      <c r="W659" s="78"/>
      <c r="X659" s="78"/>
      <c r="AE659" s="78"/>
    </row>
    <row r="660" ht="15.75" customHeight="1">
      <c r="C660" s="78"/>
      <c r="W660" s="78"/>
      <c r="X660" s="78"/>
      <c r="AE660" s="78"/>
    </row>
    <row r="661" ht="15.75" customHeight="1">
      <c r="C661" s="78"/>
      <c r="W661" s="78"/>
      <c r="X661" s="78"/>
      <c r="AE661" s="78"/>
    </row>
    <row r="662" ht="15.75" customHeight="1">
      <c r="C662" s="78"/>
      <c r="W662" s="78"/>
      <c r="X662" s="78"/>
      <c r="AE662" s="78"/>
    </row>
    <row r="663" ht="15.75" customHeight="1">
      <c r="C663" s="78"/>
      <c r="W663" s="78"/>
      <c r="X663" s="78"/>
      <c r="AE663" s="78"/>
    </row>
    <row r="664" ht="15.75" customHeight="1">
      <c r="C664" s="78"/>
      <c r="W664" s="78"/>
      <c r="X664" s="78"/>
      <c r="AE664" s="78"/>
    </row>
    <row r="665" ht="15.75" customHeight="1">
      <c r="C665" s="78"/>
      <c r="W665" s="78"/>
      <c r="X665" s="78"/>
      <c r="AE665" s="78"/>
    </row>
    <row r="666" ht="15.75" customHeight="1">
      <c r="C666" s="78"/>
      <c r="W666" s="78"/>
      <c r="X666" s="78"/>
      <c r="AE666" s="78"/>
    </row>
    <row r="667" ht="15.75" customHeight="1">
      <c r="C667" s="78"/>
      <c r="W667" s="78"/>
      <c r="X667" s="78"/>
      <c r="AE667" s="78"/>
    </row>
    <row r="668" ht="15.75" customHeight="1">
      <c r="C668" s="78"/>
      <c r="W668" s="78"/>
      <c r="X668" s="78"/>
      <c r="AE668" s="78"/>
    </row>
    <row r="669" ht="15.75" customHeight="1">
      <c r="C669" s="78"/>
      <c r="W669" s="78"/>
      <c r="X669" s="78"/>
      <c r="AE669" s="78"/>
    </row>
    <row r="670" ht="15.75" customHeight="1">
      <c r="C670" s="78"/>
      <c r="W670" s="78"/>
      <c r="X670" s="78"/>
      <c r="AE670" s="78"/>
    </row>
    <row r="671" ht="15.75" customHeight="1">
      <c r="C671" s="78"/>
      <c r="W671" s="78"/>
      <c r="X671" s="78"/>
      <c r="AE671" s="78"/>
    </row>
    <row r="672" ht="15.75" customHeight="1">
      <c r="C672" s="78"/>
      <c r="W672" s="78"/>
      <c r="X672" s="78"/>
      <c r="AE672" s="78"/>
    </row>
    <row r="673" ht="15.75" customHeight="1">
      <c r="C673" s="78"/>
      <c r="W673" s="78"/>
      <c r="X673" s="78"/>
      <c r="AE673" s="78"/>
    </row>
    <row r="674" ht="15.75" customHeight="1">
      <c r="C674" s="78"/>
      <c r="W674" s="78"/>
      <c r="X674" s="78"/>
      <c r="AE674" s="78"/>
    </row>
    <row r="675" ht="15.75" customHeight="1">
      <c r="C675" s="78"/>
      <c r="W675" s="78"/>
      <c r="X675" s="78"/>
      <c r="AE675" s="78"/>
    </row>
    <row r="676" ht="15.75" customHeight="1">
      <c r="C676" s="78"/>
      <c r="W676" s="78"/>
      <c r="X676" s="78"/>
      <c r="AE676" s="78"/>
    </row>
    <row r="677" ht="15.75" customHeight="1">
      <c r="C677" s="78"/>
      <c r="W677" s="78"/>
      <c r="X677" s="78"/>
      <c r="AE677" s="78"/>
    </row>
    <row r="678" ht="15.75" customHeight="1">
      <c r="C678" s="78"/>
      <c r="W678" s="78"/>
      <c r="X678" s="78"/>
      <c r="AE678" s="78"/>
    </row>
    <row r="679" ht="15.75" customHeight="1">
      <c r="C679" s="78"/>
      <c r="W679" s="78"/>
      <c r="X679" s="78"/>
      <c r="AE679" s="78"/>
    </row>
    <row r="680" ht="15.75" customHeight="1">
      <c r="C680" s="78"/>
      <c r="W680" s="78"/>
      <c r="X680" s="78"/>
      <c r="AE680" s="78"/>
    </row>
    <row r="681" ht="15.75" customHeight="1">
      <c r="C681" s="78"/>
      <c r="W681" s="78"/>
      <c r="X681" s="78"/>
      <c r="AE681" s="78"/>
    </row>
    <row r="682" ht="15.75" customHeight="1">
      <c r="C682" s="78"/>
      <c r="W682" s="78"/>
      <c r="X682" s="78"/>
      <c r="AE682" s="78"/>
    </row>
    <row r="683" ht="15.75" customHeight="1">
      <c r="C683" s="78"/>
      <c r="W683" s="78"/>
      <c r="X683" s="78"/>
      <c r="AE683" s="78"/>
    </row>
    <row r="684" ht="15.75" customHeight="1">
      <c r="C684" s="78"/>
      <c r="W684" s="78"/>
      <c r="X684" s="78"/>
      <c r="AE684" s="78"/>
    </row>
    <row r="685" ht="15.75" customHeight="1">
      <c r="C685" s="78"/>
      <c r="W685" s="78"/>
      <c r="X685" s="78"/>
      <c r="AE685" s="78"/>
    </row>
    <row r="686" ht="15.75" customHeight="1">
      <c r="C686" s="78"/>
      <c r="W686" s="78"/>
      <c r="X686" s="78"/>
      <c r="AE686" s="78"/>
    </row>
    <row r="687" ht="15.75" customHeight="1">
      <c r="C687" s="78"/>
      <c r="W687" s="78"/>
      <c r="X687" s="78"/>
      <c r="AE687" s="78"/>
    </row>
    <row r="688" ht="15.75" customHeight="1">
      <c r="C688" s="78"/>
      <c r="W688" s="78"/>
      <c r="X688" s="78"/>
      <c r="AE688" s="78"/>
    </row>
    <row r="689" ht="15.75" customHeight="1">
      <c r="C689" s="78"/>
      <c r="W689" s="78"/>
      <c r="X689" s="78"/>
      <c r="AE689" s="78"/>
    </row>
    <row r="690" ht="15.75" customHeight="1">
      <c r="C690" s="78"/>
      <c r="W690" s="78"/>
      <c r="X690" s="78"/>
      <c r="AE690" s="78"/>
    </row>
    <row r="691" ht="15.75" customHeight="1">
      <c r="C691" s="78"/>
      <c r="W691" s="78"/>
      <c r="X691" s="78"/>
      <c r="AE691" s="78"/>
    </row>
    <row r="692" ht="15.75" customHeight="1">
      <c r="C692" s="78"/>
      <c r="W692" s="78"/>
      <c r="X692" s="78"/>
      <c r="AE692" s="78"/>
    </row>
    <row r="693" ht="15.75" customHeight="1">
      <c r="C693" s="78"/>
      <c r="W693" s="78"/>
      <c r="X693" s="78"/>
      <c r="AE693" s="78"/>
    </row>
    <row r="694" ht="15.75" customHeight="1">
      <c r="C694" s="78"/>
      <c r="W694" s="78"/>
      <c r="X694" s="78"/>
      <c r="AE694" s="78"/>
    </row>
    <row r="695" ht="15.75" customHeight="1">
      <c r="C695" s="78"/>
      <c r="W695" s="78"/>
      <c r="X695" s="78"/>
      <c r="AE695" s="78"/>
    </row>
    <row r="696" ht="15.75" customHeight="1">
      <c r="C696" s="78"/>
      <c r="W696" s="78"/>
      <c r="X696" s="78"/>
      <c r="AE696" s="78"/>
    </row>
    <row r="697" ht="15.75" customHeight="1">
      <c r="C697" s="78"/>
      <c r="W697" s="78"/>
      <c r="X697" s="78"/>
      <c r="AE697" s="78"/>
    </row>
    <row r="698" ht="15.75" customHeight="1">
      <c r="C698" s="78"/>
      <c r="W698" s="78"/>
      <c r="X698" s="78"/>
      <c r="AE698" s="78"/>
    </row>
    <row r="699" ht="15.75" customHeight="1">
      <c r="C699" s="78"/>
      <c r="W699" s="78"/>
      <c r="X699" s="78"/>
      <c r="AE699" s="78"/>
    </row>
    <row r="700" ht="15.75" customHeight="1">
      <c r="C700" s="78"/>
      <c r="W700" s="78"/>
      <c r="X700" s="78"/>
      <c r="AE700" s="78"/>
    </row>
    <row r="701" ht="15.75" customHeight="1">
      <c r="C701" s="78"/>
      <c r="W701" s="78"/>
      <c r="X701" s="78"/>
      <c r="AE701" s="78"/>
    </row>
    <row r="702" ht="15.75" customHeight="1">
      <c r="C702" s="78"/>
      <c r="W702" s="78"/>
      <c r="X702" s="78"/>
      <c r="AE702" s="78"/>
    </row>
    <row r="703" ht="15.75" customHeight="1">
      <c r="C703" s="78"/>
      <c r="W703" s="78"/>
      <c r="X703" s="78"/>
      <c r="AE703" s="78"/>
    </row>
    <row r="704" ht="15.75" customHeight="1">
      <c r="C704" s="78"/>
      <c r="W704" s="78"/>
      <c r="X704" s="78"/>
      <c r="AE704" s="78"/>
    </row>
    <row r="705" ht="15.75" customHeight="1">
      <c r="C705" s="78"/>
      <c r="W705" s="78"/>
      <c r="X705" s="78"/>
      <c r="AE705" s="78"/>
    </row>
    <row r="706" ht="15.75" customHeight="1">
      <c r="C706" s="78"/>
      <c r="W706" s="78"/>
      <c r="X706" s="78"/>
      <c r="AE706" s="78"/>
    </row>
    <row r="707" ht="15.75" customHeight="1">
      <c r="C707" s="78"/>
      <c r="W707" s="78"/>
      <c r="X707" s="78"/>
      <c r="AE707" s="78"/>
    </row>
    <row r="708" ht="15.75" customHeight="1">
      <c r="C708" s="78"/>
      <c r="W708" s="78"/>
      <c r="X708" s="78"/>
      <c r="AE708" s="78"/>
    </row>
    <row r="709" ht="15.75" customHeight="1">
      <c r="C709" s="78"/>
      <c r="W709" s="78"/>
      <c r="X709" s="78"/>
      <c r="AE709" s="78"/>
    </row>
    <row r="710" ht="15.75" customHeight="1">
      <c r="C710" s="78"/>
      <c r="W710" s="78"/>
      <c r="X710" s="78"/>
      <c r="AE710" s="78"/>
    </row>
    <row r="711" ht="15.75" customHeight="1">
      <c r="C711" s="78"/>
      <c r="W711" s="78"/>
      <c r="X711" s="78"/>
      <c r="AE711" s="78"/>
    </row>
    <row r="712" ht="15.75" customHeight="1">
      <c r="C712" s="78"/>
      <c r="W712" s="78"/>
      <c r="X712" s="78"/>
      <c r="AE712" s="78"/>
    </row>
    <row r="713" ht="15.75" customHeight="1">
      <c r="C713" s="78"/>
      <c r="W713" s="78"/>
      <c r="X713" s="78"/>
      <c r="AE713" s="78"/>
    </row>
    <row r="714" ht="15.75" customHeight="1">
      <c r="C714" s="78"/>
      <c r="W714" s="78"/>
      <c r="X714" s="78"/>
      <c r="AE714" s="78"/>
    </row>
    <row r="715" ht="15.75" customHeight="1">
      <c r="C715" s="78"/>
      <c r="W715" s="78"/>
      <c r="X715" s="78"/>
      <c r="AE715" s="78"/>
    </row>
    <row r="716" ht="15.75" customHeight="1">
      <c r="C716" s="78"/>
      <c r="W716" s="78"/>
      <c r="X716" s="78"/>
      <c r="AE716" s="78"/>
    </row>
    <row r="717" ht="15.75" customHeight="1">
      <c r="C717" s="78"/>
      <c r="W717" s="78"/>
      <c r="X717" s="78"/>
      <c r="AE717" s="78"/>
    </row>
    <row r="718" ht="15.75" customHeight="1">
      <c r="C718" s="78"/>
      <c r="W718" s="78"/>
      <c r="X718" s="78"/>
      <c r="AE718" s="78"/>
    </row>
    <row r="719" ht="15.75" customHeight="1">
      <c r="C719" s="78"/>
      <c r="W719" s="78"/>
      <c r="X719" s="78"/>
      <c r="AE719" s="78"/>
    </row>
    <row r="720" ht="15.75" customHeight="1">
      <c r="C720" s="78"/>
      <c r="W720" s="78"/>
      <c r="X720" s="78"/>
      <c r="AE720" s="78"/>
    </row>
    <row r="721" ht="15.75" customHeight="1">
      <c r="C721" s="78"/>
      <c r="W721" s="78"/>
      <c r="X721" s="78"/>
      <c r="AE721" s="78"/>
    </row>
    <row r="722" ht="15.75" customHeight="1">
      <c r="C722" s="78"/>
      <c r="W722" s="78"/>
      <c r="X722" s="78"/>
      <c r="AE722" s="78"/>
    </row>
    <row r="723" ht="15.75" customHeight="1">
      <c r="C723" s="78"/>
      <c r="W723" s="78"/>
      <c r="X723" s="78"/>
      <c r="AE723" s="78"/>
    </row>
    <row r="724" ht="15.75" customHeight="1">
      <c r="C724" s="78"/>
      <c r="W724" s="78"/>
      <c r="X724" s="78"/>
      <c r="AE724" s="78"/>
    </row>
    <row r="725" ht="15.75" customHeight="1">
      <c r="C725" s="78"/>
      <c r="W725" s="78"/>
      <c r="X725" s="78"/>
      <c r="AE725" s="78"/>
    </row>
    <row r="726" ht="15.75" customHeight="1">
      <c r="C726" s="78"/>
      <c r="W726" s="78"/>
      <c r="X726" s="78"/>
      <c r="AE726" s="78"/>
    </row>
    <row r="727" ht="15.75" customHeight="1">
      <c r="C727" s="78"/>
      <c r="W727" s="78"/>
      <c r="X727" s="78"/>
      <c r="AE727" s="78"/>
    </row>
    <row r="728" ht="15.75" customHeight="1">
      <c r="C728" s="78"/>
      <c r="W728" s="78"/>
      <c r="X728" s="78"/>
      <c r="AE728" s="78"/>
    </row>
    <row r="729" ht="15.75" customHeight="1">
      <c r="C729" s="78"/>
      <c r="W729" s="78"/>
      <c r="X729" s="78"/>
      <c r="AE729" s="78"/>
    </row>
    <row r="730" ht="15.75" customHeight="1">
      <c r="C730" s="78"/>
      <c r="W730" s="78"/>
      <c r="X730" s="78"/>
      <c r="AE730" s="78"/>
    </row>
    <row r="731" ht="15.75" customHeight="1">
      <c r="C731" s="78"/>
      <c r="W731" s="78"/>
      <c r="X731" s="78"/>
      <c r="AE731" s="78"/>
    </row>
    <row r="732" ht="15.75" customHeight="1">
      <c r="C732" s="78"/>
      <c r="W732" s="78"/>
      <c r="X732" s="78"/>
      <c r="AE732" s="78"/>
    </row>
    <row r="733" ht="15.75" customHeight="1">
      <c r="C733" s="78"/>
      <c r="W733" s="78"/>
      <c r="X733" s="78"/>
      <c r="AE733" s="78"/>
    </row>
    <row r="734" ht="15.75" customHeight="1">
      <c r="C734" s="78"/>
      <c r="W734" s="78"/>
      <c r="X734" s="78"/>
      <c r="AE734" s="78"/>
    </row>
    <row r="735" ht="15.75" customHeight="1">
      <c r="C735" s="78"/>
      <c r="W735" s="78"/>
      <c r="X735" s="78"/>
      <c r="AE735" s="78"/>
    </row>
    <row r="736" ht="15.75" customHeight="1">
      <c r="C736" s="78"/>
      <c r="W736" s="78"/>
      <c r="X736" s="78"/>
      <c r="AE736" s="78"/>
    </row>
    <row r="737" ht="15.75" customHeight="1">
      <c r="C737" s="78"/>
      <c r="W737" s="78"/>
      <c r="X737" s="78"/>
      <c r="AE737" s="78"/>
    </row>
    <row r="738" ht="15.75" customHeight="1">
      <c r="C738" s="78"/>
      <c r="W738" s="78"/>
      <c r="X738" s="78"/>
      <c r="AE738" s="78"/>
    </row>
    <row r="739" ht="15.75" customHeight="1">
      <c r="C739" s="78"/>
      <c r="W739" s="78"/>
      <c r="X739" s="78"/>
      <c r="AE739" s="78"/>
    </row>
    <row r="740" ht="15.75" customHeight="1">
      <c r="C740" s="78"/>
      <c r="W740" s="78"/>
      <c r="X740" s="78"/>
      <c r="AE740" s="78"/>
    </row>
    <row r="741" ht="15.75" customHeight="1">
      <c r="C741" s="78"/>
      <c r="W741" s="78"/>
      <c r="X741" s="78"/>
      <c r="AE741" s="78"/>
    </row>
    <row r="742" ht="15.75" customHeight="1">
      <c r="C742" s="78"/>
      <c r="W742" s="78"/>
      <c r="X742" s="78"/>
      <c r="AE742" s="78"/>
    </row>
    <row r="743" ht="15.75" customHeight="1">
      <c r="C743" s="78"/>
      <c r="W743" s="78"/>
      <c r="X743" s="78"/>
      <c r="AE743" s="78"/>
    </row>
    <row r="744" ht="15.75" customHeight="1">
      <c r="C744" s="78"/>
      <c r="W744" s="78"/>
      <c r="X744" s="78"/>
      <c r="AE744" s="78"/>
    </row>
    <row r="745" ht="15.75" customHeight="1">
      <c r="C745" s="78"/>
      <c r="W745" s="78"/>
      <c r="X745" s="78"/>
      <c r="AE745" s="78"/>
    </row>
    <row r="746" ht="15.75" customHeight="1">
      <c r="C746" s="78"/>
      <c r="W746" s="78"/>
      <c r="X746" s="78"/>
      <c r="AE746" s="78"/>
    </row>
    <row r="747" ht="15.75" customHeight="1">
      <c r="C747" s="78"/>
      <c r="W747" s="78"/>
      <c r="X747" s="78"/>
      <c r="AE747" s="78"/>
    </row>
    <row r="748" ht="15.75" customHeight="1">
      <c r="C748" s="78"/>
      <c r="W748" s="78"/>
      <c r="X748" s="78"/>
      <c r="AE748" s="78"/>
    </row>
    <row r="749" ht="15.75" customHeight="1">
      <c r="C749" s="78"/>
      <c r="W749" s="78"/>
      <c r="X749" s="78"/>
      <c r="AE749" s="78"/>
    </row>
    <row r="750" ht="15.75" customHeight="1">
      <c r="C750" s="78"/>
      <c r="W750" s="78"/>
      <c r="X750" s="78"/>
      <c r="AE750" s="78"/>
    </row>
    <row r="751" ht="15.75" customHeight="1">
      <c r="C751" s="78"/>
      <c r="W751" s="78"/>
      <c r="X751" s="78"/>
      <c r="AE751" s="78"/>
    </row>
    <row r="752" ht="15.75" customHeight="1">
      <c r="C752" s="78"/>
      <c r="W752" s="78"/>
      <c r="X752" s="78"/>
      <c r="AE752" s="78"/>
    </row>
    <row r="753" ht="15.75" customHeight="1">
      <c r="C753" s="78"/>
      <c r="W753" s="78"/>
      <c r="X753" s="78"/>
      <c r="AE753" s="78"/>
    </row>
    <row r="754" ht="15.75" customHeight="1">
      <c r="C754" s="78"/>
      <c r="W754" s="78"/>
      <c r="X754" s="78"/>
      <c r="AE754" s="78"/>
    </row>
    <row r="755" ht="15.75" customHeight="1">
      <c r="C755" s="78"/>
      <c r="W755" s="78"/>
      <c r="X755" s="78"/>
      <c r="AE755" s="78"/>
    </row>
    <row r="756" ht="15.75" customHeight="1">
      <c r="C756" s="78"/>
      <c r="W756" s="78"/>
      <c r="X756" s="78"/>
      <c r="AE756" s="78"/>
    </row>
    <row r="757" ht="15.75" customHeight="1">
      <c r="C757" s="78"/>
      <c r="W757" s="78"/>
      <c r="X757" s="78"/>
      <c r="AE757" s="78"/>
    </row>
    <row r="758" ht="15.75" customHeight="1">
      <c r="C758" s="78"/>
      <c r="W758" s="78"/>
      <c r="X758" s="78"/>
      <c r="AE758" s="78"/>
    </row>
    <row r="759" ht="15.75" customHeight="1">
      <c r="C759" s="78"/>
      <c r="W759" s="78"/>
      <c r="X759" s="78"/>
      <c r="AE759" s="78"/>
    </row>
    <row r="760" ht="15.75" customHeight="1">
      <c r="C760" s="78"/>
      <c r="W760" s="78"/>
      <c r="X760" s="78"/>
      <c r="AE760" s="78"/>
    </row>
    <row r="761" ht="15.75" customHeight="1">
      <c r="C761" s="78"/>
      <c r="W761" s="78"/>
      <c r="X761" s="78"/>
      <c r="AE761" s="78"/>
    </row>
    <row r="762" ht="15.75" customHeight="1">
      <c r="C762" s="78"/>
      <c r="W762" s="78"/>
      <c r="X762" s="78"/>
      <c r="AE762" s="78"/>
    </row>
    <row r="763" ht="15.75" customHeight="1">
      <c r="C763" s="78"/>
      <c r="W763" s="78"/>
      <c r="X763" s="78"/>
      <c r="AE763" s="78"/>
    </row>
    <row r="764" ht="15.75" customHeight="1">
      <c r="C764" s="78"/>
      <c r="W764" s="78"/>
      <c r="X764" s="78"/>
      <c r="AE764" s="78"/>
    </row>
    <row r="765" ht="15.75" customHeight="1">
      <c r="C765" s="78"/>
      <c r="W765" s="78"/>
      <c r="X765" s="78"/>
      <c r="AE765" s="78"/>
    </row>
    <row r="766" ht="15.75" customHeight="1">
      <c r="C766" s="78"/>
      <c r="W766" s="78"/>
      <c r="X766" s="78"/>
      <c r="AE766" s="78"/>
    </row>
    <row r="767" ht="15.75" customHeight="1">
      <c r="C767" s="78"/>
      <c r="W767" s="78"/>
      <c r="X767" s="78"/>
      <c r="AE767" s="78"/>
    </row>
    <row r="768" ht="15.75" customHeight="1">
      <c r="C768" s="78"/>
      <c r="W768" s="78"/>
      <c r="X768" s="78"/>
      <c r="AE768" s="78"/>
    </row>
    <row r="769" ht="15.75" customHeight="1">
      <c r="C769" s="78"/>
      <c r="W769" s="78"/>
      <c r="X769" s="78"/>
      <c r="AE769" s="78"/>
    </row>
    <row r="770" ht="15.75" customHeight="1">
      <c r="C770" s="78"/>
      <c r="W770" s="78"/>
      <c r="X770" s="78"/>
      <c r="AE770" s="78"/>
    </row>
    <row r="771" ht="15.75" customHeight="1">
      <c r="C771" s="78"/>
      <c r="W771" s="78"/>
      <c r="X771" s="78"/>
      <c r="AE771" s="78"/>
    </row>
    <row r="772" ht="15.75" customHeight="1">
      <c r="C772" s="78"/>
      <c r="W772" s="78"/>
      <c r="X772" s="78"/>
      <c r="AE772" s="78"/>
    </row>
    <row r="773" ht="15.75" customHeight="1">
      <c r="C773" s="78"/>
      <c r="W773" s="78"/>
      <c r="X773" s="78"/>
      <c r="AE773" s="78"/>
    </row>
    <row r="774" ht="15.75" customHeight="1">
      <c r="C774" s="78"/>
      <c r="W774" s="78"/>
      <c r="X774" s="78"/>
      <c r="AE774" s="78"/>
    </row>
    <row r="775" ht="15.75" customHeight="1">
      <c r="C775" s="78"/>
      <c r="W775" s="78"/>
      <c r="X775" s="78"/>
      <c r="AE775" s="78"/>
    </row>
    <row r="776" ht="15.75" customHeight="1">
      <c r="C776" s="78"/>
      <c r="W776" s="78"/>
      <c r="X776" s="78"/>
      <c r="AE776" s="78"/>
    </row>
    <row r="777" ht="15.75" customHeight="1">
      <c r="C777" s="78"/>
      <c r="W777" s="78"/>
      <c r="X777" s="78"/>
      <c r="AE777" s="78"/>
    </row>
    <row r="778" ht="15.75" customHeight="1">
      <c r="C778" s="78"/>
      <c r="W778" s="78"/>
      <c r="X778" s="78"/>
      <c r="AE778" s="78"/>
    </row>
    <row r="779" ht="15.75" customHeight="1">
      <c r="C779" s="78"/>
      <c r="W779" s="78"/>
      <c r="X779" s="78"/>
      <c r="AE779" s="78"/>
    </row>
    <row r="780" ht="15.75" customHeight="1">
      <c r="C780" s="78"/>
      <c r="W780" s="78"/>
      <c r="X780" s="78"/>
      <c r="AE780" s="78"/>
    </row>
    <row r="781" ht="15.75" customHeight="1">
      <c r="C781" s="78"/>
      <c r="W781" s="78"/>
      <c r="X781" s="78"/>
      <c r="AE781" s="78"/>
    </row>
    <row r="782" ht="15.75" customHeight="1">
      <c r="C782" s="78"/>
      <c r="W782" s="78"/>
      <c r="X782" s="78"/>
      <c r="AE782" s="78"/>
    </row>
    <row r="783" ht="15.75" customHeight="1">
      <c r="C783" s="78"/>
      <c r="W783" s="78"/>
      <c r="X783" s="78"/>
      <c r="AE783" s="78"/>
    </row>
    <row r="784" ht="15.75" customHeight="1">
      <c r="C784" s="78"/>
      <c r="W784" s="78"/>
      <c r="X784" s="78"/>
      <c r="AE784" s="78"/>
    </row>
    <row r="785" ht="15.75" customHeight="1">
      <c r="C785" s="78"/>
      <c r="W785" s="78"/>
      <c r="X785" s="78"/>
      <c r="AE785" s="78"/>
    </row>
    <row r="786" ht="15.75" customHeight="1">
      <c r="C786" s="78"/>
      <c r="W786" s="78"/>
      <c r="X786" s="78"/>
      <c r="AE786" s="78"/>
    </row>
    <row r="787" ht="15.75" customHeight="1">
      <c r="C787" s="78"/>
      <c r="W787" s="78"/>
      <c r="X787" s="78"/>
      <c r="AE787" s="78"/>
    </row>
    <row r="788" ht="15.75" customHeight="1">
      <c r="C788" s="78"/>
      <c r="W788" s="78"/>
      <c r="X788" s="78"/>
      <c r="AE788" s="78"/>
    </row>
    <row r="789" ht="15.75" customHeight="1">
      <c r="C789" s="78"/>
      <c r="W789" s="78"/>
      <c r="X789" s="78"/>
      <c r="AE789" s="78"/>
    </row>
    <row r="790" ht="15.75" customHeight="1">
      <c r="C790" s="78"/>
      <c r="W790" s="78"/>
      <c r="X790" s="78"/>
      <c r="AE790" s="78"/>
    </row>
    <row r="791" ht="15.75" customHeight="1">
      <c r="C791" s="78"/>
      <c r="W791" s="78"/>
      <c r="X791" s="78"/>
      <c r="AE791" s="78"/>
    </row>
    <row r="792" ht="15.75" customHeight="1">
      <c r="C792" s="78"/>
      <c r="W792" s="78"/>
      <c r="X792" s="78"/>
      <c r="AE792" s="78"/>
    </row>
    <row r="793" ht="15.75" customHeight="1">
      <c r="C793" s="78"/>
      <c r="W793" s="78"/>
      <c r="X793" s="78"/>
      <c r="AE793" s="78"/>
    </row>
    <row r="794" ht="15.75" customHeight="1">
      <c r="C794" s="78"/>
      <c r="W794" s="78"/>
      <c r="X794" s="78"/>
      <c r="AE794" s="78"/>
    </row>
    <row r="795" ht="15.75" customHeight="1">
      <c r="C795" s="78"/>
      <c r="W795" s="78"/>
      <c r="X795" s="78"/>
      <c r="AE795" s="78"/>
    </row>
    <row r="796" ht="15.75" customHeight="1">
      <c r="C796" s="78"/>
      <c r="W796" s="78"/>
      <c r="X796" s="78"/>
      <c r="AE796" s="78"/>
    </row>
    <row r="797" ht="15.75" customHeight="1">
      <c r="C797" s="78"/>
      <c r="W797" s="78"/>
      <c r="X797" s="78"/>
      <c r="AE797" s="78"/>
    </row>
    <row r="798" ht="15.75" customHeight="1">
      <c r="C798" s="78"/>
      <c r="W798" s="78"/>
      <c r="X798" s="78"/>
      <c r="AE798" s="78"/>
    </row>
    <row r="799" ht="15.75" customHeight="1">
      <c r="C799" s="78"/>
      <c r="W799" s="78"/>
      <c r="X799" s="78"/>
      <c r="AE799" s="78"/>
    </row>
    <row r="800" ht="15.75" customHeight="1">
      <c r="C800" s="78"/>
      <c r="W800" s="78"/>
      <c r="X800" s="78"/>
      <c r="AE800" s="78"/>
    </row>
    <row r="801" ht="15.75" customHeight="1">
      <c r="C801" s="78"/>
      <c r="W801" s="78"/>
      <c r="X801" s="78"/>
      <c r="AE801" s="78"/>
    </row>
    <row r="802" ht="15.75" customHeight="1">
      <c r="C802" s="78"/>
      <c r="W802" s="78"/>
      <c r="X802" s="78"/>
      <c r="AE802" s="78"/>
    </row>
    <row r="803" ht="15.75" customHeight="1">
      <c r="C803" s="78"/>
      <c r="W803" s="78"/>
      <c r="X803" s="78"/>
      <c r="AE803" s="78"/>
    </row>
    <row r="804" ht="15.75" customHeight="1">
      <c r="C804" s="78"/>
      <c r="W804" s="78"/>
      <c r="X804" s="78"/>
      <c r="AE804" s="78"/>
    </row>
    <row r="805" ht="15.75" customHeight="1">
      <c r="C805" s="78"/>
      <c r="W805" s="78"/>
      <c r="X805" s="78"/>
      <c r="AE805" s="78"/>
    </row>
    <row r="806" ht="15.75" customHeight="1">
      <c r="C806" s="78"/>
      <c r="W806" s="78"/>
      <c r="X806" s="78"/>
      <c r="AE806" s="78"/>
    </row>
    <row r="807" ht="15.75" customHeight="1">
      <c r="C807" s="78"/>
      <c r="W807" s="78"/>
      <c r="X807" s="78"/>
      <c r="AE807" s="78"/>
    </row>
    <row r="808" ht="15.75" customHeight="1">
      <c r="C808" s="78"/>
      <c r="W808" s="78"/>
      <c r="X808" s="78"/>
      <c r="AE808" s="78"/>
    </row>
    <row r="809" ht="15.75" customHeight="1">
      <c r="C809" s="78"/>
      <c r="W809" s="78"/>
      <c r="X809" s="78"/>
      <c r="AE809" s="78"/>
    </row>
    <row r="810" ht="15.75" customHeight="1">
      <c r="C810" s="78"/>
      <c r="W810" s="78"/>
      <c r="X810" s="78"/>
      <c r="AE810" s="78"/>
    </row>
    <row r="811" ht="15.75" customHeight="1">
      <c r="C811" s="78"/>
      <c r="W811" s="78"/>
      <c r="X811" s="78"/>
      <c r="AE811" s="78"/>
    </row>
    <row r="812" ht="15.75" customHeight="1">
      <c r="C812" s="78"/>
      <c r="W812" s="78"/>
      <c r="X812" s="78"/>
      <c r="AE812" s="78"/>
    </row>
    <row r="813" ht="15.75" customHeight="1">
      <c r="C813" s="78"/>
      <c r="W813" s="78"/>
      <c r="X813" s="78"/>
      <c r="AE813" s="78"/>
    </row>
    <row r="814" ht="15.75" customHeight="1">
      <c r="C814" s="78"/>
      <c r="W814" s="78"/>
      <c r="X814" s="78"/>
      <c r="AE814" s="78"/>
    </row>
    <row r="815" ht="15.75" customHeight="1">
      <c r="C815" s="78"/>
      <c r="W815" s="78"/>
      <c r="X815" s="78"/>
      <c r="AE815" s="78"/>
    </row>
    <row r="816" ht="15.75" customHeight="1">
      <c r="C816" s="78"/>
      <c r="W816" s="78"/>
      <c r="X816" s="78"/>
      <c r="AE816" s="78"/>
    </row>
    <row r="817" ht="15.75" customHeight="1">
      <c r="C817" s="78"/>
      <c r="W817" s="78"/>
      <c r="X817" s="78"/>
      <c r="AE817" s="78"/>
    </row>
    <row r="818" ht="15.75" customHeight="1">
      <c r="C818" s="78"/>
      <c r="W818" s="78"/>
      <c r="X818" s="78"/>
      <c r="AE818" s="78"/>
    </row>
    <row r="819" ht="15.75" customHeight="1">
      <c r="C819" s="78"/>
      <c r="W819" s="78"/>
      <c r="X819" s="78"/>
      <c r="AE819" s="78"/>
    </row>
    <row r="820" ht="15.75" customHeight="1">
      <c r="C820" s="78"/>
      <c r="W820" s="78"/>
      <c r="X820" s="78"/>
      <c r="AE820" s="78"/>
    </row>
    <row r="821" ht="15.75" customHeight="1">
      <c r="C821" s="78"/>
      <c r="W821" s="78"/>
      <c r="X821" s="78"/>
      <c r="AE821" s="78"/>
    </row>
    <row r="822" ht="15.75" customHeight="1">
      <c r="C822" s="78"/>
      <c r="W822" s="78"/>
      <c r="X822" s="78"/>
      <c r="AE822" s="78"/>
    </row>
    <row r="823" ht="15.75" customHeight="1">
      <c r="C823" s="78"/>
      <c r="W823" s="78"/>
      <c r="X823" s="78"/>
      <c r="AE823" s="78"/>
    </row>
    <row r="824" ht="15.75" customHeight="1">
      <c r="C824" s="78"/>
      <c r="W824" s="78"/>
      <c r="X824" s="78"/>
      <c r="AE824" s="78"/>
    </row>
    <row r="825" ht="15.75" customHeight="1">
      <c r="C825" s="78"/>
      <c r="W825" s="78"/>
      <c r="X825" s="78"/>
      <c r="AE825" s="78"/>
    </row>
    <row r="826" ht="15.75" customHeight="1">
      <c r="C826" s="78"/>
      <c r="W826" s="78"/>
      <c r="X826" s="78"/>
      <c r="AE826" s="78"/>
    </row>
    <row r="827" ht="15.75" customHeight="1">
      <c r="C827" s="78"/>
      <c r="W827" s="78"/>
      <c r="X827" s="78"/>
      <c r="AE827" s="78"/>
    </row>
    <row r="828" ht="15.75" customHeight="1">
      <c r="C828" s="78"/>
      <c r="W828" s="78"/>
      <c r="X828" s="78"/>
      <c r="AE828" s="78"/>
    </row>
    <row r="829" ht="15.75" customHeight="1">
      <c r="C829" s="78"/>
      <c r="W829" s="78"/>
      <c r="X829" s="78"/>
      <c r="AE829" s="78"/>
    </row>
    <row r="830" ht="15.75" customHeight="1">
      <c r="C830" s="78"/>
      <c r="W830" s="78"/>
      <c r="X830" s="78"/>
      <c r="AE830" s="78"/>
    </row>
    <row r="831" ht="15.75" customHeight="1">
      <c r="C831" s="78"/>
      <c r="W831" s="78"/>
      <c r="X831" s="78"/>
      <c r="AE831" s="78"/>
    </row>
    <row r="832" ht="15.75" customHeight="1">
      <c r="C832" s="78"/>
      <c r="W832" s="78"/>
      <c r="X832" s="78"/>
      <c r="AE832" s="78"/>
    </row>
    <row r="833" ht="15.75" customHeight="1">
      <c r="C833" s="78"/>
      <c r="W833" s="78"/>
      <c r="X833" s="78"/>
      <c r="AE833" s="78"/>
    </row>
    <row r="834" ht="15.75" customHeight="1">
      <c r="C834" s="78"/>
      <c r="W834" s="78"/>
      <c r="X834" s="78"/>
      <c r="AE834" s="78"/>
    </row>
    <row r="835" ht="15.75" customHeight="1">
      <c r="C835" s="78"/>
      <c r="W835" s="78"/>
      <c r="X835" s="78"/>
      <c r="AE835" s="78"/>
    </row>
    <row r="836" ht="15.75" customHeight="1">
      <c r="C836" s="78"/>
      <c r="W836" s="78"/>
      <c r="X836" s="78"/>
      <c r="AE836" s="78"/>
    </row>
    <row r="837" ht="15.75" customHeight="1">
      <c r="C837" s="78"/>
      <c r="W837" s="78"/>
      <c r="X837" s="78"/>
      <c r="AE837" s="78"/>
    </row>
    <row r="838" ht="15.75" customHeight="1">
      <c r="C838" s="78"/>
      <c r="W838" s="78"/>
      <c r="X838" s="78"/>
      <c r="AE838" s="78"/>
    </row>
    <row r="839" ht="15.75" customHeight="1">
      <c r="C839" s="78"/>
      <c r="W839" s="78"/>
      <c r="X839" s="78"/>
      <c r="AE839" s="78"/>
    </row>
    <row r="840" ht="15.75" customHeight="1">
      <c r="C840" s="78"/>
      <c r="W840" s="78"/>
      <c r="X840" s="78"/>
      <c r="AE840" s="78"/>
    </row>
    <row r="841" ht="15.75" customHeight="1">
      <c r="C841" s="78"/>
      <c r="W841" s="78"/>
      <c r="X841" s="78"/>
      <c r="AE841" s="78"/>
    </row>
    <row r="842" ht="15.75" customHeight="1">
      <c r="C842" s="78"/>
      <c r="W842" s="78"/>
      <c r="X842" s="78"/>
      <c r="AE842" s="78"/>
    </row>
    <row r="843" ht="15.75" customHeight="1">
      <c r="C843" s="78"/>
      <c r="W843" s="78"/>
      <c r="X843" s="78"/>
      <c r="AE843" s="78"/>
    </row>
    <row r="844" ht="15.75" customHeight="1">
      <c r="C844" s="78"/>
      <c r="W844" s="78"/>
      <c r="X844" s="78"/>
      <c r="AE844" s="78"/>
    </row>
    <row r="845" ht="15.75" customHeight="1">
      <c r="C845" s="78"/>
      <c r="W845" s="78"/>
      <c r="X845" s="78"/>
      <c r="AE845" s="78"/>
    </row>
    <row r="846" ht="15.75" customHeight="1">
      <c r="C846" s="78"/>
      <c r="W846" s="78"/>
      <c r="X846" s="78"/>
      <c r="AE846" s="78"/>
    </row>
    <row r="847" ht="15.75" customHeight="1">
      <c r="C847" s="78"/>
      <c r="W847" s="78"/>
      <c r="X847" s="78"/>
      <c r="AE847" s="78"/>
    </row>
    <row r="848" ht="15.75" customHeight="1">
      <c r="C848" s="78"/>
      <c r="W848" s="78"/>
      <c r="X848" s="78"/>
      <c r="AE848" s="78"/>
    </row>
    <row r="849" ht="15.75" customHeight="1">
      <c r="C849" s="78"/>
      <c r="W849" s="78"/>
      <c r="X849" s="78"/>
      <c r="AE849" s="78"/>
    </row>
    <row r="850" ht="15.75" customHeight="1">
      <c r="C850" s="78"/>
      <c r="W850" s="78"/>
      <c r="X850" s="78"/>
      <c r="AE850" s="78"/>
    </row>
    <row r="851" ht="15.75" customHeight="1">
      <c r="C851" s="78"/>
      <c r="W851" s="78"/>
      <c r="X851" s="78"/>
      <c r="AE851" s="78"/>
    </row>
    <row r="852" ht="15.75" customHeight="1">
      <c r="C852" s="78"/>
      <c r="W852" s="78"/>
      <c r="X852" s="78"/>
      <c r="AE852" s="78"/>
    </row>
    <row r="853" ht="15.75" customHeight="1">
      <c r="C853" s="78"/>
      <c r="W853" s="78"/>
      <c r="X853" s="78"/>
      <c r="AE853" s="78"/>
    </row>
    <row r="854" ht="15.75" customHeight="1">
      <c r="C854" s="78"/>
      <c r="W854" s="78"/>
      <c r="X854" s="78"/>
      <c r="AE854" s="78"/>
    </row>
    <row r="855" ht="15.75" customHeight="1">
      <c r="C855" s="78"/>
      <c r="W855" s="78"/>
      <c r="X855" s="78"/>
      <c r="AE855" s="78"/>
    </row>
    <row r="856" ht="15.75" customHeight="1">
      <c r="C856" s="78"/>
      <c r="W856" s="78"/>
      <c r="X856" s="78"/>
      <c r="AE856" s="78"/>
    </row>
    <row r="857" ht="15.75" customHeight="1">
      <c r="C857" s="78"/>
      <c r="W857" s="78"/>
      <c r="X857" s="78"/>
      <c r="AE857" s="78"/>
    </row>
    <row r="858" ht="15.75" customHeight="1">
      <c r="C858" s="78"/>
      <c r="W858" s="78"/>
      <c r="X858" s="78"/>
      <c r="AE858" s="78"/>
    </row>
    <row r="859" ht="15.75" customHeight="1">
      <c r="C859" s="78"/>
      <c r="W859" s="78"/>
      <c r="X859" s="78"/>
      <c r="AE859" s="78"/>
    </row>
    <row r="860" ht="15.75" customHeight="1">
      <c r="C860" s="78"/>
      <c r="W860" s="78"/>
      <c r="X860" s="78"/>
      <c r="AE860" s="78"/>
    </row>
    <row r="861" ht="15.75" customHeight="1">
      <c r="C861" s="78"/>
      <c r="W861" s="78"/>
      <c r="X861" s="78"/>
      <c r="AE861" s="78"/>
    </row>
    <row r="862" ht="15.75" customHeight="1">
      <c r="C862" s="78"/>
      <c r="W862" s="78"/>
      <c r="X862" s="78"/>
      <c r="AE862" s="78"/>
    </row>
    <row r="863" ht="15.75" customHeight="1">
      <c r="C863" s="78"/>
      <c r="W863" s="78"/>
      <c r="X863" s="78"/>
      <c r="AE863" s="78"/>
    </row>
    <row r="864" ht="15.75" customHeight="1">
      <c r="C864" s="78"/>
      <c r="W864" s="78"/>
      <c r="X864" s="78"/>
      <c r="AE864" s="78"/>
    </row>
    <row r="865" ht="15.75" customHeight="1">
      <c r="C865" s="78"/>
      <c r="W865" s="78"/>
      <c r="X865" s="78"/>
      <c r="AE865" s="78"/>
    </row>
    <row r="866" ht="15.75" customHeight="1">
      <c r="C866" s="78"/>
      <c r="W866" s="78"/>
      <c r="X866" s="78"/>
      <c r="AE866" s="78"/>
    </row>
    <row r="867" ht="15.75" customHeight="1">
      <c r="C867" s="78"/>
      <c r="W867" s="78"/>
      <c r="X867" s="78"/>
      <c r="AE867" s="78"/>
    </row>
    <row r="868" ht="15.75" customHeight="1">
      <c r="C868" s="78"/>
      <c r="W868" s="78"/>
      <c r="X868" s="78"/>
      <c r="AE868" s="78"/>
    </row>
    <row r="869" ht="15.75" customHeight="1">
      <c r="C869" s="78"/>
      <c r="W869" s="78"/>
      <c r="X869" s="78"/>
      <c r="AE869" s="78"/>
    </row>
    <row r="870" ht="15.75" customHeight="1">
      <c r="C870" s="78"/>
      <c r="W870" s="78"/>
      <c r="X870" s="78"/>
      <c r="AE870" s="78"/>
    </row>
    <row r="871" ht="15.75" customHeight="1">
      <c r="C871" s="78"/>
      <c r="W871" s="78"/>
      <c r="X871" s="78"/>
      <c r="AE871" s="78"/>
    </row>
    <row r="872" ht="15.75" customHeight="1">
      <c r="C872" s="78"/>
      <c r="W872" s="78"/>
      <c r="X872" s="78"/>
      <c r="AE872" s="78"/>
    </row>
    <row r="873" ht="15.75" customHeight="1">
      <c r="C873" s="78"/>
      <c r="W873" s="78"/>
      <c r="X873" s="78"/>
      <c r="AE873" s="78"/>
    </row>
    <row r="874" ht="15.75" customHeight="1">
      <c r="C874" s="78"/>
      <c r="W874" s="78"/>
      <c r="X874" s="78"/>
      <c r="AE874" s="78"/>
    </row>
    <row r="875" ht="15.75" customHeight="1">
      <c r="C875" s="78"/>
      <c r="W875" s="78"/>
      <c r="X875" s="78"/>
      <c r="AE875" s="78"/>
    </row>
    <row r="876" ht="15.75" customHeight="1">
      <c r="C876" s="78"/>
      <c r="W876" s="78"/>
      <c r="X876" s="78"/>
      <c r="AE876" s="78"/>
    </row>
    <row r="877" ht="15.75" customHeight="1">
      <c r="C877" s="78"/>
      <c r="W877" s="78"/>
      <c r="X877" s="78"/>
      <c r="AE877" s="78"/>
    </row>
    <row r="878" ht="15.75" customHeight="1">
      <c r="C878" s="78"/>
      <c r="W878" s="78"/>
      <c r="X878" s="78"/>
      <c r="AE878" s="78"/>
    </row>
    <row r="879" ht="15.75" customHeight="1">
      <c r="C879" s="78"/>
      <c r="W879" s="78"/>
      <c r="X879" s="78"/>
      <c r="AE879" s="78"/>
    </row>
    <row r="880" ht="15.75" customHeight="1">
      <c r="C880" s="78"/>
      <c r="W880" s="78"/>
      <c r="X880" s="78"/>
      <c r="AE880" s="78"/>
    </row>
    <row r="881" ht="15.75" customHeight="1">
      <c r="C881" s="78"/>
      <c r="W881" s="78"/>
      <c r="X881" s="78"/>
      <c r="AE881" s="78"/>
    </row>
    <row r="882" ht="15.75" customHeight="1">
      <c r="C882" s="78"/>
      <c r="W882" s="78"/>
      <c r="X882" s="78"/>
      <c r="AE882" s="78"/>
    </row>
    <row r="883" ht="15.75" customHeight="1">
      <c r="C883" s="78"/>
      <c r="W883" s="78"/>
      <c r="X883" s="78"/>
      <c r="AE883" s="78"/>
    </row>
    <row r="884" ht="15.75" customHeight="1">
      <c r="C884" s="78"/>
      <c r="W884" s="78"/>
      <c r="X884" s="78"/>
      <c r="AE884" s="78"/>
    </row>
    <row r="885" ht="15.75" customHeight="1">
      <c r="C885" s="78"/>
      <c r="W885" s="78"/>
      <c r="X885" s="78"/>
      <c r="AE885" s="78"/>
    </row>
    <row r="886" ht="15.75" customHeight="1">
      <c r="C886" s="78"/>
      <c r="W886" s="78"/>
      <c r="X886" s="78"/>
      <c r="AE886" s="78"/>
    </row>
    <row r="887" ht="15.75" customHeight="1">
      <c r="C887" s="78"/>
      <c r="W887" s="78"/>
      <c r="X887" s="78"/>
      <c r="AE887" s="78"/>
    </row>
    <row r="888" ht="15.75" customHeight="1">
      <c r="C888" s="78"/>
      <c r="W888" s="78"/>
      <c r="X888" s="78"/>
      <c r="AE888" s="78"/>
    </row>
    <row r="889" ht="15.75" customHeight="1">
      <c r="C889" s="78"/>
      <c r="W889" s="78"/>
      <c r="X889" s="78"/>
      <c r="AE889" s="78"/>
    </row>
    <row r="890" ht="15.75" customHeight="1">
      <c r="C890" s="78"/>
      <c r="W890" s="78"/>
      <c r="X890" s="78"/>
      <c r="AE890" s="78"/>
    </row>
    <row r="891" ht="15.75" customHeight="1">
      <c r="C891" s="78"/>
      <c r="W891" s="78"/>
      <c r="X891" s="78"/>
      <c r="AE891" s="78"/>
    </row>
    <row r="892" ht="15.75" customHeight="1">
      <c r="C892" s="78"/>
      <c r="W892" s="78"/>
      <c r="X892" s="78"/>
      <c r="AE892" s="78"/>
    </row>
    <row r="893" ht="15.75" customHeight="1">
      <c r="C893" s="78"/>
      <c r="W893" s="78"/>
      <c r="X893" s="78"/>
      <c r="AE893" s="78"/>
    </row>
    <row r="894" ht="15.75" customHeight="1">
      <c r="C894" s="78"/>
      <c r="W894" s="78"/>
      <c r="X894" s="78"/>
      <c r="AE894" s="78"/>
    </row>
    <row r="895" ht="15.75" customHeight="1">
      <c r="C895" s="78"/>
      <c r="W895" s="78"/>
      <c r="X895" s="78"/>
      <c r="AE895" s="78"/>
    </row>
    <row r="896" ht="15.75" customHeight="1">
      <c r="C896" s="78"/>
      <c r="W896" s="78"/>
      <c r="X896" s="78"/>
      <c r="AE896" s="78"/>
    </row>
    <row r="897" ht="15.75" customHeight="1">
      <c r="C897" s="78"/>
      <c r="W897" s="78"/>
      <c r="X897" s="78"/>
      <c r="AE897" s="78"/>
    </row>
    <row r="898" ht="15.75" customHeight="1">
      <c r="C898" s="78"/>
      <c r="W898" s="78"/>
      <c r="X898" s="78"/>
      <c r="AE898" s="78"/>
    </row>
    <row r="899" ht="15.75" customHeight="1">
      <c r="C899" s="78"/>
      <c r="W899" s="78"/>
      <c r="X899" s="78"/>
      <c r="AE899" s="78"/>
    </row>
    <row r="900" ht="15.75" customHeight="1">
      <c r="C900" s="78"/>
      <c r="W900" s="78"/>
      <c r="X900" s="78"/>
      <c r="AE900" s="78"/>
    </row>
    <row r="901" ht="15.75" customHeight="1">
      <c r="C901" s="78"/>
      <c r="W901" s="78"/>
      <c r="X901" s="78"/>
      <c r="AE901" s="78"/>
    </row>
    <row r="902" ht="15.75" customHeight="1">
      <c r="C902" s="78"/>
      <c r="W902" s="78"/>
      <c r="X902" s="78"/>
      <c r="AE902" s="78"/>
    </row>
    <row r="903" ht="15.75" customHeight="1">
      <c r="C903" s="78"/>
      <c r="W903" s="78"/>
      <c r="X903" s="78"/>
      <c r="AE903" s="78"/>
    </row>
    <row r="904" ht="15.75" customHeight="1">
      <c r="C904" s="78"/>
      <c r="W904" s="78"/>
      <c r="X904" s="78"/>
      <c r="AE904" s="78"/>
    </row>
    <row r="905" ht="15.75" customHeight="1">
      <c r="C905" s="78"/>
      <c r="W905" s="78"/>
      <c r="X905" s="78"/>
      <c r="AE905" s="78"/>
    </row>
    <row r="906" ht="15.75" customHeight="1">
      <c r="C906" s="78"/>
      <c r="W906" s="78"/>
      <c r="X906" s="78"/>
      <c r="AE906" s="78"/>
    </row>
    <row r="907" ht="15.75" customHeight="1">
      <c r="C907" s="78"/>
      <c r="W907" s="78"/>
      <c r="X907" s="78"/>
      <c r="AE907" s="78"/>
    </row>
    <row r="908" ht="15.75" customHeight="1">
      <c r="C908" s="78"/>
      <c r="W908" s="78"/>
      <c r="X908" s="78"/>
      <c r="AE908" s="78"/>
    </row>
    <row r="909" ht="15.75" customHeight="1">
      <c r="C909" s="78"/>
      <c r="W909" s="78"/>
      <c r="X909" s="78"/>
      <c r="AE909" s="78"/>
    </row>
    <row r="910" ht="15.75" customHeight="1">
      <c r="C910" s="78"/>
      <c r="W910" s="78"/>
      <c r="X910" s="78"/>
      <c r="AE910" s="78"/>
    </row>
    <row r="911" ht="15.75" customHeight="1">
      <c r="C911" s="78"/>
      <c r="W911" s="78"/>
      <c r="X911" s="78"/>
      <c r="AE911" s="78"/>
    </row>
    <row r="912" ht="15.75" customHeight="1">
      <c r="C912" s="78"/>
      <c r="W912" s="78"/>
      <c r="X912" s="78"/>
      <c r="AE912" s="78"/>
    </row>
    <row r="913" ht="15.75" customHeight="1">
      <c r="C913" s="78"/>
      <c r="W913" s="78"/>
      <c r="X913" s="78"/>
      <c r="AE913" s="78"/>
    </row>
    <row r="914" ht="15.75" customHeight="1">
      <c r="C914" s="78"/>
      <c r="W914" s="78"/>
      <c r="X914" s="78"/>
      <c r="AE914" s="78"/>
    </row>
    <row r="915" ht="15.75" customHeight="1">
      <c r="C915" s="78"/>
      <c r="W915" s="78"/>
      <c r="X915" s="78"/>
      <c r="AE915" s="78"/>
    </row>
    <row r="916" ht="15.75" customHeight="1">
      <c r="C916" s="78"/>
      <c r="W916" s="78"/>
      <c r="X916" s="78"/>
      <c r="AE916" s="78"/>
    </row>
    <row r="917" ht="15.75" customHeight="1">
      <c r="C917" s="78"/>
      <c r="W917" s="78"/>
      <c r="X917" s="78"/>
      <c r="AE917" s="78"/>
    </row>
    <row r="918" ht="15.75" customHeight="1">
      <c r="C918" s="78"/>
      <c r="W918" s="78"/>
      <c r="X918" s="78"/>
      <c r="AE918" s="78"/>
    </row>
    <row r="919" ht="15.75" customHeight="1">
      <c r="C919" s="78"/>
      <c r="W919" s="78"/>
      <c r="X919" s="78"/>
      <c r="AE919" s="78"/>
    </row>
    <row r="920" ht="15.75" customHeight="1">
      <c r="C920" s="78"/>
      <c r="W920" s="78"/>
      <c r="X920" s="78"/>
      <c r="AE920" s="78"/>
    </row>
    <row r="921" ht="15.75" customHeight="1">
      <c r="C921" s="78"/>
      <c r="W921" s="78"/>
      <c r="X921" s="78"/>
      <c r="AE921" s="78"/>
    </row>
    <row r="922" ht="15.75" customHeight="1">
      <c r="C922" s="78"/>
      <c r="W922" s="78"/>
      <c r="X922" s="78"/>
      <c r="AE922" s="78"/>
    </row>
    <row r="923" ht="15.75" customHeight="1">
      <c r="C923" s="78"/>
      <c r="W923" s="78"/>
      <c r="X923" s="78"/>
      <c r="AE923" s="78"/>
    </row>
    <row r="924" ht="15.75" customHeight="1">
      <c r="C924" s="78"/>
      <c r="W924" s="78"/>
      <c r="X924" s="78"/>
      <c r="AE924" s="78"/>
    </row>
    <row r="925" ht="15.75" customHeight="1">
      <c r="C925" s="78"/>
      <c r="W925" s="78"/>
      <c r="X925" s="78"/>
      <c r="AE925" s="78"/>
    </row>
    <row r="926" ht="15.75" customHeight="1">
      <c r="C926" s="78"/>
      <c r="W926" s="78"/>
      <c r="X926" s="78"/>
      <c r="AE926" s="78"/>
    </row>
    <row r="927" ht="15.75" customHeight="1">
      <c r="C927" s="78"/>
      <c r="W927" s="78"/>
      <c r="X927" s="78"/>
      <c r="AE927" s="78"/>
    </row>
    <row r="928" ht="15.75" customHeight="1">
      <c r="C928" s="78"/>
      <c r="W928" s="78"/>
      <c r="X928" s="78"/>
      <c r="AE928" s="78"/>
    </row>
    <row r="929" ht="15.75" customHeight="1">
      <c r="C929" s="78"/>
      <c r="W929" s="78"/>
      <c r="X929" s="78"/>
      <c r="AE929" s="78"/>
    </row>
    <row r="930" ht="15.75" customHeight="1">
      <c r="C930" s="78"/>
      <c r="W930" s="78"/>
      <c r="X930" s="78"/>
      <c r="AE930" s="78"/>
    </row>
    <row r="931" ht="15.75" customHeight="1">
      <c r="C931" s="78"/>
      <c r="W931" s="78"/>
      <c r="X931" s="78"/>
      <c r="AE931" s="78"/>
    </row>
    <row r="932" ht="15.75" customHeight="1">
      <c r="C932" s="78"/>
      <c r="W932" s="78"/>
      <c r="X932" s="78"/>
      <c r="AE932" s="78"/>
    </row>
    <row r="933" ht="15.75" customHeight="1">
      <c r="C933" s="78"/>
      <c r="W933" s="78"/>
      <c r="X933" s="78"/>
      <c r="AE933" s="78"/>
    </row>
    <row r="934" ht="15.75" customHeight="1">
      <c r="C934" s="78"/>
      <c r="W934" s="78"/>
      <c r="X934" s="78"/>
      <c r="AE934" s="78"/>
    </row>
    <row r="935" ht="15.75" customHeight="1">
      <c r="C935" s="78"/>
      <c r="W935" s="78"/>
      <c r="X935" s="78"/>
      <c r="AE935" s="78"/>
    </row>
    <row r="936" ht="15.75" customHeight="1">
      <c r="C936" s="78"/>
      <c r="W936" s="78"/>
      <c r="X936" s="78"/>
      <c r="AE936" s="78"/>
    </row>
    <row r="937" ht="15.75" customHeight="1">
      <c r="C937" s="78"/>
      <c r="W937" s="78"/>
      <c r="X937" s="78"/>
      <c r="AE937" s="78"/>
    </row>
    <row r="938" ht="15.75" customHeight="1">
      <c r="C938" s="78"/>
      <c r="W938" s="78"/>
      <c r="X938" s="78"/>
      <c r="AE938" s="78"/>
    </row>
    <row r="939" ht="15.75" customHeight="1">
      <c r="C939" s="78"/>
      <c r="W939" s="78"/>
      <c r="X939" s="78"/>
      <c r="AE939" s="78"/>
    </row>
    <row r="940" ht="15.75" customHeight="1">
      <c r="C940" s="78"/>
      <c r="W940" s="78"/>
      <c r="X940" s="78"/>
      <c r="AE940" s="78"/>
    </row>
    <row r="941" ht="15.75" customHeight="1">
      <c r="C941" s="78"/>
      <c r="W941" s="78"/>
      <c r="X941" s="78"/>
      <c r="AE941" s="78"/>
    </row>
    <row r="942" ht="15.75" customHeight="1">
      <c r="C942" s="78"/>
      <c r="W942" s="78"/>
      <c r="X942" s="78"/>
      <c r="AE942" s="78"/>
    </row>
    <row r="943" ht="15.75" customHeight="1">
      <c r="C943" s="78"/>
      <c r="W943" s="78"/>
      <c r="X943" s="78"/>
      <c r="AE943" s="78"/>
    </row>
    <row r="944" ht="15.75" customHeight="1">
      <c r="C944" s="78"/>
      <c r="W944" s="78"/>
      <c r="X944" s="78"/>
      <c r="AE944" s="78"/>
    </row>
    <row r="945" ht="15.75" customHeight="1">
      <c r="C945" s="78"/>
      <c r="W945" s="78"/>
      <c r="X945" s="78"/>
      <c r="AE945" s="78"/>
    </row>
    <row r="946" ht="15.75" customHeight="1">
      <c r="C946" s="78"/>
      <c r="W946" s="78"/>
      <c r="X946" s="78"/>
      <c r="AE946" s="78"/>
    </row>
    <row r="947" ht="15.75" customHeight="1">
      <c r="C947" s="78"/>
      <c r="W947" s="78"/>
      <c r="X947" s="78"/>
      <c r="AE947" s="78"/>
    </row>
    <row r="948" ht="15.75" customHeight="1">
      <c r="C948" s="78"/>
      <c r="W948" s="78"/>
      <c r="X948" s="78"/>
      <c r="AE948" s="78"/>
    </row>
    <row r="949" ht="15.75" customHeight="1">
      <c r="C949" s="78"/>
      <c r="W949" s="78"/>
      <c r="X949" s="78"/>
      <c r="AE949" s="78"/>
    </row>
    <row r="950" ht="15.75" customHeight="1">
      <c r="C950" s="78"/>
      <c r="W950" s="78"/>
      <c r="X950" s="78"/>
      <c r="AE950" s="78"/>
    </row>
    <row r="951" ht="15.75" customHeight="1">
      <c r="C951" s="78"/>
      <c r="W951" s="78"/>
      <c r="X951" s="78"/>
      <c r="AE951" s="78"/>
    </row>
    <row r="952" ht="15.75" customHeight="1">
      <c r="C952" s="78"/>
      <c r="W952" s="78"/>
      <c r="X952" s="78"/>
      <c r="AE952" s="78"/>
    </row>
    <row r="953" ht="15.75" customHeight="1">
      <c r="C953" s="78"/>
      <c r="W953" s="78"/>
      <c r="X953" s="78"/>
      <c r="AE953" s="78"/>
    </row>
    <row r="954" ht="15.75" customHeight="1">
      <c r="C954" s="78"/>
      <c r="W954" s="78"/>
      <c r="X954" s="78"/>
      <c r="AE954" s="78"/>
    </row>
    <row r="955" ht="15.75" customHeight="1">
      <c r="C955" s="78"/>
      <c r="W955" s="78"/>
      <c r="X955" s="78"/>
      <c r="AE955" s="78"/>
    </row>
    <row r="956" ht="15.75" customHeight="1">
      <c r="C956" s="78"/>
      <c r="W956" s="78"/>
      <c r="X956" s="78"/>
      <c r="AE956" s="78"/>
    </row>
    <row r="957" ht="15.75" customHeight="1">
      <c r="C957" s="78"/>
      <c r="W957" s="78"/>
      <c r="X957" s="78"/>
      <c r="AE957" s="78"/>
    </row>
    <row r="958" ht="15.75" customHeight="1">
      <c r="C958" s="78"/>
      <c r="W958" s="78"/>
      <c r="X958" s="78"/>
      <c r="AE958" s="78"/>
    </row>
    <row r="959" ht="15.75" customHeight="1">
      <c r="C959" s="78"/>
      <c r="W959" s="78"/>
      <c r="X959" s="78"/>
      <c r="AE959" s="78"/>
    </row>
    <row r="960" ht="15.75" customHeight="1">
      <c r="C960" s="78"/>
      <c r="W960" s="78"/>
      <c r="X960" s="78"/>
      <c r="AE960" s="78"/>
    </row>
    <row r="961" ht="15.75" customHeight="1">
      <c r="C961" s="78"/>
      <c r="W961" s="78"/>
      <c r="X961" s="78"/>
      <c r="AE961" s="78"/>
    </row>
    <row r="962" ht="15.75" customHeight="1">
      <c r="C962" s="78"/>
      <c r="W962" s="78"/>
      <c r="X962" s="78"/>
      <c r="AE962" s="78"/>
    </row>
    <row r="963" ht="15.75" customHeight="1">
      <c r="C963" s="78"/>
      <c r="W963" s="78"/>
      <c r="X963" s="78"/>
      <c r="AE963" s="78"/>
    </row>
    <row r="964" ht="15.75" customHeight="1">
      <c r="C964" s="78"/>
      <c r="W964" s="78"/>
      <c r="X964" s="78"/>
      <c r="AE964" s="78"/>
    </row>
    <row r="965" ht="15.75" customHeight="1">
      <c r="C965" s="78"/>
      <c r="W965" s="78"/>
      <c r="X965" s="78"/>
      <c r="AE965" s="78"/>
    </row>
    <row r="966" ht="15.75" customHeight="1">
      <c r="C966" s="78"/>
      <c r="W966" s="78"/>
      <c r="X966" s="78"/>
      <c r="AE966" s="78"/>
    </row>
    <row r="967" ht="15.75" customHeight="1">
      <c r="C967" s="78"/>
      <c r="W967" s="78"/>
      <c r="X967" s="78"/>
      <c r="AE967" s="78"/>
    </row>
    <row r="968" ht="15.75" customHeight="1">
      <c r="C968" s="78"/>
      <c r="W968" s="78"/>
      <c r="X968" s="78"/>
      <c r="AE968" s="78"/>
    </row>
    <row r="969" ht="15.75" customHeight="1">
      <c r="C969" s="78"/>
      <c r="W969" s="78"/>
      <c r="X969" s="78"/>
      <c r="AE969" s="78"/>
    </row>
    <row r="970" ht="15.75" customHeight="1">
      <c r="C970" s="78"/>
      <c r="W970" s="78"/>
      <c r="X970" s="78"/>
      <c r="AE970" s="78"/>
    </row>
    <row r="971" ht="15.75" customHeight="1">
      <c r="C971" s="78"/>
      <c r="W971" s="78"/>
      <c r="X971" s="78"/>
      <c r="AE971" s="78"/>
    </row>
    <row r="972" ht="15.75" customHeight="1">
      <c r="C972" s="78"/>
      <c r="W972" s="78"/>
      <c r="X972" s="78"/>
      <c r="AE972" s="78"/>
    </row>
    <row r="973" ht="15.75" customHeight="1">
      <c r="C973" s="78"/>
      <c r="W973" s="78"/>
      <c r="X973" s="78"/>
      <c r="AE973" s="78"/>
    </row>
    <row r="974" ht="15.75" customHeight="1">
      <c r="C974" s="78"/>
      <c r="W974" s="78"/>
      <c r="X974" s="78"/>
      <c r="AE974" s="78"/>
    </row>
    <row r="975" ht="15.75" customHeight="1">
      <c r="C975" s="78"/>
      <c r="W975" s="78"/>
      <c r="X975" s="78"/>
      <c r="AE975" s="78"/>
    </row>
    <row r="976" ht="15.75" customHeight="1">
      <c r="C976" s="78"/>
      <c r="W976" s="78"/>
      <c r="X976" s="78"/>
      <c r="AE976" s="78"/>
    </row>
    <row r="977" ht="15.75" customHeight="1">
      <c r="C977" s="78"/>
      <c r="W977" s="78"/>
      <c r="X977" s="78"/>
      <c r="AE977" s="78"/>
    </row>
    <row r="978" ht="15.75" customHeight="1">
      <c r="C978" s="78"/>
      <c r="W978" s="78"/>
      <c r="X978" s="78"/>
      <c r="AE978" s="78"/>
    </row>
    <row r="979" ht="15.75" customHeight="1">
      <c r="C979" s="78"/>
      <c r="W979" s="78"/>
      <c r="X979" s="78"/>
      <c r="AE979" s="78"/>
    </row>
    <row r="980" ht="15.75" customHeight="1">
      <c r="C980" s="78"/>
      <c r="W980" s="78"/>
      <c r="X980" s="78"/>
      <c r="AE980" s="78"/>
    </row>
    <row r="981" ht="15.75" customHeight="1">
      <c r="C981" s="78"/>
      <c r="W981" s="78"/>
      <c r="X981" s="78"/>
      <c r="AE981" s="78"/>
    </row>
    <row r="982" ht="15.75" customHeight="1">
      <c r="C982" s="78"/>
      <c r="W982" s="78"/>
      <c r="X982" s="78"/>
      <c r="AE982" s="78"/>
    </row>
    <row r="983" ht="15.75" customHeight="1">
      <c r="C983" s="78"/>
      <c r="W983" s="78"/>
      <c r="X983" s="78"/>
      <c r="AE983" s="78"/>
    </row>
    <row r="984" ht="15.75" customHeight="1">
      <c r="C984" s="78"/>
      <c r="W984" s="78"/>
      <c r="X984" s="78"/>
      <c r="AE984" s="78"/>
    </row>
    <row r="985" ht="15.75" customHeight="1">
      <c r="C985" s="78"/>
      <c r="W985" s="78"/>
      <c r="X985" s="78"/>
      <c r="AE985" s="78"/>
    </row>
    <row r="986" ht="15.75" customHeight="1">
      <c r="C986" s="78"/>
      <c r="W986" s="78"/>
      <c r="X986" s="78"/>
      <c r="AE986" s="78"/>
    </row>
    <row r="987" ht="15.75" customHeight="1">
      <c r="C987" s="78"/>
      <c r="W987" s="78"/>
      <c r="X987" s="78"/>
      <c r="AE987" s="78"/>
    </row>
    <row r="988" ht="15.75" customHeight="1">
      <c r="C988" s="78"/>
      <c r="W988" s="78"/>
      <c r="X988" s="78"/>
      <c r="AE988" s="78"/>
    </row>
    <row r="989" ht="15.75" customHeight="1">
      <c r="C989" s="78"/>
      <c r="W989" s="78"/>
      <c r="X989" s="78"/>
      <c r="AE989" s="78"/>
    </row>
    <row r="990" ht="15.75" customHeight="1">
      <c r="C990" s="78"/>
      <c r="W990" s="78"/>
      <c r="X990" s="78"/>
      <c r="AE990" s="78"/>
    </row>
    <row r="991" ht="15.75" customHeight="1">
      <c r="C991" s="78"/>
      <c r="W991" s="78"/>
      <c r="X991" s="78"/>
      <c r="AE991" s="78"/>
    </row>
    <row r="992" ht="15.75" customHeight="1">
      <c r="C992" s="78"/>
      <c r="W992" s="78"/>
      <c r="X992" s="78"/>
      <c r="AE992" s="78"/>
    </row>
    <row r="993" ht="15.75" customHeight="1">
      <c r="C993" s="78"/>
      <c r="W993" s="78"/>
      <c r="X993" s="78"/>
      <c r="AE993" s="78"/>
    </row>
    <row r="994" ht="15.75" customHeight="1">
      <c r="C994" s="78"/>
      <c r="W994" s="78"/>
      <c r="X994" s="78"/>
      <c r="AE994" s="78"/>
    </row>
    <row r="995" ht="15.75" customHeight="1">
      <c r="C995" s="78"/>
      <c r="W995" s="78"/>
      <c r="X995" s="78"/>
      <c r="AE995" s="78"/>
    </row>
    <row r="996" ht="15.75" customHeight="1">
      <c r="C996" s="78"/>
      <c r="W996" s="78"/>
      <c r="X996" s="78"/>
      <c r="AE996" s="78"/>
    </row>
    <row r="997" ht="15.75" customHeight="1">
      <c r="C997" s="78"/>
      <c r="W997" s="78"/>
      <c r="X997" s="78"/>
      <c r="AE997" s="78"/>
    </row>
    <row r="998" ht="15.75" customHeight="1">
      <c r="C998" s="78"/>
      <c r="W998" s="78"/>
      <c r="X998" s="78"/>
      <c r="AE998" s="78"/>
    </row>
    <row r="999" ht="15.75" customHeight="1">
      <c r="C999" s="78"/>
      <c r="W999" s="78"/>
      <c r="X999" s="78"/>
      <c r="AE999" s="78"/>
    </row>
    <row r="1000" ht="15.75" customHeight="1">
      <c r="C1000" s="78"/>
      <c r="W1000" s="78"/>
      <c r="X1000" s="78"/>
      <c r="AE1000" s="78"/>
    </row>
  </sheetData>
  <mergeCells count="13">
    <mergeCell ref="G1:Q1"/>
    <mergeCell ref="A3:A21"/>
    <mergeCell ref="A22:A37"/>
    <mergeCell ref="A38:A46"/>
    <mergeCell ref="A47:A58"/>
    <mergeCell ref="A59:A68"/>
    <mergeCell ref="R1:W1"/>
    <mergeCell ref="Y1:AE1"/>
    <mergeCell ref="AF1:AL1"/>
    <mergeCell ref="AM1:AS1"/>
    <mergeCell ref="AT1:AV1"/>
    <mergeCell ref="AW1:AY1"/>
    <mergeCell ref="AZ1:BC1"/>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cols>
    <col customWidth="1" min="3" max="3" width="16.88"/>
    <col customWidth="1" min="4" max="4" width="16.5"/>
    <col customWidth="1" min="5" max="5" width="17.75"/>
    <col customWidth="1" min="7" max="7" width="37.0"/>
    <col customWidth="1" min="8" max="8" width="16.25"/>
    <col customWidth="1" min="9" max="9" width="21.88"/>
    <col customWidth="1" min="10" max="10" width="23.13"/>
    <col customWidth="1" min="11" max="11" width="23.75"/>
    <col customWidth="1" min="12" max="12" width="22.38"/>
    <col customWidth="1" min="13" max="15" width="23.88"/>
    <col customWidth="1" min="16" max="16" width="25.13"/>
    <col customWidth="1" min="17" max="17" width="22.75"/>
    <col customWidth="1" min="18" max="18" width="15.88"/>
    <col customWidth="1" min="19" max="19" width="18.13"/>
    <col customWidth="1" min="20" max="20" width="17.38"/>
    <col customWidth="1" min="21" max="21" width="24.25"/>
    <col customWidth="1" min="22" max="22" width="22.25"/>
    <col customWidth="1" min="23" max="23" width="27.0"/>
    <col customWidth="1" min="24" max="24" width="30.75"/>
    <col customWidth="1" min="25" max="25" width="17.88"/>
    <col customWidth="1" min="26" max="26" width="27.5"/>
    <col customWidth="1" min="27" max="27" width="27.75"/>
    <col customWidth="1" min="28" max="28" width="27.13"/>
    <col customWidth="1" min="29" max="29" width="26.5"/>
    <col customWidth="1" min="30" max="30" width="23.5"/>
    <col customWidth="1" min="31" max="31" width="28.88"/>
    <col customWidth="1" min="32" max="32" width="14.13"/>
    <col customWidth="1" min="33" max="33" width="22.0"/>
    <col customWidth="1" min="34" max="34" width="21.0"/>
    <col customWidth="1" min="35" max="35" width="22.63"/>
    <col customWidth="1" min="36" max="36" width="23.13"/>
    <col customWidth="1" min="37" max="37" width="21.75"/>
    <col customWidth="1" min="38" max="38" width="25.75"/>
    <col customWidth="1" min="39" max="39" width="17.13"/>
    <col customWidth="1" min="40" max="40" width="27.63"/>
    <col customWidth="1" min="41" max="41" width="26.25"/>
    <col customWidth="1" min="42" max="42" width="23.88"/>
    <col customWidth="1" min="43" max="43" width="30.63"/>
    <col customWidth="1" min="44" max="44" width="23.63"/>
    <col customWidth="1" min="45" max="45" width="27.0"/>
    <col customWidth="1" min="46" max="46" width="14.25"/>
    <col customWidth="1" min="47" max="47" width="25.25"/>
    <col customWidth="1" min="48" max="48" width="25.5"/>
    <col customWidth="1" min="50" max="50" width="24.38"/>
    <col customWidth="1" min="51" max="51" width="25.0"/>
    <col customWidth="1" min="52" max="52" width="38.63"/>
    <col customWidth="1" min="53" max="53" width="42.88"/>
    <col customWidth="1" min="54" max="54" width="30.75"/>
    <col customWidth="1" min="55" max="55" width="18.88"/>
  </cols>
  <sheetData>
    <row r="1" ht="29.25" customHeight="1">
      <c r="A1" s="27" t="s">
        <v>0</v>
      </c>
      <c r="B1" s="27" t="s">
        <v>405</v>
      </c>
      <c r="C1" s="28" t="s">
        <v>406</v>
      </c>
      <c r="D1" s="29" t="s">
        <v>3</v>
      </c>
      <c r="E1" s="29" t="s">
        <v>4</v>
      </c>
      <c r="F1" s="29" t="s">
        <v>8</v>
      </c>
      <c r="G1" s="30" t="s">
        <v>407</v>
      </c>
      <c r="H1" s="31"/>
      <c r="I1" s="31"/>
      <c r="J1" s="31"/>
      <c r="K1" s="31"/>
      <c r="L1" s="31"/>
      <c r="M1" s="31"/>
      <c r="N1" s="31"/>
      <c r="O1" s="31"/>
      <c r="P1" s="31"/>
      <c r="Q1" s="32"/>
      <c r="R1" s="33" t="s">
        <v>408</v>
      </c>
      <c r="S1" s="34"/>
      <c r="T1" s="34"/>
      <c r="U1" s="34"/>
      <c r="V1" s="34"/>
      <c r="W1" s="35"/>
      <c r="X1" s="36" t="s">
        <v>409</v>
      </c>
      <c r="Y1" s="33" t="s">
        <v>410</v>
      </c>
      <c r="Z1" s="34"/>
      <c r="AA1" s="34"/>
      <c r="AB1" s="34"/>
      <c r="AC1" s="34"/>
      <c r="AD1" s="34"/>
      <c r="AE1" s="35"/>
      <c r="AF1" s="37" t="s">
        <v>411</v>
      </c>
      <c r="AG1" s="38"/>
      <c r="AH1" s="38"/>
      <c r="AI1" s="38"/>
      <c r="AJ1" s="38"/>
      <c r="AK1" s="38"/>
      <c r="AL1" s="39"/>
      <c r="AM1" s="40" t="s">
        <v>412</v>
      </c>
      <c r="AN1" s="38"/>
      <c r="AO1" s="38"/>
      <c r="AP1" s="38"/>
      <c r="AQ1" s="38"/>
      <c r="AR1" s="38"/>
      <c r="AS1" s="39"/>
      <c r="AT1" s="37" t="s">
        <v>413</v>
      </c>
      <c r="AU1" s="38"/>
      <c r="AV1" s="39"/>
      <c r="AW1" s="37" t="s">
        <v>414</v>
      </c>
      <c r="AX1" s="38"/>
      <c r="AY1" s="39"/>
      <c r="AZ1" s="41" t="s">
        <v>415</v>
      </c>
      <c r="BA1" s="42"/>
      <c r="BB1" s="42"/>
      <c r="BC1" s="43"/>
      <c r="BD1" s="44"/>
    </row>
    <row r="2" ht="55.5" customHeight="1">
      <c r="A2" s="26"/>
      <c r="B2" s="26"/>
      <c r="C2" s="25"/>
      <c r="D2" s="7"/>
      <c r="E2" s="7"/>
      <c r="F2" s="7"/>
      <c r="G2" s="46" t="s">
        <v>416</v>
      </c>
      <c r="H2" s="47" t="s">
        <v>417</v>
      </c>
      <c r="I2" s="48" t="s">
        <v>418</v>
      </c>
      <c r="J2" s="48" t="s">
        <v>419</v>
      </c>
      <c r="K2" s="49" t="s">
        <v>420</v>
      </c>
      <c r="L2" s="45" t="s">
        <v>421</v>
      </c>
      <c r="M2" s="50" t="s">
        <v>571</v>
      </c>
      <c r="N2" s="51" t="s">
        <v>572</v>
      </c>
      <c r="O2" s="52" t="s">
        <v>424</v>
      </c>
      <c r="P2" s="53" t="s">
        <v>573</v>
      </c>
      <c r="Q2" s="54" t="s">
        <v>426</v>
      </c>
      <c r="R2" s="55" t="s">
        <v>427</v>
      </c>
      <c r="S2" s="52" t="s">
        <v>428</v>
      </c>
      <c r="T2" s="52" t="s">
        <v>429</v>
      </c>
      <c r="U2" s="56" t="s">
        <v>430</v>
      </c>
      <c r="V2" s="45" t="s">
        <v>431</v>
      </c>
      <c r="W2" s="57" t="s">
        <v>432</v>
      </c>
      <c r="X2" s="58" t="s">
        <v>433</v>
      </c>
      <c r="Y2" s="55" t="s">
        <v>434</v>
      </c>
      <c r="Z2" s="59" t="s">
        <v>435</v>
      </c>
      <c r="AA2" s="52" t="s">
        <v>436</v>
      </c>
      <c r="AB2" s="56" t="s">
        <v>437</v>
      </c>
      <c r="AC2" s="49" t="s">
        <v>438</v>
      </c>
      <c r="AD2" s="49" t="s">
        <v>439</v>
      </c>
      <c r="AE2" s="60" t="s">
        <v>440</v>
      </c>
      <c r="AF2" s="55" t="s">
        <v>441</v>
      </c>
      <c r="AG2" s="59" t="s">
        <v>442</v>
      </c>
      <c r="AH2" s="52" t="s">
        <v>443</v>
      </c>
      <c r="AI2" s="56" t="s">
        <v>444</v>
      </c>
      <c r="AJ2" s="45" t="s">
        <v>445</v>
      </c>
      <c r="AK2" s="45" t="s">
        <v>446</v>
      </c>
      <c r="AL2" s="61" t="s">
        <v>447</v>
      </c>
      <c r="AM2" s="55" t="s">
        <v>448</v>
      </c>
      <c r="AN2" s="52" t="s">
        <v>449</v>
      </c>
      <c r="AO2" s="52" t="s">
        <v>450</v>
      </c>
      <c r="AP2" s="56" t="s">
        <v>451</v>
      </c>
      <c r="AQ2" s="45" t="s">
        <v>452</v>
      </c>
      <c r="AR2" s="45" t="s">
        <v>453</v>
      </c>
      <c r="AS2" s="61" t="s">
        <v>454</v>
      </c>
      <c r="AT2" s="55" t="s">
        <v>455</v>
      </c>
      <c r="AU2" s="52" t="s">
        <v>456</v>
      </c>
      <c r="AV2" s="61" t="s">
        <v>457</v>
      </c>
      <c r="AW2" s="55" t="s">
        <v>458</v>
      </c>
      <c r="AX2" s="52" t="s">
        <v>459</v>
      </c>
      <c r="AY2" s="61" t="s">
        <v>460</v>
      </c>
      <c r="AZ2" s="62" t="s">
        <v>461</v>
      </c>
      <c r="BA2" s="63" t="s">
        <v>574</v>
      </c>
      <c r="BB2" s="64" t="s">
        <v>575</v>
      </c>
      <c r="BC2" s="65" t="s">
        <v>576</v>
      </c>
    </row>
    <row r="3" ht="15.75" customHeight="1">
      <c r="A3" s="66" t="s">
        <v>13</v>
      </c>
      <c r="B3" s="67" t="s">
        <v>14</v>
      </c>
      <c r="C3" s="67" t="s">
        <v>91</v>
      </c>
      <c r="D3" s="9" t="s">
        <v>473</v>
      </c>
      <c r="E3" s="9" t="s">
        <v>474</v>
      </c>
      <c r="F3" s="9" t="s">
        <v>51</v>
      </c>
      <c r="G3" s="75" t="s">
        <v>577</v>
      </c>
      <c r="H3" s="9">
        <v>6.0</v>
      </c>
      <c r="I3" s="9"/>
      <c r="J3" s="9"/>
      <c r="K3" s="9"/>
      <c r="L3" s="9">
        <v>180.0</v>
      </c>
      <c r="M3" s="9">
        <f t="shared" ref="M3:M60" si="1">if(P3&lt;500,0,P3/H3)</f>
        <v>0</v>
      </c>
      <c r="N3" s="9">
        <f t="shared" ref="N3:N60" si="2">P3*0.04</f>
        <v>0</v>
      </c>
      <c r="O3" s="9">
        <v>1.0</v>
      </c>
      <c r="P3" s="9">
        <f t="shared" ref="P3:P60" si="3">(I3*O3)+(J3*Q3)</f>
        <v>0</v>
      </c>
      <c r="Q3" s="79">
        <v>15.0</v>
      </c>
      <c r="R3" s="16">
        <v>27.0</v>
      </c>
      <c r="S3" s="9">
        <v>10.0</v>
      </c>
      <c r="T3" s="9">
        <v>500.0</v>
      </c>
      <c r="U3" s="9">
        <f t="shared" ref="U3:U60" si="4">S3*T3*Q3</f>
        <v>75000</v>
      </c>
      <c r="V3" s="9">
        <f t="shared" ref="V3:V60" si="5">S3*(1+R3%)</f>
        <v>12.7</v>
      </c>
      <c r="W3" s="11">
        <f t="shared" ref="W3:W60" si="6">V3*T3</f>
        <v>6350</v>
      </c>
      <c r="X3" s="72">
        <f t="shared" ref="X3:X60" si="7">(W3*Q3)-U3</f>
        <v>20250</v>
      </c>
      <c r="Y3" s="71">
        <v>40.0</v>
      </c>
      <c r="Z3" s="9">
        <v>500.0</v>
      </c>
      <c r="AA3" s="9">
        <v>1.2</v>
      </c>
      <c r="AB3" s="9">
        <f t="shared" ref="AB3:AB60" si="8">AA3*Z3</f>
        <v>600</v>
      </c>
      <c r="AC3" s="9">
        <f t="shared" ref="AC3:AC60" si="9">Z3*(1-Y3%)</f>
        <v>300</v>
      </c>
      <c r="AD3" s="9">
        <f t="shared" ref="AD3:AD60" si="10">AB3-(AC3*AA3)</f>
        <v>240</v>
      </c>
      <c r="AE3" s="73">
        <f t="shared" ref="AE3:AE60" si="11">AD3*Q3</f>
        <v>3600</v>
      </c>
      <c r="AF3" s="75">
        <v>20.0</v>
      </c>
      <c r="AG3" s="9">
        <v>1000.0</v>
      </c>
      <c r="AH3" s="74">
        <v>0.5</v>
      </c>
      <c r="AI3" s="9">
        <f t="shared" ref="AI3:AI60" si="12">AH3*AG3</f>
        <v>500</v>
      </c>
      <c r="AJ3" s="9">
        <f t="shared" ref="AJ3:AJ60" si="13">AG3*(1-AF3%)</f>
        <v>800</v>
      </c>
      <c r="AK3" s="9">
        <f t="shared" ref="AK3:AK60" si="14">AI3-(AJ3*AH3)</f>
        <v>100</v>
      </c>
      <c r="AL3" s="11">
        <f t="shared" ref="AL3:AL60" si="15">AK3*Q3</f>
        <v>1500</v>
      </c>
      <c r="AM3" s="75">
        <v>36.0</v>
      </c>
      <c r="AN3" s="74">
        <v>3.0</v>
      </c>
      <c r="AO3" s="74">
        <v>20.0</v>
      </c>
      <c r="AP3" s="9">
        <f t="shared" ref="AP3:AP60" si="16">AO3*AN3</f>
        <v>60</v>
      </c>
      <c r="AQ3" s="9">
        <f t="shared" ref="AQ3:AQ60" si="17">AN3*(1-AM3%)</f>
        <v>1.92</v>
      </c>
      <c r="AR3" s="9">
        <f t="shared" ref="AR3:AR60" si="18">AP3-(AQ3*AO3)</f>
        <v>21.6</v>
      </c>
      <c r="AS3" s="11">
        <f t="shared" ref="AS3:AS60" si="19">AR3*Q3</f>
        <v>324</v>
      </c>
      <c r="AT3" s="76">
        <v>0.0</v>
      </c>
      <c r="AU3" s="74">
        <v>18000.0</v>
      </c>
      <c r="AV3" s="11">
        <f>AU3-(AU3*(1-AT3%))</f>
        <v>0</v>
      </c>
      <c r="AW3" s="71">
        <v>10.0</v>
      </c>
      <c r="AX3" s="74">
        <v>6000.0</v>
      </c>
      <c r="AY3" s="11">
        <f t="shared" ref="AY3:AY60" si="20">AX3-(AX3*(1-AW3%))</f>
        <v>600</v>
      </c>
      <c r="AZ3" s="75">
        <f t="shared" ref="AZ3:AZ60" si="21">(AY3+AV3+AS3+AL3+AE3+X3)-(L3*O3)-M3-N3</f>
        <v>26094</v>
      </c>
      <c r="BA3" s="98" t="str">
        <f t="shared" ref="BA3:BA60" si="22">IF(P3&gt;0,AZ3/P3,"The DAT is free")</f>
        <v>The DAT is free</v>
      </c>
      <c r="BB3" s="11">
        <f t="shared" ref="BB3:BB60" si="23">if(AZ3&gt;0,P3/AZ3,"Payback period not applicable: the investment does not recover its cost under current conditions.")</f>
        <v>0</v>
      </c>
      <c r="BC3" s="69" t="str">
        <f t="shared" ref="BC3:BC60" si="24">IF(BB3&lt;6, "YES", "NO")</f>
        <v>YES</v>
      </c>
    </row>
    <row r="4" ht="15.75" customHeight="1">
      <c r="A4" s="12"/>
      <c r="B4" s="26" t="s">
        <v>14</v>
      </c>
      <c r="C4" s="26" t="s">
        <v>91</v>
      </c>
      <c r="D4" s="7" t="s">
        <v>578</v>
      </c>
      <c r="E4" s="7" t="s">
        <v>474</v>
      </c>
      <c r="F4" s="7" t="s">
        <v>51</v>
      </c>
      <c r="G4" s="84" t="s">
        <v>579</v>
      </c>
      <c r="H4" s="7">
        <v>6.0</v>
      </c>
      <c r="I4" s="7"/>
      <c r="J4" s="7"/>
      <c r="L4" s="7">
        <v>340.0</v>
      </c>
      <c r="M4" s="9">
        <f t="shared" si="1"/>
        <v>0</v>
      </c>
      <c r="N4" s="9">
        <f t="shared" si="2"/>
        <v>0</v>
      </c>
      <c r="O4" s="7">
        <v>1.0</v>
      </c>
      <c r="P4" s="9">
        <f t="shared" si="3"/>
        <v>0</v>
      </c>
      <c r="Q4" s="79">
        <v>15.0</v>
      </c>
      <c r="R4" s="16">
        <v>27.0</v>
      </c>
      <c r="S4" s="7">
        <v>10.0</v>
      </c>
      <c r="T4" s="7">
        <v>500.0</v>
      </c>
      <c r="U4" s="7">
        <f t="shared" si="4"/>
        <v>75000</v>
      </c>
      <c r="V4" s="7">
        <f t="shared" si="5"/>
        <v>12.7</v>
      </c>
      <c r="W4" s="14">
        <f t="shared" si="6"/>
        <v>6350</v>
      </c>
      <c r="X4" s="94">
        <f t="shared" si="7"/>
        <v>20250</v>
      </c>
      <c r="Y4" s="80">
        <v>40.0</v>
      </c>
      <c r="Z4" s="7">
        <v>500.0</v>
      </c>
      <c r="AA4" s="7">
        <v>1.2</v>
      </c>
      <c r="AB4" s="7">
        <f t="shared" si="8"/>
        <v>600</v>
      </c>
      <c r="AC4" s="7">
        <f t="shared" si="9"/>
        <v>300</v>
      </c>
      <c r="AD4" s="7">
        <f t="shared" si="10"/>
        <v>240</v>
      </c>
      <c r="AE4" s="83">
        <f t="shared" si="11"/>
        <v>3600</v>
      </c>
      <c r="AF4" s="84">
        <v>20.0</v>
      </c>
      <c r="AG4" s="7">
        <v>1000.0</v>
      </c>
      <c r="AH4" s="78">
        <v>0.5</v>
      </c>
      <c r="AI4" s="7">
        <f t="shared" si="12"/>
        <v>500</v>
      </c>
      <c r="AJ4" s="7">
        <f t="shared" si="13"/>
        <v>800</v>
      </c>
      <c r="AK4" s="7">
        <f t="shared" si="14"/>
        <v>100</v>
      </c>
      <c r="AL4" s="14">
        <f t="shared" si="15"/>
        <v>1500</v>
      </c>
      <c r="AM4" s="84">
        <v>36.0</v>
      </c>
      <c r="AN4" s="78">
        <v>3.0</v>
      </c>
      <c r="AO4" s="78">
        <v>20.0</v>
      </c>
      <c r="AP4" s="7">
        <f t="shared" si="16"/>
        <v>60</v>
      </c>
      <c r="AQ4" s="7">
        <f t="shared" si="17"/>
        <v>1.92</v>
      </c>
      <c r="AR4" s="7">
        <f t="shared" si="18"/>
        <v>21.6</v>
      </c>
      <c r="AS4" s="14">
        <f t="shared" si="19"/>
        <v>324</v>
      </c>
      <c r="AT4" s="82">
        <v>0.0</v>
      </c>
      <c r="AU4" s="78">
        <v>18000.0</v>
      </c>
      <c r="AV4" s="14"/>
      <c r="AW4" s="80">
        <v>10.0</v>
      </c>
      <c r="AX4" s="78">
        <v>6000.0</v>
      </c>
      <c r="AY4" s="14">
        <f t="shared" si="20"/>
        <v>600</v>
      </c>
      <c r="AZ4" s="75">
        <f t="shared" si="21"/>
        <v>25934</v>
      </c>
      <c r="BA4" s="98" t="str">
        <f t="shared" si="22"/>
        <v>The DAT is free</v>
      </c>
      <c r="BB4" s="11">
        <f t="shared" si="23"/>
        <v>0</v>
      </c>
      <c r="BC4" s="69" t="str">
        <f t="shared" si="24"/>
        <v>YES</v>
      </c>
    </row>
    <row r="5" ht="15.75" customHeight="1">
      <c r="A5" s="12"/>
      <c r="B5" s="26" t="s">
        <v>14</v>
      </c>
      <c r="C5" s="26" t="s">
        <v>91</v>
      </c>
      <c r="D5" s="7" t="s">
        <v>97</v>
      </c>
      <c r="E5" s="7" t="s">
        <v>479</v>
      </c>
      <c r="F5" s="7" t="s">
        <v>51</v>
      </c>
      <c r="G5" s="84" t="s">
        <v>101</v>
      </c>
      <c r="H5" s="7">
        <v>6.0</v>
      </c>
      <c r="I5" s="7"/>
      <c r="J5" s="7"/>
      <c r="K5" s="7">
        <v>20.0</v>
      </c>
      <c r="L5" s="7">
        <f>K5*12</f>
        <v>240</v>
      </c>
      <c r="M5" s="9">
        <f t="shared" si="1"/>
        <v>0</v>
      </c>
      <c r="N5" s="9">
        <f t="shared" si="2"/>
        <v>0</v>
      </c>
      <c r="O5" s="7">
        <v>1.0</v>
      </c>
      <c r="P5" s="9">
        <f t="shared" si="3"/>
        <v>0</v>
      </c>
      <c r="Q5" s="79">
        <v>15.0</v>
      </c>
      <c r="R5" s="16">
        <v>27.0</v>
      </c>
      <c r="S5" s="7">
        <v>10.0</v>
      </c>
      <c r="T5" s="7">
        <v>500.0</v>
      </c>
      <c r="U5" s="7">
        <f t="shared" si="4"/>
        <v>75000</v>
      </c>
      <c r="V5" s="7">
        <f t="shared" si="5"/>
        <v>12.7</v>
      </c>
      <c r="W5" s="14">
        <f t="shared" si="6"/>
        <v>6350</v>
      </c>
      <c r="X5" s="94">
        <f t="shared" si="7"/>
        <v>20250</v>
      </c>
      <c r="Y5" s="80">
        <v>40.0</v>
      </c>
      <c r="Z5" s="7">
        <v>500.0</v>
      </c>
      <c r="AA5" s="7">
        <v>1.2</v>
      </c>
      <c r="AB5" s="7">
        <f t="shared" si="8"/>
        <v>600</v>
      </c>
      <c r="AC5" s="7">
        <f t="shared" si="9"/>
        <v>300</v>
      </c>
      <c r="AD5" s="7">
        <f t="shared" si="10"/>
        <v>240</v>
      </c>
      <c r="AE5" s="83">
        <f t="shared" si="11"/>
        <v>3600</v>
      </c>
      <c r="AF5" s="84">
        <v>20.0</v>
      </c>
      <c r="AG5" s="7">
        <v>1000.0</v>
      </c>
      <c r="AH5" s="78">
        <v>0.5</v>
      </c>
      <c r="AI5" s="7">
        <f t="shared" si="12"/>
        <v>500</v>
      </c>
      <c r="AJ5" s="7">
        <f t="shared" si="13"/>
        <v>800</v>
      </c>
      <c r="AK5" s="7">
        <f t="shared" si="14"/>
        <v>100</v>
      </c>
      <c r="AL5" s="14">
        <f t="shared" si="15"/>
        <v>1500</v>
      </c>
      <c r="AM5" s="84">
        <v>36.0</v>
      </c>
      <c r="AN5" s="78">
        <v>3.0</v>
      </c>
      <c r="AO5" s="78">
        <v>20.0</v>
      </c>
      <c r="AP5" s="7">
        <f t="shared" si="16"/>
        <v>60</v>
      </c>
      <c r="AQ5" s="7">
        <f t="shared" si="17"/>
        <v>1.92</v>
      </c>
      <c r="AR5" s="7">
        <f t="shared" si="18"/>
        <v>21.6</v>
      </c>
      <c r="AS5" s="14">
        <f t="shared" si="19"/>
        <v>324</v>
      </c>
      <c r="AT5" s="82">
        <v>0.0</v>
      </c>
      <c r="AU5" s="78">
        <v>18000.0</v>
      </c>
      <c r="AV5" s="14">
        <f t="shared" ref="AV5:AV60" si="25">AU5-(AU5*(1-AT5%))</f>
        <v>0</v>
      </c>
      <c r="AW5" s="80">
        <v>10.0</v>
      </c>
      <c r="AX5" s="78">
        <v>6000.0</v>
      </c>
      <c r="AY5" s="14">
        <f t="shared" si="20"/>
        <v>600</v>
      </c>
      <c r="AZ5" s="75">
        <f t="shared" si="21"/>
        <v>26034</v>
      </c>
      <c r="BA5" s="98" t="str">
        <f t="shared" si="22"/>
        <v>The DAT is free</v>
      </c>
      <c r="BB5" s="11">
        <f t="shared" si="23"/>
        <v>0</v>
      </c>
      <c r="BC5" s="69" t="str">
        <f t="shared" si="24"/>
        <v>YES</v>
      </c>
    </row>
    <row r="6" ht="15.75" customHeight="1">
      <c r="A6" s="12"/>
      <c r="B6" s="26" t="s">
        <v>14</v>
      </c>
      <c r="C6" s="26" t="s">
        <v>91</v>
      </c>
      <c r="D6" s="7" t="s">
        <v>108</v>
      </c>
      <c r="E6" s="7" t="s">
        <v>109</v>
      </c>
      <c r="F6" s="7" t="s">
        <v>51</v>
      </c>
      <c r="G6" s="84" t="s">
        <v>580</v>
      </c>
      <c r="H6" s="7">
        <v>6.0</v>
      </c>
      <c r="I6" s="7">
        <v>3300.0</v>
      </c>
      <c r="J6" s="7"/>
      <c r="K6" s="78"/>
      <c r="L6" s="7"/>
      <c r="M6" s="9">
        <f t="shared" si="1"/>
        <v>550</v>
      </c>
      <c r="N6" s="9">
        <f t="shared" si="2"/>
        <v>132</v>
      </c>
      <c r="O6" s="7">
        <v>1.0</v>
      </c>
      <c r="P6" s="9">
        <f t="shared" si="3"/>
        <v>3300</v>
      </c>
      <c r="Q6" s="79">
        <v>15.0</v>
      </c>
      <c r="R6" s="16">
        <v>27.0</v>
      </c>
      <c r="S6" s="7">
        <v>10.0</v>
      </c>
      <c r="T6" s="7">
        <v>500.0</v>
      </c>
      <c r="U6" s="7">
        <f t="shared" si="4"/>
        <v>75000</v>
      </c>
      <c r="V6" s="7">
        <f t="shared" si="5"/>
        <v>12.7</v>
      </c>
      <c r="W6" s="14">
        <f t="shared" si="6"/>
        <v>6350</v>
      </c>
      <c r="X6" s="94">
        <f t="shared" si="7"/>
        <v>20250</v>
      </c>
      <c r="Y6" s="80">
        <v>40.0</v>
      </c>
      <c r="Z6" s="7">
        <v>500.0</v>
      </c>
      <c r="AA6" s="7">
        <v>1.2</v>
      </c>
      <c r="AB6" s="7">
        <f t="shared" si="8"/>
        <v>600</v>
      </c>
      <c r="AC6" s="7">
        <f t="shared" si="9"/>
        <v>300</v>
      </c>
      <c r="AD6" s="7">
        <f t="shared" si="10"/>
        <v>240</v>
      </c>
      <c r="AE6" s="83">
        <f t="shared" si="11"/>
        <v>3600</v>
      </c>
      <c r="AF6" s="84">
        <v>20.0</v>
      </c>
      <c r="AG6" s="7">
        <v>1000.0</v>
      </c>
      <c r="AH6" s="78">
        <v>0.5</v>
      </c>
      <c r="AI6" s="7">
        <f t="shared" si="12"/>
        <v>500</v>
      </c>
      <c r="AJ6" s="7">
        <f t="shared" si="13"/>
        <v>800</v>
      </c>
      <c r="AK6" s="7">
        <f t="shared" si="14"/>
        <v>100</v>
      </c>
      <c r="AL6" s="14">
        <f t="shared" si="15"/>
        <v>1500</v>
      </c>
      <c r="AM6" s="84">
        <v>36.0</v>
      </c>
      <c r="AN6" s="78">
        <v>3.0</v>
      </c>
      <c r="AO6" s="78">
        <v>20.0</v>
      </c>
      <c r="AP6" s="7">
        <f t="shared" si="16"/>
        <v>60</v>
      </c>
      <c r="AQ6" s="7">
        <f t="shared" si="17"/>
        <v>1.92</v>
      </c>
      <c r="AR6" s="7">
        <f t="shared" si="18"/>
        <v>21.6</v>
      </c>
      <c r="AS6" s="14">
        <f t="shared" si="19"/>
        <v>324</v>
      </c>
      <c r="AT6" s="82">
        <v>0.0</v>
      </c>
      <c r="AU6" s="78">
        <v>18000.0</v>
      </c>
      <c r="AV6" s="14">
        <f t="shared" si="25"/>
        <v>0</v>
      </c>
      <c r="AW6" s="80">
        <v>10.0</v>
      </c>
      <c r="AX6" s="78">
        <v>6000.0</v>
      </c>
      <c r="AY6" s="14">
        <f t="shared" si="20"/>
        <v>600</v>
      </c>
      <c r="AZ6" s="75">
        <f t="shared" si="21"/>
        <v>25592</v>
      </c>
      <c r="BA6" s="98">
        <f t="shared" si="22"/>
        <v>7.755151515</v>
      </c>
      <c r="BB6" s="11">
        <f t="shared" si="23"/>
        <v>0.1289465458</v>
      </c>
      <c r="BC6" s="69" t="str">
        <f t="shared" si="24"/>
        <v>YES</v>
      </c>
    </row>
    <row r="7" ht="15.75" customHeight="1">
      <c r="A7" s="12"/>
      <c r="B7" s="26" t="s">
        <v>14</v>
      </c>
      <c r="C7" s="26" t="s">
        <v>91</v>
      </c>
      <c r="D7" s="7" t="s">
        <v>113</v>
      </c>
      <c r="E7" s="7" t="s">
        <v>109</v>
      </c>
      <c r="F7" s="7" t="s">
        <v>51</v>
      </c>
      <c r="G7" s="84" t="s">
        <v>496</v>
      </c>
      <c r="H7" s="7">
        <v>6.0</v>
      </c>
      <c r="I7" s="7">
        <v>6300.0</v>
      </c>
      <c r="J7" s="7"/>
      <c r="L7" s="7"/>
      <c r="M7" s="9">
        <f t="shared" si="1"/>
        <v>1050</v>
      </c>
      <c r="N7" s="9">
        <f t="shared" si="2"/>
        <v>252</v>
      </c>
      <c r="O7" s="7">
        <v>1.0</v>
      </c>
      <c r="P7" s="9">
        <f t="shared" si="3"/>
        <v>6300</v>
      </c>
      <c r="Q7" s="79">
        <v>15.0</v>
      </c>
      <c r="R7" s="16">
        <v>27.0</v>
      </c>
      <c r="S7" s="7">
        <v>10.0</v>
      </c>
      <c r="T7" s="7">
        <v>500.0</v>
      </c>
      <c r="U7" s="7">
        <f t="shared" si="4"/>
        <v>75000</v>
      </c>
      <c r="V7" s="7">
        <f t="shared" si="5"/>
        <v>12.7</v>
      </c>
      <c r="W7" s="14">
        <f t="shared" si="6"/>
        <v>6350</v>
      </c>
      <c r="X7" s="94">
        <f t="shared" si="7"/>
        <v>20250</v>
      </c>
      <c r="Y7" s="80">
        <v>40.0</v>
      </c>
      <c r="Z7" s="7">
        <v>500.0</v>
      </c>
      <c r="AA7" s="7">
        <v>1.2</v>
      </c>
      <c r="AB7" s="7">
        <f t="shared" si="8"/>
        <v>600</v>
      </c>
      <c r="AC7" s="7">
        <f t="shared" si="9"/>
        <v>300</v>
      </c>
      <c r="AD7" s="7">
        <f t="shared" si="10"/>
        <v>240</v>
      </c>
      <c r="AE7" s="83">
        <f t="shared" si="11"/>
        <v>3600</v>
      </c>
      <c r="AF7" s="84">
        <v>20.0</v>
      </c>
      <c r="AG7" s="7">
        <v>1000.0</v>
      </c>
      <c r="AH7" s="78">
        <v>0.5</v>
      </c>
      <c r="AI7" s="7">
        <f t="shared" si="12"/>
        <v>500</v>
      </c>
      <c r="AJ7" s="7">
        <f t="shared" si="13"/>
        <v>800</v>
      </c>
      <c r="AK7" s="7">
        <f t="shared" si="14"/>
        <v>100</v>
      </c>
      <c r="AL7" s="14">
        <f t="shared" si="15"/>
        <v>1500</v>
      </c>
      <c r="AM7" s="84">
        <v>36.0</v>
      </c>
      <c r="AN7" s="78">
        <v>3.0</v>
      </c>
      <c r="AO7" s="78">
        <v>20.0</v>
      </c>
      <c r="AP7" s="7">
        <f t="shared" si="16"/>
        <v>60</v>
      </c>
      <c r="AQ7" s="7">
        <f t="shared" si="17"/>
        <v>1.92</v>
      </c>
      <c r="AR7" s="7">
        <f t="shared" si="18"/>
        <v>21.6</v>
      </c>
      <c r="AS7" s="14">
        <f t="shared" si="19"/>
        <v>324</v>
      </c>
      <c r="AT7" s="82">
        <v>0.0</v>
      </c>
      <c r="AU7" s="78">
        <v>18000.0</v>
      </c>
      <c r="AV7" s="14">
        <f t="shared" si="25"/>
        <v>0</v>
      </c>
      <c r="AW7" s="80">
        <v>10.0</v>
      </c>
      <c r="AX7" s="78">
        <v>6000.0</v>
      </c>
      <c r="AY7" s="14">
        <f t="shared" si="20"/>
        <v>600</v>
      </c>
      <c r="AZ7" s="75">
        <f t="shared" si="21"/>
        <v>24972</v>
      </c>
      <c r="BA7" s="98">
        <f t="shared" si="22"/>
        <v>3.963809524</v>
      </c>
      <c r="BB7" s="11">
        <f t="shared" si="23"/>
        <v>0.2522825565</v>
      </c>
      <c r="BC7" s="69" t="str">
        <f t="shared" si="24"/>
        <v>YES</v>
      </c>
    </row>
    <row r="8" ht="34.5" customHeight="1">
      <c r="A8" s="12"/>
      <c r="B8" s="26" t="s">
        <v>14</v>
      </c>
      <c r="C8" s="26" t="s">
        <v>37</v>
      </c>
      <c r="D8" s="7" t="s">
        <v>130</v>
      </c>
      <c r="E8" s="7" t="s">
        <v>130</v>
      </c>
      <c r="F8" s="7" t="s">
        <v>51</v>
      </c>
      <c r="G8" s="84" t="s">
        <v>494</v>
      </c>
      <c r="H8" s="7">
        <v>6.0</v>
      </c>
      <c r="I8" s="7"/>
      <c r="J8" s="7"/>
      <c r="L8" s="7">
        <v>500.0</v>
      </c>
      <c r="M8" s="9">
        <f t="shared" si="1"/>
        <v>0</v>
      </c>
      <c r="N8" s="9">
        <f t="shared" si="2"/>
        <v>0</v>
      </c>
      <c r="O8" s="7">
        <v>1.0</v>
      </c>
      <c r="P8" s="9">
        <f t="shared" si="3"/>
        <v>0</v>
      </c>
      <c r="Q8" s="79">
        <v>15.0</v>
      </c>
      <c r="R8" s="16">
        <v>27.0</v>
      </c>
      <c r="S8" s="7">
        <v>10.0</v>
      </c>
      <c r="T8" s="7">
        <v>500.0</v>
      </c>
      <c r="U8" s="7">
        <f t="shared" si="4"/>
        <v>75000</v>
      </c>
      <c r="V8" s="7">
        <f t="shared" si="5"/>
        <v>12.7</v>
      </c>
      <c r="W8" s="14">
        <f t="shared" si="6"/>
        <v>6350</v>
      </c>
      <c r="X8" s="94">
        <f t="shared" si="7"/>
        <v>20250</v>
      </c>
      <c r="Y8" s="80">
        <v>40.0</v>
      </c>
      <c r="Z8" s="7">
        <v>500.0</v>
      </c>
      <c r="AA8" s="7">
        <v>1.2</v>
      </c>
      <c r="AB8" s="7">
        <f t="shared" si="8"/>
        <v>600</v>
      </c>
      <c r="AC8" s="7">
        <f t="shared" si="9"/>
        <v>300</v>
      </c>
      <c r="AD8" s="7">
        <f t="shared" si="10"/>
        <v>240</v>
      </c>
      <c r="AE8" s="83">
        <f t="shared" si="11"/>
        <v>3600</v>
      </c>
      <c r="AF8" s="84">
        <v>20.0</v>
      </c>
      <c r="AG8" s="7">
        <v>1000.0</v>
      </c>
      <c r="AH8" s="78">
        <v>0.5</v>
      </c>
      <c r="AI8" s="7">
        <f t="shared" si="12"/>
        <v>500</v>
      </c>
      <c r="AJ8" s="7">
        <f t="shared" si="13"/>
        <v>800</v>
      </c>
      <c r="AK8" s="7">
        <f t="shared" si="14"/>
        <v>100</v>
      </c>
      <c r="AL8" s="14">
        <f t="shared" si="15"/>
        <v>1500</v>
      </c>
      <c r="AM8" s="84">
        <v>36.0</v>
      </c>
      <c r="AN8" s="78">
        <v>3.0</v>
      </c>
      <c r="AO8" s="78">
        <v>20.0</v>
      </c>
      <c r="AP8" s="7">
        <f t="shared" si="16"/>
        <v>60</v>
      </c>
      <c r="AQ8" s="7">
        <f t="shared" si="17"/>
        <v>1.92</v>
      </c>
      <c r="AR8" s="7">
        <f t="shared" si="18"/>
        <v>21.6</v>
      </c>
      <c r="AS8" s="14">
        <f t="shared" si="19"/>
        <v>324</v>
      </c>
      <c r="AT8" s="82">
        <v>0.0</v>
      </c>
      <c r="AU8" s="78">
        <v>18000.0</v>
      </c>
      <c r="AV8" s="14">
        <f t="shared" si="25"/>
        <v>0</v>
      </c>
      <c r="AW8" s="80">
        <v>10.0</v>
      </c>
      <c r="AX8" s="78">
        <v>6000.0</v>
      </c>
      <c r="AY8" s="14">
        <f t="shared" si="20"/>
        <v>600</v>
      </c>
      <c r="AZ8" s="75">
        <f t="shared" si="21"/>
        <v>25774</v>
      </c>
      <c r="BA8" s="98" t="str">
        <f t="shared" si="22"/>
        <v>The DAT is free</v>
      </c>
      <c r="BB8" s="11">
        <f t="shared" si="23"/>
        <v>0</v>
      </c>
      <c r="BC8" s="69" t="str">
        <f t="shared" si="24"/>
        <v>YES</v>
      </c>
    </row>
    <row r="9" ht="15.75" customHeight="1">
      <c r="A9" s="12"/>
      <c r="B9" s="26" t="s">
        <v>36</v>
      </c>
      <c r="C9" s="26" t="s">
        <v>91</v>
      </c>
      <c r="D9" s="7" t="s">
        <v>46</v>
      </c>
      <c r="E9" s="7" t="s">
        <v>47</v>
      </c>
      <c r="F9" s="7" t="s">
        <v>51</v>
      </c>
      <c r="G9" s="84" t="s">
        <v>52</v>
      </c>
      <c r="H9" s="7">
        <v>6.0</v>
      </c>
      <c r="I9" s="7">
        <v>4900.0</v>
      </c>
      <c r="J9" s="7"/>
      <c r="K9" s="7">
        <v>150.0</v>
      </c>
      <c r="L9" s="7">
        <f>K9*12</f>
        <v>1800</v>
      </c>
      <c r="M9" s="9">
        <f t="shared" si="1"/>
        <v>816.6666667</v>
      </c>
      <c r="N9" s="9">
        <f t="shared" si="2"/>
        <v>196</v>
      </c>
      <c r="O9" s="7">
        <v>1.0</v>
      </c>
      <c r="P9" s="9">
        <f t="shared" si="3"/>
        <v>4900</v>
      </c>
      <c r="Q9" s="79">
        <v>15.0</v>
      </c>
      <c r="R9" s="16">
        <v>27.0</v>
      </c>
      <c r="S9" s="7">
        <v>10.0</v>
      </c>
      <c r="T9" s="7">
        <v>500.0</v>
      </c>
      <c r="U9" s="7">
        <f t="shared" si="4"/>
        <v>75000</v>
      </c>
      <c r="V9" s="7">
        <f t="shared" si="5"/>
        <v>12.7</v>
      </c>
      <c r="W9" s="14">
        <f t="shared" si="6"/>
        <v>6350</v>
      </c>
      <c r="X9" s="94">
        <f t="shared" si="7"/>
        <v>20250</v>
      </c>
      <c r="Y9" s="80">
        <v>40.0</v>
      </c>
      <c r="Z9" s="7">
        <v>500.0</v>
      </c>
      <c r="AA9" s="7">
        <v>1.2</v>
      </c>
      <c r="AB9" s="7">
        <f t="shared" si="8"/>
        <v>600</v>
      </c>
      <c r="AC9" s="7">
        <f t="shared" si="9"/>
        <v>300</v>
      </c>
      <c r="AD9" s="7">
        <f t="shared" si="10"/>
        <v>240</v>
      </c>
      <c r="AE9" s="83">
        <f t="shared" si="11"/>
        <v>3600</v>
      </c>
      <c r="AF9" s="84">
        <v>20.0</v>
      </c>
      <c r="AG9" s="7">
        <v>1000.0</v>
      </c>
      <c r="AH9" s="78">
        <v>0.5</v>
      </c>
      <c r="AI9" s="7">
        <f t="shared" si="12"/>
        <v>500</v>
      </c>
      <c r="AJ9" s="7">
        <f t="shared" si="13"/>
        <v>800</v>
      </c>
      <c r="AK9" s="7">
        <f t="shared" si="14"/>
        <v>100</v>
      </c>
      <c r="AL9" s="14">
        <f t="shared" si="15"/>
        <v>1500</v>
      </c>
      <c r="AM9" s="84">
        <v>36.0</v>
      </c>
      <c r="AN9" s="78">
        <v>3.0</v>
      </c>
      <c r="AO9" s="78">
        <v>20.0</v>
      </c>
      <c r="AP9" s="7">
        <f t="shared" si="16"/>
        <v>60</v>
      </c>
      <c r="AQ9" s="7">
        <f t="shared" si="17"/>
        <v>1.92</v>
      </c>
      <c r="AR9" s="7">
        <f t="shared" si="18"/>
        <v>21.6</v>
      </c>
      <c r="AS9" s="14">
        <f t="shared" si="19"/>
        <v>324</v>
      </c>
      <c r="AT9" s="82">
        <v>0.0</v>
      </c>
      <c r="AU9" s="78">
        <v>18000.0</v>
      </c>
      <c r="AV9" s="14">
        <f t="shared" si="25"/>
        <v>0</v>
      </c>
      <c r="AW9" s="80">
        <v>10.0</v>
      </c>
      <c r="AX9" s="78">
        <v>6000.0</v>
      </c>
      <c r="AY9" s="14">
        <f t="shared" si="20"/>
        <v>600</v>
      </c>
      <c r="AZ9" s="75">
        <f t="shared" si="21"/>
        <v>23461.33333</v>
      </c>
      <c r="BA9" s="98">
        <f t="shared" si="22"/>
        <v>4.788027211</v>
      </c>
      <c r="BB9" s="11">
        <f t="shared" si="23"/>
        <v>0.2088542851</v>
      </c>
      <c r="BC9" s="69" t="str">
        <f t="shared" si="24"/>
        <v>YES</v>
      </c>
    </row>
    <row r="10" ht="15.75" customHeight="1">
      <c r="A10" s="12"/>
      <c r="B10" s="26" t="s">
        <v>36</v>
      </c>
      <c r="C10" s="26" t="s">
        <v>91</v>
      </c>
      <c r="D10" s="7" t="s">
        <v>53</v>
      </c>
      <c r="E10" s="7" t="s">
        <v>54</v>
      </c>
      <c r="F10" s="7" t="s">
        <v>51</v>
      </c>
      <c r="G10" s="84" t="s">
        <v>485</v>
      </c>
      <c r="H10" s="7">
        <v>6.0</v>
      </c>
      <c r="I10" s="7"/>
      <c r="J10" s="7"/>
      <c r="K10" s="7">
        <v>30.0</v>
      </c>
      <c r="L10" s="7">
        <v>360.0</v>
      </c>
      <c r="M10" s="9">
        <f t="shared" si="1"/>
        <v>0</v>
      </c>
      <c r="N10" s="9">
        <f t="shared" si="2"/>
        <v>0</v>
      </c>
      <c r="O10" s="7">
        <v>1.0</v>
      </c>
      <c r="P10" s="9">
        <f t="shared" si="3"/>
        <v>0</v>
      </c>
      <c r="Q10" s="79">
        <v>15.0</v>
      </c>
      <c r="R10" s="16">
        <v>27.0</v>
      </c>
      <c r="S10" s="7">
        <v>10.0</v>
      </c>
      <c r="T10" s="7">
        <v>500.0</v>
      </c>
      <c r="U10" s="7">
        <f t="shared" si="4"/>
        <v>75000</v>
      </c>
      <c r="V10" s="7">
        <f t="shared" si="5"/>
        <v>12.7</v>
      </c>
      <c r="W10" s="14">
        <f t="shared" si="6"/>
        <v>6350</v>
      </c>
      <c r="X10" s="94">
        <f t="shared" si="7"/>
        <v>20250</v>
      </c>
      <c r="Y10" s="80">
        <v>40.0</v>
      </c>
      <c r="Z10" s="7">
        <v>500.0</v>
      </c>
      <c r="AA10" s="7">
        <v>1.2</v>
      </c>
      <c r="AB10" s="7">
        <f t="shared" si="8"/>
        <v>600</v>
      </c>
      <c r="AC10" s="7">
        <f t="shared" si="9"/>
        <v>300</v>
      </c>
      <c r="AD10" s="7">
        <f t="shared" si="10"/>
        <v>240</v>
      </c>
      <c r="AE10" s="83">
        <f t="shared" si="11"/>
        <v>3600</v>
      </c>
      <c r="AF10" s="84">
        <v>20.0</v>
      </c>
      <c r="AG10" s="7">
        <v>1000.0</v>
      </c>
      <c r="AH10" s="78">
        <v>0.5</v>
      </c>
      <c r="AI10" s="7">
        <f t="shared" si="12"/>
        <v>500</v>
      </c>
      <c r="AJ10" s="7">
        <f t="shared" si="13"/>
        <v>800</v>
      </c>
      <c r="AK10" s="7">
        <f t="shared" si="14"/>
        <v>100</v>
      </c>
      <c r="AL10" s="14">
        <f t="shared" si="15"/>
        <v>1500</v>
      </c>
      <c r="AM10" s="84">
        <v>36.0</v>
      </c>
      <c r="AN10" s="78">
        <v>3.0</v>
      </c>
      <c r="AO10" s="78">
        <v>20.0</v>
      </c>
      <c r="AP10" s="7">
        <f t="shared" si="16"/>
        <v>60</v>
      </c>
      <c r="AQ10" s="7">
        <f t="shared" si="17"/>
        <v>1.92</v>
      </c>
      <c r="AR10" s="7">
        <f t="shared" si="18"/>
        <v>21.6</v>
      </c>
      <c r="AS10" s="14">
        <f t="shared" si="19"/>
        <v>324</v>
      </c>
      <c r="AT10" s="82">
        <v>0.0</v>
      </c>
      <c r="AU10" s="78">
        <v>18000.0</v>
      </c>
      <c r="AV10" s="14">
        <f t="shared" si="25"/>
        <v>0</v>
      </c>
      <c r="AW10" s="82">
        <v>0.0</v>
      </c>
      <c r="AX10" s="78">
        <v>6000.0</v>
      </c>
      <c r="AY10" s="14">
        <f t="shared" si="20"/>
        <v>0</v>
      </c>
      <c r="AZ10" s="75">
        <f t="shared" si="21"/>
        <v>25314</v>
      </c>
      <c r="BA10" s="98" t="str">
        <f t="shared" si="22"/>
        <v>The DAT is free</v>
      </c>
      <c r="BB10" s="11">
        <f t="shared" si="23"/>
        <v>0</v>
      </c>
      <c r="BC10" s="69" t="str">
        <f t="shared" si="24"/>
        <v>YES</v>
      </c>
    </row>
    <row r="11" ht="15.75" customHeight="1">
      <c r="A11" s="12"/>
      <c r="B11" s="26" t="s">
        <v>36</v>
      </c>
      <c r="C11" s="26" t="s">
        <v>91</v>
      </c>
      <c r="D11" s="7" t="s">
        <v>486</v>
      </c>
      <c r="E11" s="7" t="s">
        <v>60</v>
      </c>
      <c r="F11" s="7" t="s">
        <v>51</v>
      </c>
      <c r="G11" s="84" t="s">
        <v>487</v>
      </c>
      <c r="H11" s="7">
        <v>6.0</v>
      </c>
      <c r="I11" s="7"/>
      <c r="J11" s="7"/>
      <c r="L11" s="7">
        <v>250.0</v>
      </c>
      <c r="M11" s="9">
        <f t="shared" si="1"/>
        <v>0</v>
      </c>
      <c r="N11" s="9">
        <f t="shared" si="2"/>
        <v>0</v>
      </c>
      <c r="O11" s="7">
        <v>1.0</v>
      </c>
      <c r="P11" s="9">
        <f t="shared" si="3"/>
        <v>0</v>
      </c>
      <c r="Q11" s="79">
        <v>15.0</v>
      </c>
      <c r="R11" s="16">
        <v>27.0</v>
      </c>
      <c r="S11" s="7">
        <v>10.0</v>
      </c>
      <c r="T11" s="7">
        <v>500.0</v>
      </c>
      <c r="U11" s="7">
        <f t="shared" si="4"/>
        <v>75000</v>
      </c>
      <c r="V11" s="7">
        <f t="shared" si="5"/>
        <v>12.7</v>
      </c>
      <c r="W11" s="14">
        <f t="shared" si="6"/>
        <v>6350</v>
      </c>
      <c r="X11" s="94">
        <f t="shared" si="7"/>
        <v>20250</v>
      </c>
      <c r="Y11" s="80">
        <v>40.0</v>
      </c>
      <c r="Z11" s="7">
        <v>500.0</v>
      </c>
      <c r="AA11" s="7">
        <v>1.2</v>
      </c>
      <c r="AB11" s="7">
        <f t="shared" si="8"/>
        <v>600</v>
      </c>
      <c r="AC11" s="7">
        <f t="shared" si="9"/>
        <v>300</v>
      </c>
      <c r="AD11" s="7">
        <f t="shared" si="10"/>
        <v>240</v>
      </c>
      <c r="AE11" s="83">
        <f t="shared" si="11"/>
        <v>3600</v>
      </c>
      <c r="AF11" s="84">
        <v>20.0</v>
      </c>
      <c r="AG11" s="7">
        <v>1000.0</v>
      </c>
      <c r="AH11" s="78">
        <v>0.5</v>
      </c>
      <c r="AI11" s="7">
        <f t="shared" si="12"/>
        <v>500</v>
      </c>
      <c r="AJ11" s="7">
        <f t="shared" si="13"/>
        <v>800</v>
      </c>
      <c r="AK11" s="7">
        <f t="shared" si="14"/>
        <v>100</v>
      </c>
      <c r="AL11" s="14">
        <f t="shared" si="15"/>
        <v>1500</v>
      </c>
      <c r="AM11" s="84">
        <v>36.0</v>
      </c>
      <c r="AN11" s="78">
        <v>3.0</v>
      </c>
      <c r="AO11" s="78">
        <v>20.0</v>
      </c>
      <c r="AP11" s="7">
        <f t="shared" si="16"/>
        <v>60</v>
      </c>
      <c r="AQ11" s="7">
        <f t="shared" si="17"/>
        <v>1.92</v>
      </c>
      <c r="AR11" s="7">
        <f t="shared" si="18"/>
        <v>21.6</v>
      </c>
      <c r="AS11" s="14">
        <f t="shared" si="19"/>
        <v>324</v>
      </c>
      <c r="AT11" s="82">
        <v>0.0</v>
      </c>
      <c r="AU11" s="78">
        <v>18000.0</v>
      </c>
      <c r="AV11" s="14">
        <f t="shared" si="25"/>
        <v>0</v>
      </c>
      <c r="AW11" s="82">
        <v>0.0</v>
      </c>
      <c r="AX11" s="78">
        <v>6000.0</v>
      </c>
      <c r="AY11" s="14">
        <f t="shared" si="20"/>
        <v>0</v>
      </c>
      <c r="AZ11" s="75">
        <f t="shared" si="21"/>
        <v>25424</v>
      </c>
      <c r="BA11" s="98" t="str">
        <f t="shared" si="22"/>
        <v>The DAT is free</v>
      </c>
      <c r="BB11" s="11">
        <f t="shared" si="23"/>
        <v>0</v>
      </c>
      <c r="BC11" s="69" t="str">
        <f t="shared" si="24"/>
        <v>YES</v>
      </c>
    </row>
    <row r="12" ht="15.75" customHeight="1">
      <c r="A12" s="12"/>
      <c r="B12" s="26" t="s">
        <v>36</v>
      </c>
      <c r="C12" s="26" t="s">
        <v>91</v>
      </c>
      <c r="D12" s="7" t="s">
        <v>488</v>
      </c>
      <c r="E12" s="7"/>
      <c r="F12" s="7" t="s">
        <v>489</v>
      </c>
      <c r="G12" s="84" t="s">
        <v>490</v>
      </c>
      <c r="H12" s="7">
        <v>6.0</v>
      </c>
      <c r="I12" s="7"/>
      <c r="J12" s="7"/>
      <c r="L12" s="7">
        <v>950.0</v>
      </c>
      <c r="M12" s="9">
        <f t="shared" si="1"/>
        <v>0</v>
      </c>
      <c r="N12" s="9">
        <f t="shared" si="2"/>
        <v>0</v>
      </c>
      <c r="O12" s="7">
        <v>1.0</v>
      </c>
      <c r="P12" s="9">
        <f t="shared" si="3"/>
        <v>0</v>
      </c>
      <c r="Q12" s="79">
        <v>15.0</v>
      </c>
      <c r="R12" s="16">
        <v>27.0</v>
      </c>
      <c r="S12" s="7">
        <v>10.0</v>
      </c>
      <c r="T12" s="7">
        <v>500.0</v>
      </c>
      <c r="U12" s="7">
        <f t="shared" si="4"/>
        <v>75000</v>
      </c>
      <c r="V12" s="7">
        <f t="shared" si="5"/>
        <v>12.7</v>
      </c>
      <c r="W12" s="14">
        <f t="shared" si="6"/>
        <v>6350</v>
      </c>
      <c r="X12" s="94">
        <f t="shared" si="7"/>
        <v>20250</v>
      </c>
      <c r="Y12" s="80">
        <v>40.0</v>
      </c>
      <c r="Z12" s="7">
        <v>500.0</v>
      </c>
      <c r="AA12" s="7">
        <v>1.2</v>
      </c>
      <c r="AB12" s="7">
        <f t="shared" si="8"/>
        <v>600</v>
      </c>
      <c r="AC12" s="7">
        <f t="shared" si="9"/>
        <v>300</v>
      </c>
      <c r="AD12" s="7">
        <f t="shared" si="10"/>
        <v>240</v>
      </c>
      <c r="AE12" s="83">
        <f t="shared" si="11"/>
        <v>3600</v>
      </c>
      <c r="AF12" s="84">
        <v>20.0</v>
      </c>
      <c r="AG12" s="7">
        <v>1000.0</v>
      </c>
      <c r="AH12" s="78">
        <v>0.5</v>
      </c>
      <c r="AI12" s="7">
        <f t="shared" si="12"/>
        <v>500</v>
      </c>
      <c r="AJ12" s="7">
        <f t="shared" si="13"/>
        <v>800</v>
      </c>
      <c r="AK12" s="7">
        <f t="shared" si="14"/>
        <v>100</v>
      </c>
      <c r="AL12" s="14">
        <f t="shared" si="15"/>
        <v>1500</v>
      </c>
      <c r="AM12" s="84">
        <v>36.0</v>
      </c>
      <c r="AN12" s="78">
        <v>3.0</v>
      </c>
      <c r="AO12" s="78">
        <v>20.0</v>
      </c>
      <c r="AP12" s="7">
        <f t="shared" si="16"/>
        <v>60</v>
      </c>
      <c r="AQ12" s="7">
        <f t="shared" si="17"/>
        <v>1.92</v>
      </c>
      <c r="AR12" s="7">
        <f t="shared" si="18"/>
        <v>21.6</v>
      </c>
      <c r="AS12" s="14">
        <f t="shared" si="19"/>
        <v>324</v>
      </c>
      <c r="AT12" s="82">
        <v>0.0</v>
      </c>
      <c r="AU12" s="78">
        <v>18000.0</v>
      </c>
      <c r="AV12" s="14">
        <f t="shared" si="25"/>
        <v>0</v>
      </c>
      <c r="AW12" s="80">
        <v>10.0</v>
      </c>
      <c r="AX12" s="78">
        <v>6000.0</v>
      </c>
      <c r="AY12" s="14">
        <f t="shared" si="20"/>
        <v>600</v>
      </c>
      <c r="AZ12" s="75">
        <f t="shared" si="21"/>
        <v>25324</v>
      </c>
      <c r="BA12" s="98" t="str">
        <f t="shared" si="22"/>
        <v>The DAT is free</v>
      </c>
      <c r="BB12" s="11">
        <f t="shared" si="23"/>
        <v>0</v>
      </c>
      <c r="BC12" s="69" t="str">
        <f t="shared" si="24"/>
        <v>YES</v>
      </c>
    </row>
    <row r="13" ht="15.75" customHeight="1">
      <c r="A13" s="12"/>
      <c r="B13" s="26" t="s">
        <v>36</v>
      </c>
      <c r="C13" s="26" t="s">
        <v>91</v>
      </c>
      <c r="D13" s="7" t="s">
        <v>491</v>
      </c>
      <c r="E13" s="7" t="s">
        <v>72</v>
      </c>
      <c r="F13" s="7" t="s">
        <v>51</v>
      </c>
      <c r="G13" s="84" t="s">
        <v>492</v>
      </c>
      <c r="H13" s="7">
        <v>6.0</v>
      </c>
      <c r="I13" s="7"/>
      <c r="J13" s="7"/>
      <c r="L13" s="7">
        <v>60.0</v>
      </c>
      <c r="M13" s="9">
        <f t="shared" si="1"/>
        <v>0</v>
      </c>
      <c r="N13" s="9">
        <f t="shared" si="2"/>
        <v>0</v>
      </c>
      <c r="O13" s="7">
        <v>1.0</v>
      </c>
      <c r="P13" s="9">
        <f t="shared" si="3"/>
        <v>0</v>
      </c>
      <c r="Q13" s="79">
        <v>15.0</v>
      </c>
      <c r="R13" s="16">
        <v>27.0</v>
      </c>
      <c r="S13" s="7">
        <v>10.0</v>
      </c>
      <c r="T13" s="7">
        <v>500.0</v>
      </c>
      <c r="U13" s="7">
        <f t="shared" si="4"/>
        <v>75000</v>
      </c>
      <c r="V13" s="7">
        <f t="shared" si="5"/>
        <v>12.7</v>
      </c>
      <c r="W13" s="14">
        <f t="shared" si="6"/>
        <v>6350</v>
      </c>
      <c r="X13" s="94">
        <f t="shared" si="7"/>
        <v>20250</v>
      </c>
      <c r="Y13" s="82">
        <v>0.0</v>
      </c>
      <c r="Z13" s="7">
        <v>500.0</v>
      </c>
      <c r="AA13" s="7">
        <v>1.2</v>
      </c>
      <c r="AB13" s="7">
        <f t="shared" si="8"/>
        <v>600</v>
      </c>
      <c r="AC13" s="7">
        <f t="shared" si="9"/>
        <v>500</v>
      </c>
      <c r="AD13" s="7">
        <f t="shared" si="10"/>
        <v>0</v>
      </c>
      <c r="AE13" s="83">
        <f t="shared" si="11"/>
        <v>0</v>
      </c>
      <c r="AF13" s="84">
        <v>25.0</v>
      </c>
      <c r="AG13" s="7">
        <v>1000.0</v>
      </c>
      <c r="AH13" s="78">
        <v>0.5</v>
      </c>
      <c r="AI13" s="7">
        <f t="shared" si="12"/>
        <v>500</v>
      </c>
      <c r="AJ13" s="7">
        <f t="shared" si="13"/>
        <v>750</v>
      </c>
      <c r="AK13" s="7">
        <f t="shared" si="14"/>
        <v>125</v>
      </c>
      <c r="AL13" s="14">
        <f t="shared" si="15"/>
        <v>1875</v>
      </c>
      <c r="AM13" s="80">
        <v>0.0</v>
      </c>
      <c r="AN13" s="7">
        <v>3.0</v>
      </c>
      <c r="AO13" s="78">
        <v>20.0</v>
      </c>
      <c r="AP13" s="7">
        <f t="shared" si="16"/>
        <v>60</v>
      </c>
      <c r="AQ13" s="7">
        <f t="shared" si="17"/>
        <v>3</v>
      </c>
      <c r="AR13" s="7">
        <f t="shared" si="18"/>
        <v>0</v>
      </c>
      <c r="AS13" s="14">
        <f t="shared" si="19"/>
        <v>0</v>
      </c>
      <c r="AT13" s="82">
        <v>0.0</v>
      </c>
      <c r="AU13" s="78">
        <v>18000.0</v>
      </c>
      <c r="AV13" s="14">
        <f t="shared" si="25"/>
        <v>0</v>
      </c>
      <c r="AW13" s="82">
        <v>0.0</v>
      </c>
      <c r="AX13" s="78">
        <v>6000.0</v>
      </c>
      <c r="AY13" s="14">
        <f t="shared" si="20"/>
        <v>0</v>
      </c>
      <c r="AZ13" s="75">
        <f t="shared" si="21"/>
        <v>22065</v>
      </c>
      <c r="BA13" s="98" t="str">
        <f t="shared" si="22"/>
        <v>The DAT is free</v>
      </c>
      <c r="BB13" s="11">
        <f t="shared" si="23"/>
        <v>0</v>
      </c>
      <c r="BC13" s="69" t="str">
        <f t="shared" si="24"/>
        <v>YES</v>
      </c>
    </row>
    <row r="14" ht="15.75" customHeight="1">
      <c r="A14" s="12"/>
      <c r="B14" s="26" t="s">
        <v>503</v>
      </c>
      <c r="C14" s="26" t="s">
        <v>91</v>
      </c>
      <c r="D14" s="7" t="s">
        <v>79</v>
      </c>
      <c r="E14" s="7" t="s">
        <v>80</v>
      </c>
      <c r="F14" s="7" t="s">
        <v>51</v>
      </c>
      <c r="G14" s="84" t="s">
        <v>493</v>
      </c>
      <c r="H14" s="7">
        <v>6.0</v>
      </c>
      <c r="I14" s="7"/>
      <c r="J14" s="7">
        <v>6.0</v>
      </c>
      <c r="L14" s="7"/>
      <c r="M14" s="9">
        <f t="shared" si="1"/>
        <v>0</v>
      </c>
      <c r="N14" s="9">
        <f t="shared" si="2"/>
        <v>3.6</v>
      </c>
      <c r="O14" s="7">
        <v>1.0</v>
      </c>
      <c r="P14" s="9">
        <f t="shared" si="3"/>
        <v>90</v>
      </c>
      <c r="Q14" s="79">
        <v>15.0</v>
      </c>
      <c r="R14" s="16">
        <v>27.0</v>
      </c>
      <c r="S14" s="7">
        <v>10.0</v>
      </c>
      <c r="T14" s="7">
        <v>500.0</v>
      </c>
      <c r="U14" s="7">
        <f t="shared" si="4"/>
        <v>75000</v>
      </c>
      <c r="V14" s="7">
        <f t="shared" si="5"/>
        <v>12.7</v>
      </c>
      <c r="W14" s="14">
        <f t="shared" si="6"/>
        <v>6350</v>
      </c>
      <c r="X14" s="94">
        <f t="shared" si="7"/>
        <v>20250</v>
      </c>
      <c r="Y14" s="80">
        <v>40.0</v>
      </c>
      <c r="Z14" s="7">
        <v>500.0</v>
      </c>
      <c r="AA14" s="7">
        <v>1.2</v>
      </c>
      <c r="AB14" s="7">
        <f t="shared" si="8"/>
        <v>600</v>
      </c>
      <c r="AC14" s="7">
        <f t="shared" si="9"/>
        <v>300</v>
      </c>
      <c r="AD14" s="7">
        <f t="shared" si="10"/>
        <v>240</v>
      </c>
      <c r="AE14" s="83">
        <f t="shared" si="11"/>
        <v>3600</v>
      </c>
      <c r="AF14" s="84">
        <v>20.0</v>
      </c>
      <c r="AG14" s="7">
        <v>1000.0</v>
      </c>
      <c r="AH14" s="78">
        <v>0.5</v>
      </c>
      <c r="AI14" s="7">
        <f t="shared" si="12"/>
        <v>500</v>
      </c>
      <c r="AJ14" s="7">
        <f t="shared" si="13"/>
        <v>800</v>
      </c>
      <c r="AK14" s="7">
        <f t="shared" si="14"/>
        <v>100</v>
      </c>
      <c r="AL14" s="14">
        <f t="shared" si="15"/>
        <v>1500</v>
      </c>
      <c r="AM14" s="84">
        <v>36.0</v>
      </c>
      <c r="AN14" s="7">
        <v>3.0</v>
      </c>
      <c r="AO14" s="78">
        <v>20.0</v>
      </c>
      <c r="AP14" s="7">
        <f t="shared" si="16"/>
        <v>60</v>
      </c>
      <c r="AQ14" s="7">
        <f t="shared" si="17"/>
        <v>1.92</v>
      </c>
      <c r="AR14" s="7">
        <f t="shared" si="18"/>
        <v>21.6</v>
      </c>
      <c r="AS14" s="14">
        <f t="shared" si="19"/>
        <v>324</v>
      </c>
      <c r="AT14" s="82">
        <v>0.0</v>
      </c>
      <c r="AU14" s="78">
        <v>18000.0</v>
      </c>
      <c r="AV14" s="14">
        <f t="shared" si="25"/>
        <v>0</v>
      </c>
      <c r="AW14" s="80">
        <v>10.0</v>
      </c>
      <c r="AX14" s="78">
        <v>6000.0</v>
      </c>
      <c r="AY14" s="14">
        <f t="shared" si="20"/>
        <v>600</v>
      </c>
      <c r="AZ14" s="75">
        <f t="shared" si="21"/>
        <v>26270.4</v>
      </c>
      <c r="BA14" s="98">
        <f t="shared" si="22"/>
        <v>291.8933333</v>
      </c>
      <c r="BB14" s="11">
        <f t="shared" si="23"/>
        <v>0.003425909008</v>
      </c>
      <c r="BC14" s="69" t="str">
        <f t="shared" si="24"/>
        <v>YES</v>
      </c>
    </row>
    <row r="15" ht="15.75" customHeight="1">
      <c r="A15" s="12"/>
      <c r="B15" s="26" t="s">
        <v>14</v>
      </c>
      <c r="C15" s="26" t="s">
        <v>37</v>
      </c>
      <c r="D15" s="7" t="s">
        <v>135</v>
      </c>
      <c r="E15" s="7" t="s">
        <v>136</v>
      </c>
      <c r="F15" s="7" t="s">
        <v>51</v>
      </c>
      <c r="G15" s="84" t="s">
        <v>581</v>
      </c>
      <c r="H15" s="7">
        <v>6.0</v>
      </c>
      <c r="I15" s="7"/>
      <c r="J15" s="7"/>
      <c r="L15" s="7">
        <v>1000.0</v>
      </c>
      <c r="M15" s="9">
        <f t="shared" si="1"/>
        <v>0</v>
      </c>
      <c r="N15" s="9">
        <f t="shared" si="2"/>
        <v>0</v>
      </c>
      <c r="O15" s="7">
        <v>1.0</v>
      </c>
      <c r="P15" s="9">
        <f t="shared" si="3"/>
        <v>0</v>
      </c>
      <c r="Q15" s="79">
        <v>15.0</v>
      </c>
      <c r="R15" s="16">
        <v>27.0</v>
      </c>
      <c r="S15" s="7">
        <v>10.0</v>
      </c>
      <c r="T15" s="7">
        <v>500.0</v>
      </c>
      <c r="U15" s="7">
        <f t="shared" si="4"/>
        <v>75000</v>
      </c>
      <c r="V15" s="7">
        <f t="shared" si="5"/>
        <v>12.7</v>
      </c>
      <c r="W15" s="14">
        <f t="shared" si="6"/>
        <v>6350</v>
      </c>
      <c r="X15" s="94">
        <f t="shared" si="7"/>
        <v>20250</v>
      </c>
      <c r="Y15" s="80">
        <v>40.0</v>
      </c>
      <c r="Z15" s="7">
        <v>500.0</v>
      </c>
      <c r="AA15" s="7">
        <v>1.2</v>
      </c>
      <c r="AB15" s="7">
        <f t="shared" si="8"/>
        <v>600</v>
      </c>
      <c r="AC15" s="7">
        <f t="shared" si="9"/>
        <v>300</v>
      </c>
      <c r="AD15" s="7">
        <f t="shared" si="10"/>
        <v>240</v>
      </c>
      <c r="AE15" s="83">
        <f t="shared" si="11"/>
        <v>3600</v>
      </c>
      <c r="AF15" s="84">
        <v>20.0</v>
      </c>
      <c r="AG15" s="7">
        <v>1000.0</v>
      </c>
      <c r="AH15" s="78">
        <v>0.5</v>
      </c>
      <c r="AI15" s="7">
        <f t="shared" si="12"/>
        <v>500</v>
      </c>
      <c r="AJ15" s="7">
        <f t="shared" si="13"/>
        <v>800</v>
      </c>
      <c r="AK15" s="7">
        <f t="shared" si="14"/>
        <v>100</v>
      </c>
      <c r="AL15" s="14">
        <f t="shared" si="15"/>
        <v>1500</v>
      </c>
      <c r="AM15" s="84">
        <v>36.0</v>
      </c>
      <c r="AN15" s="7">
        <v>3.0</v>
      </c>
      <c r="AO15" s="78">
        <v>20.0</v>
      </c>
      <c r="AP15" s="7">
        <f t="shared" si="16"/>
        <v>60</v>
      </c>
      <c r="AQ15" s="7">
        <f t="shared" si="17"/>
        <v>1.92</v>
      </c>
      <c r="AR15" s="7">
        <f t="shared" si="18"/>
        <v>21.6</v>
      </c>
      <c r="AS15" s="14">
        <f t="shared" si="19"/>
        <v>324</v>
      </c>
      <c r="AT15" s="82">
        <v>0.0</v>
      </c>
      <c r="AU15" s="78">
        <v>18000.0</v>
      </c>
      <c r="AV15" s="14">
        <f t="shared" si="25"/>
        <v>0</v>
      </c>
      <c r="AW15" s="80">
        <v>10.0</v>
      </c>
      <c r="AX15" s="78">
        <v>6000.0</v>
      </c>
      <c r="AY15" s="14">
        <f t="shared" si="20"/>
        <v>600</v>
      </c>
      <c r="AZ15" s="75">
        <f t="shared" si="21"/>
        <v>25274</v>
      </c>
      <c r="BA15" s="98" t="str">
        <f t="shared" si="22"/>
        <v>The DAT is free</v>
      </c>
      <c r="BB15" s="11">
        <f t="shared" si="23"/>
        <v>0</v>
      </c>
      <c r="BC15" s="69" t="str">
        <f t="shared" si="24"/>
        <v>YES</v>
      </c>
    </row>
    <row r="16" ht="15.75" customHeight="1">
      <c r="A16" s="12"/>
      <c r="B16" s="26" t="s">
        <v>14</v>
      </c>
      <c r="C16" s="26" t="s">
        <v>15</v>
      </c>
      <c r="D16" s="7" t="s">
        <v>124</v>
      </c>
      <c r="E16" s="7" t="s">
        <v>125</v>
      </c>
      <c r="F16" s="7" t="s">
        <v>51</v>
      </c>
      <c r="G16" s="84" t="s">
        <v>128</v>
      </c>
      <c r="H16" s="7">
        <v>6.0</v>
      </c>
      <c r="I16" s="7"/>
      <c r="J16" s="7"/>
      <c r="L16" s="7">
        <v>400.0</v>
      </c>
      <c r="M16" s="9">
        <f t="shared" si="1"/>
        <v>0</v>
      </c>
      <c r="N16" s="9">
        <f t="shared" si="2"/>
        <v>0</v>
      </c>
      <c r="O16" s="7">
        <v>1.0</v>
      </c>
      <c r="P16" s="9">
        <f t="shared" si="3"/>
        <v>0</v>
      </c>
      <c r="Q16" s="79">
        <v>15.0</v>
      </c>
      <c r="R16" s="16">
        <v>27.0</v>
      </c>
      <c r="S16" s="7">
        <v>10.0</v>
      </c>
      <c r="T16" s="7">
        <v>500.0</v>
      </c>
      <c r="U16" s="7">
        <f t="shared" si="4"/>
        <v>75000</v>
      </c>
      <c r="V16" s="7">
        <f t="shared" si="5"/>
        <v>12.7</v>
      </c>
      <c r="W16" s="14">
        <f t="shared" si="6"/>
        <v>6350</v>
      </c>
      <c r="X16" s="94">
        <f t="shared" si="7"/>
        <v>20250</v>
      </c>
      <c r="Y16" s="82">
        <v>0.0</v>
      </c>
      <c r="Z16" s="7">
        <v>500.0</v>
      </c>
      <c r="AA16" s="7">
        <v>1.2</v>
      </c>
      <c r="AB16" s="7">
        <f t="shared" si="8"/>
        <v>600</v>
      </c>
      <c r="AC16" s="7">
        <f t="shared" si="9"/>
        <v>500</v>
      </c>
      <c r="AD16" s="7">
        <f t="shared" si="10"/>
        <v>0</v>
      </c>
      <c r="AE16" s="83">
        <f t="shared" si="11"/>
        <v>0</v>
      </c>
      <c r="AF16" s="84">
        <v>25.0</v>
      </c>
      <c r="AG16" s="7">
        <v>1000.0</v>
      </c>
      <c r="AH16" s="78">
        <v>0.5</v>
      </c>
      <c r="AI16" s="7">
        <f t="shared" si="12"/>
        <v>500</v>
      </c>
      <c r="AJ16" s="7">
        <f t="shared" si="13"/>
        <v>750</v>
      </c>
      <c r="AK16" s="7">
        <f t="shared" si="14"/>
        <v>125</v>
      </c>
      <c r="AL16" s="14">
        <f t="shared" si="15"/>
        <v>1875</v>
      </c>
      <c r="AM16" s="82">
        <v>0.0</v>
      </c>
      <c r="AN16" s="7">
        <v>3.0</v>
      </c>
      <c r="AO16" s="78">
        <v>20.0</v>
      </c>
      <c r="AP16" s="7">
        <f t="shared" si="16"/>
        <v>60</v>
      </c>
      <c r="AQ16" s="7">
        <f t="shared" si="17"/>
        <v>3</v>
      </c>
      <c r="AR16" s="7">
        <f t="shared" si="18"/>
        <v>0</v>
      </c>
      <c r="AS16" s="14">
        <f t="shared" si="19"/>
        <v>0</v>
      </c>
      <c r="AT16" s="82">
        <v>0.0</v>
      </c>
      <c r="AU16" s="78">
        <v>18000.0</v>
      </c>
      <c r="AV16" s="14">
        <f t="shared" si="25"/>
        <v>0</v>
      </c>
      <c r="AW16" s="82">
        <v>0.0</v>
      </c>
      <c r="AX16" s="78">
        <v>6000.0</v>
      </c>
      <c r="AY16" s="14">
        <f t="shared" si="20"/>
        <v>0</v>
      </c>
      <c r="AZ16" s="75">
        <f t="shared" si="21"/>
        <v>21725</v>
      </c>
      <c r="BA16" s="98" t="str">
        <f t="shared" si="22"/>
        <v>The DAT is free</v>
      </c>
      <c r="BB16" s="11">
        <f t="shared" si="23"/>
        <v>0</v>
      </c>
      <c r="BC16" s="69" t="str">
        <f t="shared" si="24"/>
        <v>YES</v>
      </c>
    </row>
    <row r="17" ht="15.75" customHeight="1">
      <c r="A17" s="12"/>
      <c r="B17" s="26" t="s">
        <v>14</v>
      </c>
      <c r="C17" s="26" t="s">
        <v>15</v>
      </c>
      <c r="D17" s="7" t="s">
        <v>85</v>
      </c>
      <c r="E17" s="7" t="s">
        <v>86</v>
      </c>
      <c r="F17" s="7" t="s">
        <v>89</v>
      </c>
      <c r="G17" s="84" t="s">
        <v>472</v>
      </c>
      <c r="H17" s="7">
        <v>6.0</v>
      </c>
      <c r="I17" s="7">
        <v>200.0</v>
      </c>
      <c r="J17" s="7"/>
      <c r="L17" s="7"/>
      <c r="M17" s="9">
        <f t="shared" si="1"/>
        <v>0</v>
      </c>
      <c r="N17" s="9">
        <f t="shared" si="2"/>
        <v>8</v>
      </c>
      <c r="O17" s="7">
        <v>1.0</v>
      </c>
      <c r="P17" s="9">
        <f t="shared" si="3"/>
        <v>200</v>
      </c>
      <c r="Q17" s="79">
        <v>15.0</v>
      </c>
      <c r="R17" s="16">
        <v>27.0</v>
      </c>
      <c r="S17" s="7">
        <v>10.0</v>
      </c>
      <c r="T17" s="7">
        <v>500.0</v>
      </c>
      <c r="U17" s="7">
        <f t="shared" si="4"/>
        <v>75000</v>
      </c>
      <c r="V17" s="7">
        <f t="shared" si="5"/>
        <v>12.7</v>
      </c>
      <c r="W17" s="14">
        <f t="shared" si="6"/>
        <v>6350</v>
      </c>
      <c r="X17" s="94">
        <f t="shared" si="7"/>
        <v>20250</v>
      </c>
      <c r="Y17" s="82">
        <v>0.0</v>
      </c>
      <c r="Z17" s="7">
        <v>500.0</v>
      </c>
      <c r="AA17" s="7">
        <v>1.2</v>
      </c>
      <c r="AB17" s="7">
        <f t="shared" si="8"/>
        <v>600</v>
      </c>
      <c r="AC17" s="7">
        <f t="shared" si="9"/>
        <v>500</v>
      </c>
      <c r="AD17" s="7">
        <f t="shared" si="10"/>
        <v>0</v>
      </c>
      <c r="AE17" s="83">
        <f t="shared" si="11"/>
        <v>0</v>
      </c>
      <c r="AF17" s="84">
        <v>25.0</v>
      </c>
      <c r="AG17" s="7">
        <v>1000.0</v>
      </c>
      <c r="AH17" s="78">
        <v>0.5</v>
      </c>
      <c r="AI17" s="7">
        <f t="shared" si="12"/>
        <v>500</v>
      </c>
      <c r="AJ17" s="7">
        <f t="shared" si="13"/>
        <v>750</v>
      </c>
      <c r="AK17" s="7">
        <f t="shared" si="14"/>
        <v>125</v>
      </c>
      <c r="AL17" s="14">
        <f t="shared" si="15"/>
        <v>1875</v>
      </c>
      <c r="AM17" s="82">
        <v>0.0</v>
      </c>
      <c r="AN17" s="7">
        <v>3.0</v>
      </c>
      <c r="AO17" s="78">
        <v>20.0</v>
      </c>
      <c r="AP17" s="7">
        <f t="shared" si="16"/>
        <v>60</v>
      </c>
      <c r="AQ17" s="7">
        <f t="shared" si="17"/>
        <v>3</v>
      </c>
      <c r="AR17" s="7">
        <f t="shared" si="18"/>
        <v>0</v>
      </c>
      <c r="AS17" s="14">
        <f t="shared" si="19"/>
        <v>0</v>
      </c>
      <c r="AT17" s="82">
        <v>0.0</v>
      </c>
      <c r="AU17" s="78">
        <v>18000.0</v>
      </c>
      <c r="AV17" s="14">
        <f t="shared" si="25"/>
        <v>0</v>
      </c>
      <c r="AW17" s="82">
        <v>0.0</v>
      </c>
      <c r="AX17" s="78">
        <v>6000.0</v>
      </c>
      <c r="AY17" s="14">
        <f t="shared" si="20"/>
        <v>0</v>
      </c>
      <c r="AZ17" s="75">
        <f t="shared" si="21"/>
        <v>22117</v>
      </c>
      <c r="BA17" s="98">
        <f t="shared" si="22"/>
        <v>110.585</v>
      </c>
      <c r="BB17" s="11">
        <f t="shared" si="23"/>
        <v>0.009042817742</v>
      </c>
      <c r="BC17" s="69" t="str">
        <f t="shared" si="24"/>
        <v>YES</v>
      </c>
    </row>
    <row r="18" ht="15.75" customHeight="1">
      <c r="A18" s="12"/>
      <c r="B18" s="26" t="s">
        <v>14</v>
      </c>
      <c r="C18" s="26" t="s">
        <v>15</v>
      </c>
      <c r="D18" s="7" t="s">
        <v>29</v>
      </c>
      <c r="E18" s="7" t="s">
        <v>23</v>
      </c>
      <c r="F18" s="7" t="s">
        <v>26</v>
      </c>
      <c r="G18" s="84" t="s">
        <v>27</v>
      </c>
      <c r="H18" s="7">
        <v>6.0</v>
      </c>
      <c r="I18" s="7"/>
      <c r="J18" s="7"/>
      <c r="L18" s="7">
        <v>25.0</v>
      </c>
      <c r="M18" s="9">
        <f t="shared" si="1"/>
        <v>0</v>
      </c>
      <c r="N18" s="9">
        <f t="shared" si="2"/>
        <v>0</v>
      </c>
      <c r="O18" s="7">
        <v>1.0</v>
      </c>
      <c r="P18" s="9">
        <f t="shared" si="3"/>
        <v>0</v>
      </c>
      <c r="Q18" s="79">
        <v>15.0</v>
      </c>
      <c r="R18" s="16">
        <v>27.0</v>
      </c>
      <c r="S18" s="7">
        <v>10.0</v>
      </c>
      <c r="T18" s="7">
        <v>500.0</v>
      </c>
      <c r="U18" s="7">
        <f t="shared" si="4"/>
        <v>75000</v>
      </c>
      <c r="V18" s="7">
        <f t="shared" si="5"/>
        <v>12.7</v>
      </c>
      <c r="W18" s="14">
        <f t="shared" si="6"/>
        <v>6350</v>
      </c>
      <c r="X18" s="94">
        <f t="shared" si="7"/>
        <v>20250</v>
      </c>
      <c r="Y18" s="82">
        <v>0.0</v>
      </c>
      <c r="Z18" s="7">
        <v>500.0</v>
      </c>
      <c r="AA18" s="7">
        <v>1.2</v>
      </c>
      <c r="AB18" s="7">
        <f t="shared" si="8"/>
        <v>600</v>
      </c>
      <c r="AC18" s="7">
        <f t="shared" si="9"/>
        <v>500</v>
      </c>
      <c r="AD18" s="7">
        <f t="shared" si="10"/>
        <v>0</v>
      </c>
      <c r="AE18" s="83">
        <f t="shared" si="11"/>
        <v>0</v>
      </c>
      <c r="AF18" s="84">
        <v>25.0</v>
      </c>
      <c r="AG18" s="7">
        <v>1000.0</v>
      </c>
      <c r="AH18" s="78">
        <v>0.5</v>
      </c>
      <c r="AI18" s="7">
        <f t="shared" si="12"/>
        <v>500</v>
      </c>
      <c r="AJ18" s="7">
        <f t="shared" si="13"/>
        <v>750</v>
      </c>
      <c r="AK18" s="7">
        <f t="shared" si="14"/>
        <v>125</v>
      </c>
      <c r="AL18" s="14">
        <f t="shared" si="15"/>
        <v>1875</v>
      </c>
      <c r="AM18" s="82">
        <v>0.0</v>
      </c>
      <c r="AN18" s="7">
        <v>3.0</v>
      </c>
      <c r="AO18" s="78">
        <v>20.0</v>
      </c>
      <c r="AP18" s="7">
        <f t="shared" si="16"/>
        <v>60</v>
      </c>
      <c r="AQ18" s="7">
        <f t="shared" si="17"/>
        <v>3</v>
      </c>
      <c r="AR18" s="7">
        <f t="shared" si="18"/>
        <v>0</v>
      </c>
      <c r="AS18" s="14">
        <f t="shared" si="19"/>
        <v>0</v>
      </c>
      <c r="AT18" s="82">
        <v>0.0</v>
      </c>
      <c r="AU18" s="78">
        <v>18000.0</v>
      </c>
      <c r="AV18" s="14">
        <f t="shared" si="25"/>
        <v>0</v>
      </c>
      <c r="AW18" s="82">
        <v>0.0</v>
      </c>
      <c r="AX18" s="78">
        <v>6000.0</v>
      </c>
      <c r="AY18" s="14">
        <f t="shared" si="20"/>
        <v>0</v>
      </c>
      <c r="AZ18" s="75">
        <f t="shared" si="21"/>
        <v>22100</v>
      </c>
      <c r="BA18" s="98" t="str">
        <f t="shared" si="22"/>
        <v>The DAT is free</v>
      </c>
      <c r="BB18" s="11">
        <f t="shared" si="23"/>
        <v>0</v>
      </c>
      <c r="BC18" s="69" t="str">
        <f t="shared" si="24"/>
        <v>YES</v>
      </c>
    </row>
    <row r="19" ht="15.75" customHeight="1">
      <c r="A19" s="18"/>
      <c r="B19" s="85" t="s">
        <v>14</v>
      </c>
      <c r="C19" s="85" t="s">
        <v>15</v>
      </c>
      <c r="D19" s="19" t="s">
        <v>22</v>
      </c>
      <c r="E19" s="19" t="s">
        <v>23</v>
      </c>
      <c r="F19" s="19" t="s">
        <v>26</v>
      </c>
      <c r="G19" s="88" t="s">
        <v>27</v>
      </c>
      <c r="H19" s="19">
        <v>6.0</v>
      </c>
      <c r="I19" s="19"/>
      <c r="J19" s="19"/>
      <c r="K19" s="19"/>
      <c r="L19" s="19">
        <v>25.0</v>
      </c>
      <c r="M19" s="9">
        <f t="shared" si="1"/>
        <v>0</v>
      </c>
      <c r="N19" s="9">
        <f t="shared" si="2"/>
        <v>0</v>
      </c>
      <c r="O19" s="19">
        <v>1.0</v>
      </c>
      <c r="P19" s="9">
        <f t="shared" si="3"/>
        <v>0</v>
      </c>
      <c r="Q19" s="87">
        <v>15.0</v>
      </c>
      <c r="R19" s="99">
        <v>27.0</v>
      </c>
      <c r="S19" s="19">
        <v>10.0</v>
      </c>
      <c r="T19" s="7">
        <v>500.0</v>
      </c>
      <c r="U19" s="19">
        <f t="shared" si="4"/>
        <v>75000</v>
      </c>
      <c r="V19" s="19">
        <f t="shared" si="5"/>
        <v>12.7</v>
      </c>
      <c r="W19" s="21">
        <f t="shared" si="6"/>
        <v>6350</v>
      </c>
      <c r="X19" s="89">
        <f t="shared" si="7"/>
        <v>20250</v>
      </c>
      <c r="Y19" s="92">
        <v>0.0</v>
      </c>
      <c r="Z19" s="7">
        <v>500.0</v>
      </c>
      <c r="AA19" s="19">
        <v>1.2</v>
      </c>
      <c r="AB19" s="19">
        <f t="shared" si="8"/>
        <v>600</v>
      </c>
      <c r="AC19" s="19">
        <f t="shared" si="9"/>
        <v>500</v>
      </c>
      <c r="AD19" s="19">
        <f t="shared" si="10"/>
        <v>0</v>
      </c>
      <c r="AE19" s="91">
        <f t="shared" si="11"/>
        <v>0</v>
      </c>
      <c r="AF19" s="88">
        <v>25.0</v>
      </c>
      <c r="AG19" s="19">
        <v>1000.0</v>
      </c>
      <c r="AH19" s="93">
        <v>0.5</v>
      </c>
      <c r="AI19" s="19">
        <f t="shared" si="12"/>
        <v>500</v>
      </c>
      <c r="AJ19" s="19">
        <f t="shared" si="13"/>
        <v>750</v>
      </c>
      <c r="AK19" s="19">
        <f t="shared" si="14"/>
        <v>125</v>
      </c>
      <c r="AL19" s="21">
        <f t="shared" si="15"/>
        <v>1875</v>
      </c>
      <c r="AM19" s="92">
        <v>0.0</v>
      </c>
      <c r="AN19" s="19">
        <v>3.0</v>
      </c>
      <c r="AO19" s="93">
        <v>20.0</v>
      </c>
      <c r="AP19" s="19">
        <f t="shared" si="16"/>
        <v>60</v>
      </c>
      <c r="AQ19" s="19">
        <f t="shared" si="17"/>
        <v>3</v>
      </c>
      <c r="AR19" s="19">
        <f t="shared" si="18"/>
        <v>0</v>
      </c>
      <c r="AS19" s="21">
        <f t="shared" si="19"/>
        <v>0</v>
      </c>
      <c r="AT19" s="92">
        <v>0.0</v>
      </c>
      <c r="AU19" s="93">
        <v>18000.0</v>
      </c>
      <c r="AV19" s="21">
        <f t="shared" si="25"/>
        <v>0</v>
      </c>
      <c r="AW19" s="92">
        <v>0.0</v>
      </c>
      <c r="AX19" s="19">
        <v>6000.0</v>
      </c>
      <c r="AY19" s="21">
        <f t="shared" si="20"/>
        <v>0</v>
      </c>
      <c r="AZ19" s="75">
        <f t="shared" si="21"/>
        <v>22100</v>
      </c>
      <c r="BA19" s="98" t="str">
        <f t="shared" si="22"/>
        <v>The DAT is free</v>
      </c>
      <c r="BB19" s="11">
        <f t="shared" si="23"/>
        <v>0</v>
      </c>
      <c r="BC19" s="69" t="str">
        <f t="shared" si="24"/>
        <v>YES</v>
      </c>
    </row>
    <row r="20" ht="15.75" customHeight="1">
      <c r="A20" s="66" t="s">
        <v>140</v>
      </c>
      <c r="B20" s="67" t="s">
        <v>14</v>
      </c>
      <c r="C20" s="67" t="s">
        <v>141</v>
      </c>
      <c r="D20" s="9" t="s">
        <v>142</v>
      </c>
      <c r="E20" s="9" t="s">
        <v>143</v>
      </c>
      <c r="F20" s="9" t="s">
        <v>51</v>
      </c>
      <c r="G20" s="75" t="s">
        <v>498</v>
      </c>
      <c r="H20" s="9">
        <v>6.0</v>
      </c>
      <c r="I20" s="9">
        <v>6290.0</v>
      </c>
      <c r="J20" s="9"/>
      <c r="K20" s="9"/>
      <c r="L20" s="9"/>
      <c r="M20" s="9">
        <f t="shared" si="1"/>
        <v>1048.333333</v>
      </c>
      <c r="N20" s="9">
        <f t="shared" si="2"/>
        <v>251.6</v>
      </c>
      <c r="O20" s="9">
        <v>1.0</v>
      </c>
      <c r="P20" s="9">
        <f t="shared" si="3"/>
        <v>6290</v>
      </c>
      <c r="Q20" s="79">
        <v>15.0</v>
      </c>
      <c r="R20" s="9">
        <v>13.0</v>
      </c>
      <c r="S20" s="9">
        <v>10.0</v>
      </c>
      <c r="T20" s="9">
        <v>500.0</v>
      </c>
      <c r="U20" s="9">
        <f t="shared" si="4"/>
        <v>75000</v>
      </c>
      <c r="V20" s="9">
        <f t="shared" si="5"/>
        <v>11.3</v>
      </c>
      <c r="W20" s="11">
        <f t="shared" si="6"/>
        <v>5650</v>
      </c>
      <c r="X20" s="72">
        <f t="shared" si="7"/>
        <v>9750</v>
      </c>
      <c r="Y20" s="75">
        <v>13.0</v>
      </c>
      <c r="Z20" s="9">
        <v>500.0</v>
      </c>
      <c r="AA20" s="7">
        <v>1.2</v>
      </c>
      <c r="AB20" s="9">
        <f t="shared" si="8"/>
        <v>600</v>
      </c>
      <c r="AC20" s="9">
        <f t="shared" si="9"/>
        <v>435</v>
      </c>
      <c r="AD20" s="9">
        <f t="shared" si="10"/>
        <v>78</v>
      </c>
      <c r="AE20" s="73">
        <f t="shared" si="11"/>
        <v>1170</v>
      </c>
      <c r="AF20" s="71">
        <v>34.5</v>
      </c>
      <c r="AG20" s="7">
        <v>1000.0</v>
      </c>
      <c r="AH20" s="78">
        <v>0.5</v>
      </c>
      <c r="AI20" s="9">
        <f t="shared" si="12"/>
        <v>500</v>
      </c>
      <c r="AJ20" s="9">
        <f t="shared" si="13"/>
        <v>655</v>
      </c>
      <c r="AK20" s="9">
        <f t="shared" si="14"/>
        <v>172.5</v>
      </c>
      <c r="AL20" s="11">
        <f t="shared" si="15"/>
        <v>2587.5</v>
      </c>
      <c r="AM20" s="100">
        <v>4.0</v>
      </c>
      <c r="AN20" s="74">
        <v>3.0</v>
      </c>
      <c r="AO20" s="78">
        <v>20.0</v>
      </c>
      <c r="AP20" s="9">
        <f t="shared" si="16"/>
        <v>60</v>
      </c>
      <c r="AQ20" s="9">
        <f t="shared" si="17"/>
        <v>2.88</v>
      </c>
      <c r="AR20" s="9">
        <f t="shared" si="18"/>
        <v>2.4</v>
      </c>
      <c r="AS20" s="11">
        <f t="shared" si="19"/>
        <v>36</v>
      </c>
      <c r="AT20" s="71">
        <v>6.5</v>
      </c>
      <c r="AU20" s="78">
        <v>18000.0</v>
      </c>
      <c r="AV20" s="11">
        <f t="shared" si="25"/>
        <v>1170</v>
      </c>
      <c r="AW20" s="101">
        <v>25.0</v>
      </c>
      <c r="AX20" s="74">
        <v>6000.0</v>
      </c>
      <c r="AY20" s="11">
        <f t="shared" si="20"/>
        <v>1500</v>
      </c>
      <c r="AZ20" s="75">
        <f t="shared" si="21"/>
        <v>14913.56667</v>
      </c>
      <c r="BA20" s="98">
        <f t="shared" si="22"/>
        <v>2.37099629</v>
      </c>
      <c r="BB20" s="11">
        <f t="shared" si="23"/>
        <v>0.4217636291</v>
      </c>
      <c r="BC20" s="69" t="str">
        <f t="shared" si="24"/>
        <v>YES</v>
      </c>
    </row>
    <row r="21" ht="15.75" customHeight="1">
      <c r="A21" s="12"/>
      <c r="B21" s="26" t="s">
        <v>14</v>
      </c>
      <c r="C21" s="26" t="s">
        <v>141</v>
      </c>
      <c r="D21" s="7" t="s">
        <v>147</v>
      </c>
      <c r="E21" s="7" t="s">
        <v>148</v>
      </c>
      <c r="F21" s="7" t="s">
        <v>51</v>
      </c>
      <c r="G21" s="84" t="s">
        <v>499</v>
      </c>
      <c r="H21" s="7">
        <v>6.0</v>
      </c>
      <c r="I21" s="7">
        <v>5100.0</v>
      </c>
      <c r="J21" s="7"/>
      <c r="L21" s="7"/>
      <c r="M21" s="9">
        <f t="shared" si="1"/>
        <v>850</v>
      </c>
      <c r="N21" s="9">
        <f t="shared" si="2"/>
        <v>204</v>
      </c>
      <c r="O21" s="7">
        <v>1.0</v>
      </c>
      <c r="P21" s="9">
        <f t="shared" si="3"/>
        <v>5100</v>
      </c>
      <c r="Q21" s="79">
        <v>15.0</v>
      </c>
      <c r="R21" s="7">
        <v>13.0</v>
      </c>
      <c r="S21" s="7">
        <v>10.0</v>
      </c>
      <c r="T21" s="7">
        <v>500.0</v>
      </c>
      <c r="U21" s="7">
        <f t="shared" si="4"/>
        <v>75000</v>
      </c>
      <c r="V21" s="7">
        <f t="shared" si="5"/>
        <v>11.3</v>
      </c>
      <c r="W21" s="14">
        <f t="shared" si="6"/>
        <v>5650</v>
      </c>
      <c r="X21" s="94">
        <f t="shared" si="7"/>
        <v>9750</v>
      </c>
      <c r="Y21" s="84">
        <v>13.0</v>
      </c>
      <c r="Z21" s="7">
        <v>500.0</v>
      </c>
      <c r="AA21" s="7">
        <v>1.2</v>
      </c>
      <c r="AB21" s="7">
        <f t="shared" si="8"/>
        <v>600</v>
      </c>
      <c r="AC21" s="7">
        <f t="shared" si="9"/>
        <v>435</v>
      </c>
      <c r="AD21" s="7">
        <f t="shared" si="10"/>
        <v>78</v>
      </c>
      <c r="AE21" s="83">
        <f t="shared" si="11"/>
        <v>1170</v>
      </c>
      <c r="AF21" s="80">
        <v>34.5</v>
      </c>
      <c r="AG21" s="7">
        <v>1000.0</v>
      </c>
      <c r="AH21" s="78">
        <v>0.5</v>
      </c>
      <c r="AI21" s="7">
        <f t="shared" si="12"/>
        <v>500</v>
      </c>
      <c r="AJ21" s="7">
        <f t="shared" si="13"/>
        <v>655</v>
      </c>
      <c r="AK21" s="7">
        <f t="shared" si="14"/>
        <v>172.5</v>
      </c>
      <c r="AL21" s="14">
        <f t="shared" si="15"/>
        <v>2587.5</v>
      </c>
      <c r="AM21" s="102">
        <v>4.0</v>
      </c>
      <c r="AN21" s="78">
        <v>3.0</v>
      </c>
      <c r="AO21" s="78">
        <v>20.0</v>
      </c>
      <c r="AP21" s="7">
        <f t="shared" si="16"/>
        <v>60</v>
      </c>
      <c r="AQ21" s="7">
        <f t="shared" si="17"/>
        <v>2.88</v>
      </c>
      <c r="AR21" s="7">
        <f t="shared" si="18"/>
        <v>2.4</v>
      </c>
      <c r="AS21" s="14">
        <f t="shared" si="19"/>
        <v>36</v>
      </c>
      <c r="AT21" s="80">
        <v>6.5</v>
      </c>
      <c r="AU21" s="78">
        <v>18000.0</v>
      </c>
      <c r="AV21" s="14">
        <f t="shared" si="25"/>
        <v>1170</v>
      </c>
      <c r="AW21" s="81">
        <v>25.0</v>
      </c>
      <c r="AX21" s="78">
        <v>6000.0</v>
      </c>
      <c r="AY21" s="14">
        <f t="shared" si="20"/>
        <v>1500</v>
      </c>
      <c r="AZ21" s="75">
        <f t="shared" si="21"/>
        <v>15159.5</v>
      </c>
      <c r="BA21" s="98">
        <f t="shared" si="22"/>
        <v>2.97245098</v>
      </c>
      <c r="BB21" s="11">
        <f t="shared" si="23"/>
        <v>0.3364227052</v>
      </c>
      <c r="BC21" s="69" t="str">
        <f t="shared" si="24"/>
        <v>YES</v>
      </c>
    </row>
    <row r="22" ht="15.75" customHeight="1">
      <c r="A22" s="12"/>
      <c r="B22" s="26" t="s">
        <v>14</v>
      </c>
      <c r="C22" s="26" t="s">
        <v>501</v>
      </c>
      <c r="D22" s="7" t="s">
        <v>160</v>
      </c>
      <c r="E22" s="7" t="s">
        <v>161</v>
      </c>
      <c r="F22" s="7" t="s">
        <v>51</v>
      </c>
      <c r="G22" s="84" t="s">
        <v>502</v>
      </c>
      <c r="H22" s="7">
        <v>6.0</v>
      </c>
      <c r="I22" s="7">
        <v>1500.0</v>
      </c>
      <c r="J22" s="7"/>
      <c r="L22" s="7"/>
      <c r="M22" s="9">
        <f t="shared" si="1"/>
        <v>250</v>
      </c>
      <c r="N22" s="9">
        <f t="shared" si="2"/>
        <v>60</v>
      </c>
      <c r="O22" s="7">
        <v>1.0</v>
      </c>
      <c r="P22" s="9">
        <f t="shared" si="3"/>
        <v>1500</v>
      </c>
      <c r="Q22" s="79">
        <v>15.0</v>
      </c>
      <c r="R22" s="7">
        <v>13.0</v>
      </c>
      <c r="S22" s="7">
        <v>10.0</v>
      </c>
      <c r="T22" s="7">
        <v>500.0</v>
      </c>
      <c r="U22" s="7">
        <f t="shared" si="4"/>
        <v>75000</v>
      </c>
      <c r="V22" s="7">
        <f t="shared" si="5"/>
        <v>11.3</v>
      </c>
      <c r="W22" s="14">
        <f t="shared" si="6"/>
        <v>5650</v>
      </c>
      <c r="X22" s="94">
        <f t="shared" si="7"/>
        <v>9750</v>
      </c>
      <c r="Y22" s="84">
        <v>13.0</v>
      </c>
      <c r="Z22" s="7">
        <v>500.0</v>
      </c>
      <c r="AA22" s="7">
        <v>1.2</v>
      </c>
      <c r="AB22" s="7">
        <f t="shared" si="8"/>
        <v>600</v>
      </c>
      <c r="AC22" s="7">
        <f t="shared" si="9"/>
        <v>435</v>
      </c>
      <c r="AD22" s="7">
        <f t="shared" si="10"/>
        <v>78</v>
      </c>
      <c r="AE22" s="83">
        <f t="shared" si="11"/>
        <v>1170</v>
      </c>
      <c r="AF22" s="80">
        <v>34.5</v>
      </c>
      <c r="AG22" s="7">
        <v>1000.0</v>
      </c>
      <c r="AH22" s="78">
        <v>0.5</v>
      </c>
      <c r="AI22" s="7">
        <f t="shared" si="12"/>
        <v>500</v>
      </c>
      <c r="AJ22" s="7">
        <f t="shared" si="13"/>
        <v>655</v>
      </c>
      <c r="AK22" s="7">
        <f t="shared" si="14"/>
        <v>172.5</v>
      </c>
      <c r="AL22" s="14">
        <f t="shared" si="15"/>
        <v>2587.5</v>
      </c>
      <c r="AM22" s="102">
        <v>4.0</v>
      </c>
      <c r="AN22" s="78">
        <v>3.0</v>
      </c>
      <c r="AO22" s="78">
        <v>20.0</v>
      </c>
      <c r="AP22" s="7">
        <f t="shared" si="16"/>
        <v>60</v>
      </c>
      <c r="AQ22" s="7">
        <f t="shared" si="17"/>
        <v>2.88</v>
      </c>
      <c r="AR22" s="7">
        <f t="shared" si="18"/>
        <v>2.4</v>
      </c>
      <c r="AS22" s="14">
        <f t="shared" si="19"/>
        <v>36</v>
      </c>
      <c r="AT22" s="80">
        <v>6.5</v>
      </c>
      <c r="AU22" s="78">
        <v>18000.0</v>
      </c>
      <c r="AV22" s="14">
        <f t="shared" si="25"/>
        <v>1170</v>
      </c>
      <c r="AW22" s="81">
        <v>25.0</v>
      </c>
      <c r="AX22" s="78">
        <v>6000.0</v>
      </c>
      <c r="AY22" s="14">
        <f t="shared" si="20"/>
        <v>1500</v>
      </c>
      <c r="AZ22" s="75">
        <f t="shared" si="21"/>
        <v>15903.5</v>
      </c>
      <c r="BA22" s="98">
        <f t="shared" si="22"/>
        <v>10.60233333</v>
      </c>
      <c r="BB22" s="11">
        <f t="shared" si="23"/>
        <v>0.09431886063</v>
      </c>
      <c r="BC22" s="69" t="str">
        <f t="shared" si="24"/>
        <v>YES</v>
      </c>
    </row>
    <row r="23" ht="15.75" customHeight="1">
      <c r="A23" s="12"/>
      <c r="B23" s="26" t="s">
        <v>503</v>
      </c>
      <c r="C23" s="26" t="s">
        <v>501</v>
      </c>
      <c r="D23" s="7" t="s">
        <v>171</v>
      </c>
      <c r="E23" s="7" t="s">
        <v>172</v>
      </c>
      <c r="F23" s="7" t="s">
        <v>51</v>
      </c>
      <c r="G23" s="84" t="s">
        <v>176</v>
      </c>
      <c r="H23" s="7">
        <v>6.0</v>
      </c>
      <c r="I23" s="7">
        <v>12500.0</v>
      </c>
      <c r="J23" s="7"/>
      <c r="L23" s="7"/>
      <c r="M23" s="9">
        <f t="shared" si="1"/>
        <v>2083.333333</v>
      </c>
      <c r="N23" s="9">
        <f t="shared" si="2"/>
        <v>500</v>
      </c>
      <c r="O23" s="7">
        <v>1.0</v>
      </c>
      <c r="P23" s="9">
        <f t="shared" si="3"/>
        <v>12500</v>
      </c>
      <c r="Q23" s="79">
        <v>15.0</v>
      </c>
      <c r="R23" s="7">
        <v>13.0</v>
      </c>
      <c r="S23" s="7">
        <v>10.0</v>
      </c>
      <c r="T23" s="7">
        <v>500.0</v>
      </c>
      <c r="U23" s="7">
        <f t="shared" si="4"/>
        <v>75000</v>
      </c>
      <c r="V23" s="7">
        <f t="shared" si="5"/>
        <v>11.3</v>
      </c>
      <c r="W23" s="14">
        <f t="shared" si="6"/>
        <v>5650</v>
      </c>
      <c r="X23" s="94">
        <f t="shared" si="7"/>
        <v>9750</v>
      </c>
      <c r="Y23" s="84">
        <v>13.0</v>
      </c>
      <c r="Z23" s="7">
        <v>500.0</v>
      </c>
      <c r="AA23" s="7">
        <v>1.2</v>
      </c>
      <c r="AB23" s="7">
        <f t="shared" si="8"/>
        <v>600</v>
      </c>
      <c r="AC23" s="7">
        <f t="shared" si="9"/>
        <v>435</v>
      </c>
      <c r="AD23" s="7">
        <f t="shared" si="10"/>
        <v>78</v>
      </c>
      <c r="AE23" s="83">
        <f t="shared" si="11"/>
        <v>1170</v>
      </c>
      <c r="AF23" s="80">
        <v>34.5</v>
      </c>
      <c r="AG23" s="7">
        <v>1000.0</v>
      </c>
      <c r="AH23" s="78">
        <v>0.5</v>
      </c>
      <c r="AI23" s="7">
        <f t="shared" si="12"/>
        <v>500</v>
      </c>
      <c r="AJ23" s="7">
        <f t="shared" si="13"/>
        <v>655</v>
      </c>
      <c r="AK23" s="7">
        <f t="shared" si="14"/>
        <v>172.5</v>
      </c>
      <c r="AL23" s="14">
        <f t="shared" si="15"/>
        <v>2587.5</v>
      </c>
      <c r="AM23" s="102">
        <v>4.0</v>
      </c>
      <c r="AN23" s="78">
        <v>3.0</v>
      </c>
      <c r="AO23" s="78">
        <v>20.0</v>
      </c>
      <c r="AP23" s="7">
        <f t="shared" si="16"/>
        <v>60</v>
      </c>
      <c r="AQ23" s="7">
        <f t="shared" si="17"/>
        <v>2.88</v>
      </c>
      <c r="AR23" s="7">
        <f t="shared" si="18"/>
        <v>2.4</v>
      </c>
      <c r="AS23" s="14">
        <f t="shared" si="19"/>
        <v>36</v>
      </c>
      <c r="AT23" s="80">
        <v>6.5</v>
      </c>
      <c r="AU23" s="78">
        <v>18000.0</v>
      </c>
      <c r="AV23" s="14">
        <f t="shared" si="25"/>
        <v>1170</v>
      </c>
      <c r="AW23" s="81">
        <v>25.0</v>
      </c>
      <c r="AX23" s="78">
        <v>6000.0</v>
      </c>
      <c r="AY23" s="14">
        <f t="shared" si="20"/>
        <v>1500</v>
      </c>
      <c r="AZ23" s="75">
        <f t="shared" si="21"/>
        <v>13630.16667</v>
      </c>
      <c r="BA23" s="98">
        <f t="shared" si="22"/>
        <v>1.090413333</v>
      </c>
      <c r="BB23" s="11">
        <f t="shared" si="23"/>
        <v>0.9170834301</v>
      </c>
      <c r="BC23" s="69" t="str">
        <f t="shared" si="24"/>
        <v>YES</v>
      </c>
    </row>
    <row r="24" ht="15.75" customHeight="1">
      <c r="A24" s="12"/>
      <c r="B24" s="26" t="s">
        <v>503</v>
      </c>
      <c r="C24" s="26" t="s">
        <v>177</v>
      </c>
      <c r="D24" s="7" t="s">
        <v>505</v>
      </c>
      <c r="E24" s="7" t="s">
        <v>172</v>
      </c>
      <c r="F24" s="7" t="s">
        <v>51</v>
      </c>
      <c r="G24" s="84" t="s">
        <v>504</v>
      </c>
      <c r="H24" s="7">
        <v>6.0</v>
      </c>
      <c r="I24" s="7">
        <v>17500.0</v>
      </c>
      <c r="J24" s="7"/>
      <c r="L24" s="7"/>
      <c r="M24" s="9">
        <f t="shared" si="1"/>
        <v>2916.666667</v>
      </c>
      <c r="N24" s="9">
        <f t="shared" si="2"/>
        <v>700</v>
      </c>
      <c r="O24" s="7">
        <v>1.0</v>
      </c>
      <c r="P24" s="9">
        <f t="shared" si="3"/>
        <v>17500</v>
      </c>
      <c r="Q24" s="79">
        <v>15.0</v>
      </c>
      <c r="R24" s="7">
        <v>13.0</v>
      </c>
      <c r="S24" s="7">
        <v>10.0</v>
      </c>
      <c r="T24" s="7">
        <v>500.0</v>
      </c>
      <c r="U24" s="7">
        <f t="shared" si="4"/>
        <v>75000</v>
      </c>
      <c r="V24" s="7">
        <f t="shared" si="5"/>
        <v>11.3</v>
      </c>
      <c r="W24" s="14">
        <f t="shared" si="6"/>
        <v>5650</v>
      </c>
      <c r="X24" s="94">
        <f t="shared" si="7"/>
        <v>9750</v>
      </c>
      <c r="Y24" s="84">
        <v>13.0</v>
      </c>
      <c r="Z24" s="7">
        <v>500.0</v>
      </c>
      <c r="AA24" s="7">
        <v>1.2</v>
      </c>
      <c r="AB24" s="7">
        <f t="shared" si="8"/>
        <v>600</v>
      </c>
      <c r="AC24" s="7">
        <f t="shared" si="9"/>
        <v>435</v>
      </c>
      <c r="AD24" s="7">
        <f t="shared" si="10"/>
        <v>78</v>
      </c>
      <c r="AE24" s="83">
        <f t="shared" si="11"/>
        <v>1170</v>
      </c>
      <c r="AF24" s="80">
        <v>34.5</v>
      </c>
      <c r="AG24" s="7">
        <v>1000.0</v>
      </c>
      <c r="AH24" s="78">
        <v>0.5</v>
      </c>
      <c r="AI24" s="7">
        <f t="shared" si="12"/>
        <v>500</v>
      </c>
      <c r="AJ24" s="7">
        <f t="shared" si="13"/>
        <v>655</v>
      </c>
      <c r="AK24" s="7">
        <f t="shared" si="14"/>
        <v>172.5</v>
      </c>
      <c r="AL24" s="14">
        <f t="shared" si="15"/>
        <v>2587.5</v>
      </c>
      <c r="AM24" s="102">
        <v>4.0</v>
      </c>
      <c r="AN24" s="78">
        <v>3.0</v>
      </c>
      <c r="AO24" s="78">
        <v>20.0</v>
      </c>
      <c r="AP24" s="7">
        <f t="shared" si="16"/>
        <v>60</v>
      </c>
      <c r="AQ24" s="7">
        <f t="shared" si="17"/>
        <v>2.88</v>
      </c>
      <c r="AR24" s="7">
        <f t="shared" si="18"/>
        <v>2.4</v>
      </c>
      <c r="AS24" s="14">
        <f t="shared" si="19"/>
        <v>36</v>
      </c>
      <c r="AT24" s="80">
        <v>6.5</v>
      </c>
      <c r="AU24" s="78">
        <v>18000.0</v>
      </c>
      <c r="AV24" s="14">
        <f t="shared" si="25"/>
        <v>1170</v>
      </c>
      <c r="AW24" s="81">
        <v>25.0</v>
      </c>
      <c r="AX24" s="78">
        <v>6000.0</v>
      </c>
      <c r="AY24" s="14">
        <f t="shared" si="20"/>
        <v>1500</v>
      </c>
      <c r="AZ24" s="75">
        <f t="shared" si="21"/>
        <v>12596.83333</v>
      </c>
      <c r="BA24" s="98">
        <f t="shared" si="22"/>
        <v>0.7198190476</v>
      </c>
      <c r="BB24" s="11">
        <f t="shared" si="23"/>
        <v>1.389238036</v>
      </c>
      <c r="BC24" s="69" t="str">
        <f t="shared" si="24"/>
        <v>YES</v>
      </c>
    </row>
    <row r="25" ht="15.75" customHeight="1">
      <c r="A25" s="12"/>
      <c r="B25" s="26" t="s">
        <v>14</v>
      </c>
      <c r="C25" s="26" t="s">
        <v>582</v>
      </c>
      <c r="D25" s="7" t="s">
        <v>212</v>
      </c>
      <c r="E25" s="7" t="s">
        <v>136</v>
      </c>
      <c r="F25" s="7" t="s">
        <v>51</v>
      </c>
      <c r="G25" s="84" t="s">
        <v>504</v>
      </c>
      <c r="H25" s="7">
        <v>6.0</v>
      </c>
      <c r="I25" s="7">
        <v>17500.0</v>
      </c>
      <c r="J25" s="7"/>
      <c r="L25" s="7"/>
      <c r="M25" s="9">
        <f t="shared" si="1"/>
        <v>2916.666667</v>
      </c>
      <c r="N25" s="9">
        <f t="shared" si="2"/>
        <v>700</v>
      </c>
      <c r="O25" s="7">
        <v>1.0</v>
      </c>
      <c r="P25" s="9">
        <f t="shared" si="3"/>
        <v>17500</v>
      </c>
      <c r="Q25" s="79">
        <v>15.0</v>
      </c>
      <c r="R25" s="7">
        <v>13.0</v>
      </c>
      <c r="S25" s="7">
        <v>10.0</v>
      </c>
      <c r="T25" s="7">
        <v>500.0</v>
      </c>
      <c r="U25" s="7">
        <f t="shared" si="4"/>
        <v>75000</v>
      </c>
      <c r="V25" s="7">
        <f t="shared" si="5"/>
        <v>11.3</v>
      </c>
      <c r="W25" s="14">
        <f t="shared" si="6"/>
        <v>5650</v>
      </c>
      <c r="X25" s="94">
        <f t="shared" si="7"/>
        <v>9750</v>
      </c>
      <c r="Y25" s="84">
        <v>13.0</v>
      </c>
      <c r="Z25" s="7">
        <v>500.0</v>
      </c>
      <c r="AA25" s="7">
        <v>1.2</v>
      </c>
      <c r="AB25" s="7">
        <f t="shared" si="8"/>
        <v>600</v>
      </c>
      <c r="AC25" s="7">
        <f t="shared" si="9"/>
        <v>435</v>
      </c>
      <c r="AD25" s="7">
        <f t="shared" si="10"/>
        <v>78</v>
      </c>
      <c r="AE25" s="83">
        <f t="shared" si="11"/>
        <v>1170</v>
      </c>
      <c r="AF25" s="80">
        <v>34.5</v>
      </c>
      <c r="AG25" s="7">
        <v>1000.0</v>
      </c>
      <c r="AH25" s="78">
        <v>0.5</v>
      </c>
      <c r="AI25" s="7">
        <f t="shared" si="12"/>
        <v>500</v>
      </c>
      <c r="AJ25" s="7">
        <f t="shared" si="13"/>
        <v>655</v>
      </c>
      <c r="AK25" s="7">
        <f t="shared" si="14"/>
        <v>172.5</v>
      </c>
      <c r="AL25" s="14">
        <f t="shared" si="15"/>
        <v>2587.5</v>
      </c>
      <c r="AM25" s="102">
        <v>4.0</v>
      </c>
      <c r="AN25" s="78">
        <v>3.0</v>
      </c>
      <c r="AO25" s="78">
        <v>20.0</v>
      </c>
      <c r="AP25" s="7">
        <f t="shared" si="16"/>
        <v>60</v>
      </c>
      <c r="AQ25" s="7">
        <f t="shared" si="17"/>
        <v>2.88</v>
      </c>
      <c r="AR25" s="7">
        <f t="shared" si="18"/>
        <v>2.4</v>
      </c>
      <c r="AS25" s="14">
        <f t="shared" si="19"/>
        <v>36</v>
      </c>
      <c r="AT25" s="80">
        <v>6.5</v>
      </c>
      <c r="AU25" s="78">
        <v>18000.0</v>
      </c>
      <c r="AV25" s="14">
        <f t="shared" si="25"/>
        <v>1170</v>
      </c>
      <c r="AW25" s="81">
        <v>25.0</v>
      </c>
      <c r="AX25" s="78">
        <v>6000.0</v>
      </c>
      <c r="AY25" s="14">
        <f t="shared" si="20"/>
        <v>1500</v>
      </c>
      <c r="AZ25" s="75">
        <f t="shared" si="21"/>
        <v>12596.83333</v>
      </c>
      <c r="BA25" s="98">
        <f t="shared" si="22"/>
        <v>0.7198190476</v>
      </c>
      <c r="BB25" s="11">
        <f t="shared" si="23"/>
        <v>1.389238036</v>
      </c>
      <c r="BC25" s="69" t="str">
        <f t="shared" si="24"/>
        <v>YES</v>
      </c>
    </row>
    <row r="26" ht="15.75" customHeight="1">
      <c r="A26" s="12"/>
      <c r="B26" s="26" t="s">
        <v>14</v>
      </c>
      <c r="C26" s="26" t="s">
        <v>509</v>
      </c>
      <c r="D26" s="7" t="s">
        <v>216</v>
      </c>
      <c r="E26" s="7" t="s">
        <v>172</v>
      </c>
      <c r="F26" s="7" t="s">
        <v>51</v>
      </c>
      <c r="G26" s="84" t="s">
        <v>181</v>
      </c>
      <c r="H26" s="7">
        <v>6.0</v>
      </c>
      <c r="I26" s="7">
        <v>17500.0</v>
      </c>
      <c r="J26" s="7"/>
      <c r="L26" s="7"/>
      <c r="M26" s="9">
        <f t="shared" si="1"/>
        <v>2916.666667</v>
      </c>
      <c r="N26" s="9">
        <f t="shared" si="2"/>
        <v>700</v>
      </c>
      <c r="O26" s="7">
        <v>1.0</v>
      </c>
      <c r="P26" s="9">
        <f t="shared" si="3"/>
        <v>17500</v>
      </c>
      <c r="Q26" s="79">
        <v>15.0</v>
      </c>
      <c r="R26" s="7">
        <v>13.0</v>
      </c>
      <c r="S26" s="7">
        <v>10.0</v>
      </c>
      <c r="T26" s="7">
        <v>500.0</v>
      </c>
      <c r="U26" s="7">
        <f t="shared" si="4"/>
        <v>75000</v>
      </c>
      <c r="V26" s="7">
        <f t="shared" si="5"/>
        <v>11.3</v>
      </c>
      <c r="W26" s="14">
        <f t="shared" si="6"/>
        <v>5650</v>
      </c>
      <c r="X26" s="94">
        <f t="shared" si="7"/>
        <v>9750</v>
      </c>
      <c r="Y26" s="84">
        <v>13.0</v>
      </c>
      <c r="Z26" s="7">
        <v>500.0</v>
      </c>
      <c r="AA26" s="7">
        <v>1.2</v>
      </c>
      <c r="AB26" s="7">
        <f t="shared" si="8"/>
        <v>600</v>
      </c>
      <c r="AC26" s="7">
        <f t="shared" si="9"/>
        <v>435</v>
      </c>
      <c r="AD26" s="7">
        <f t="shared" si="10"/>
        <v>78</v>
      </c>
      <c r="AE26" s="83">
        <f t="shared" si="11"/>
        <v>1170</v>
      </c>
      <c r="AF26" s="80">
        <v>34.5</v>
      </c>
      <c r="AG26" s="7">
        <v>1000.0</v>
      </c>
      <c r="AH26" s="78">
        <v>0.5</v>
      </c>
      <c r="AI26" s="7">
        <f t="shared" si="12"/>
        <v>500</v>
      </c>
      <c r="AJ26" s="7">
        <f t="shared" si="13"/>
        <v>655</v>
      </c>
      <c r="AK26" s="7">
        <f t="shared" si="14"/>
        <v>172.5</v>
      </c>
      <c r="AL26" s="14">
        <f t="shared" si="15"/>
        <v>2587.5</v>
      </c>
      <c r="AM26" s="102">
        <v>4.0</v>
      </c>
      <c r="AN26" s="7">
        <v>3.0</v>
      </c>
      <c r="AO26" s="78">
        <v>20.0</v>
      </c>
      <c r="AP26" s="7">
        <f t="shared" si="16"/>
        <v>60</v>
      </c>
      <c r="AQ26" s="7">
        <f t="shared" si="17"/>
        <v>2.88</v>
      </c>
      <c r="AR26" s="7">
        <f t="shared" si="18"/>
        <v>2.4</v>
      </c>
      <c r="AS26" s="14">
        <f t="shared" si="19"/>
        <v>36</v>
      </c>
      <c r="AT26" s="80">
        <v>6.5</v>
      </c>
      <c r="AU26" s="78">
        <v>18000.0</v>
      </c>
      <c r="AV26" s="14">
        <f t="shared" si="25"/>
        <v>1170</v>
      </c>
      <c r="AW26" s="81">
        <v>25.0</v>
      </c>
      <c r="AX26" s="78">
        <v>6000.0</v>
      </c>
      <c r="AY26" s="14">
        <f t="shared" si="20"/>
        <v>1500</v>
      </c>
      <c r="AZ26" s="75">
        <f t="shared" si="21"/>
        <v>12596.83333</v>
      </c>
      <c r="BA26" s="98">
        <f t="shared" si="22"/>
        <v>0.7198190476</v>
      </c>
      <c r="BB26" s="11">
        <f t="shared" si="23"/>
        <v>1.389238036</v>
      </c>
      <c r="BC26" s="69" t="str">
        <f t="shared" si="24"/>
        <v>YES</v>
      </c>
    </row>
    <row r="27" ht="15.75" customHeight="1">
      <c r="A27" s="12"/>
      <c r="B27" s="26" t="s">
        <v>14</v>
      </c>
      <c r="C27" s="26" t="s">
        <v>141</v>
      </c>
      <c r="D27" s="7" t="s">
        <v>198</v>
      </c>
      <c r="E27" s="7" t="s">
        <v>583</v>
      </c>
      <c r="F27" s="7" t="s">
        <v>51</v>
      </c>
      <c r="G27" s="84" t="s">
        <v>517</v>
      </c>
      <c r="H27" s="7">
        <v>6.0</v>
      </c>
      <c r="I27" s="7">
        <v>7000.0</v>
      </c>
      <c r="J27" s="7"/>
      <c r="L27" s="7"/>
      <c r="M27" s="9">
        <f t="shared" si="1"/>
        <v>1166.666667</v>
      </c>
      <c r="N27" s="9">
        <f t="shared" si="2"/>
        <v>280</v>
      </c>
      <c r="O27" s="7">
        <v>1.0</v>
      </c>
      <c r="P27" s="9">
        <f t="shared" si="3"/>
        <v>7000</v>
      </c>
      <c r="Q27" s="79">
        <v>15.0</v>
      </c>
      <c r="R27" s="7">
        <v>13.0</v>
      </c>
      <c r="S27" s="7">
        <v>10.0</v>
      </c>
      <c r="T27" s="7">
        <v>500.0</v>
      </c>
      <c r="U27" s="7">
        <f t="shared" si="4"/>
        <v>75000</v>
      </c>
      <c r="V27" s="7">
        <f t="shared" si="5"/>
        <v>11.3</v>
      </c>
      <c r="W27" s="14">
        <f t="shared" si="6"/>
        <v>5650</v>
      </c>
      <c r="X27" s="94">
        <f t="shared" si="7"/>
        <v>9750</v>
      </c>
      <c r="Y27" s="84">
        <v>13.0</v>
      </c>
      <c r="Z27" s="7">
        <v>500.0</v>
      </c>
      <c r="AA27" s="7">
        <v>1.2</v>
      </c>
      <c r="AB27" s="7">
        <f t="shared" si="8"/>
        <v>600</v>
      </c>
      <c r="AC27" s="7">
        <f t="shared" si="9"/>
        <v>435</v>
      </c>
      <c r="AD27" s="7">
        <f t="shared" si="10"/>
        <v>78</v>
      </c>
      <c r="AE27" s="83">
        <f t="shared" si="11"/>
        <v>1170</v>
      </c>
      <c r="AF27" s="80">
        <v>34.5</v>
      </c>
      <c r="AG27" s="7">
        <v>1000.0</v>
      </c>
      <c r="AH27" s="78">
        <v>0.5</v>
      </c>
      <c r="AI27" s="7">
        <f t="shared" si="12"/>
        <v>500</v>
      </c>
      <c r="AJ27" s="7">
        <f t="shared" si="13"/>
        <v>655</v>
      </c>
      <c r="AK27" s="7">
        <f t="shared" si="14"/>
        <v>172.5</v>
      </c>
      <c r="AL27" s="14">
        <f t="shared" si="15"/>
        <v>2587.5</v>
      </c>
      <c r="AM27" s="102">
        <v>4.0</v>
      </c>
      <c r="AN27" s="7">
        <v>3.0</v>
      </c>
      <c r="AO27" s="78">
        <v>20.0</v>
      </c>
      <c r="AP27" s="7">
        <f t="shared" si="16"/>
        <v>60</v>
      </c>
      <c r="AQ27" s="7">
        <f t="shared" si="17"/>
        <v>2.88</v>
      </c>
      <c r="AR27" s="7">
        <f t="shared" si="18"/>
        <v>2.4</v>
      </c>
      <c r="AS27" s="14">
        <f t="shared" si="19"/>
        <v>36</v>
      </c>
      <c r="AT27" s="80">
        <v>6.5</v>
      </c>
      <c r="AU27" s="78">
        <v>18000.0</v>
      </c>
      <c r="AV27" s="14">
        <f t="shared" si="25"/>
        <v>1170</v>
      </c>
      <c r="AW27" s="81">
        <v>25.0</v>
      </c>
      <c r="AX27" s="78">
        <v>6000.0</v>
      </c>
      <c r="AY27" s="14">
        <f t="shared" si="20"/>
        <v>1500</v>
      </c>
      <c r="AZ27" s="75">
        <f t="shared" si="21"/>
        <v>14766.83333</v>
      </c>
      <c r="BA27" s="98">
        <f t="shared" si="22"/>
        <v>2.109547619</v>
      </c>
      <c r="BB27" s="11">
        <f t="shared" si="23"/>
        <v>0.4740352818</v>
      </c>
      <c r="BC27" s="69" t="str">
        <f t="shared" si="24"/>
        <v>YES</v>
      </c>
    </row>
    <row r="28" ht="15.75" customHeight="1">
      <c r="A28" s="12"/>
      <c r="B28" s="26" t="s">
        <v>14</v>
      </c>
      <c r="C28" s="26" t="s">
        <v>141</v>
      </c>
      <c r="D28" s="7" t="s">
        <v>201</v>
      </c>
      <c r="E28" s="7" t="s">
        <v>202</v>
      </c>
      <c r="F28" s="7" t="s">
        <v>51</v>
      </c>
      <c r="G28" s="84" t="s">
        <v>584</v>
      </c>
      <c r="H28" s="7">
        <v>6.0</v>
      </c>
      <c r="I28" s="7">
        <v>10000.0</v>
      </c>
      <c r="J28" s="7"/>
      <c r="L28" s="7"/>
      <c r="M28" s="9">
        <f t="shared" si="1"/>
        <v>1666.666667</v>
      </c>
      <c r="N28" s="9">
        <f t="shared" si="2"/>
        <v>400</v>
      </c>
      <c r="O28" s="7">
        <v>1.0</v>
      </c>
      <c r="P28" s="9">
        <f t="shared" si="3"/>
        <v>10000</v>
      </c>
      <c r="Q28" s="79">
        <v>15.0</v>
      </c>
      <c r="R28" s="7">
        <v>13.0</v>
      </c>
      <c r="S28" s="7">
        <v>10.0</v>
      </c>
      <c r="T28" s="7">
        <v>500.0</v>
      </c>
      <c r="U28" s="7">
        <f t="shared" si="4"/>
        <v>75000</v>
      </c>
      <c r="V28" s="7">
        <f t="shared" si="5"/>
        <v>11.3</v>
      </c>
      <c r="W28" s="14">
        <f t="shared" si="6"/>
        <v>5650</v>
      </c>
      <c r="X28" s="94">
        <f t="shared" si="7"/>
        <v>9750</v>
      </c>
      <c r="Y28" s="84">
        <v>13.0</v>
      </c>
      <c r="Z28" s="7">
        <v>500.0</v>
      </c>
      <c r="AA28" s="7">
        <v>1.2</v>
      </c>
      <c r="AB28" s="7">
        <f t="shared" si="8"/>
        <v>600</v>
      </c>
      <c r="AC28" s="7">
        <f t="shared" si="9"/>
        <v>435</v>
      </c>
      <c r="AD28" s="7">
        <f t="shared" si="10"/>
        <v>78</v>
      </c>
      <c r="AE28" s="83">
        <f t="shared" si="11"/>
        <v>1170</v>
      </c>
      <c r="AF28" s="80">
        <v>34.5</v>
      </c>
      <c r="AG28" s="7">
        <v>1000.0</v>
      </c>
      <c r="AH28" s="78">
        <v>0.5</v>
      </c>
      <c r="AI28" s="7">
        <f t="shared" si="12"/>
        <v>500</v>
      </c>
      <c r="AJ28" s="7">
        <f t="shared" si="13"/>
        <v>655</v>
      </c>
      <c r="AK28" s="7">
        <f t="shared" si="14"/>
        <v>172.5</v>
      </c>
      <c r="AL28" s="14">
        <f t="shared" si="15"/>
        <v>2587.5</v>
      </c>
      <c r="AM28" s="102">
        <v>4.0</v>
      </c>
      <c r="AN28" s="7">
        <v>3.0</v>
      </c>
      <c r="AO28" s="78">
        <v>20.0</v>
      </c>
      <c r="AP28" s="7">
        <f t="shared" si="16"/>
        <v>60</v>
      </c>
      <c r="AQ28" s="7">
        <f t="shared" si="17"/>
        <v>2.88</v>
      </c>
      <c r="AR28" s="7">
        <f t="shared" si="18"/>
        <v>2.4</v>
      </c>
      <c r="AS28" s="14">
        <f t="shared" si="19"/>
        <v>36</v>
      </c>
      <c r="AT28" s="80">
        <v>6.5</v>
      </c>
      <c r="AU28" s="78">
        <v>18000.0</v>
      </c>
      <c r="AV28" s="14">
        <f t="shared" si="25"/>
        <v>1170</v>
      </c>
      <c r="AW28" s="81">
        <v>25.0</v>
      </c>
      <c r="AX28" s="78">
        <v>6000.0</v>
      </c>
      <c r="AY28" s="14">
        <f t="shared" si="20"/>
        <v>1500</v>
      </c>
      <c r="AZ28" s="75">
        <f t="shared" si="21"/>
        <v>14146.83333</v>
      </c>
      <c r="BA28" s="98">
        <f t="shared" si="22"/>
        <v>1.414683333</v>
      </c>
      <c r="BB28" s="11">
        <f t="shared" si="23"/>
        <v>0.7068719737</v>
      </c>
      <c r="BC28" s="69" t="str">
        <f t="shared" si="24"/>
        <v>YES</v>
      </c>
    </row>
    <row r="29" ht="15.75" customHeight="1">
      <c r="A29" s="12"/>
      <c r="B29" s="26" t="s">
        <v>14</v>
      </c>
      <c r="C29" s="26" t="s">
        <v>506</v>
      </c>
      <c r="D29" s="7" t="s">
        <v>166</v>
      </c>
      <c r="E29" s="7" t="s">
        <v>167</v>
      </c>
      <c r="F29" s="7" t="s">
        <v>51</v>
      </c>
      <c r="G29" s="84" t="s">
        <v>508</v>
      </c>
      <c r="H29" s="7">
        <v>6.0</v>
      </c>
      <c r="I29" s="7">
        <v>1100.0</v>
      </c>
      <c r="J29" s="7"/>
      <c r="L29" s="7"/>
      <c r="M29" s="9">
        <f t="shared" si="1"/>
        <v>183.3333333</v>
      </c>
      <c r="N29" s="9">
        <f t="shared" si="2"/>
        <v>44</v>
      </c>
      <c r="O29" s="7">
        <v>1.0</v>
      </c>
      <c r="P29" s="9">
        <f t="shared" si="3"/>
        <v>1100</v>
      </c>
      <c r="Q29" s="79">
        <v>15.0</v>
      </c>
      <c r="R29" s="7">
        <v>13.0</v>
      </c>
      <c r="S29" s="7">
        <v>10.0</v>
      </c>
      <c r="T29" s="7">
        <v>500.0</v>
      </c>
      <c r="U29" s="7">
        <f t="shared" si="4"/>
        <v>75000</v>
      </c>
      <c r="V29" s="7">
        <f t="shared" si="5"/>
        <v>11.3</v>
      </c>
      <c r="W29" s="14">
        <f t="shared" si="6"/>
        <v>5650</v>
      </c>
      <c r="X29" s="94">
        <f t="shared" si="7"/>
        <v>9750</v>
      </c>
      <c r="Y29" s="84">
        <v>13.0</v>
      </c>
      <c r="Z29" s="7">
        <v>500.0</v>
      </c>
      <c r="AA29" s="7">
        <v>1.2</v>
      </c>
      <c r="AB29" s="7">
        <f t="shared" si="8"/>
        <v>600</v>
      </c>
      <c r="AC29" s="7">
        <f t="shared" si="9"/>
        <v>435</v>
      </c>
      <c r="AD29" s="7">
        <f t="shared" si="10"/>
        <v>78</v>
      </c>
      <c r="AE29" s="83">
        <f t="shared" si="11"/>
        <v>1170</v>
      </c>
      <c r="AF29" s="80">
        <v>34.5</v>
      </c>
      <c r="AG29" s="7">
        <v>1000.0</v>
      </c>
      <c r="AH29" s="78">
        <v>0.5</v>
      </c>
      <c r="AI29" s="7">
        <f t="shared" si="12"/>
        <v>500</v>
      </c>
      <c r="AJ29" s="7">
        <f t="shared" si="13"/>
        <v>655</v>
      </c>
      <c r="AK29" s="7">
        <f t="shared" si="14"/>
        <v>172.5</v>
      </c>
      <c r="AL29" s="14">
        <f t="shared" si="15"/>
        <v>2587.5</v>
      </c>
      <c r="AM29" s="102">
        <v>4.0</v>
      </c>
      <c r="AN29" s="7">
        <v>3.0</v>
      </c>
      <c r="AO29" s="78">
        <v>20.0</v>
      </c>
      <c r="AP29" s="7">
        <f t="shared" si="16"/>
        <v>60</v>
      </c>
      <c r="AQ29" s="7">
        <f t="shared" si="17"/>
        <v>2.88</v>
      </c>
      <c r="AR29" s="7">
        <f t="shared" si="18"/>
        <v>2.4</v>
      </c>
      <c r="AS29" s="14">
        <f t="shared" si="19"/>
        <v>36</v>
      </c>
      <c r="AT29" s="80">
        <v>6.5</v>
      </c>
      <c r="AU29" s="78">
        <v>18000.0</v>
      </c>
      <c r="AV29" s="14">
        <f t="shared" si="25"/>
        <v>1170</v>
      </c>
      <c r="AW29" s="81">
        <v>25.0</v>
      </c>
      <c r="AX29" s="78">
        <v>6000.0</v>
      </c>
      <c r="AY29" s="14">
        <f t="shared" si="20"/>
        <v>1500</v>
      </c>
      <c r="AZ29" s="75">
        <f t="shared" si="21"/>
        <v>15986.16667</v>
      </c>
      <c r="BA29" s="98">
        <f t="shared" si="22"/>
        <v>14.53287879</v>
      </c>
      <c r="BB29" s="11">
        <f t="shared" si="23"/>
        <v>0.06880949154</v>
      </c>
      <c r="BC29" s="69" t="str">
        <f t="shared" si="24"/>
        <v>YES</v>
      </c>
    </row>
    <row r="30" ht="15.75" customHeight="1">
      <c r="A30" s="12"/>
      <c r="B30" s="26" t="s">
        <v>14</v>
      </c>
      <c r="C30" s="26" t="s">
        <v>509</v>
      </c>
      <c r="D30" s="7" t="s">
        <v>182</v>
      </c>
      <c r="E30" s="7" t="s">
        <v>585</v>
      </c>
      <c r="F30" s="7" t="s">
        <v>51</v>
      </c>
      <c r="G30" s="84" t="s">
        <v>510</v>
      </c>
      <c r="H30" s="7">
        <v>6.0</v>
      </c>
      <c r="I30" s="7">
        <v>4320.0</v>
      </c>
      <c r="J30" s="7"/>
      <c r="L30" s="7"/>
      <c r="M30" s="9">
        <f t="shared" si="1"/>
        <v>720</v>
      </c>
      <c r="N30" s="9">
        <f t="shared" si="2"/>
        <v>172.8</v>
      </c>
      <c r="O30" s="7">
        <v>1.0</v>
      </c>
      <c r="P30" s="9">
        <f t="shared" si="3"/>
        <v>4320</v>
      </c>
      <c r="Q30" s="79">
        <v>15.0</v>
      </c>
      <c r="R30" s="7">
        <v>13.0</v>
      </c>
      <c r="S30" s="7">
        <v>10.0</v>
      </c>
      <c r="T30" s="7">
        <v>500.0</v>
      </c>
      <c r="U30" s="7">
        <f t="shared" si="4"/>
        <v>75000</v>
      </c>
      <c r="V30" s="7">
        <f t="shared" si="5"/>
        <v>11.3</v>
      </c>
      <c r="W30" s="14">
        <f t="shared" si="6"/>
        <v>5650</v>
      </c>
      <c r="X30" s="94">
        <f t="shared" si="7"/>
        <v>9750</v>
      </c>
      <c r="Y30" s="84">
        <v>13.0</v>
      </c>
      <c r="Z30" s="7">
        <v>500.0</v>
      </c>
      <c r="AA30" s="7">
        <v>1.2</v>
      </c>
      <c r="AB30" s="7">
        <f t="shared" si="8"/>
        <v>600</v>
      </c>
      <c r="AC30" s="7">
        <f t="shared" si="9"/>
        <v>435</v>
      </c>
      <c r="AD30" s="7">
        <f t="shared" si="10"/>
        <v>78</v>
      </c>
      <c r="AE30" s="83">
        <f t="shared" si="11"/>
        <v>1170</v>
      </c>
      <c r="AF30" s="80">
        <v>34.5</v>
      </c>
      <c r="AG30" s="7">
        <v>1000.0</v>
      </c>
      <c r="AH30" s="78">
        <v>0.5</v>
      </c>
      <c r="AI30" s="7">
        <f t="shared" si="12"/>
        <v>500</v>
      </c>
      <c r="AJ30" s="7">
        <f t="shared" si="13"/>
        <v>655</v>
      </c>
      <c r="AK30" s="7">
        <f t="shared" si="14"/>
        <v>172.5</v>
      </c>
      <c r="AL30" s="14">
        <f t="shared" si="15"/>
        <v>2587.5</v>
      </c>
      <c r="AM30" s="102">
        <v>4.0</v>
      </c>
      <c r="AN30" s="7">
        <v>3.0</v>
      </c>
      <c r="AO30" s="78">
        <v>20.0</v>
      </c>
      <c r="AP30" s="7">
        <f t="shared" si="16"/>
        <v>60</v>
      </c>
      <c r="AQ30" s="7">
        <f t="shared" si="17"/>
        <v>2.88</v>
      </c>
      <c r="AR30" s="7">
        <f t="shared" si="18"/>
        <v>2.4</v>
      </c>
      <c r="AS30" s="14">
        <f t="shared" si="19"/>
        <v>36</v>
      </c>
      <c r="AT30" s="80">
        <v>6.5</v>
      </c>
      <c r="AU30" s="78">
        <v>18000.0</v>
      </c>
      <c r="AV30" s="14">
        <f t="shared" si="25"/>
        <v>1170</v>
      </c>
      <c r="AW30" s="81">
        <v>25.0</v>
      </c>
      <c r="AX30" s="78">
        <v>6000.0</v>
      </c>
      <c r="AY30" s="14">
        <f t="shared" si="20"/>
        <v>1500</v>
      </c>
      <c r="AZ30" s="75">
        <f t="shared" si="21"/>
        <v>15320.7</v>
      </c>
      <c r="BA30" s="98">
        <f t="shared" si="22"/>
        <v>3.546458333</v>
      </c>
      <c r="BB30" s="11">
        <f t="shared" si="23"/>
        <v>0.2819714504</v>
      </c>
      <c r="BC30" s="69" t="str">
        <f t="shared" si="24"/>
        <v>YES</v>
      </c>
    </row>
    <row r="31" ht="15.75" customHeight="1">
      <c r="A31" s="12"/>
      <c r="B31" s="26" t="s">
        <v>14</v>
      </c>
      <c r="C31" s="26" t="s">
        <v>586</v>
      </c>
      <c r="D31" s="7" t="s">
        <v>587</v>
      </c>
      <c r="E31" s="7" t="s">
        <v>208</v>
      </c>
      <c r="F31" s="7" t="s">
        <v>51</v>
      </c>
      <c r="G31" s="84" t="s">
        <v>514</v>
      </c>
      <c r="H31" s="7">
        <v>6.0</v>
      </c>
      <c r="I31" s="7">
        <v>20000.0</v>
      </c>
      <c r="J31" s="7"/>
      <c r="L31" s="7"/>
      <c r="M31" s="9">
        <f t="shared" si="1"/>
        <v>3333.333333</v>
      </c>
      <c r="N31" s="9">
        <f t="shared" si="2"/>
        <v>800</v>
      </c>
      <c r="O31" s="7">
        <v>1.0</v>
      </c>
      <c r="P31" s="9">
        <f t="shared" si="3"/>
        <v>20000</v>
      </c>
      <c r="Q31" s="79">
        <v>15.0</v>
      </c>
      <c r="R31" s="7">
        <v>13.0</v>
      </c>
      <c r="S31" s="7">
        <v>10.0</v>
      </c>
      <c r="T31" s="7">
        <v>500.0</v>
      </c>
      <c r="U31" s="7">
        <f t="shared" si="4"/>
        <v>75000</v>
      </c>
      <c r="V31" s="7">
        <f t="shared" si="5"/>
        <v>11.3</v>
      </c>
      <c r="W31" s="14">
        <f t="shared" si="6"/>
        <v>5650</v>
      </c>
      <c r="X31" s="94">
        <f t="shared" si="7"/>
        <v>9750</v>
      </c>
      <c r="Y31" s="84">
        <v>13.0</v>
      </c>
      <c r="Z31" s="7">
        <v>500.0</v>
      </c>
      <c r="AA31" s="7">
        <v>1.2</v>
      </c>
      <c r="AB31" s="7">
        <f t="shared" si="8"/>
        <v>600</v>
      </c>
      <c r="AC31" s="7">
        <f t="shared" si="9"/>
        <v>435</v>
      </c>
      <c r="AD31" s="7">
        <f t="shared" si="10"/>
        <v>78</v>
      </c>
      <c r="AE31" s="83">
        <f t="shared" si="11"/>
        <v>1170</v>
      </c>
      <c r="AF31" s="80">
        <v>34.5</v>
      </c>
      <c r="AG31" s="7">
        <v>1000.0</v>
      </c>
      <c r="AH31" s="78">
        <v>0.5</v>
      </c>
      <c r="AI31" s="7">
        <f t="shared" si="12"/>
        <v>500</v>
      </c>
      <c r="AJ31" s="7">
        <f t="shared" si="13"/>
        <v>655</v>
      </c>
      <c r="AK31" s="7">
        <f t="shared" si="14"/>
        <v>172.5</v>
      </c>
      <c r="AL31" s="14">
        <f t="shared" si="15"/>
        <v>2587.5</v>
      </c>
      <c r="AM31" s="102">
        <v>4.0</v>
      </c>
      <c r="AN31" s="7">
        <v>3.0</v>
      </c>
      <c r="AO31" s="78">
        <v>20.0</v>
      </c>
      <c r="AP31" s="7">
        <f t="shared" si="16"/>
        <v>60</v>
      </c>
      <c r="AQ31" s="7">
        <f t="shared" si="17"/>
        <v>2.88</v>
      </c>
      <c r="AR31" s="7">
        <f t="shared" si="18"/>
        <v>2.4</v>
      </c>
      <c r="AS31" s="14">
        <f t="shared" si="19"/>
        <v>36</v>
      </c>
      <c r="AT31" s="80">
        <v>6.5</v>
      </c>
      <c r="AU31" s="78">
        <v>18000.0</v>
      </c>
      <c r="AV31" s="14">
        <f t="shared" si="25"/>
        <v>1170</v>
      </c>
      <c r="AW31" s="81">
        <v>25.0</v>
      </c>
      <c r="AX31" s="78">
        <v>6000.0</v>
      </c>
      <c r="AY31" s="14">
        <f t="shared" si="20"/>
        <v>1500</v>
      </c>
      <c r="AZ31" s="75">
        <f t="shared" si="21"/>
        <v>12080.16667</v>
      </c>
      <c r="BA31" s="98">
        <f t="shared" si="22"/>
        <v>0.6040083333</v>
      </c>
      <c r="BB31" s="11">
        <f t="shared" si="23"/>
        <v>1.655606297</v>
      </c>
      <c r="BC31" s="69" t="str">
        <f t="shared" si="24"/>
        <v>YES</v>
      </c>
    </row>
    <row r="32" ht="15.75" customHeight="1">
      <c r="A32" s="12"/>
      <c r="B32" s="26" t="s">
        <v>14</v>
      </c>
      <c r="C32" s="26" t="s">
        <v>177</v>
      </c>
      <c r="D32" s="7" t="s">
        <v>186</v>
      </c>
      <c r="E32" s="7" t="s">
        <v>187</v>
      </c>
      <c r="F32" s="7" t="s">
        <v>51</v>
      </c>
      <c r="G32" s="84" t="s">
        <v>511</v>
      </c>
      <c r="H32" s="7">
        <v>6.0</v>
      </c>
      <c r="I32" s="7">
        <v>4100.0</v>
      </c>
      <c r="J32" s="7"/>
      <c r="L32" s="7"/>
      <c r="M32" s="9">
        <f t="shared" si="1"/>
        <v>683.3333333</v>
      </c>
      <c r="N32" s="9">
        <f t="shared" si="2"/>
        <v>164</v>
      </c>
      <c r="O32" s="7">
        <v>1.0</v>
      </c>
      <c r="P32" s="9">
        <f t="shared" si="3"/>
        <v>4100</v>
      </c>
      <c r="Q32" s="79">
        <v>15.0</v>
      </c>
      <c r="R32" s="7">
        <v>13.0</v>
      </c>
      <c r="S32" s="7">
        <v>10.0</v>
      </c>
      <c r="T32" s="7">
        <v>500.0</v>
      </c>
      <c r="U32" s="7">
        <f t="shared" si="4"/>
        <v>75000</v>
      </c>
      <c r="V32" s="7">
        <f t="shared" si="5"/>
        <v>11.3</v>
      </c>
      <c r="W32" s="14">
        <f t="shared" si="6"/>
        <v>5650</v>
      </c>
      <c r="X32" s="94">
        <f t="shared" si="7"/>
        <v>9750</v>
      </c>
      <c r="Y32" s="84">
        <v>13.0</v>
      </c>
      <c r="Z32" s="7">
        <v>500.0</v>
      </c>
      <c r="AA32" s="7">
        <v>1.2</v>
      </c>
      <c r="AB32" s="7">
        <f t="shared" si="8"/>
        <v>600</v>
      </c>
      <c r="AC32" s="7">
        <f t="shared" si="9"/>
        <v>435</v>
      </c>
      <c r="AD32" s="7">
        <f t="shared" si="10"/>
        <v>78</v>
      </c>
      <c r="AE32" s="83">
        <f t="shared" si="11"/>
        <v>1170</v>
      </c>
      <c r="AF32" s="80">
        <v>34.5</v>
      </c>
      <c r="AG32" s="7">
        <v>1000.0</v>
      </c>
      <c r="AH32" s="78">
        <v>0.5</v>
      </c>
      <c r="AI32" s="7">
        <f t="shared" si="12"/>
        <v>500</v>
      </c>
      <c r="AJ32" s="7">
        <f t="shared" si="13"/>
        <v>655</v>
      </c>
      <c r="AK32" s="7">
        <f t="shared" si="14"/>
        <v>172.5</v>
      </c>
      <c r="AL32" s="14">
        <f t="shared" si="15"/>
        <v>2587.5</v>
      </c>
      <c r="AM32" s="102">
        <v>4.0</v>
      </c>
      <c r="AN32" s="7">
        <v>3.0</v>
      </c>
      <c r="AO32" s="78">
        <v>20.0</v>
      </c>
      <c r="AP32" s="7">
        <f t="shared" si="16"/>
        <v>60</v>
      </c>
      <c r="AQ32" s="7">
        <f t="shared" si="17"/>
        <v>2.88</v>
      </c>
      <c r="AR32" s="7">
        <f t="shared" si="18"/>
        <v>2.4</v>
      </c>
      <c r="AS32" s="14">
        <f t="shared" si="19"/>
        <v>36</v>
      </c>
      <c r="AT32" s="80">
        <v>6.5</v>
      </c>
      <c r="AU32" s="78">
        <v>18000.0</v>
      </c>
      <c r="AV32" s="14">
        <f t="shared" si="25"/>
        <v>1170</v>
      </c>
      <c r="AW32" s="81">
        <v>25.0</v>
      </c>
      <c r="AX32" s="78">
        <v>6000.0</v>
      </c>
      <c r="AY32" s="14">
        <f t="shared" si="20"/>
        <v>1500</v>
      </c>
      <c r="AZ32" s="75">
        <f t="shared" si="21"/>
        <v>15366.16667</v>
      </c>
      <c r="BA32" s="98">
        <f t="shared" si="22"/>
        <v>3.747845528</v>
      </c>
      <c r="BB32" s="11">
        <f t="shared" si="23"/>
        <v>0.2668199616</v>
      </c>
      <c r="BC32" s="69" t="str">
        <f t="shared" si="24"/>
        <v>YES</v>
      </c>
    </row>
    <row r="33" ht="15.75" customHeight="1">
      <c r="A33" s="12"/>
      <c r="B33" s="26" t="s">
        <v>14</v>
      </c>
      <c r="C33" s="26" t="s">
        <v>141</v>
      </c>
      <c r="D33" s="7" t="s">
        <v>191</v>
      </c>
      <c r="E33" s="7" t="s">
        <v>187</v>
      </c>
      <c r="F33" s="7" t="s">
        <v>51</v>
      </c>
      <c r="G33" s="84" t="s">
        <v>515</v>
      </c>
      <c r="H33" s="7">
        <v>6.0</v>
      </c>
      <c r="I33" s="7">
        <v>15000.0</v>
      </c>
      <c r="J33" s="7"/>
      <c r="L33" s="7"/>
      <c r="M33" s="9">
        <f t="shared" si="1"/>
        <v>2500</v>
      </c>
      <c r="N33" s="9">
        <f t="shared" si="2"/>
        <v>600</v>
      </c>
      <c r="O33" s="7">
        <v>1.0</v>
      </c>
      <c r="P33" s="9">
        <f t="shared" si="3"/>
        <v>15000</v>
      </c>
      <c r="Q33" s="79">
        <v>15.0</v>
      </c>
      <c r="R33" s="7">
        <v>13.0</v>
      </c>
      <c r="S33" s="7">
        <v>10.0</v>
      </c>
      <c r="T33" s="7">
        <v>500.0</v>
      </c>
      <c r="U33" s="7">
        <f t="shared" si="4"/>
        <v>75000</v>
      </c>
      <c r="V33" s="7">
        <f t="shared" si="5"/>
        <v>11.3</v>
      </c>
      <c r="W33" s="14">
        <f t="shared" si="6"/>
        <v>5650</v>
      </c>
      <c r="X33" s="94">
        <f t="shared" si="7"/>
        <v>9750</v>
      </c>
      <c r="Y33" s="84">
        <v>13.0</v>
      </c>
      <c r="Z33" s="7">
        <v>500.0</v>
      </c>
      <c r="AA33" s="7">
        <v>1.2</v>
      </c>
      <c r="AB33" s="7">
        <f t="shared" si="8"/>
        <v>600</v>
      </c>
      <c r="AC33" s="7">
        <f t="shared" si="9"/>
        <v>435</v>
      </c>
      <c r="AD33" s="7">
        <f t="shared" si="10"/>
        <v>78</v>
      </c>
      <c r="AE33" s="83">
        <f t="shared" si="11"/>
        <v>1170</v>
      </c>
      <c r="AF33" s="80">
        <v>34.5</v>
      </c>
      <c r="AG33" s="7">
        <v>1000.0</v>
      </c>
      <c r="AH33" s="78">
        <v>0.5</v>
      </c>
      <c r="AI33" s="7">
        <f t="shared" si="12"/>
        <v>500</v>
      </c>
      <c r="AJ33" s="7">
        <f t="shared" si="13"/>
        <v>655</v>
      </c>
      <c r="AK33" s="7">
        <f t="shared" si="14"/>
        <v>172.5</v>
      </c>
      <c r="AL33" s="14">
        <f t="shared" si="15"/>
        <v>2587.5</v>
      </c>
      <c r="AM33" s="102">
        <v>4.0</v>
      </c>
      <c r="AN33" s="7">
        <v>3.0</v>
      </c>
      <c r="AO33" s="78">
        <v>20.0</v>
      </c>
      <c r="AP33" s="7">
        <f t="shared" si="16"/>
        <v>60</v>
      </c>
      <c r="AQ33" s="7">
        <f t="shared" si="17"/>
        <v>2.88</v>
      </c>
      <c r="AR33" s="7">
        <f t="shared" si="18"/>
        <v>2.4</v>
      </c>
      <c r="AS33" s="14">
        <f t="shared" si="19"/>
        <v>36</v>
      </c>
      <c r="AT33" s="80">
        <v>6.5</v>
      </c>
      <c r="AU33" s="78">
        <v>18000.0</v>
      </c>
      <c r="AV33" s="14">
        <f t="shared" si="25"/>
        <v>1170</v>
      </c>
      <c r="AW33" s="81">
        <v>25.0</v>
      </c>
      <c r="AX33" s="78">
        <v>6000.0</v>
      </c>
      <c r="AY33" s="14">
        <f t="shared" si="20"/>
        <v>1500</v>
      </c>
      <c r="AZ33" s="75">
        <f t="shared" si="21"/>
        <v>13113.5</v>
      </c>
      <c r="BA33" s="98">
        <f t="shared" si="22"/>
        <v>0.8742333333</v>
      </c>
      <c r="BB33" s="11">
        <f t="shared" si="23"/>
        <v>1.143859382</v>
      </c>
      <c r="BC33" s="69" t="str">
        <f t="shared" si="24"/>
        <v>YES</v>
      </c>
    </row>
    <row r="34" ht="15.75" customHeight="1">
      <c r="A34" s="18"/>
      <c r="B34" s="85" t="s">
        <v>14</v>
      </c>
      <c r="C34" s="85" t="s">
        <v>141</v>
      </c>
      <c r="D34" s="19" t="s">
        <v>194</v>
      </c>
      <c r="E34" s="19" t="s">
        <v>583</v>
      </c>
      <c r="F34" s="19" t="s">
        <v>51</v>
      </c>
      <c r="G34" s="88" t="s">
        <v>518</v>
      </c>
      <c r="H34" s="19">
        <v>6.0</v>
      </c>
      <c r="I34" s="19">
        <v>6000.0</v>
      </c>
      <c r="J34" s="19"/>
      <c r="K34" s="19"/>
      <c r="L34" s="19"/>
      <c r="M34" s="9">
        <f t="shared" si="1"/>
        <v>1000</v>
      </c>
      <c r="N34" s="9">
        <f t="shared" si="2"/>
        <v>240</v>
      </c>
      <c r="O34" s="19">
        <v>1.0</v>
      </c>
      <c r="P34" s="9">
        <f t="shared" si="3"/>
        <v>6000</v>
      </c>
      <c r="Q34" s="79">
        <v>15.0</v>
      </c>
      <c r="R34" s="19">
        <v>13.0</v>
      </c>
      <c r="S34" s="7">
        <v>10.0</v>
      </c>
      <c r="T34" s="7">
        <v>500.0</v>
      </c>
      <c r="U34" s="19">
        <f t="shared" si="4"/>
        <v>75000</v>
      </c>
      <c r="V34" s="19">
        <f t="shared" si="5"/>
        <v>11.3</v>
      </c>
      <c r="W34" s="21">
        <f t="shared" si="6"/>
        <v>5650</v>
      </c>
      <c r="X34" s="89">
        <f t="shared" si="7"/>
        <v>9750</v>
      </c>
      <c r="Y34" s="88">
        <v>13.0</v>
      </c>
      <c r="Z34" s="7">
        <v>500.0</v>
      </c>
      <c r="AA34" s="7">
        <v>1.2</v>
      </c>
      <c r="AB34" s="19">
        <f t="shared" si="8"/>
        <v>600</v>
      </c>
      <c r="AC34" s="19">
        <f t="shared" si="9"/>
        <v>435</v>
      </c>
      <c r="AD34" s="19">
        <f t="shared" si="10"/>
        <v>78</v>
      </c>
      <c r="AE34" s="91">
        <f t="shared" si="11"/>
        <v>1170</v>
      </c>
      <c r="AF34" s="90">
        <v>34.5</v>
      </c>
      <c r="AG34" s="7">
        <v>1000.0</v>
      </c>
      <c r="AH34" s="78">
        <v>0.5</v>
      </c>
      <c r="AI34" s="19">
        <f t="shared" si="12"/>
        <v>500</v>
      </c>
      <c r="AJ34" s="19">
        <f t="shared" si="13"/>
        <v>655</v>
      </c>
      <c r="AK34" s="19">
        <f t="shared" si="14"/>
        <v>172.5</v>
      </c>
      <c r="AL34" s="21">
        <f t="shared" si="15"/>
        <v>2587.5</v>
      </c>
      <c r="AM34" s="103">
        <v>4.0</v>
      </c>
      <c r="AN34" s="19">
        <v>3.0</v>
      </c>
      <c r="AO34" s="78">
        <v>20.0</v>
      </c>
      <c r="AP34" s="19">
        <f t="shared" si="16"/>
        <v>60</v>
      </c>
      <c r="AQ34" s="19">
        <f t="shared" si="17"/>
        <v>2.88</v>
      </c>
      <c r="AR34" s="19">
        <f t="shared" si="18"/>
        <v>2.4</v>
      </c>
      <c r="AS34" s="21">
        <f t="shared" si="19"/>
        <v>36</v>
      </c>
      <c r="AT34" s="80">
        <v>6.5</v>
      </c>
      <c r="AU34" s="78">
        <v>18000.0</v>
      </c>
      <c r="AV34" s="21">
        <f t="shared" si="25"/>
        <v>1170</v>
      </c>
      <c r="AW34" s="104">
        <v>25.0</v>
      </c>
      <c r="AX34" s="19">
        <v>6000.0</v>
      </c>
      <c r="AY34" s="21">
        <f t="shared" si="20"/>
        <v>1500</v>
      </c>
      <c r="AZ34" s="75">
        <f t="shared" si="21"/>
        <v>14973.5</v>
      </c>
      <c r="BA34" s="98">
        <f t="shared" si="22"/>
        <v>2.495583333</v>
      </c>
      <c r="BB34" s="11">
        <f t="shared" si="23"/>
        <v>0.4007079173</v>
      </c>
      <c r="BC34" s="69" t="str">
        <f t="shared" si="24"/>
        <v>YES</v>
      </c>
    </row>
    <row r="35" ht="15.75" customHeight="1">
      <c r="A35" s="66" t="s">
        <v>219</v>
      </c>
      <c r="B35" s="67" t="s">
        <v>14</v>
      </c>
      <c r="C35" s="67" t="s">
        <v>519</v>
      </c>
      <c r="D35" s="9" t="s">
        <v>220</v>
      </c>
      <c r="E35" s="9" t="s">
        <v>221</v>
      </c>
      <c r="F35" s="9" t="s">
        <v>51</v>
      </c>
      <c r="G35" s="75" t="s">
        <v>520</v>
      </c>
      <c r="H35" s="9">
        <v>6.0</v>
      </c>
      <c r="I35" s="9"/>
      <c r="J35" s="9"/>
      <c r="K35" s="9"/>
      <c r="L35" s="9">
        <v>260.0</v>
      </c>
      <c r="M35" s="9">
        <f t="shared" si="1"/>
        <v>0</v>
      </c>
      <c r="N35" s="9">
        <f t="shared" si="2"/>
        <v>0</v>
      </c>
      <c r="O35" s="9">
        <v>1.0</v>
      </c>
      <c r="P35" s="9">
        <f t="shared" si="3"/>
        <v>0</v>
      </c>
      <c r="Q35" s="69">
        <v>15.0</v>
      </c>
      <c r="R35" s="9">
        <v>13.0</v>
      </c>
      <c r="S35" s="9">
        <v>10.0</v>
      </c>
      <c r="T35" s="9">
        <v>500.0</v>
      </c>
      <c r="U35" s="9">
        <f t="shared" si="4"/>
        <v>75000</v>
      </c>
      <c r="V35" s="9">
        <f t="shared" si="5"/>
        <v>11.3</v>
      </c>
      <c r="W35" s="11">
        <f t="shared" si="6"/>
        <v>5650</v>
      </c>
      <c r="X35" s="72">
        <f t="shared" si="7"/>
        <v>9750</v>
      </c>
      <c r="Y35" s="75">
        <v>40.0</v>
      </c>
      <c r="Z35" s="9">
        <v>500.0</v>
      </c>
      <c r="AA35" s="9">
        <v>1.2</v>
      </c>
      <c r="AB35" s="9">
        <f t="shared" si="8"/>
        <v>600</v>
      </c>
      <c r="AC35" s="9">
        <f t="shared" si="9"/>
        <v>300</v>
      </c>
      <c r="AD35" s="9">
        <f t="shared" si="10"/>
        <v>240</v>
      </c>
      <c r="AE35" s="73">
        <f t="shared" si="11"/>
        <v>3600</v>
      </c>
      <c r="AF35" s="76">
        <v>0.0</v>
      </c>
      <c r="AG35" s="9">
        <v>1000.0</v>
      </c>
      <c r="AH35" s="74">
        <v>0.5</v>
      </c>
      <c r="AI35" s="9">
        <f t="shared" si="12"/>
        <v>500</v>
      </c>
      <c r="AJ35" s="9">
        <f t="shared" si="13"/>
        <v>1000</v>
      </c>
      <c r="AK35" s="9">
        <f t="shared" si="14"/>
        <v>0</v>
      </c>
      <c r="AL35" s="11">
        <f t="shared" si="15"/>
        <v>0</v>
      </c>
      <c r="AM35" s="75">
        <v>51.0</v>
      </c>
      <c r="AN35" s="9">
        <v>3.0</v>
      </c>
      <c r="AO35" s="74">
        <v>20.0</v>
      </c>
      <c r="AP35" s="9">
        <f t="shared" si="16"/>
        <v>60</v>
      </c>
      <c r="AQ35" s="9">
        <f t="shared" si="17"/>
        <v>1.47</v>
      </c>
      <c r="AR35" s="9">
        <f t="shared" si="18"/>
        <v>30.6</v>
      </c>
      <c r="AS35" s="11">
        <f t="shared" si="19"/>
        <v>459</v>
      </c>
      <c r="AT35" s="71">
        <v>2.8</v>
      </c>
      <c r="AU35" s="74">
        <v>18000.0</v>
      </c>
      <c r="AV35" s="11">
        <f t="shared" si="25"/>
        <v>504</v>
      </c>
      <c r="AW35" s="71">
        <v>2.8</v>
      </c>
      <c r="AX35" s="9">
        <v>6000.0</v>
      </c>
      <c r="AY35" s="11">
        <f t="shared" si="20"/>
        <v>168</v>
      </c>
      <c r="AZ35" s="75">
        <f t="shared" si="21"/>
        <v>14221</v>
      </c>
      <c r="BA35" s="98" t="str">
        <f t="shared" si="22"/>
        <v>The DAT is free</v>
      </c>
      <c r="BB35" s="11">
        <f t="shared" si="23"/>
        <v>0</v>
      </c>
      <c r="BC35" s="69" t="str">
        <f t="shared" si="24"/>
        <v>YES</v>
      </c>
    </row>
    <row r="36" ht="15.75" customHeight="1">
      <c r="A36" s="12"/>
      <c r="B36" s="26" t="s">
        <v>14</v>
      </c>
      <c r="C36" s="26" t="s">
        <v>225</v>
      </c>
      <c r="D36" s="7" t="s">
        <v>226</v>
      </c>
      <c r="E36" s="7" t="s">
        <v>588</v>
      </c>
      <c r="F36" s="7" t="s">
        <v>51</v>
      </c>
      <c r="G36" s="84" t="s">
        <v>521</v>
      </c>
      <c r="H36" s="7">
        <v>6.0</v>
      </c>
      <c r="I36" s="7">
        <v>22300.0</v>
      </c>
      <c r="J36" s="7"/>
      <c r="L36" s="7"/>
      <c r="M36" s="9">
        <f t="shared" si="1"/>
        <v>3716.666667</v>
      </c>
      <c r="N36" s="9">
        <f t="shared" si="2"/>
        <v>892</v>
      </c>
      <c r="O36" s="7">
        <v>1.0</v>
      </c>
      <c r="P36" s="9">
        <f t="shared" si="3"/>
        <v>22300</v>
      </c>
      <c r="Q36" s="79">
        <v>15.0</v>
      </c>
      <c r="R36" s="7">
        <v>13.0</v>
      </c>
      <c r="S36" s="7">
        <v>10.0</v>
      </c>
      <c r="T36" s="7">
        <v>500.0</v>
      </c>
      <c r="U36" s="7">
        <f t="shared" si="4"/>
        <v>75000</v>
      </c>
      <c r="V36" s="7">
        <f t="shared" si="5"/>
        <v>11.3</v>
      </c>
      <c r="W36" s="14">
        <f t="shared" si="6"/>
        <v>5650</v>
      </c>
      <c r="X36" s="94">
        <f t="shared" si="7"/>
        <v>9750</v>
      </c>
      <c r="Y36" s="84">
        <v>40.0</v>
      </c>
      <c r="Z36" s="7">
        <v>500.0</v>
      </c>
      <c r="AA36" s="7">
        <v>1.2</v>
      </c>
      <c r="AB36" s="7">
        <f t="shared" si="8"/>
        <v>600</v>
      </c>
      <c r="AC36" s="7">
        <f t="shared" si="9"/>
        <v>300</v>
      </c>
      <c r="AD36" s="7">
        <f t="shared" si="10"/>
        <v>240</v>
      </c>
      <c r="AE36" s="83">
        <f t="shared" si="11"/>
        <v>3600</v>
      </c>
      <c r="AF36" s="82">
        <v>0.0</v>
      </c>
      <c r="AG36" s="7">
        <v>1000.0</v>
      </c>
      <c r="AH36" s="78">
        <v>0.5</v>
      </c>
      <c r="AI36" s="7">
        <f t="shared" si="12"/>
        <v>500</v>
      </c>
      <c r="AJ36" s="7">
        <f t="shared" si="13"/>
        <v>1000</v>
      </c>
      <c r="AK36" s="7">
        <f t="shared" si="14"/>
        <v>0</v>
      </c>
      <c r="AL36" s="14">
        <f t="shared" si="15"/>
        <v>0</v>
      </c>
      <c r="AM36" s="82">
        <v>0.0</v>
      </c>
      <c r="AN36" s="7">
        <v>3.0</v>
      </c>
      <c r="AO36" s="78">
        <v>20.0</v>
      </c>
      <c r="AP36" s="7">
        <f t="shared" si="16"/>
        <v>60</v>
      </c>
      <c r="AQ36" s="7">
        <f t="shared" si="17"/>
        <v>3</v>
      </c>
      <c r="AR36" s="7">
        <f t="shared" si="18"/>
        <v>0</v>
      </c>
      <c r="AS36" s="14">
        <f t="shared" si="19"/>
        <v>0</v>
      </c>
      <c r="AT36" s="80">
        <v>2.8</v>
      </c>
      <c r="AU36" s="78">
        <v>18000.0</v>
      </c>
      <c r="AV36" s="14">
        <f t="shared" si="25"/>
        <v>504</v>
      </c>
      <c r="AW36" s="80">
        <v>2.8</v>
      </c>
      <c r="AX36" s="7">
        <v>6000.0</v>
      </c>
      <c r="AY36" s="14">
        <f t="shared" si="20"/>
        <v>168</v>
      </c>
      <c r="AZ36" s="75">
        <f t="shared" si="21"/>
        <v>9413.333333</v>
      </c>
      <c r="BA36" s="98">
        <f t="shared" si="22"/>
        <v>0.422122571</v>
      </c>
      <c r="BB36" s="11">
        <f t="shared" si="23"/>
        <v>2.36898017</v>
      </c>
      <c r="BC36" s="69" t="str">
        <f t="shared" si="24"/>
        <v>YES</v>
      </c>
    </row>
    <row r="37" ht="15.75" customHeight="1">
      <c r="A37" s="12"/>
      <c r="B37" s="26" t="s">
        <v>14</v>
      </c>
      <c r="C37" s="26" t="s">
        <v>238</v>
      </c>
      <c r="D37" s="7" t="s">
        <v>239</v>
      </c>
      <c r="E37" s="7" t="s">
        <v>187</v>
      </c>
      <c r="F37" s="7" t="s">
        <v>51</v>
      </c>
      <c r="G37" s="84" t="s">
        <v>523</v>
      </c>
      <c r="H37" s="7">
        <v>6.0</v>
      </c>
      <c r="I37" s="7">
        <v>300.0</v>
      </c>
      <c r="J37" s="7"/>
      <c r="L37" s="7"/>
      <c r="M37" s="9">
        <f t="shared" si="1"/>
        <v>0</v>
      </c>
      <c r="N37" s="9">
        <f t="shared" si="2"/>
        <v>12</v>
      </c>
      <c r="O37" s="7">
        <v>1.0</v>
      </c>
      <c r="P37" s="9">
        <f t="shared" si="3"/>
        <v>300</v>
      </c>
      <c r="Q37" s="79">
        <v>15.0</v>
      </c>
      <c r="R37" s="7">
        <v>13.0</v>
      </c>
      <c r="S37" s="7">
        <v>10.0</v>
      </c>
      <c r="T37" s="7">
        <v>500.0</v>
      </c>
      <c r="U37" s="7">
        <f t="shared" si="4"/>
        <v>75000</v>
      </c>
      <c r="V37" s="7">
        <f t="shared" si="5"/>
        <v>11.3</v>
      </c>
      <c r="W37" s="14">
        <f t="shared" si="6"/>
        <v>5650</v>
      </c>
      <c r="X37" s="94">
        <f t="shared" si="7"/>
        <v>9750</v>
      </c>
      <c r="Y37" s="82">
        <v>0.0</v>
      </c>
      <c r="Z37" s="7">
        <v>500.0</v>
      </c>
      <c r="AA37" s="7">
        <v>1.2</v>
      </c>
      <c r="AB37" s="7">
        <f t="shared" si="8"/>
        <v>600</v>
      </c>
      <c r="AC37" s="7">
        <f t="shared" si="9"/>
        <v>500</v>
      </c>
      <c r="AD37" s="7">
        <f t="shared" si="10"/>
        <v>0</v>
      </c>
      <c r="AE37" s="83">
        <f t="shared" si="11"/>
        <v>0</v>
      </c>
      <c r="AF37" s="82">
        <v>0.0</v>
      </c>
      <c r="AG37" s="7">
        <v>1000.0</v>
      </c>
      <c r="AH37" s="78">
        <v>0.5</v>
      </c>
      <c r="AI37" s="7">
        <f t="shared" si="12"/>
        <v>500</v>
      </c>
      <c r="AJ37" s="7">
        <f t="shared" si="13"/>
        <v>1000</v>
      </c>
      <c r="AK37" s="7">
        <f t="shared" si="14"/>
        <v>0</v>
      </c>
      <c r="AL37" s="14">
        <f t="shared" si="15"/>
        <v>0</v>
      </c>
      <c r="AM37" s="84">
        <v>51.0</v>
      </c>
      <c r="AN37" s="7">
        <v>3.0</v>
      </c>
      <c r="AO37" s="78">
        <v>20.0</v>
      </c>
      <c r="AP37" s="7">
        <f t="shared" si="16"/>
        <v>60</v>
      </c>
      <c r="AQ37" s="7">
        <f t="shared" si="17"/>
        <v>1.47</v>
      </c>
      <c r="AR37" s="7">
        <f t="shared" si="18"/>
        <v>30.6</v>
      </c>
      <c r="AS37" s="14">
        <f t="shared" si="19"/>
        <v>459</v>
      </c>
      <c r="AT37" s="80">
        <v>2.8</v>
      </c>
      <c r="AU37" s="78">
        <v>18000.0</v>
      </c>
      <c r="AV37" s="14">
        <f t="shared" si="25"/>
        <v>504</v>
      </c>
      <c r="AW37" s="80">
        <v>2.8</v>
      </c>
      <c r="AX37" s="7">
        <v>6000.0</v>
      </c>
      <c r="AY37" s="14">
        <f t="shared" si="20"/>
        <v>168</v>
      </c>
      <c r="AZ37" s="75">
        <f t="shared" si="21"/>
        <v>10869</v>
      </c>
      <c r="BA37" s="98">
        <f t="shared" si="22"/>
        <v>36.23</v>
      </c>
      <c r="BB37" s="11">
        <f t="shared" si="23"/>
        <v>0.02760143527</v>
      </c>
      <c r="BC37" s="69" t="str">
        <f t="shared" si="24"/>
        <v>YES</v>
      </c>
    </row>
    <row r="38" ht="15.75" customHeight="1">
      <c r="A38" s="12"/>
      <c r="B38" s="26" t="s">
        <v>14</v>
      </c>
      <c r="C38" s="26" t="s">
        <v>238</v>
      </c>
      <c r="D38" s="7" t="s">
        <v>243</v>
      </c>
      <c r="E38" s="7" t="s">
        <v>244</v>
      </c>
      <c r="F38" s="7" t="s">
        <v>51</v>
      </c>
      <c r="G38" s="84" t="s">
        <v>524</v>
      </c>
      <c r="H38" s="7">
        <v>6.0</v>
      </c>
      <c r="I38" s="7">
        <v>2500.0</v>
      </c>
      <c r="J38" s="7"/>
      <c r="K38" s="7"/>
      <c r="L38" s="7"/>
      <c r="M38" s="9">
        <f t="shared" si="1"/>
        <v>416.6666667</v>
      </c>
      <c r="N38" s="9">
        <f t="shared" si="2"/>
        <v>100</v>
      </c>
      <c r="O38" s="7">
        <v>1.0</v>
      </c>
      <c r="P38" s="9">
        <f t="shared" si="3"/>
        <v>2500</v>
      </c>
      <c r="Q38" s="79">
        <v>15.0</v>
      </c>
      <c r="R38" s="7">
        <v>13.0</v>
      </c>
      <c r="S38" s="7">
        <v>10.0</v>
      </c>
      <c r="T38" s="7">
        <v>500.0</v>
      </c>
      <c r="U38" s="7">
        <f t="shared" si="4"/>
        <v>75000</v>
      </c>
      <c r="V38" s="7">
        <f t="shared" si="5"/>
        <v>11.3</v>
      </c>
      <c r="W38" s="14">
        <f t="shared" si="6"/>
        <v>5650</v>
      </c>
      <c r="X38" s="94">
        <f t="shared" si="7"/>
        <v>9750</v>
      </c>
      <c r="Y38" s="82">
        <v>0.0</v>
      </c>
      <c r="Z38" s="7">
        <v>500.0</v>
      </c>
      <c r="AA38" s="7">
        <v>1.2</v>
      </c>
      <c r="AB38" s="7">
        <f t="shared" si="8"/>
        <v>600</v>
      </c>
      <c r="AC38" s="7">
        <f t="shared" si="9"/>
        <v>500</v>
      </c>
      <c r="AD38" s="7">
        <f t="shared" si="10"/>
        <v>0</v>
      </c>
      <c r="AE38" s="83">
        <f t="shared" si="11"/>
        <v>0</v>
      </c>
      <c r="AF38" s="82">
        <v>0.0</v>
      </c>
      <c r="AG38" s="7">
        <v>1000.0</v>
      </c>
      <c r="AH38" s="78">
        <v>0.5</v>
      </c>
      <c r="AI38" s="7">
        <f t="shared" si="12"/>
        <v>500</v>
      </c>
      <c r="AJ38" s="7">
        <f t="shared" si="13"/>
        <v>1000</v>
      </c>
      <c r="AK38" s="7">
        <f t="shared" si="14"/>
        <v>0</v>
      </c>
      <c r="AL38" s="14">
        <f t="shared" si="15"/>
        <v>0</v>
      </c>
      <c r="AM38" s="84">
        <v>51.0</v>
      </c>
      <c r="AN38" s="7">
        <v>3.0</v>
      </c>
      <c r="AO38" s="78">
        <v>20.0</v>
      </c>
      <c r="AP38" s="7">
        <f t="shared" si="16"/>
        <v>60</v>
      </c>
      <c r="AQ38" s="7">
        <f t="shared" si="17"/>
        <v>1.47</v>
      </c>
      <c r="AR38" s="7">
        <f t="shared" si="18"/>
        <v>30.6</v>
      </c>
      <c r="AS38" s="14">
        <f t="shared" si="19"/>
        <v>459</v>
      </c>
      <c r="AT38" s="80">
        <v>2.8</v>
      </c>
      <c r="AU38" s="78">
        <v>18000.0</v>
      </c>
      <c r="AV38" s="14">
        <f t="shared" si="25"/>
        <v>504</v>
      </c>
      <c r="AW38" s="80">
        <v>2.8</v>
      </c>
      <c r="AX38" s="7">
        <v>6000.0</v>
      </c>
      <c r="AY38" s="14">
        <f t="shared" si="20"/>
        <v>168</v>
      </c>
      <c r="AZ38" s="75">
        <f t="shared" si="21"/>
        <v>10364.33333</v>
      </c>
      <c r="BA38" s="98">
        <f t="shared" si="22"/>
        <v>4.145733333</v>
      </c>
      <c r="BB38" s="11">
        <f t="shared" si="23"/>
        <v>0.2412118483</v>
      </c>
      <c r="BC38" s="69" t="str">
        <f t="shared" si="24"/>
        <v>YES</v>
      </c>
    </row>
    <row r="39" ht="15.75" customHeight="1">
      <c r="A39" s="12"/>
      <c r="B39" s="26" t="s">
        <v>14</v>
      </c>
      <c r="C39" s="26" t="s">
        <v>589</v>
      </c>
      <c r="D39" s="7" t="s">
        <v>262</v>
      </c>
      <c r="E39" s="7" t="s">
        <v>172</v>
      </c>
      <c r="F39" s="7" t="s">
        <v>51</v>
      </c>
      <c r="G39" s="84" t="s">
        <v>590</v>
      </c>
      <c r="H39" s="7">
        <v>6.0</v>
      </c>
      <c r="I39" s="7">
        <v>9500.0</v>
      </c>
      <c r="M39" s="9">
        <f t="shared" si="1"/>
        <v>1583.333333</v>
      </c>
      <c r="N39" s="9">
        <f t="shared" si="2"/>
        <v>380</v>
      </c>
      <c r="O39" s="7">
        <v>1.0</v>
      </c>
      <c r="P39" s="9">
        <f t="shared" si="3"/>
        <v>9500</v>
      </c>
      <c r="Q39" s="79">
        <v>15.0</v>
      </c>
      <c r="R39" s="7">
        <v>13.0</v>
      </c>
      <c r="S39" s="7">
        <v>10.0</v>
      </c>
      <c r="T39" s="7">
        <v>500.0</v>
      </c>
      <c r="U39" s="7">
        <f t="shared" si="4"/>
        <v>75000</v>
      </c>
      <c r="V39" s="7">
        <f t="shared" si="5"/>
        <v>11.3</v>
      </c>
      <c r="W39" s="14">
        <f t="shared" si="6"/>
        <v>5650</v>
      </c>
      <c r="X39" s="94">
        <f t="shared" si="7"/>
        <v>9750</v>
      </c>
      <c r="Y39" s="84">
        <v>40.0</v>
      </c>
      <c r="Z39" s="7">
        <v>500.0</v>
      </c>
      <c r="AA39" s="7">
        <v>1.2</v>
      </c>
      <c r="AB39" s="7">
        <f t="shared" si="8"/>
        <v>600</v>
      </c>
      <c r="AC39" s="7">
        <f t="shared" si="9"/>
        <v>300</v>
      </c>
      <c r="AD39" s="7">
        <f t="shared" si="10"/>
        <v>240</v>
      </c>
      <c r="AE39" s="83">
        <f t="shared" si="11"/>
        <v>3600</v>
      </c>
      <c r="AF39" s="82">
        <v>0.0</v>
      </c>
      <c r="AG39" s="7">
        <v>1000.0</v>
      </c>
      <c r="AH39" s="78">
        <v>0.5</v>
      </c>
      <c r="AI39" s="7">
        <f t="shared" si="12"/>
        <v>500</v>
      </c>
      <c r="AJ39" s="7">
        <f t="shared" si="13"/>
        <v>1000</v>
      </c>
      <c r="AK39" s="7">
        <f t="shared" si="14"/>
        <v>0</v>
      </c>
      <c r="AL39" s="14">
        <f t="shared" si="15"/>
        <v>0</v>
      </c>
      <c r="AM39" s="84">
        <v>51.0</v>
      </c>
      <c r="AN39" s="7">
        <v>3.0</v>
      </c>
      <c r="AO39" s="78">
        <v>20.0</v>
      </c>
      <c r="AP39" s="7">
        <f t="shared" si="16"/>
        <v>60</v>
      </c>
      <c r="AQ39" s="7">
        <f t="shared" si="17"/>
        <v>1.47</v>
      </c>
      <c r="AR39" s="7">
        <f t="shared" si="18"/>
        <v>30.6</v>
      </c>
      <c r="AS39" s="14">
        <f t="shared" si="19"/>
        <v>459</v>
      </c>
      <c r="AT39" s="80">
        <v>2.8</v>
      </c>
      <c r="AU39" s="78">
        <v>18000.0</v>
      </c>
      <c r="AV39" s="14">
        <f t="shared" si="25"/>
        <v>504</v>
      </c>
      <c r="AW39" s="80">
        <v>2.8</v>
      </c>
      <c r="AX39" s="7">
        <v>6000.0</v>
      </c>
      <c r="AY39" s="14">
        <f t="shared" si="20"/>
        <v>168</v>
      </c>
      <c r="AZ39" s="75">
        <f t="shared" si="21"/>
        <v>12517.66667</v>
      </c>
      <c r="BA39" s="98">
        <f t="shared" si="22"/>
        <v>1.317649123</v>
      </c>
      <c r="BB39" s="11">
        <f t="shared" si="23"/>
        <v>0.7589273826</v>
      </c>
      <c r="BC39" s="69" t="str">
        <f t="shared" si="24"/>
        <v>YES</v>
      </c>
    </row>
    <row r="40" ht="15.75" customHeight="1">
      <c r="A40" s="12"/>
      <c r="B40" s="26" t="s">
        <v>14</v>
      </c>
      <c r="C40" s="26" t="s">
        <v>534</v>
      </c>
      <c r="D40" s="97" t="s">
        <v>591</v>
      </c>
      <c r="E40" s="7" t="s">
        <v>513</v>
      </c>
      <c r="F40" s="7" t="s">
        <v>51</v>
      </c>
      <c r="G40" s="84" t="s">
        <v>536</v>
      </c>
      <c r="H40" s="7">
        <v>6.0</v>
      </c>
      <c r="I40" s="7">
        <v>7500.0</v>
      </c>
      <c r="M40" s="9">
        <f t="shared" si="1"/>
        <v>1250</v>
      </c>
      <c r="N40" s="9">
        <f t="shared" si="2"/>
        <v>300</v>
      </c>
      <c r="O40" s="7">
        <v>1.0</v>
      </c>
      <c r="P40" s="9">
        <f t="shared" si="3"/>
        <v>7500</v>
      </c>
      <c r="Q40" s="79">
        <v>15.0</v>
      </c>
      <c r="R40" s="7">
        <v>13.0</v>
      </c>
      <c r="S40" s="7">
        <v>10.0</v>
      </c>
      <c r="T40" s="7">
        <v>500.0</v>
      </c>
      <c r="U40" s="7">
        <f t="shared" si="4"/>
        <v>75000</v>
      </c>
      <c r="V40" s="7">
        <f t="shared" si="5"/>
        <v>11.3</v>
      </c>
      <c r="W40" s="14">
        <f t="shared" si="6"/>
        <v>5650</v>
      </c>
      <c r="X40" s="94">
        <f t="shared" si="7"/>
        <v>9750</v>
      </c>
      <c r="Y40" s="84">
        <v>40.0</v>
      </c>
      <c r="Z40" s="7">
        <v>500.0</v>
      </c>
      <c r="AA40" s="7">
        <v>1.2</v>
      </c>
      <c r="AB40" s="7">
        <f t="shared" si="8"/>
        <v>600</v>
      </c>
      <c r="AC40" s="7">
        <f t="shared" si="9"/>
        <v>300</v>
      </c>
      <c r="AD40" s="7">
        <f t="shared" si="10"/>
        <v>240</v>
      </c>
      <c r="AE40" s="83">
        <f t="shared" si="11"/>
        <v>3600</v>
      </c>
      <c r="AF40" s="82">
        <v>0.0</v>
      </c>
      <c r="AG40" s="7">
        <v>1000.0</v>
      </c>
      <c r="AH40" s="78">
        <v>0.5</v>
      </c>
      <c r="AI40" s="7">
        <f t="shared" si="12"/>
        <v>500</v>
      </c>
      <c r="AJ40" s="7">
        <f t="shared" si="13"/>
        <v>1000</v>
      </c>
      <c r="AK40" s="7">
        <f t="shared" si="14"/>
        <v>0</v>
      </c>
      <c r="AL40" s="14">
        <f t="shared" si="15"/>
        <v>0</v>
      </c>
      <c r="AM40" s="82">
        <v>0.0</v>
      </c>
      <c r="AN40" s="7">
        <v>3.0</v>
      </c>
      <c r="AO40" s="78">
        <v>20.0</v>
      </c>
      <c r="AP40" s="7">
        <f t="shared" si="16"/>
        <v>60</v>
      </c>
      <c r="AQ40" s="7">
        <f t="shared" si="17"/>
        <v>3</v>
      </c>
      <c r="AR40" s="7">
        <f t="shared" si="18"/>
        <v>0</v>
      </c>
      <c r="AS40" s="14">
        <f t="shared" si="19"/>
        <v>0</v>
      </c>
      <c r="AT40" s="80">
        <v>2.8</v>
      </c>
      <c r="AU40" s="78">
        <v>18000.0</v>
      </c>
      <c r="AV40" s="14">
        <f t="shared" si="25"/>
        <v>504</v>
      </c>
      <c r="AW40" s="80">
        <v>2.8</v>
      </c>
      <c r="AX40" s="7">
        <v>6000.0</v>
      </c>
      <c r="AY40" s="14">
        <f t="shared" si="20"/>
        <v>168</v>
      </c>
      <c r="AZ40" s="75">
        <f t="shared" si="21"/>
        <v>12472</v>
      </c>
      <c r="BA40" s="98">
        <f t="shared" si="22"/>
        <v>1.662933333</v>
      </c>
      <c r="BB40" s="11">
        <f t="shared" si="23"/>
        <v>0.6013470173</v>
      </c>
      <c r="BC40" s="69" t="str">
        <f t="shared" si="24"/>
        <v>YES</v>
      </c>
    </row>
    <row r="41" ht="15.75" customHeight="1">
      <c r="A41" s="18"/>
      <c r="B41" s="85" t="s">
        <v>503</v>
      </c>
      <c r="C41" s="85" t="s">
        <v>231</v>
      </c>
      <c r="D41" s="19" t="s">
        <v>538</v>
      </c>
      <c r="E41" s="19" t="s">
        <v>233</v>
      </c>
      <c r="F41" s="19" t="s">
        <v>51</v>
      </c>
      <c r="G41" s="88" t="s">
        <v>237</v>
      </c>
      <c r="H41" s="19">
        <v>6.0</v>
      </c>
      <c r="I41" s="19">
        <v>750.0</v>
      </c>
      <c r="J41" s="19"/>
      <c r="K41" s="19"/>
      <c r="L41" s="19"/>
      <c r="M41" s="9">
        <f t="shared" si="1"/>
        <v>125</v>
      </c>
      <c r="N41" s="9">
        <f t="shared" si="2"/>
        <v>30</v>
      </c>
      <c r="O41" s="19">
        <v>1.0</v>
      </c>
      <c r="P41" s="9">
        <f t="shared" si="3"/>
        <v>750</v>
      </c>
      <c r="Q41" s="87">
        <v>15.0</v>
      </c>
      <c r="R41" s="19">
        <v>13.0</v>
      </c>
      <c r="S41" s="7">
        <v>10.0</v>
      </c>
      <c r="T41" s="7">
        <v>500.0</v>
      </c>
      <c r="U41" s="19">
        <f t="shared" si="4"/>
        <v>75000</v>
      </c>
      <c r="V41" s="19">
        <f t="shared" si="5"/>
        <v>11.3</v>
      </c>
      <c r="W41" s="21">
        <f t="shared" si="6"/>
        <v>5650</v>
      </c>
      <c r="X41" s="89">
        <f t="shared" si="7"/>
        <v>9750</v>
      </c>
      <c r="Y41" s="92">
        <v>0.0</v>
      </c>
      <c r="Z41" s="19">
        <v>500.0</v>
      </c>
      <c r="AA41" s="19">
        <v>1.2</v>
      </c>
      <c r="AB41" s="19">
        <f t="shared" si="8"/>
        <v>600</v>
      </c>
      <c r="AC41" s="19">
        <f t="shared" si="9"/>
        <v>500</v>
      </c>
      <c r="AD41" s="19">
        <f t="shared" si="10"/>
        <v>0</v>
      </c>
      <c r="AE41" s="91">
        <f t="shared" si="11"/>
        <v>0</v>
      </c>
      <c r="AF41" s="90">
        <v>26.0</v>
      </c>
      <c r="AG41" s="19">
        <v>1000.0</v>
      </c>
      <c r="AH41" s="93">
        <v>0.5</v>
      </c>
      <c r="AI41" s="19">
        <f t="shared" si="12"/>
        <v>500</v>
      </c>
      <c r="AJ41" s="19">
        <f t="shared" si="13"/>
        <v>740</v>
      </c>
      <c r="AK41" s="19">
        <f t="shared" si="14"/>
        <v>130</v>
      </c>
      <c r="AL41" s="21">
        <f t="shared" si="15"/>
        <v>1950</v>
      </c>
      <c r="AM41" s="92">
        <v>0.0</v>
      </c>
      <c r="AN41" s="19">
        <v>3.0</v>
      </c>
      <c r="AO41" s="93">
        <v>20.0</v>
      </c>
      <c r="AP41" s="19">
        <f t="shared" si="16"/>
        <v>60</v>
      </c>
      <c r="AQ41" s="19">
        <f t="shared" si="17"/>
        <v>3</v>
      </c>
      <c r="AR41" s="19">
        <f t="shared" si="18"/>
        <v>0</v>
      </c>
      <c r="AS41" s="21">
        <f t="shared" si="19"/>
        <v>0</v>
      </c>
      <c r="AT41" s="90">
        <v>2.8</v>
      </c>
      <c r="AU41" s="93">
        <v>18000.0</v>
      </c>
      <c r="AV41" s="21">
        <f t="shared" si="25"/>
        <v>504</v>
      </c>
      <c r="AW41" s="90">
        <v>2.8</v>
      </c>
      <c r="AX41" s="19">
        <v>6000.0</v>
      </c>
      <c r="AY41" s="21">
        <f t="shared" si="20"/>
        <v>168</v>
      </c>
      <c r="AZ41" s="75">
        <f t="shared" si="21"/>
        <v>12217</v>
      </c>
      <c r="BA41" s="98">
        <f t="shared" si="22"/>
        <v>16.28933333</v>
      </c>
      <c r="BB41" s="11">
        <f t="shared" si="23"/>
        <v>0.06138986658</v>
      </c>
      <c r="BC41" s="69" t="str">
        <f t="shared" si="24"/>
        <v>YES</v>
      </c>
    </row>
    <row r="42" ht="15.75" customHeight="1">
      <c r="A42" s="66" t="s">
        <v>270</v>
      </c>
      <c r="B42" s="67" t="s">
        <v>14</v>
      </c>
      <c r="C42" s="9" t="s">
        <v>271</v>
      </c>
      <c r="D42" s="9" t="s">
        <v>592</v>
      </c>
      <c r="E42" s="9" t="s">
        <v>539</v>
      </c>
      <c r="F42" s="9" t="s">
        <v>51</v>
      </c>
      <c r="G42" s="75" t="s">
        <v>540</v>
      </c>
      <c r="H42" s="9">
        <v>6.0</v>
      </c>
      <c r="I42" s="9">
        <v>15750.0</v>
      </c>
      <c r="J42" s="9"/>
      <c r="K42" s="9"/>
      <c r="L42" s="9"/>
      <c r="M42" s="9">
        <f t="shared" si="1"/>
        <v>2625</v>
      </c>
      <c r="N42" s="9">
        <f t="shared" si="2"/>
        <v>630</v>
      </c>
      <c r="O42" s="9">
        <v>1.0</v>
      </c>
      <c r="P42" s="9">
        <f t="shared" si="3"/>
        <v>15750</v>
      </c>
      <c r="Q42" s="79">
        <v>15.0</v>
      </c>
      <c r="R42" s="105">
        <v>0.0</v>
      </c>
      <c r="S42" s="9">
        <v>10.0</v>
      </c>
      <c r="T42" s="9">
        <v>500.0</v>
      </c>
      <c r="U42" s="9">
        <f t="shared" si="4"/>
        <v>75000</v>
      </c>
      <c r="V42" s="9">
        <f t="shared" si="5"/>
        <v>10</v>
      </c>
      <c r="W42" s="11">
        <f t="shared" si="6"/>
        <v>5000</v>
      </c>
      <c r="X42" s="72">
        <f t="shared" si="7"/>
        <v>0</v>
      </c>
      <c r="Y42" s="75">
        <v>8.0</v>
      </c>
      <c r="Z42" s="7">
        <v>500.0</v>
      </c>
      <c r="AA42" s="7">
        <v>1.2</v>
      </c>
      <c r="AB42" s="9">
        <f t="shared" si="8"/>
        <v>600</v>
      </c>
      <c r="AC42" s="9">
        <f t="shared" si="9"/>
        <v>460</v>
      </c>
      <c r="AD42" s="9">
        <f t="shared" si="10"/>
        <v>48</v>
      </c>
      <c r="AE42" s="73">
        <f t="shared" si="11"/>
        <v>720</v>
      </c>
      <c r="AF42" s="71">
        <v>25.0</v>
      </c>
      <c r="AG42" s="7">
        <v>1000.0</v>
      </c>
      <c r="AH42" s="78">
        <v>0.5</v>
      </c>
      <c r="AI42" s="9">
        <f t="shared" si="12"/>
        <v>500</v>
      </c>
      <c r="AJ42" s="9">
        <f t="shared" si="13"/>
        <v>750</v>
      </c>
      <c r="AK42" s="9">
        <f t="shared" si="14"/>
        <v>125</v>
      </c>
      <c r="AL42" s="11">
        <f t="shared" si="15"/>
        <v>1875</v>
      </c>
      <c r="AM42" s="71">
        <v>3.6</v>
      </c>
      <c r="AN42" s="9">
        <v>3.0</v>
      </c>
      <c r="AO42" s="78">
        <v>20.0</v>
      </c>
      <c r="AP42" s="9">
        <f t="shared" si="16"/>
        <v>60</v>
      </c>
      <c r="AQ42" s="9">
        <f t="shared" si="17"/>
        <v>2.892</v>
      </c>
      <c r="AR42" s="9">
        <f t="shared" si="18"/>
        <v>2.16</v>
      </c>
      <c r="AS42" s="11">
        <f t="shared" si="19"/>
        <v>32.4</v>
      </c>
      <c r="AT42" s="76">
        <v>0.0</v>
      </c>
      <c r="AU42" s="78">
        <v>18000.0</v>
      </c>
      <c r="AV42" s="11">
        <f t="shared" si="25"/>
        <v>0</v>
      </c>
      <c r="AW42" s="76">
        <v>0.0</v>
      </c>
      <c r="AX42" s="9">
        <v>6000.0</v>
      </c>
      <c r="AY42" s="11">
        <f t="shared" si="20"/>
        <v>0</v>
      </c>
      <c r="AZ42" s="75">
        <f t="shared" si="21"/>
        <v>-627.6</v>
      </c>
      <c r="BA42" s="98">
        <f t="shared" si="22"/>
        <v>-0.03984761905</v>
      </c>
      <c r="BB42" s="11" t="str">
        <f t="shared" si="23"/>
        <v>Payback period not applicable: the investment does not recover its cost under current conditions.</v>
      </c>
      <c r="BC42" s="69" t="str">
        <f t="shared" si="24"/>
        <v>NO</v>
      </c>
    </row>
    <row r="43" ht="15.75" customHeight="1">
      <c r="A43" s="12"/>
      <c r="B43" s="26" t="s">
        <v>14</v>
      </c>
      <c r="C43" s="7" t="s">
        <v>271</v>
      </c>
      <c r="D43" s="7" t="s">
        <v>277</v>
      </c>
      <c r="E43" s="7" t="s">
        <v>539</v>
      </c>
      <c r="F43" s="7" t="s">
        <v>51</v>
      </c>
      <c r="G43" s="84" t="s">
        <v>593</v>
      </c>
      <c r="H43" s="7">
        <v>6.0</v>
      </c>
      <c r="I43" s="7">
        <v>9500.0</v>
      </c>
      <c r="J43" s="7"/>
      <c r="K43" s="7"/>
      <c r="L43" s="7"/>
      <c r="M43" s="9">
        <f t="shared" si="1"/>
        <v>1583.333333</v>
      </c>
      <c r="N43" s="9">
        <f t="shared" si="2"/>
        <v>380</v>
      </c>
      <c r="O43" s="7">
        <v>1.0</v>
      </c>
      <c r="P43" s="9">
        <f t="shared" si="3"/>
        <v>9500</v>
      </c>
      <c r="Q43" s="79">
        <v>15.0</v>
      </c>
      <c r="R43" s="106">
        <v>0.0</v>
      </c>
      <c r="S43" s="7">
        <v>10.0</v>
      </c>
      <c r="T43" s="7">
        <v>500.0</v>
      </c>
      <c r="U43" s="7">
        <f t="shared" si="4"/>
        <v>75000</v>
      </c>
      <c r="V43" s="7">
        <f t="shared" si="5"/>
        <v>10</v>
      </c>
      <c r="W43" s="14">
        <f t="shared" si="6"/>
        <v>5000</v>
      </c>
      <c r="X43" s="94">
        <f t="shared" si="7"/>
        <v>0</v>
      </c>
      <c r="Y43" s="84">
        <v>8.0</v>
      </c>
      <c r="Z43" s="7">
        <v>500.0</v>
      </c>
      <c r="AA43" s="7">
        <v>1.2</v>
      </c>
      <c r="AB43" s="7">
        <f t="shared" si="8"/>
        <v>600</v>
      </c>
      <c r="AC43" s="7">
        <f t="shared" si="9"/>
        <v>460</v>
      </c>
      <c r="AD43" s="7">
        <f t="shared" si="10"/>
        <v>48</v>
      </c>
      <c r="AE43" s="83">
        <f t="shared" si="11"/>
        <v>720</v>
      </c>
      <c r="AF43" s="80">
        <v>25.0</v>
      </c>
      <c r="AG43" s="7">
        <v>1000.0</v>
      </c>
      <c r="AH43" s="78">
        <v>0.5</v>
      </c>
      <c r="AI43" s="7">
        <f t="shared" si="12"/>
        <v>500</v>
      </c>
      <c r="AJ43" s="7">
        <f t="shared" si="13"/>
        <v>750</v>
      </c>
      <c r="AK43" s="7">
        <f t="shared" si="14"/>
        <v>125</v>
      </c>
      <c r="AL43" s="14">
        <f t="shared" si="15"/>
        <v>1875</v>
      </c>
      <c r="AM43" s="80">
        <v>3.6</v>
      </c>
      <c r="AN43" s="7">
        <v>3.0</v>
      </c>
      <c r="AO43" s="78">
        <v>20.0</v>
      </c>
      <c r="AP43" s="7">
        <f t="shared" si="16"/>
        <v>60</v>
      </c>
      <c r="AQ43" s="7">
        <f t="shared" si="17"/>
        <v>2.892</v>
      </c>
      <c r="AR43" s="7">
        <f t="shared" si="18"/>
        <v>2.16</v>
      </c>
      <c r="AS43" s="14">
        <f t="shared" si="19"/>
        <v>32.4</v>
      </c>
      <c r="AT43" s="82">
        <v>0.0</v>
      </c>
      <c r="AU43" s="78">
        <v>18000.0</v>
      </c>
      <c r="AV43" s="14">
        <f t="shared" si="25"/>
        <v>0</v>
      </c>
      <c r="AW43" s="82">
        <v>0.0</v>
      </c>
      <c r="AX43" s="7">
        <v>6000.0</v>
      </c>
      <c r="AY43" s="14">
        <f t="shared" si="20"/>
        <v>0</v>
      </c>
      <c r="AZ43" s="75">
        <f t="shared" si="21"/>
        <v>664.0666667</v>
      </c>
      <c r="BA43" s="98">
        <f t="shared" si="22"/>
        <v>0.06990175439</v>
      </c>
      <c r="BB43" s="11">
        <f t="shared" si="23"/>
        <v>14.30579259</v>
      </c>
      <c r="BC43" s="69" t="str">
        <f t="shared" si="24"/>
        <v>NO</v>
      </c>
    </row>
    <row r="44" ht="15.75" customHeight="1">
      <c r="A44" s="12"/>
      <c r="B44" s="26" t="s">
        <v>14</v>
      </c>
      <c r="C44" s="7" t="s">
        <v>542</v>
      </c>
      <c r="D44" s="7" t="s">
        <v>280</v>
      </c>
      <c r="E44" s="7" t="s">
        <v>281</v>
      </c>
      <c r="F44" s="7" t="s">
        <v>51</v>
      </c>
      <c r="G44" s="84" t="s">
        <v>543</v>
      </c>
      <c r="H44" s="7">
        <v>6.0</v>
      </c>
      <c r="I44" s="7">
        <v>1800.0</v>
      </c>
      <c r="J44" s="7"/>
      <c r="K44" s="7"/>
      <c r="L44" s="7"/>
      <c r="M44" s="9">
        <f t="shared" si="1"/>
        <v>300</v>
      </c>
      <c r="N44" s="9">
        <f t="shared" si="2"/>
        <v>72</v>
      </c>
      <c r="O44" s="7">
        <v>1.0</v>
      </c>
      <c r="P44" s="9">
        <f t="shared" si="3"/>
        <v>1800</v>
      </c>
      <c r="Q44" s="79">
        <v>15.0</v>
      </c>
      <c r="R44" s="106">
        <v>0.0</v>
      </c>
      <c r="S44" s="7">
        <v>10.0</v>
      </c>
      <c r="T44" s="7">
        <v>500.0</v>
      </c>
      <c r="U44" s="7">
        <f t="shared" si="4"/>
        <v>75000</v>
      </c>
      <c r="V44" s="7">
        <f t="shared" si="5"/>
        <v>10</v>
      </c>
      <c r="W44" s="14">
        <f t="shared" si="6"/>
        <v>5000</v>
      </c>
      <c r="X44" s="94">
        <f t="shared" si="7"/>
        <v>0</v>
      </c>
      <c r="Y44" s="84">
        <v>8.0</v>
      </c>
      <c r="Z44" s="7">
        <v>500.0</v>
      </c>
      <c r="AA44" s="7">
        <v>1.2</v>
      </c>
      <c r="AB44" s="7">
        <f t="shared" si="8"/>
        <v>600</v>
      </c>
      <c r="AC44" s="7">
        <f t="shared" si="9"/>
        <v>460</v>
      </c>
      <c r="AD44" s="7">
        <f t="shared" si="10"/>
        <v>48</v>
      </c>
      <c r="AE44" s="83">
        <f t="shared" si="11"/>
        <v>720</v>
      </c>
      <c r="AF44" s="80">
        <v>25.0</v>
      </c>
      <c r="AG44" s="7">
        <v>1000.0</v>
      </c>
      <c r="AH44" s="78">
        <v>0.5</v>
      </c>
      <c r="AI44" s="7">
        <f t="shared" si="12"/>
        <v>500</v>
      </c>
      <c r="AJ44" s="7">
        <f t="shared" si="13"/>
        <v>750</v>
      </c>
      <c r="AK44" s="7">
        <f t="shared" si="14"/>
        <v>125</v>
      </c>
      <c r="AL44" s="14">
        <f t="shared" si="15"/>
        <v>1875</v>
      </c>
      <c r="AM44" s="80">
        <v>3.6</v>
      </c>
      <c r="AN44" s="7">
        <v>3.0</v>
      </c>
      <c r="AO44" s="78">
        <v>20.0</v>
      </c>
      <c r="AP44" s="7">
        <f t="shared" si="16"/>
        <v>60</v>
      </c>
      <c r="AQ44" s="7">
        <f t="shared" si="17"/>
        <v>2.892</v>
      </c>
      <c r="AR44" s="7">
        <f t="shared" si="18"/>
        <v>2.16</v>
      </c>
      <c r="AS44" s="14">
        <f t="shared" si="19"/>
        <v>32.4</v>
      </c>
      <c r="AT44" s="82">
        <v>0.0</v>
      </c>
      <c r="AU44" s="78">
        <v>18000.0</v>
      </c>
      <c r="AV44" s="14">
        <f t="shared" si="25"/>
        <v>0</v>
      </c>
      <c r="AW44" s="80">
        <v>6.3</v>
      </c>
      <c r="AX44" s="7">
        <v>6000.0</v>
      </c>
      <c r="AY44" s="14">
        <f t="shared" si="20"/>
        <v>378</v>
      </c>
      <c r="AZ44" s="75">
        <f t="shared" si="21"/>
        <v>2633.4</v>
      </c>
      <c r="BA44" s="98">
        <f t="shared" si="22"/>
        <v>1.463</v>
      </c>
      <c r="BB44" s="11">
        <f t="shared" si="23"/>
        <v>0.6835269993</v>
      </c>
      <c r="BC44" s="69" t="str">
        <f t="shared" si="24"/>
        <v>YES</v>
      </c>
    </row>
    <row r="45" ht="15.75" customHeight="1">
      <c r="A45" s="12"/>
      <c r="B45" s="26" t="s">
        <v>14</v>
      </c>
      <c r="C45" s="7" t="s">
        <v>271</v>
      </c>
      <c r="D45" s="7" t="s">
        <v>295</v>
      </c>
      <c r="E45" s="7" t="s">
        <v>296</v>
      </c>
      <c r="F45" s="7" t="s">
        <v>51</v>
      </c>
      <c r="G45" s="84" t="s">
        <v>544</v>
      </c>
      <c r="H45" s="7">
        <v>6.0</v>
      </c>
      <c r="I45" s="7">
        <v>6500.0</v>
      </c>
      <c r="J45" s="7"/>
      <c r="K45" s="7"/>
      <c r="L45" s="7"/>
      <c r="M45" s="9">
        <f t="shared" si="1"/>
        <v>1083.333333</v>
      </c>
      <c r="N45" s="9">
        <f t="shared" si="2"/>
        <v>260</v>
      </c>
      <c r="O45" s="7">
        <v>1.0</v>
      </c>
      <c r="P45" s="9">
        <f t="shared" si="3"/>
        <v>6500</v>
      </c>
      <c r="Q45" s="79">
        <v>15.0</v>
      </c>
      <c r="R45" s="106">
        <v>0.0</v>
      </c>
      <c r="S45" s="7">
        <v>10.0</v>
      </c>
      <c r="T45" s="7">
        <v>500.0</v>
      </c>
      <c r="U45" s="7">
        <f t="shared" si="4"/>
        <v>75000</v>
      </c>
      <c r="V45" s="7">
        <f t="shared" si="5"/>
        <v>10</v>
      </c>
      <c r="W45" s="14">
        <f t="shared" si="6"/>
        <v>5000</v>
      </c>
      <c r="X45" s="94">
        <f t="shared" si="7"/>
        <v>0</v>
      </c>
      <c r="Y45" s="84">
        <v>8.0</v>
      </c>
      <c r="Z45" s="7">
        <v>500.0</v>
      </c>
      <c r="AA45" s="7">
        <v>1.2</v>
      </c>
      <c r="AB45" s="7">
        <f t="shared" si="8"/>
        <v>600</v>
      </c>
      <c r="AC45" s="7">
        <f t="shared" si="9"/>
        <v>460</v>
      </c>
      <c r="AD45" s="7">
        <f t="shared" si="10"/>
        <v>48</v>
      </c>
      <c r="AE45" s="83">
        <f t="shared" si="11"/>
        <v>720</v>
      </c>
      <c r="AF45" s="80">
        <v>25.0</v>
      </c>
      <c r="AG45" s="7">
        <v>1000.0</v>
      </c>
      <c r="AH45" s="78">
        <v>0.5</v>
      </c>
      <c r="AI45" s="7">
        <f t="shared" si="12"/>
        <v>500</v>
      </c>
      <c r="AJ45" s="7">
        <f t="shared" si="13"/>
        <v>750</v>
      </c>
      <c r="AK45" s="7">
        <f t="shared" si="14"/>
        <v>125</v>
      </c>
      <c r="AL45" s="14">
        <f t="shared" si="15"/>
        <v>1875</v>
      </c>
      <c r="AM45" s="80">
        <v>3.6</v>
      </c>
      <c r="AN45" s="7">
        <v>3.0</v>
      </c>
      <c r="AO45" s="78">
        <v>20.0</v>
      </c>
      <c r="AP45" s="7">
        <f t="shared" si="16"/>
        <v>60</v>
      </c>
      <c r="AQ45" s="7">
        <f t="shared" si="17"/>
        <v>2.892</v>
      </c>
      <c r="AR45" s="7">
        <f t="shared" si="18"/>
        <v>2.16</v>
      </c>
      <c r="AS45" s="14">
        <f t="shared" si="19"/>
        <v>32.4</v>
      </c>
      <c r="AT45" s="82">
        <v>0.0</v>
      </c>
      <c r="AU45" s="78">
        <v>18000.0</v>
      </c>
      <c r="AV45" s="14">
        <f t="shared" si="25"/>
        <v>0</v>
      </c>
      <c r="AW45" s="80">
        <v>6.3</v>
      </c>
      <c r="AX45" s="7">
        <v>6000.0</v>
      </c>
      <c r="AY45" s="14">
        <f t="shared" si="20"/>
        <v>378</v>
      </c>
      <c r="AZ45" s="75">
        <f t="shared" si="21"/>
        <v>1662.066667</v>
      </c>
      <c r="BA45" s="98">
        <f t="shared" si="22"/>
        <v>0.2557025641</v>
      </c>
      <c r="BB45" s="11">
        <f t="shared" si="23"/>
        <v>3.910793791</v>
      </c>
      <c r="BC45" s="69" t="str">
        <f t="shared" si="24"/>
        <v>YES</v>
      </c>
    </row>
    <row r="46" ht="15.75" customHeight="1">
      <c r="A46" s="12"/>
      <c r="B46" s="26" t="s">
        <v>14</v>
      </c>
      <c r="C46" s="7" t="s">
        <v>300</v>
      </c>
      <c r="D46" s="7" t="s">
        <v>301</v>
      </c>
      <c r="E46" s="7" t="s">
        <v>302</v>
      </c>
      <c r="F46" s="7" t="s">
        <v>51</v>
      </c>
      <c r="G46" s="84" t="s">
        <v>546</v>
      </c>
      <c r="H46" s="7">
        <v>6.0</v>
      </c>
      <c r="I46" s="7">
        <v>12000.0</v>
      </c>
      <c r="J46" s="7"/>
      <c r="K46" s="7"/>
      <c r="L46" s="7"/>
      <c r="M46" s="9">
        <f t="shared" si="1"/>
        <v>2000</v>
      </c>
      <c r="N46" s="9">
        <f t="shared" si="2"/>
        <v>480</v>
      </c>
      <c r="O46" s="7">
        <v>1.0</v>
      </c>
      <c r="P46" s="9">
        <f t="shared" si="3"/>
        <v>12000</v>
      </c>
      <c r="Q46" s="79">
        <v>15.0</v>
      </c>
      <c r="R46" s="106">
        <v>0.0</v>
      </c>
      <c r="S46" s="7">
        <v>10.0</v>
      </c>
      <c r="T46" s="7">
        <v>500.0</v>
      </c>
      <c r="U46" s="7">
        <f t="shared" si="4"/>
        <v>75000</v>
      </c>
      <c r="V46" s="7">
        <f t="shared" si="5"/>
        <v>10</v>
      </c>
      <c r="W46" s="14">
        <f t="shared" si="6"/>
        <v>5000</v>
      </c>
      <c r="X46" s="94">
        <f t="shared" si="7"/>
        <v>0</v>
      </c>
      <c r="Y46" s="84">
        <v>8.0</v>
      </c>
      <c r="Z46" s="7">
        <v>500.0</v>
      </c>
      <c r="AA46" s="7">
        <v>1.2</v>
      </c>
      <c r="AB46" s="7">
        <f t="shared" si="8"/>
        <v>600</v>
      </c>
      <c r="AC46" s="7">
        <f t="shared" si="9"/>
        <v>460</v>
      </c>
      <c r="AD46" s="7">
        <f t="shared" si="10"/>
        <v>48</v>
      </c>
      <c r="AE46" s="83">
        <f t="shared" si="11"/>
        <v>720</v>
      </c>
      <c r="AF46" s="80">
        <v>25.0</v>
      </c>
      <c r="AG46" s="7">
        <v>1000.0</v>
      </c>
      <c r="AH46" s="78">
        <v>0.5</v>
      </c>
      <c r="AI46" s="7">
        <f t="shared" si="12"/>
        <v>500</v>
      </c>
      <c r="AJ46" s="7">
        <f t="shared" si="13"/>
        <v>750</v>
      </c>
      <c r="AK46" s="7">
        <f t="shared" si="14"/>
        <v>125</v>
      </c>
      <c r="AL46" s="14">
        <f t="shared" si="15"/>
        <v>1875</v>
      </c>
      <c r="AM46" s="80">
        <v>3.6</v>
      </c>
      <c r="AN46" s="7">
        <v>3.0</v>
      </c>
      <c r="AO46" s="78">
        <v>20.0</v>
      </c>
      <c r="AP46" s="7">
        <f t="shared" si="16"/>
        <v>60</v>
      </c>
      <c r="AQ46" s="7">
        <f t="shared" si="17"/>
        <v>2.892</v>
      </c>
      <c r="AR46" s="7">
        <f t="shared" si="18"/>
        <v>2.16</v>
      </c>
      <c r="AS46" s="14">
        <f t="shared" si="19"/>
        <v>32.4</v>
      </c>
      <c r="AT46" s="82">
        <v>0.0</v>
      </c>
      <c r="AU46" s="78">
        <v>18000.0</v>
      </c>
      <c r="AV46" s="14">
        <f t="shared" si="25"/>
        <v>0</v>
      </c>
      <c r="AW46" s="80">
        <v>6.3</v>
      </c>
      <c r="AX46" s="7">
        <v>6000.0</v>
      </c>
      <c r="AY46" s="14">
        <f t="shared" si="20"/>
        <v>378</v>
      </c>
      <c r="AZ46" s="75">
        <f t="shared" si="21"/>
        <v>525.4</v>
      </c>
      <c r="BA46" s="98">
        <f t="shared" si="22"/>
        <v>0.04378333333</v>
      </c>
      <c r="BB46" s="11">
        <f t="shared" si="23"/>
        <v>22.83974115</v>
      </c>
      <c r="BC46" s="69" t="str">
        <f t="shared" si="24"/>
        <v>NO</v>
      </c>
    </row>
    <row r="47" ht="15.75" customHeight="1">
      <c r="A47" s="12"/>
      <c r="B47" s="26" t="s">
        <v>14</v>
      </c>
      <c r="C47" s="7" t="s">
        <v>289</v>
      </c>
      <c r="D47" s="7" t="s">
        <v>319</v>
      </c>
      <c r="E47" s="7" t="s">
        <v>594</v>
      </c>
      <c r="F47" s="7" t="s">
        <v>51</v>
      </c>
      <c r="G47" s="84" t="s">
        <v>551</v>
      </c>
      <c r="H47" s="7">
        <v>6.0</v>
      </c>
      <c r="I47" s="7">
        <v>900.0</v>
      </c>
      <c r="J47" s="7"/>
      <c r="K47" s="7"/>
      <c r="L47" s="7"/>
      <c r="M47" s="9">
        <f t="shared" si="1"/>
        <v>150</v>
      </c>
      <c r="N47" s="9">
        <f t="shared" si="2"/>
        <v>36</v>
      </c>
      <c r="O47" s="7">
        <v>1.0</v>
      </c>
      <c r="P47" s="9">
        <f t="shared" si="3"/>
        <v>900</v>
      </c>
      <c r="Q47" s="79">
        <v>15.0</v>
      </c>
      <c r="R47" s="106">
        <v>0.0</v>
      </c>
      <c r="S47" s="7">
        <v>10.0</v>
      </c>
      <c r="T47" s="7">
        <v>500.0</v>
      </c>
      <c r="U47" s="7">
        <f t="shared" si="4"/>
        <v>75000</v>
      </c>
      <c r="V47" s="7">
        <f t="shared" si="5"/>
        <v>10</v>
      </c>
      <c r="W47" s="14">
        <f t="shared" si="6"/>
        <v>5000</v>
      </c>
      <c r="X47" s="94">
        <f t="shared" si="7"/>
        <v>0</v>
      </c>
      <c r="Y47" s="84">
        <v>8.0</v>
      </c>
      <c r="Z47" s="7">
        <v>500.0</v>
      </c>
      <c r="AA47" s="7">
        <v>1.2</v>
      </c>
      <c r="AB47" s="7">
        <f t="shared" si="8"/>
        <v>600</v>
      </c>
      <c r="AC47" s="7">
        <f t="shared" si="9"/>
        <v>460</v>
      </c>
      <c r="AD47" s="7">
        <f t="shared" si="10"/>
        <v>48</v>
      </c>
      <c r="AE47" s="83">
        <f t="shared" si="11"/>
        <v>720</v>
      </c>
      <c r="AF47" s="80">
        <v>25.0</v>
      </c>
      <c r="AG47" s="7">
        <v>1000.0</v>
      </c>
      <c r="AH47" s="78">
        <v>0.5</v>
      </c>
      <c r="AI47" s="7">
        <f t="shared" si="12"/>
        <v>500</v>
      </c>
      <c r="AJ47" s="7">
        <f t="shared" si="13"/>
        <v>750</v>
      </c>
      <c r="AK47" s="7">
        <f t="shared" si="14"/>
        <v>125</v>
      </c>
      <c r="AL47" s="14">
        <f t="shared" si="15"/>
        <v>1875</v>
      </c>
      <c r="AM47" s="80">
        <v>3.6</v>
      </c>
      <c r="AN47" s="7">
        <v>3.0</v>
      </c>
      <c r="AO47" s="78">
        <v>20.0</v>
      </c>
      <c r="AP47" s="7">
        <f t="shared" si="16"/>
        <v>60</v>
      </c>
      <c r="AQ47" s="7">
        <f t="shared" si="17"/>
        <v>2.892</v>
      </c>
      <c r="AR47" s="7">
        <f t="shared" si="18"/>
        <v>2.16</v>
      </c>
      <c r="AS47" s="14">
        <f t="shared" si="19"/>
        <v>32.4</v>
      </c>
      <c r="AT47" s="82">
        <v>0.0</v>
      </c>
      <c r="AU47" s="78">
        <v>18000.0</v>
      </c>
      <c r="AV47" s="14">
        <f t="shared" si="25"/>
        <v>0</v>
      </c>
      <c r="AW47" s="82">
        <v>0.0</v>
      </c>
      <c r="AX47" s="7">
        <v>6000.0</v>
      </c>
      <c r="AY47" s="14">
        <f t="shared" si="20"/>
        <v>0</v>
      </c>
      <c r="AZ47" s="75">
        <f t="shared" si="21"/>
        <v>2441.4</v>
      </c>
      <c r="BA47" s="98">
        <f t="shared" si="22"/>
        <v>2.712666667</v>
      </c>
      <c r="BB47" s="11">
        <f t="shared" si="23"/>
        <v>0.3686409437</v>
      </c>
      <c r="BC47" s="69" t="str">
        <f t="shared" si="24"/>
        <v>YES</v>
      </c>
    </row>
    <row r="48" ht="15.75" customHeight="1">
      <c r="A48" s="12"/>
      <c r="B48" s="26" t="s">
        <v>14</v>
      </c>
      <c r="C48" s="7" t="s">
        <v>289</v>
      </c>
      <c r="D48" s="7" t="s">
        <v>323</v>
      </c>
      <c r="E48" s="7" t="s">
        <v>549</v>
      </c>
      <c r="F48" s="7" t="s">
        <v>51</v>
      </c>
      <c r="G48" s="84" t="s">
        <v>550</v>
      </c>
      <c r="H48" s="7">
        <v>6.0</v>
      </c>
      <c r="I48" s="7">
        <v>115.0</v>
      </c>
      <c r="J48" s="7"/>
      <c r="K48" s="7"/>
      <c r="L48" s="7"/>
      <c r="M48" s="9">
        <f t="shared" si="1"/>
        <v>0</v>
      </c>
      <c r="N48" s="9">
        <f t="shared" si="2"/>
        <v>4.6</v>
      </c>
      <c r="O48" s="7">
        <v>1.0</v>
      </c>
      <c r="P48" s="9">
        <f t="shared" si="3"/>
        <v>115</v>
      </c>
      <c r="Q48" s="79">
        <v>15.0</v>
      </c>
      <c r="R48" s="106">
        <v>0.0</v>
      </c>
      <c r="S48" s="7">
        <v>10.0</v>
      </c>
      <c r="T48" s="7">
        <v>500.0</v>
      </c>
      <c r="U48" s="7">
        <f t="shared" si="4"/>
        <v>75000</v>
      </c>
      <c r="V48" s="7">
        <f t="shared" si="5"/>
        <v>10</v>
      </c>
      <c r="W48" s="14">
        <f t="shared" si="6"/>
        <v>5000</v>
      </c>
      <c r="X48" s="94">
        <f t="shared" si="7"/>
        <v>0</v>
      </c>
      <c r="Y48" s="84">
        <v>8.0</v>
      </c>
      <c r="Z48" s="7">
        <v>500.0</v>
      </c>
      <c r="AA48" s="7">
        <v>1.2</v>
      </c>
      <c r="AB48" s="7">
        <f t="shared" si="8"/>
        <v>600</v>
      </c>
      <c r="AC48" s="7">
        <f t="shared" si="9"/>
        <v>460</v>
      </c>
      <c r="AD48" s="7">
        <f t="shared" si="10"/>
        <v>48</v>
      </c>
      <c r="AE48" s="83">
        <f t="shared" si="11"/>
        <v>720</v>
      </c>
      <c r="AF48" s="80">
        <v>25.0</v>
      </c>
      <c r="AG48" s="7">
        <v>1000.0</v>
      </c>
      <c r="AH48" s="78">
        <v>0.5</v>
      </c>
      <c r="AI48" s="7">
        <f t="shared" si="12"/>
        <v>500</v>
      </c>
      <c r="AJ48" s="7">
        <f t="shared" si="13"/>
        <v>750</v>
      </c>
      <c r="AK48" s="7">
        <f t="shared" si="14"/>
        <v>125</v>
      </c>
      <c r="AL48" s="14">
        <f t="shared" si="15"/>
        <v>1875</v>
      </c>
      <c r="AM48" s="80">
        <v>3.6</v>
      </c>
      <c r="AN48" s="7">
        <v>3.0</v>
      </c>
      <c r="AO48" s="78">
        <v>20.0</v>
      </c>
      <c r="AP48" s="7">
        <f t="shared" si="16"/>
        <v>60</v>
      </c>
      <c r="AQ48" s="7">
        <f t="shared" si="17"/>
        <v>2.892</v>
      </c>
      <c r="AR48" s="7">
        <f t="shared" si="18"/>
        <v>2.16</v>
      </c>
      <c r="AS48" s="14">
        <f t="shared" si="19"/>
        <v>32.4</v>
      </c>
      <c r="AT48" s="82">
        <v>0.0</v>
      </c>
      <c r="AU48" s="78">
        <v>18000.0</v>
      </c>
      <c r="AV48" s="14">
        <f t="shared" si="25"/>
        <v>0</v>
      </c>
      <c r="AW48" s="82">
        <v>0.0</v>
      </c>
      <c r="AX48" s="7">
        <v>6000.0</v>
      </c>
      <c r="AY48" s="14">
        <f t="shared" si="20"/>
        <v>0</v>
      </c>
      <c r="AZ48" s="75">
        <f t="shared" si="21"/>
        <v>2622.8</v>
      </c>
      <c r="BA48" s="98">
        <f t="shared" si="22"/>
        <v>22.80695652</v>
      </c>
      <c r="BB48" s="11">
        <f t="shared" si="23"/>
        <v>0.04384627116</v>
      </c>
      <c r="BC48" s="69" t="str">
        <f t="shared" si="24"/>
        <v>YES</v>
      </c>
    </row>
    <row r="49" ht="15.75" customHeight="1">
      <c r="A49" s="12"/>
      <c r="B49" s="26" t="s">
        <v>14</v>
      </c>
      <c r="C49" s="7" t="s">
        <v>271</v>
      </c>
      <c r="D49" s="7" t="s">
        <v>306</v>
      </c>
      <c r="E49" s="7" t="s">
        <v>548</v>
      </c>
      <c r="F49" s="7" t="s">
        <v>51</v>
      </c>
      <c r="G49" s="84" t="s">
        <v>517</v>
      </c>
      <c r="H49" s="7">
        <v>6.0</v>
      </c>
      <c r="I49" s="7">
        <v>7000.0</v>
      </c>
      <c r="J49" s="7"/>
      <c r="K49" s="7"/>
      <c r="L49" s="7"/>
      <c r="M49" s="9">
        <f t="shared" si="1"/>
        <v>1166.666667</v>
      </c>
      <c r="N49" s="9">
        <f t="shared" si="2"/>
        <v>280</v>
      </c>
      <c r="O49" s="7">
        <v>1.0</v>
      </c>
      <c r="P49" s="9">
        <f t="shared" si="3"/>
        <v>7000</v>
      </c>
      <c r="Q49" s="79">
        <v>15.0</v>
      </c>
      <c r="R49" s="106">
        <v>0.0</v>
      </c>
      <c r="S49" s="7">
        <v>10.0</v>
      </c>
      <c r="T49" s="7">
        <v>500.0</v>
      </c>
      <c r="U49" s="7">
        <f t="shared" si="4"/>
        <v>75000</v>
      </c>
      <c r="V49" s="7">
        <f t="shared" si="5"/>
        <v>10</v>
      </c>
      <c r="W49" s="14">
        <f t="shared" si="6"/>
        <v>5000</v>
      </c>
      <c r="X49" s="94">
        <f t="shared" si="7"/>
        <v>0</v>
      </c>
      <c r="Y49" s="84">
        <v>8.0</v>
      </c>
      <c r="Z49" s="7">
        <v>500.0</v>
      </c>
      <c r="AA49" s="7">
        <v>1.2</v>
      </c>
      <c r="AB49" s="7">
        <f t="shared" si="8"/>
        <v>600</v>
      </c>
      <c r="AC49" s="7">
        <f t="shared" si="9"/>
        <v>460</v>
      </c>
      <c r="AD49" s="7">
        <f t="shared" si="10"/>
        <v>48</v>
      </c>
      <c r="AE49" s="83">
        <f t="shared" si="11"/>
        <v>720</v>
      </c>
      <c r="AF49" s="80">
        <v>25.0</v>
      </c>
      <c r="AG49" s="7">
        <v>1000.0</v>
      </c>
      <c r="AH49" s="78">
        <v>0.5</v>
      </c>
      <c r="AI49" s="7">
        <f t="shared" si="12"/>
        <v>500</v>
      </c>
      <c r="AJ49" s="7">
        <f t="shared" si="13"/>
        <v>750</v>
      </c>
      <c r="AK49" s="7">
        <f t="shared" si="14"/>
        <v>125</v>
      </c>
      <c r="AL49" s="14">
        <f t="shared" si="15"/>
        <v>1875</v>
      </c>
      <c r="AM49" s="80">
        <v>3.6</v>
      </c>
      <c r="AN49" s="7">
        <v>3.0</v>
      </c>
      <c r="AO49" s="78">
        <v>20.0</v>
      </c>
      <c r="AP49" s="7">
        <f t="shared" si="16"/>
        <v>60</v>
      </c>
      <c r="AQ49" s="7">
        <f t="shared" si="17"/>
        <v>2.892</v>
      </c>
      <c r="AR49" s="7">
        <f t="shared" si="18"/>
        <v>2.16</v>
      </c>
      <c r="AS49" s="14">
        <f t="shared" si="19"/>
        <v>32.4</v>
      </c>
      <c r="AT49" s="82">
        <v>0.0</v>
      </c>
      <c r="AU49" s="78">
        <v>18000.0</v>
      </c>
      <c r="AV49" s="14">
        <f t="shared" si="25"/>
        <v>0</v>
      </c>
      <c r="AW49" s="82">
        <v>0.0</v>
      </c>
      <c r="AX49" s="7">
        <v>6000.0</v>
      </c>
      <c r="AY49" s="14">
        <f t="shared" si="20"/>
        <v>0</v>
      </c>
      <c r="AZ49" s="75">
        <f t="shared" si="21"/>
        <v>1180.733333</v>
      </c>
      <c r="BA49" s="98">
        <f t="shared" si="22"/>
        <v>0.1686761905</v>
      </c>
      <c r="BB49" s="11">
        <f t="shared" si="23"/>
        <v>5.928518999</v>
      </c>
      <c r="BC49" s="69" t="str">
        <f t="shared" si="24"/>
        <v>YES</v>
      </c>
    </row>
    <row r="50" ht="15.75" customHeight="1">
      <c r="A50" s="12"/>
      <c r="B50" s="26" t="s">
        <v>14</v>
      </c>
      <c r="C50" s="7" t="s">
        <v>271</v>
      </c>
      <c r="D50" s="7" t="s">
        <v>310</v>
      </c>
      <c r="E50" s="7" t="s">
        <v>311</v>
      </c>
      <c r="F50" s="7" t="s">
        <v>51</v>
      </c>
      <c r="G50" s="84" t="s">
        <v>524</v>
      </c>
      <c r="H50" s="7">
        <v>6.0</v>
      </c>
      <c r="I50" s="7">
        <v>2500.0</v>
      </c>
      <c r="J50" s="7"/>
      <c r="K50" s="7"/>
      <c r="L50" s="7"/>
      <c r="M50" s="9">
        <f t="shared" si="1"/>
        <v>416.6666667</v>
      </c>
      <c r="N50" s="9">
        <f t="shared" si="2"/>
        <v>100</v>
      </c>
      <c r="O50" s="7">
        <v>1.0</v>
      </c>
      <c r="P50" s="9">
        <f t="shared" si="3"/>
        <v>2500</v>
      </c>
      <c r="Q50" s="79">
        <v>15.0</v>
      </c>
      <c r="R50" s="106">
        <v>0.0</v>
      </c>
      <c r="S50" s="7">
        <v>10.0</v>
      </c>
      <c r="T50" s="7">
        <v>500.0</v>
      </c>
      <c r="U50" s="7">
        <f t="shared" si="4"/>
        <v>75000</v>
      </c>
      <c r="V50" s="7">
        <f t="shared" si="5"/>
        <v>10</v>
      </c>
      <c r="W50" s="14">
        <f t="shared" si="6"/>
        <v>5000</v>
      </c>
      <c r="X50" s="94">
        <f t="shared" si="7"/>
        <v>0</v>
      </c>
      <c r="Y50" s="84">
        <v>8.0</v>
      </c>
      <c r="Z50" s="7">
        <v>500.0</v>
      </c>
      <c r="AA50" s="7">
        <v>1.2</v>
      </c>
      <c r="AB50" s="7">
        <f t="shared" si="8"/>
        <v>600</v>
      </c>
      <c r="AC50" s="7">
        <f t="shared" si="9"/>
        <v>460</v>
      </c>
      <c r="AD50" s="7">
        <f t="shared" si="10"/>
        <v>48</v>
      </c>
      <c r="AE50" s="83">
        <f t="shared" si="11"/>
        <v>720</v>
      </c>
      <c r="AF50" s="80">
        <v>25.0</v>
      </c>
      <c r="AG50" s="7">
        <v>1000.0</v>
      </c>
      <c r="AH50" s="78">
        <v>0.5</v>
      </c>
      <c r="AI50" s="7">
        <f t="shared" si="12"/>
        <v>500</v>
      </c>
      <c r="AJ50" s="7">
        <f t="shared" si="13"/>
        <v>750</v>
      </c>
      <c r="AK50" s="7">
        <f t="shared" si="14"/>
        <v>125</v>
      </c>
      <c r="AL50" s="14">
        <f t="shared" si="15"/>
        <v>1875</v>
      </c>
      <c r="AM50" s="82">
        <v>0.0</v>
      </c>
      <c r="AN50" s="7">
        <v>3.0</v>
      </c>
      <c r="AO50" s="78">
        <v>20.0</v>
      </c>
      <c r="AP50" s="7">
        <f t="shared" si="16"/>
        <v>60</v>
      </c>
      <c r="AQ50" s="7">
        <f t="shared" si="17"/>
        <v>3</v>
      </c>
      <c r="AR50" s="7">
        <f t="shared" si="18"/>
        <v>0</v>
      </c>
      <c r="AS50" s="14">
        <f t="shared" si="19"/>
        <v>0</v>
      </c>
      <c r="AT50" s="82">
        <v>0.0</v>
      </c>
      <c r="AU50" s="78">
        <v>18000.0</v>
      </c>
      <c r="AV50" s="14">
        <f t="shared" si="25"/>
        <v>0</v>
      </c>
      <c r="AW50" s="82">
        <v>0.0</v>
      </c>
      <c r="AX50" s="7">
        <v>6000.0</v>
      </c>
      <c r="AY50" s="14">
        <f t="shared" si="20"/>
        <v>0</v>
      </c>
      <c r="AZ50" s="75">
        <f t="shared" si="21"/>
        <v>2078.333333</v>
      </c>
      <c r="BA50" s="98">
        <f t="shared" si="22"/>
        <v>0.8313333333</v>
      </c>
      <c r="BB50" s="11">
        <f t="shared" si="23"/>
        <v>1.202886929</v>
      </c>
      <c r="BC50" s="69" t="str">
        <f t="shared" si="24"/>
        <v>YES</v>
      </c>
    </row>
    <row r="51" ht="15.75" customHeight="1">
      <c r="A51" s="12"/>
      <c r="B51" s="26" t="s">
        <v>36</v>
      </c>
      <c r="C51" s="7" t="s">
        <v>271</v>
      </c>
      <c r="D51" s="7" t="s">
        <v>547</v>
      </c>
      <c r="E51" s="7" t="s">
        <v>285</v>
      </c>
      <c r="F51" s="7" t="s">
        <v>51</v>
      </c>
      <c r="G51" s="84" t="s">
        <v>44</v>
      </c>
      <c r="H51" s="7">
        <v>6.0</v>
      </c>
      <c r="I51" s="7">
        <v>0.0</v>
      </c>
      <c r="J51" s="7"/>
      <c r="K51" s="7"/>
      <c r="L51" s="7"/>
      <c r="M51" s="9">
        <f t="shared" si="1"/>
        <v>0</v>
      </c>
      <c r="N51" s="9">
        <f t="shared" si="2"/>
        <v>0</v>
      </c>
      <c r="O51" s="7">
        <v>1.0</v>
      </c>
      <c r="P51" s="9">
        <f t="shared" si="3"/>
        <v>0</v>
      </c>
      <c r="Q51" s="79">
        <v>15.0</v>
      </c>
      <c r="R51" s="106">
        <v>0.0</v>
      </c>
      <c r="S51" s="7">
        <v>10.0</v>
      </c>
      <c r="T51" s="7">
        <v>500.0</v>
      </c>
      <c r="U51" s="7">
        <f t="shared" si="4"/>
        <v>75000</v>
      </c>
      <c r="V51" s="7">
        <f t="shared" si="5"/>
        <v>10</v>
      </c>
      <c r="W51" s="14">
        <f t="shared" si="6"/>
        <v>5000</v>
      </c>
      <c r="X51" s="94">
        <f t="shared" si="7"/>
        <v>0</v>
      </c>
      <c r="Y51" s="84">
        <v>8.0</v>
      </c>
      <c r="Z51" s="7">
        <v>500.0</v>
      </c>
      <c r="AA51" s="7">
        <v>1.2</v>
      </c>
      <c r="AB51" s="7">
        <f t="shared" si="8"/>
        <v>600</v>
      </c>
      <c r="AC51" s="7">
        <f t="shared" si="9"/>
        <v>460</v>
      </c>
      <c r="AD51" s="7">
        <f t="shared" si="10"/>
        <v>48</v>
      </c>
      <c r="AE51" s="83">
        <f t="shared" si="11"/>
        <v>720</v>
      </c>
      <c r="AF51" s="80">
        <v>25.0</v>
      </c>
      <c r="AG51" s="7">
        <v>1000.0</v>
      </c>
      <c r="AH51" s="78">
        <v>0.5</v>
      </c>
      <c r="AI51" s="7">
        <f t="shared" si="12"/>
        <v>500</v>
      </c>
      <c r="AJ51" s="7">
        <f t="shared" si="13"/>
        <v>750</v>
      </c>
      <c r="AK51" s="7">
        <f t="shared" si="14"/>
        <v>125</v>
      </c>
      <c r="AL51" s="14">
        <f t="shared" si="15"/>
        <v>1875</v>
      </c>
      <c r="AM51" s="80">
        <v>3.6</v>
      </c>
      <c r="AN51" s="7">
        <v>3.0</v>
      </c>
      <c r="AO51" s="78">
        <v>20.0</v>
      </c>
      <c r="AP51" s="7">
        <f t="shared" si="16"/>
        <v>60</v>
      </c>
      <c r="AQ51" s="7">
        <f t="shared" si="17"/>
        <v>2.892</v>
      </c>
      <c r="AR51" s="7">
        <f t="shared" si="18"/>
        <v>2.16</v>
      </c>
      <c r="AS51" s="14">
        <f t="shared" si="19"/>
        <v>32.4</v>
      </c>
      <c r="AT51" s="82">
        <v>0.0</v>
      </c>
      <c r="AU51" s="78">
        <v>18000.0</v>
      </c>
      <c r="AV51" s="14">
        <f t="shared" si="25"/>
        <v>0</v>
      </c>
      <c r="AW51" s="82">
        <v>0.0</v>
      </c>
      <c r="AX51" s="7">
        <v>6000.0</v>
      </c>
      <c r="AY51" s="14">
        <f t="shared" si="20"/>
        <v>0</v>
      </c>
      <c r="AZ51" s="75">
        <f t="shared" si="21"/>
        <v>2627.4</v>
      </c>
      <c r="BA51" s="98" t="str">
        <f t="shared" si="22"/>
        <v>The DAT is free</v>
      </c>
      <c r="BB51" s="11">
        <f t="shared" si="23"/>
        <v>0</v>
      </c>
      <c r="BC51" s="69" t="str">
        <f t="shared" si="24"/>
        <v>YES</v>
      </c>
    </row>
    <row r="52" ht="15.75" customHeight="1">
      <c r="A52" s="12"/>
      <c r="B52" s="26" t="s">
        <v>14</v>
      </c>
      <c r="C52" s="7" t="s">
        <v>289</v>
      </c>
      <c r="D52" s="7" t="s">
        <v>290</v>
      </c>
      <c r="E52" s="7" t="s">
        <v>291</v>
      </c>
      <c r="F52" s="7" t="s">
        <v>51</v>
      </c>
      <c r="G52" s="84" t="s">
        <v>294</v>
      </c>
      <c r="H52" s="7">
        <v>6.0</v>
      </c>
      <c r="I52" s="7">
        <v>220.0</v>
      </c>
      <c r="J52" s="7"/>
      <c r="K52" s="7"/>
      <c r="L52" s="7"/>
      <c r="M52" s="9">
        <f t="shared" si="1"/>
        <v>0</v>
      </c>
      <c r="N52" s="9">
        <f t="shared" si="2"/>
        <v>8.8</v>
      </c>
      <c r="O52" s="7">
        <v>1.0</v>
      </c>
      <c r="P52" s="9">
        <f t="shared" si="3"/>
        <v>220</v>
      </c>
      <c r="Q52" s="79">
        <v>15.0</v>
      </c>
      <c r="R52" s="106">
        <v>0.0</v>
      </c>
      <c r="S52" s="7">
        <v>10.0</v>
      </c>
      <c r="T52" s="7">
        <v>500.0</v>
      </c>
      <c r="U52" s="7">
        <f t="shared" si="4"/>
        <v>75000</v>
      </c>
      <c r="V52" s="7">
        <f t="shared" si="5"/>
        <v>10</v>
      </c>
      <c r="W52" s="14">
        <f t="shared" si="6"/>
        <v>5000</v>
      </c>
      <c r="X52" s="94">
        <f t="shared" si="7"/>
        <v>0</v>
      </c>
      <c r="Y52" s="84">
        <v>8.0</v>
      </c>
      <c r="Z52" s="7">
        <v>500.0</v>
      </c>
      <c r="AA52" s="7">
        <v>1.2</v>
      </c>
      <c r="AB52" s="7">
        <f t="shared" si="8"/>
        <v>600</v>
      </c>
      <c r="AC52" s="7">
        <f t="shared" si="9"/>
        <v>460</v>
      </c>
      <c r="AD52" s="7">
        <f t="shared" si="10"/>
        <v>48</v>
      </c>
      <c r="AE52" s="83">
        <f t="shared" si="11"/>
        <v>720</v>
      </c>
      <c r="AF52" s="80">
        <v>25.0</v>
      </c>
      <c r="AG52" s="7">
        <v>1000.0</v>
      </c>
      <c r="AH52" s="78">
        <v>0.5</v>
      </c>
      <c r="AI52" s="7">
        <f t="shared" si="12"/>
        <v>500</v>
      </c>
      <c r="AJ52" s="7">
        <f t="shared" si="13"/>
        <v>750</v>
      </c>
      <c r="AK52" s="7">
        <f t="shared" si="14"/>
        <v>125</v>
      </c>
      <c r="AL52" s="14">
        <f t="shared" si="15"/>
        <v>1875</v>
      </c>
      <c r="AM52" s="80">
        <v>3.6</v>
      </c>
      <c r="AN52" s="7">
        <v>3.0</v>
      </c>
      <c r="AO52" s="78">
        <v>20.0</v>
      </c>
      <c r="AP52" s="7">
        <f t="shared" si="16"/>
        <v>60</v>
      </c>
      <c r="AQ52" s="7">
        <f t="shared" si="17"/>
        <v>2.892</v>
      </c>
      <c r="AR52" s="7">
        <f t="shared" si="18"/>
        <v>2.16</v>
      </c>
      <c r="AS52" s="14">
        <f t="shared" si="19"/>
        <v>32.4</v>
      </c>
      <c r="AT52" s="82">
        <v>0.0</v>
      </c>
      <c r="AU52" s="78">
        <v>18000.0</v>
      </c>
      <c r="AV52" s="14">
        <f t="shared" si="25"/>
        <v>0</v>
      </c>
      <c r="AW52" s="82">
        <v>0.0</v>
      </c>
      <c r="AX52" s="7">
        <v>6000.0</v>
      </c>
      <c r="AY52" s="14">
        <f t="shared" si="20"/>
        <v>0</v>
      </c>
      <c r="AZ52" s="75">
        <f t="shared" si="21"/>
        <v>2618.6</v>
      </c>
      <c r="BA52" s="98">
        <f t="shared" si="22"/>
        <v>11.90272727</v>
      </c>
      <c r="BB52" s="11">
        <f t="shared" si="23"/>
        <v>0.08401435882</v>
      </c>
      <c r="BC52" s="69" t="str">
        <f t="shared" si="24"/>
        <v>YES</v>
      </c>
    </row>
    <row r="53" ht="15.75" customHeight="1">
      <c r="A53" s="18"/>
      <c r="B53" s="85" t="s">
        <v>14</v>
      </c>
      <c r="C53" s="19" t="s">
        <v>271</v>
      </c>
      <c r="D53" s="19" t="s">
        <v>314</v>
      </c>
      <c r="E53" s="19" t="s">
        <v>594</v>
      </c>
      <c r="F53" s="19" t="s">
        <v>51</v>
      </c>
      <c r="G53" s="88" t="s">
        <v>553</v>
      </c>
      <c r="H53" s="19">
        <v>6.0</v>
      </c>
      <c r="I53" s="19">
        <v>165.0</v>
      </c>
      <c r="J53" s="19"/>
      <c r="K53" s="19"/>
      <c r="L53" s="19"/>
      <c r="M53" s="9">
        <f t="shared" si="1"/>
        <v>0</v>
      </c>
      <c r="N53" s="9">
        <f t="shared" si="2"/>
        <v>6.6</v>
      </c>
      <c r="O53" s="19">
        <v>1.0</v>
      </c>
      <c r="P53" s="9">
        <f t="shared" si="3"/>
        <v>165</v>
      </c>
      <c r="Q53" s="79">
        <v>15.0</v>
      </c>
      <c r="R53" s="107">
        <v>0.0</v>
      </c>
      <c r="S53" s="7">
        <v>10.0</v>
      </c>
      <c r="T53" s="7">
        <v>500.0</v>
      </c>
      <c r="U53" s="19">
        <f t="shared" si="4"/>
        <v>75000</v>
      </c>
      <c r="V53" s="19">
        <f t="shared" si="5"/>
        <v>10</v>
      </c>
      <c r="W53" s="21">
        <f t="shared" si="6"/>
        <v>5000</v>
      </c>
      <c r="X53" s="89">
        <f t="shared" si="7"/>
        <v>0</v>
      </c>
      <c r="Y53" s="88">
        <v>8.0</v>
      </c>
      <c r="Z53" s="7">
        <v>500.0</v>
      </c>
      <c r="AA53" s="7">
        <v>1.2</v>
      </c>
      <c r="AB53" s="19">
        <f t="shared" si="8"/>
        <v>600</v>
      </c>
      <c r="AC53" s="19">
        <f t="shared" si="9"/>
        <v>460</v>
      </c>
      <c r="AD53" s="19">
        <f t="shared" si="10"/>
        <v>48</v>
      </c>
      <c r="AE53" s="91">
        <f t="shared" si="11"/>
        <v>720</v>
      </c>
      <c r="AF53" s="90">
        <v>25.0</v>
      </c>
      <c r="AG53" s="7">
        <v>1000.0</v>
      </c>
      <c r="AH53" s="78">
        <v>0.5</v>
      </c>
      <c r="AI53" s="19">
        <f t="shared" si="12"/>
        <v>500</v>
      </c>
      <c r="AJ53" s="19">
        <f t="shared" si="13"/>
        <v>750</v>
      </c>
      <c r="AK53" s="19">
        <f t="shared" si="14"/>
        <v>125</v>
      </c>
      <c r="AL53" s="21">
        <f t="shared" si="15"/>
        <v>1875</v>
      </c>
      <c r="AM53" s="90">
        <v>3.6</v>
      </c>
      <c r="AN53" s="19">
        <v>3.0</v>
      </c>
      <c r="AO53" s="78">
        <v>20.0</v>
      </c>
      <c r="AP53" s="19">
        <f t="shared" si="16"/>
        <v>60</v>
      </c>
      <c r="AQ53" s="19">
        <f t="shared" si="17"/>
        <v>2.892</v>
      </c>
      <c r="AR53" s="19">
        <f t="shared" si="18"/>
        <v>2.16</v>
      </c>
      <c r="AS53" s="21">
        <f t="shared" si="19"/>
        <v>32.4</v>
      </c>
      <c r="AT53" s="92">
        <v>0.0</v>
      </c>
      <c r="AU53" s="78">
        <v>18000.0</v>
      </c>
      <c r="AV53" s="21">
        <f t="shared" si="25"/>
        <v>0</v>
      </c>
      <c r="AW53" s="92">
        <v>0.0</v>
      </c>
      <c r="AX53" s="19">
        <v>6000.0</v>
      </c>
      <c r="AY53" s="21">
        <f t="shared" si="20"/>
        <v>0</v>
      </c>
      <c r="AZ53" s="75">
        <f t="shared" si="21"/>
        <v>2620.8</v>
      </c>
      <c r="BA53" s="98">
        <f t="shared" si="22"/>
        <v>15.88363636</v>
      </c>
      <c r="BB53" s="11">
        <f t="shared" si="23"/>
        <v>0.06295787546</v>
      </c>
      <c r="BC53" s="69" t="str">
        <f t="shared" si="24"/>
        <v>YES</v>
      </c>
    </row>
    <row r="54" ht="15.75" customHeight="1">
      <c r="A54" s="66" t="s">
        <v>328</v>
      </c>
      <c r="B54" s="67" t="s">
        <v>14</v>
      </c>
      <c r="C54" s="67" t="s">
        <v>392</v>
      </c>
      <c r="D54" s="9" t="s">
        <v>393</v>
      </c>
      <c r="E54" s="9" t="s">
        <v>394</v>
      </c>
      <c r="F54" s="9" t="s">
        <v>51</v>
      </c>
      <c r="G54" s="84" t="s">
        <v>559</v>
      </c>
      <c r="H54" s="7">
        <v>6.0</v>
      </c>
      <c r="I54" s="7">
        <v>950.0</v>
      </c>
      <c r="J54" s="7"/>
      <c r="K54" s="7"/>
      <c r="L54" s="7"/>
      <c r="M54" s="9">
        <f t="shared" si="1"/>
        <v>158.3333333</v>
      </c>
      <c r="N54" s="9">
        <f t="shared" si="2"/>
        <v>38</v>
      </c>
      <c r="O54" s="7">
        <v>1.0</v>
      </c>
      <c r="P54" s="9">
        <f t="shared" si="3"/>
        <v>950</v>
      </c>
      <c r="Q54" s="69">
        <v>15.0</v>
      </c>
      <c r="R54" s="106">
        <v>0.0</v>
      </c>
      <c r="S54" s="9">
        <v>10.0</v>
      </c>
      <c r="T54" s="9">
        <v>500.0</v>
      </c>
      <c r="U54" s="7">
        <f t="shared" si="4"/>
        <v>75000</v>
      </c>
      <c r="V54" s="7">
        <f t="shared" si="5"/>
        <v>10</v>
      </c>
      <c r="W54" s="14">
        <f t="shared" si="6"/>
        <v>5000</v>
      </c>
      <c r="X54" s="94">
        <f t="shared" si="7"/>
        <v>0</v>
      </c>
      <c r="Y54" s="108">
        <v>45020.0</v>
      </c>
      <c r="Z54" s="9">
        <v>500.0</v>
      </c>
      <c r="AA54" s="9">
        <v>1.2</v>
      </c>
      <c r="AB54" s="7">
        <f t="shared" si="8"/>
        <v>600</v>
      </c>
      <c r="AC54" s="7">
        <f t="shared" si="9"/>
        <v>-224600</v>
      </c>
      <c r="AD54" s="7">
        <f t="shared" si="10"/>
        <v>270120</v>
      </c>
      <c r="AE54" s="83">
        <f t="shared" si="11"/>
        <v>4051800</v>
      </c>
      <c r="AF54" s="82">
        <v>0.0</v>
      </c>
      <c r="AG54" s="9">
        <v>1000.0</v>
      </c>
      <c r="AH54" s="74">
        <v>0.5</v>
      </c>
      <c r="AI54" s="7">
        <f t="shared" si="12"/>
        <v>500</v>
      </c>
      <c r="AJ54" s="7">
        <f t="shared" si="13"/>
        <v>1000</v>
      </c>
      <c r="AK54" s="7">
        <f t="shared" si="14"/>
        <v>0</v>
      </c>
      <c r="AL54" s="14">
        <f t="shared" si="15"/>
        <v>0</v>
      </c>
      <c r="AM54" s="82">
        <v>0.0</v>
      </c>
      <c r="AN54" s="7">
        <v>3.0</v>
      </c>
      <c r="AO54" s="74">
        <v>20.0</v>
      </c>
      <c r="AP54" s="7">
        <f t="shared" si="16"/>
        <v>60</v>
      </c>
      <c r="AQ54" s="7">
        <f t="shared" si="17"/>
        <v>3</v>
      </c>
      <c r="AR54" s="7">
        <f t="shared" si="18"/>
        <v>0</v>
      </c>
      <c r="AS54" s="14">
        <f t="shared" si="19"/>
        <v>0</v>
      </c>
      <c r="AT54" s="84">
        <v>80.0</v>
      </c>
      <c r="AU54" s="74">
        <v>18000.0</v>
      </c>
      <c r="AV54" s="14">
        <f t="shared" si="25"/>
        <v>14400</v>
      </c>
      <c r="AW54" s="82">
        <v>0.0</v>
      </c>
      <c r="AX54" s="7">
        <v>6000.0</v>
      </c>
      <c r="AY54" s="14">
        <f t="shared" si="20"/>
        <v>0</v>
      </c>
      <c r="AZ54" s="75">
        <f t="shared" si="21"/>
        <v>4066003.667</v>
      </c>
      <c r="BA54" s="98">
        <f t="shared" si="22"/>
        <v>4280.00386</v>
      </c>
      <c r="BB54" s="11">
        <f t="shared" si="23"/>
        <v>0.0002336446491</v>
      </c>
      <c r="BC54" s="69" t="str">
        <f t="shared" si="24"/>
        <v>YES</v>
      </c>
    </row>
    <row r="55" ht="15.75" customHeight="1">
      <c r="A55" s="12"/>
      <c r="B55" s="26" t="s">
        <v>14</v>
      </c>
      <c r="C55" s="26" t="s">
        <v>238</v>
      </c>
      <c r="D55" s="7" t="s">
        <v>382</v>
      </c>
      <c r="E55" s="7" t="s">
        <v>187</v>
      </c>
      <c r="F55" s="7" t="s">
        <v>51</v>
      </c>
      <c r="G55" s="84" t="s">
        <v>595</v>
      </c>
      <c r="H55" s="7">
        <v>6.0</v>
      </c>
      <c r="I55" s="7">
        <v>30000.0</v>
      </c>
      <c r="J55" s="7"/>
      <c r="K55" s="7"/>
      <c r="L55" s="7"/>
      <c r="M55" s="9">
        <f t="shared" si="1"/>
        <v>5000</v>
      </c>
      <c r="N55" s="9">
        <f t="shared" si="2"/>
        <v>1200</v>
      </c>
      <c r="O55" s="7">
        <v>1.0</v>
      </c>
      <c r="P55" s="9">
        <f t="shared" si="3"/>
        <v>30000</v>
      </c>
      <c r="Q55" s="79">
        <v>15.0</v>
      </c>
      <c r="R55" s="106">
        <v>0.0</v>
      </c>
      <c r="S55" s="7">
        <v>10.0</v>
      </c>
      <c r="T55" s="7">
        <v>500.0</v>
      </c>
      <c r="U55" s="7">
        <f t="shared" si="4"/>
        <v>75000</v>
      </c>
      <c r="V55" s="7">
        <f t="shared" si="5"/>
        <v>10</v>
      </c>
      <c r="W55" s="14">
        <f t="shared" si="6"/>
        <v>5000</v>
      </c>
      <c r="X55" s="94">
        <f t="shared" si="7"/>
        <v>0</v>
      </c>
      <c r="Y55" s="108">
        <v>45020.0</v>
      </c>
      <c r="Z55" s="7">
        <v>500.0</v>
      </c>
      <c r="AA55" s="7">
        <v>1.2</v>
      </c>
      <c r="AB55" s="7">
        <f t="shared" si="8"/>
        <v>600</v>
      </c>
      <c r="AC55" s="7">
        <f t="shared" si="9"/>
        <v>-224600</v>
      </c>
      <c r="AD55" s="7">
        <f t="shared" si="10"/>
        <v>270120</v>
      </c>
      <c r="AE55" s="83">
        <f t="shared" si="11"/>
        <v>4051800</v>
      </c>
      <c r="AF55" s="82">
        <v>0.0</v>
      </c>
      <c r="AG55" s="7">
        <v>1000.0</v>
      </c>
      <c r="AH55" s="78">
        <v>0.5</v>
      </c>
      <c r="AI55" s="7">
        <f t="shared" si="12"/>
        <v>500</v>
      </c>
      <c r="AJ55" s="7">
        <f t="shared" si="13"/>
        <v>1000</v>
      </c>
      <c r="AK55" s="7">
        <f t="shared" si="14"/>
        <v>0</v>
      </c>
      <c r="AL55" s="14">
        <f t="shared" si="15"/>
        <v>0</v>
      </c>
      <c r="AM55" s="84">
        <v>50.0</v>
      </c>
      <c r="AN55" s="7">
        <v>3.0</v>
      </c>
      <c r="AO55" s="78">
        <v>20.0</v>
      </c>
      <c r="AP55" s="7">
        <f t="shared" si="16"/>
        <v>60</v>
      </c>
      <c r="AQ55" s="7">
        <f t="shared" si="17"/>
        <v>1.5</v>
      </c>
      <c r="AR55" s="7">
        <f t="shared" si="18"/>
        <v>30</v>
      </c>
      <c r="AS55" s="14">
        <f t="shared" si="19"/>
        <v>450</v>
      </c>
      <c r="AT55" s="84">
        <v>80.0</v>
      </c>
      <c r="AU55" s="78">
        <v>18000.0</v>
      </c>
      <c r="AV55" s="14">
        <f t="shared" si="25"/>
        <v>14400</v>
      </c>
      <c r="AW55" s="82">
        <v>0.0</v>
      </c>
      <c r="AX55" s="7">
        <v>6000.0</v>
      </c>
      <c r="AY55" s="14">
        <f t="shared" si="20"/>
        <v>0</v>
      </c>
      <c r="AZ55" s="75">
        <f t="shared" si="21"/>
        <v>4060450</v>
      </c>
      <c r="BA55" s="98">
        <f t="shared" si="22"/>
        <v>135.3483333</v>
      </c>
      <c r="BB55" s="11">
        <f t="shared" si="23"/>
        <v>0.007388343656</v>
      </c>
      <c r="BC55" s="69" t="str">
        <f t="shared" si="24"/>
        <v>YES</v>
      </c>
    </row>
    <row r="56" ht="15.75" customHeight="1">
      <c r="A56" s="12"/>
      <c r="B56" s="26" t="s">
        <v>14</v>
      </c>
      <c r="C56" s="26" t="s">
        <v>350</v>
      </c>
      <c r="D56" s="7" t="s">
        <v>372</v>
      </c>
      <c r="E56" s="7" t="s">
        <v>596</v>
      </c>
      <c r="F56" s="7" t="s">
        <v>376</v>
      </c>
      <c r="G56" s="84" t="s">
        <v>597</v>
      </c>
      <c r="H56" s="7">
        <v>6.0</v>
      </c>
      <c r="I56" s="7">
        <v>19000.0</v>
      </c>
      <c r="J56" s="7"/>
      <c r="K56" s="7"/>
      <c r="L56" s="7"/>
      <c r="M56" s="9">
        <f t="shared" si="1"/>
        <v>3166.666667</v>
      </c>
      <c r="N56" s="9">
        <f t="shared" si="2"/>
        <v>760</v>
      </c>
      <c r="O56" s="7">
        <v>1.0</v>
      </c>
      <c r="P56" s="9">
        <f t="shared" si="3"/>
        <v>19000</v>
      </c>
      <c r="Q56" s="79">
        <v>15.0</v>
      </c>
      <c r="R56" s="106">
        <v>0.0</v>
      </c>
      <c r="S56" s="7">
        <v>10.0</v>
      </c>
      <c r="T56" s="7">
        <v>500.0</v>
      </c>
      <c r="U56" s="7">
        <f t="shared" si="4"/>
        <v>75000</v>
      </c>
      <c r="V56" s="7">
        <f t="shared" si="5"/>
        <v>10</v>
      </c>
      <c r="W56" s="14">
        <f t="shared" si="6"/>
        <v>5000</v>
      </c>
      <c r="X56" s="94">
        <f t="shared" si="7"/>
        <v>0</v>
      </c>
      <c r="Y56" s="80">
        <v>4.4</v>
      </c>
      <c r="Z56" s="7">
        <v>500.0</v>
      </c>
      <c r="AA56" s="7">
        <v>1.2</v>
      </c>
      <c r="AB56" s="7">
        <f t="shared" si="8"/>
        <v>600</v>
      </c>
      <c r="AC56" s="7">
        <f t="shared" si="9"/>
        <v>478</v>
      </c>
      <c r="AD56" s="7">
        <f t="shared" si="10"/>
        <v>26.4</v>
      </c>
      <c r="AE56" s="83">
        <f t="shared" si="11"/>
        <v>396</v>
      </c>
      <c r="AF56" s="82">
        <v>0.0</v>
      </c>
      <c r="AG56" s="7">
        <v>1000.0</v>
      </c>
      <c r="AH56" s="78">
        <v>0.5</v>
      </c>
      <c r="AI56" s="7">
        <f t="shared" si="12"/>
        <v>500</v>
      </c>
      <c r="AJ56" s="7">
        <f t="shared" si="13"/>
        <v>1000</v>
      </c>
      <c r="AK56" s="7">
        <f t="shared" si="14"/>
        <v>0</v>
      </c>
      <c r="AL56" s="14">
        <f t="shared" si="15"/>
        <v>0</v>
      </c>
      <c r="AM56" s="82">
        <v>0.0</v>
      </c>
      <c r="AN56" s="7">
        <v>3.0</v>
      </c>
      <c r="AO56" s="78">
        <v>20.0</v>
      </c>
      <c r="AP56" s="7">
        <f t="shared" si="16"/>
        <v>60</v>
      </c>
      <c r="AQ56" s="7">
        <f t="shared" si="17"/>
        <v>3</v>
      </c>
      <c r="AR56" s="7">
        <f t="shared" si="18"/>
        <v>0</v>
      </c>
      <c r="AS56" s="14">
        <f t="shared" si="19"/>
        <v>0</v>
      </c>
      <c r="AT56" s="84">
        <v>80.0</v>
      </c>
      <c r="AU56" s="78">
        <v>18000.0</v>
      </c>
      <c r="AV56" s="14">
        <f t="shared" si="25"/>
        <v>14400</v>
      </c>
      <c r="AW56" s="82">
        <v>0.0</v>
      </c>
      <c r="AX56" s="7">
        <v>6000.0</v>
      </c>
      <c r="AY56" s="14">
        <f t="shared" si="20"/>
        <v>0</v>
      </c>
      <c r="AZ56" s="75">
        <f t="shared" si="21"/>
        <v>10869.33333</v>
      </c>
      <c r="BA56" s="98">
        <f t="shared" si="22"/>
        <v>0.5720701754</v>
      </c>
      <c r="BB56" s="11">
        <f t="shared" si="23"/>
        <v>1.748037291</v>
      </c>
      <c r="BC56" s="69" t="str">
        <f t="shared" si="24"/>
        <v>YES</v>
      </c>
    </row>
    <row r="57" ht="15.75" customHeight="1">
      <c r="A57" s="12"/>
      <c r="B57" s="26" t="s">
        <v>14</v>
      </c>
      <c r="C57" s="26" t="s">
        <v>566</v>
      </c>
      <c r="D57" s="7" t="s">
        <v>567</v>
      </c>
      <c r="E57" s="7" t="s">
        <v>568</v>
      </c>
      <c r="F57" s="7" t="s">
        <v>51</v>
      </c>
      <c r="G57" s="84" t="s">
        <v>569</v>
      </c>
      <c r="H57" s="7">
        <v>6.0</v>
      </c>
      <c r="I57" s="7"/>
      <c r="J57" s="7"/>
      <c r="K57" s="7">
        <v>415.0</v>
      </c>
      <c r="L57" s="7">
        <f>K57*12</f>
        <v>4980</v>
      </c>
      <c r="M57" s="9">
        <f t="shared" si="1"/>
        <v>0</v>
      </c>
      <c r="N57" s="9">
        <f t="shared" si="2"/>
        <v>0</v>
      </c>
      <c r="O57" s="7">
        <v>1.0</v>
      </c>
      <c r="P57" s="9">
        <f t="shared" si="3"/>
        <v>0</v>
      </c>
      <c r="Q57" s="79">
        <v>15.0</v>
      </c>
      <c r="R57" s="106">
        <v>0.0</v>
      </c>
      <c r="S57" s="7">
        <v>10.0</v>
      </c>
      <c r="T57" s="7">
        <v>500.0</v>
      </c>
      <c r="U57" s="7">
        <f t="shared" si="4"/>
        <v>75000</v>
      </c>
      <c r="V57" s="7">
        <f t="shared" si="5"/>
        <v>10</v>
      </c>
      <c r="W57" s="14">
        <f t="shared" si="6"/>
        <v>5000</v>
      </c>
      <c r="X57" s="94">
        <f t="shared" si="7"/>
        <v>0</v>
      </c>
      <c r="Y57" s="80">
        <v>4.4</v>
      </c>
      <c r="Z57" s="7">
        <v>500.0</v>
      </c>
      <c r="AA57" s="7">
        <v>1.2</v>
      </c>
      <c r="AB57" s="7">
        <f t="shared" si="8"/>
        <v>600</v>
      </c>
      <c r="AC57" s="7">
        <f t="shared" si="9"/>
        <v>478</v>
      </c>
      <c r="AD57" s="7">
        <f t="shared" si="10"/>
        <v>26.4</v>
      </c>
      <c r="AE57" s="83">
        <f t="shared" si="11"/>
        <v>396</v>
      </c>
      <c r="AF57" s="82">
        <v>0.0</v>
      </c>
      <c r="AG57" s="7">
        <v>1000.0</v>
      </c>
      <c r="AH57" s="78">
        <v>0.5</v>
      </c>
      <c r="AI57" s="7">
        <f t="shared" si="12"/>
        <v>500</v>
      </c>
      <c r="AJ57" s="7">
        <f t="shared" si="13"/>
        <v>1000</v>
      </c>
      <c r="AK57" s="7">
        <f t="shared" si="14"/>
        <v>0</v>
      </c>
      <c r="AL57" s="14">
        <f t="shared" si="15"/>
        <v>0</v>
      </c>
      <c r="AM57" s="82">
        <v>0.0</v>
      </c>
      <c r="AN57" s="7">
        <v>3.0</v>
      </c>
      <c r="AO57" s="78">
        <v>20.0</v>
      </c>
      <c r="AP57" s="7">
        <f t="shared" si="16"/>
        <v>60</v>
      </c>
      <c r="AQ57" s="7">
        <f t="shared" si="17"/>
        <v>3</v>
      </c>
      <c r="AR57" s="7">
        <f t="shared" si="18"/>
        <v>0</v>
      </c>
      <c r="AS57" s="14">
        <f t="shared" si="19"/>
        <v>0</v>
      </c>
      <c r="AT57" s="84">
        <v>80.0</v>
      </c>
      <c r="AU57" s="78">
        <v>18000.0</v>
      </c>
      <c r="AV57" s="14">
        <f t="shared" si="25"/>
        <v>14400</v>
      </c>
      <c r="AW57" s="82">
        <v>0.0</v>
      </c>
      <c r="AX57" s="7">
        <v>6000.0</v>
      </c>
      <c r="AY57" s="14">
        <f t="shared" si="20"/>
        <v>0</v>
      </c>
      <c r="AZ57" s="75">
        <f t="shared" si="21"/>
        <v>9816</v>
      </c>
      <c r="BA57" s="98" t="str">
        <f t="shared" si="22"/>
        <v>The DAT is free</v>
      </c>
      <c r="BB57" s="11">
        <f t="shared" si="23"/>
        <v>0</v>
      </c>
      <c r="BC57" s="69" t="str">
        <f t="shared" si="24"/>
        <v>YES</v>
      </c>
    </row>
    <row r="58" ht="15.75" customHeight="1">
      <c r="A58" s="12"/>
      <c r="B58" s="26" t="s">
        <v>14</v>
      </c>
      <c r="C58" s="26" t="s">
        <v>350</v>
      </c>
      <c r="D58" s="7" t="s">
        <v>351</v>
      </c>
      <c r="E58" s="7" t="s">
        <v>352</v>
      </c>
      <c r="F58" s="7" t="s">
        <v>598</v>
      </c>
      <c r="G58" s="84" t="s">
        <v>356</v>
      </c>
      <c r="H58" s="7">
        <v>6.0</v>
      </c>
      <c r="I58" s="7">
        <v>250000.0</v>
      </c>
      <c r="J58" s="7"/>
      <c r="K58" s="7"/>
      <c r="L58" s="7"/>
      <c r="M58" s="9">
        <f t="shared" si="1"/>
        <v>41666.66667</v>
      </c>
      <c r="N58" s="9">
        <f t="shared" si="2"/>
        <v>10000</v>
      </c>
      <c r="O58" s="7">
        <v>1.0</v>
      </c>
      <c r="P58" s="9">
        <f t="shared" si="3"/>
        <v>250000</v>
      </c>
      <c r="Q58" s="79">
        <v>15.0</v>
      </c>
      <c r="R58" s="106">
        <v>0.0</v>
      </c>
      <c r="S58" s="7">
        <v>10.0</v>
      </c>
      <c r="T58" s="7">
        <v>500.0</v>
      </c>
      <c r="U58" s="7">
        <f t="shared" si="4"/>
        <v>75000</v>
      </c>
      <c r="V58" s="7">
        <f t="shared" si="5"/>
        <v>10</v>
      </c>
      <c r="W58" s="14">
        <f t="shared" si="6"/>
        <v>5000</v>
      </c>
      <c r="X58" s="94">
        <f t="shared" si="7"/>
        <v>0</v>
      </c>
      <c r="Y58" s="108">
        <v>45020.0</v>
      </c>
      <c r="Z58" s="7">
        <v>500.0</v>
      </c>
      <c r="AA58" s="7">
        <v>1.2</v>
      </c>
      <c r="AB58" s="7">
        <f t="shared" si="8"/>
        <v>600</v>
      </c>
      <c r="AC58" s="7">
        <f t="shared" si="9"/>
        <v>-224600</v>
      </c>
      <c r="AD58" s="7">
        <f t="shared" si="10"/>
        <v>270120</v>
      </c>
      <c r="AE58" s="83">
        <f t="shared" si="11"/>
        <v>4051800</v>
      </c>
      <c r="AF58" s="82">
        <v>0.0</v>
      </c>
      <c r="AG58" s="7">
        <v>1000.0</v>
      </c>
      <c r="AH58" s="78">
        <v>0.5</v>
      </c>
      <c r="AI58" s="7">
        <f t="shared" si="12"/>
        <v>500</v>
      </c>
      <c r="AJ58" s="7">
        <f t="shared" si="13"/>
        <v>1000</v>
      </c>
      <c r="AK58" s="7">
        <f t="shared" si="14"/>
        <v>0</v>
      </c>
      <c r="AL58" s="14">
        <f t="shared" si="15"/>
        <v>0</v>
      </c>
      <c r="AM58" s="82">
        <v>0.0</v>
      </c>
      <c r="AN58" s="7">
        <v>3.0</v>
      </c>
      <c r="AO58" s="78">
        <v>20.0</v>
      </c>
      <c r="AP58" s="7">
        <f t="shared" si="16"/>
        <v>60</v>
      </c>
      <c r="AQ58" s="7">
        <f t="shared" si="17"/>
        <v>3</v>
      </c>
      <c r="AR58" s="7">
        <f t="shared" si="18"/>
        <v>0</v>
      </c>
      <c r="AS58" s="14">
        <f t="shared" si="19"/>
        <v>0</v>
      </c>
      <c r="AT58" s="84">
        <v>80.0</v>
      </c>
      <c r="AU58" s="78">
        <v>18000.0</v>
      </c>
      <c r="AV58" s="14">
        <f t="shared" si="25"/>
        <v>14400</v>
      </c>
      <c r="AW58" s="82">
        <v>0.0</v>
      </c>
      <c r="AX58" s="7">
        <v>6000.0</v>
      </c>
      <c r="AY58" s="14">
        <f t="shared" si="20"/>
        <v>0</v>
      </c>
      <c r="AZ58" s="75">
        <f t="shared" si="21"/>
        <v>4014533.333</v>
      </c>
      <c r="BA58" s="98">
        <f t="shared" si="22"/>
        <v>16.05813333</v>
      </c>
      <c r="BB58" s="11">
        <f t="shared" si="23"/>
        <v>0.06227373875</v>
      </c>
      <c r="BC58" s="69" t="str">
        <f t="shared" si="24"/>
        <v>YES</v>
      </c>
    </row>
    <row r="59" ht="15.75" customHeight="1">
      <c r="A59" s="12"/>
      <c r="B59" s="26" t="s">
        <v>14</v>
      </c>
      <c r="C59" s="26" t="s">
        <v>566</v>
      </c>
      <c r="D59" s="7" t="s">
        <v>335</v>
      </c>
      <c r="E59" s="7" t="s">
        <v>554</v>
      </c>
      <c r="F59" s="7" t="s">
        <v>599</v>
      </c>
      <c r="G59" s="84" t="s">
        <v>600</v>
      </c>
      <c r="H59" s="7">
        <v>6.0</v>
      </c>
      <c r="I59" s="7">
        <v>14000.0</v>
      </c>
      <c r="J59" s="7"/>
      <c r="K59" s="7"/>
      <c r="L59" s="7"/>
      <c r="M59" s="9">
        <f t="shared" si="1"/>
        <v>2333.333333</v>
      </c>
      <c r="N59" s="9">
        <f t="shared" si="2"/>
        <v>560</v>
      </c>
      <c r="O59" s="7">
        <v>1.0</v>
      </c>
      <c r="P59" s="9">
        <f t="shared" si="3"/>
        <v>14000</v>
      </c>
      <c r="Q59" s="79">
        <v>15.0</v>
      </c>
      <c r="R59" s="106">
        <v>0.0</v>
      </c>
      <c r="S59" s="7">
        <v>10.0</v>
      </c>
      <c r="T59" s="7">
        <v>500.0</v>
      </c>
      <c r="U59" s="7">
        <f t="shared" si="4"/>
        <v>75000</v>
      </c>
      <c r="V59" s="7">
        <f t="shared" si="5"/>
        <v>10</v>
      </c>
      <c r="W59" s="14">
        <f t="shared" si="6"/>
        <v>5000</v>
      </c>
      <c r="X59" s="94">
        <f t="shared" si="7"/>
        <v>0</v>
      </c>
      <c r="Y59" s="80">
        <v>4.4</v>
      </c>
      <c r="Z59" s="7">
        <v>500.0</v>
      </c>
      <c r="AA59" s="7">
        <v>1.2</v>
      </c>
      <c r="AB59" s="7">
        <f t="shared" si="8"/>
        <v>600</v>
      </c>
      <c r="AC59" s="7">
        <f t="shared" si="9"/>
        <v>478</v>
      </c>
      <c r="AD59" s="7">
        <f t="shared" si="10"/>
        <v>26.4</v>
      </c>
      <c r="AE59" s="83">
        <f t="shared" si="11"/>
        <v>396</v>
      </c>
      <c r="AF59" s="82">
        <v>0.0</v>
      </c>
      <c r="AG59" s="7">
        <v>1000.0</v>
      </c>
      <c r="AH59" s="78">
        <v>0.5</v>
      </c>
      <c r="AI59" s="7">
        <f t="shared" si="12"/>
        <v>500</v>
      </c>
      <c r="AJ59" s="7">
        <f t="shared" si="13"/>
        <v>1000</v>
      </c>
      <c r="AK59" s="7">
        <f t="shared" si="14"/>
        <v>0</v>
      </c>
      <c r="AL59" s="14">
        <f t="shared" si="15"/>
        <v>0</v>
      </c>
      <c r="AM59" s="82">
        <v>0.0</v>
      </c>
      <c r="AN59" s="7">
        <v>3.0</v>
      </c>
      <c r="AO59" s="78">
        <v>20.0</v>
      </c>
      <c r="AP59" s="7">
        <f t="shared" si="16"/>
        <v>60</v>
      </c>
      <c r="AQ59" s="7">
        <f t="shared" si="17"/>
        <v>3</v>
      </c>
      <c r="AR59" s="7">
        <f t="shared" si="18"/>
        <v>0</v>
      </c>
      <c r="AS59" s="14">
        <f t="shared" si="19"/>
        <v>0</v>
      </c>
      <c r="AT59" s="84">
        <v>80.0</v>
      </c>
      <c r="AU59" s="78">
        <v>18000.0</v>
      </c>
      <c r="AV59" s="14">
        <f t="shared" si="25"/>
        <v>14400</v>
      </c>
      <c r="AW59" s="82">
        <v>0.0</v>
      </c>
      <c r="AX59" s="7">
        <v>6000.0</v>
      </c>
      <c r="AY59" s="14">
        <f t="shared" si="20"/>
        <v>0</v>
      </c>
      <c r="AZ59" s="75">
        <f t="shared" si="21"/>
        <v>11902.66667</v>
      </c>
      <c r="BA59" s="98">
        <f t="shared" si="22"/>
        <v>0.8501904762</v>
      </c>
      <c r="BB59" s="11">
        <f t="shared" si="23"/>
        <v>1.176207012</v>
      </c>
      <c r="BC59" s="69" t="str">
        <f t="shared" si="24"/>
        <v>YES</v>
      </c>
    </row>
    <row r="60" ht="15.75" customHeight="1">
      <c r="A60" s="18"/>
      <c r="B60" s="85" t="s">
        <v>14</v>
      </c>
      <c r="C60" s="85" t="s">
        <v>566</v>
      </c>
      <c r="D60" s="19" t="s">
        <v>330</v>
      </c>
      <c r="E60" s="19" t="s">
        <v>554</v>
      </c>
      <c r="F60" s="19" t="s">
        <v>489</v>
      </c>
      <c r="G60" s="88" t="s">
        <v>555</v>
      </c>
      <c r="H60" s="19">
        <v>6.0</v>
      </c>
      <c r="I60" s="19">
        <v>18000.0</v>
      </c>
      <c r="J60" s="19"/>
      <c r="K60" s="19"/>
      <c r="L60" s="19"/>
      <c r="M60" s="9">
        <f t="shared" si="1"/>
        <v>3000</v>
      </c>
      <c r="N60" s="9">
        <f t="shared" si="2"/>
        <v>720</v>
      </c>
      <c r="O60" s="19">
        <v>1.0</v>
      </c>
      <c r="P60" s="9">
        <f t="shared" si="3"/>
        <v>18000</v>
      </c>
      <c r="Q60" s="87">
        <v>15.0</v>
      </c>
      <c r="R60" s="92">
        <v>0.0</v>
      </c>
      <c r="S60" s="19">
        <v>10.0</v>
      </c>
      <c r="T60" s="19">
        <v>500.0</v>
      </c>
      <c r="U60" s="19">
        <f t="shared" si="4"/>
        <v>75000</v>
      </c>
      <c r="V60" s="19">
        <f t="shared" si="5"/>
        <v>10</v>
      </c>
      <c r="W60" s="21">
        <f t="shared" si="6"/>
        <v>5000</v>
      </c>
      <c r="X60" s="89">
        <f t="shared" si="7"/>
        <v>0</v>
      </c>
      <c r="Y60" s="90">
        <v>4.4</v>
      </c>
      <c r="Z60" s="19">
        <v>500.0</v>
      </c>
      <c r="AA60" s="19">
        <v>1.2</v>
      </c>
      <c r="AB60" s="19">
        <f t="shared" si="8"/>
        <v>600</v>
      </c>
      <c r="AC60" s="19">
        <f t="shared" si="9"/>
        <v>478</v>
      </c>
      <c r="AD60" s="19">
        <f t="shared" si="10"/>
        <v>26.4</v>
      </c>
      <c r="AE60" s="91">
        <f t="shared" si="11"/>
        <v>396</v>
      </c>
      <c r="AF60" s="92">
        <v>0.0</v>
      </c>
      <c r="AG60" s="19">
        <v>1000.0</v>
      </c>
      <c r="AH60" s="93">
        <v>0.5</v>
      </c>
      <c r="AI60" s="19">
        <f t="shared" si="12"/>
        <v>500</v>
      </c>
      <c r="AJ60" s="19">
        <f t="shared" si="13"/>
        <v>1000</v>
      </c>
      <c r="AK60" s="19">
        <f t="shared" si="14"/>
        <v>0</v>
      </c>
      <c r="AL60" s="21">
        <f t="shared" si="15"/>
        <v>0</v>
      </c>
      <c r="AM60" s="92">
        <v>0.0</v>
      </c>
      <c r="AN60" s="19">
        <v>3.0</v>
      </c>
      <c r="AO60" s="93">
        <v>20.0</v>
      </c>
      <c r="AP60" s="19">
        <f t="shared" si="16"/>
        <v>60</v>
      </c>
      <c r="AQ60" s="19">
        <f t="shared" si="17"/>
        <v>3</v>
      </c>
      <c r="AR60" s="19">
        <f t="shared" si="18"/>
        <v>0</v>
      </c>
      <c r="AS60" s="21">
        <f t="shared" si="19"/>
        <v>0</v>
      </c>
      <c r="AT60" s="88">
        <v>80.0</v>
      </c>
      <c r="AU60" s="93">
        <v>18000.0</v>
      </c>
      <c r="AV60" s="21">
        <f t="shared" si="25"/>
        <v>14400</v>
      </c>
      <c r="AW60" s="92">
        <v>0.0</v>
      </c>
      <c r="AX60" s="19">
        <v>6000.0</v>
      </c>
      <c r="AY60" s="21">
        <f t="shared" si="20"/>
        <v>0</v>
      </c>
      <c r="AZ60" s="75">
        <f t="shared" si="21"/>
        <v>11076</v>
      </c>
      <c r="BA60" s="98">
        <f t="shared" si="22"/>
        <v>0.6153333333</v>
      </c>
      <c r="BB60" s="11">
        <f t="shared" si="23"/>
        <v>1.625135428</v>
      </c>
      <c r="BC60" s="69" t="str">
        <f t="shared" si="24"/>
        <v>YES</v>
      </c>
    </row>
    <row r="61" ht="15.75" customHeight="1">
      <c r="A61" s="26"/>
      <c r="B61" s="26"/>
      <c r="C61" s="26"/>
      <c r="G61" s="7"/>
      <c r="M61" s="7"/>
      <c r="N61" s="7"/>
      <c r="O61" s="7"/>
      <c r="P61" s="7"/>
      <c r="R61" s="7"/>
      <c r="Z61" s="7"/>
    </row>
    <row r="62" ht="15.75" customHeight="1">
      <c r="A62" s="26"/>
      <c r="B62" s="26"/>
      <c r="C62" s="26"/>
      <c r="G62" s="7"/>
      <c r="Z62" s="7"/>
    </row>
    <row r="63" ht="15.75" customHeight="1">
      <c r="A63" s="26"/>
      <c r="B63" s="26"/>
      <c r="C63" s="26"/>
      <c r="G63" s="7"/>
    </row>
    <row r="64" ht="15.75" customHeight="1">
      <c r="A64" s="26"/>
      <c r="B64" s="26"/>
      <c r="C64" s="26"/>
      <c r="G64" s="7"/>
    </row>
    <row r="65" ht="15.75" customHeight="1">
      <c r="A65" s="26"/>
      <c r="B65" s="26"/>
      <c r="C65" s="26"/>
      <c r="G65" s="7"/>
    </row>
    <row r="66" ht="15.75" customHeight="1">
      <c r="A66" s="26"/>
      <c r="B66" s="26"/>
      <c r="C66" s="26"/>
      <c r="G66" s="7"/>
    </row>
    <row r="67" ht="15.75" customHeight="1">
      <c r="A67" s="26"/>
      <c r="B67" s="26"/>
      <c r="C67" s="26"/>
      <c r="G67" s="7"/>
    </row>
    <row r="68" ht="15.75" customHeight="1">
      <c r="G68" s="7"/>
    </row>
    <row r="69" ht="15.75" customHeight="1">
      <c r="G69" s="7"/>
    </row>
    <row r="70" ht="15.75" customHeight="1">
      <c r="G70" s="7"/>
    </row>
    <row r="71" ht="15.75" customHeight="1">
      <c r="G71" s="7"/>
    </row>
    <row r="72" ht="15.75" customHeight="1">
      <c r="G72" s="7"/>
    </row>
    <row r="73" ht="15.75" customHeight="1">
      <c r="G73" s="7"/>
    </row>
    <row r="74" ht="15.75" customHeight="1">
      <c r="G74" s="7"/>
    </row>
    <row r="75" ht="15.75" customHeight="1">
      <c r="G75" s="7"/>
    </row>
    <row r="76" ht="15.75" customHeight="1">
      <c r="G76" s="7"/>
    </row>
    <row r="77" ht="15.75" customHeight="1">
      <c r="G77" s="7"/>
    </row>
    <row r="78" ht="15.75" customHeight="1">
      <c r="G78" s="7"/>
    </row>
    <row r="79" ht="15.75" customHeight="1">
      <c r="G79" s="7"/>
    </row>
    <row r="80" ht="15.75" customHeight="1">
      <c r="G80" s="7"/>
    </row>
    <row r="81" ht="15.75" customHeight="1">
      <c r="G81" s="7"/>
    </row>
    <row r="82" ht="15.75" customHeight="1">
      <c r="G82" s="7"/>
    </row>
    <row r="83" ht="15.75" customHeight="1">
      <c r="G83" s="7"/>
    </row>
    <row r="84" ht="15.75" customHeight="1">
      <c r="G84" s="7"/>
    </row>
    <row r="85" ht="15.75" customHeight="1">
      <c r="G85" s="7"/>
    </row>
    <row r="86" ht="15.75" customHeight="1">
      <c r="G86" s="7"/>
    </row>
    <row r="87" ht="15.75" customHeight="1">
      <c r="G87" s="7"/>
    </row>
    <row r="88" ht="15.75" customHeight="1">
      <c r="G88" s="7"/>
    </row>
    <row r="89" ht="15.75" customHeight="1">
      <c r="G89" s="7"/>
    </row>
    <row r="90" ht="15.75" customHeight="1">
      <c r="G90" s="7"/>
    </row>
    <row r="91" ht="15.75" customHeight="1">
      <c r="G91" s="7"/>
    </row>
    <row r="92" ht="15.75" customHeight="1">
      <c r="G92" s="7"/>
    </row>
    <row r="93" ht="15.75" customHeight="1">
      <c r="G93" s="7"/>
    </row>
    <row r="94" ht="15.75" customHeight="1">
      <c r="G94" s="7"/>
    </row>
    <row r="95" ht="15.75" customHeight="1">
      <c r="G95" s="7"/>
    </row>
    <row r="96" ht="15.75" customHeight="1">
      <c r="G96" s="7"/>
    </row>
    <row r="97" ht="15.75" customHeight="1">
      <c r="G97" s="7"/>
    </row>
    <row r="98" ht="15.75" customHeight="1">
      <c r="G98" s="7"/>
    </row>
    <row r="99" ht="15.75" customHeight="1">
      <c r="G99" s="7"/>
    </row>
    <row r="100" ht="15.75" customHeight="1">
      <c r="G100" s="7"/>
    </row>
    <row r="101" ht="15.75" customHeight="1">
      <c r="G101" s="7"/>
    </row>
    <row r="102" ht="15.75" customHeight="1">
      <c r="G102" s="7"/>
    </row>
    <row r="103" ht="15.75" customHeight="1">
      <c r="G103" s="7"/>
    </row>
    <row r="104" ht="15.75" customHeight="1">
      <c r="G104" s="7"/>
    </row>
    <row r="105" ht="15.75" customHeight="1">
      <c r="G105" s="7"/>
    </row>
    <row r="106" ht="15.75" customHeight="1">
      <c r="G106" s="7"/>
    </row>
    <row r="107" ht="15.75" customHeight="1">
      <c r="G107" s="7"/>
    </row>
    <row r="108" ht="15.75" customHeight="1">
      <c r="G108" s="7"/>
    </row>
    <row r="109" ht="15.75" customHeight="1">
      <c r="G109" s="7"/>
    </row>
    <row r="110" ht="15.75" customHeight="1">
      <c r="G110" s="7"/>
    </row>
    <row r="111" ht="15.75" customHeight="1">
      <c r="G111" s="7"/>
    </row>
    <row r="112" ht="15.75" customHeight="1">
      <c r="G112" s="7"/>
    </row>
    <row r="113" ht="15.75" customHeight="1">
      <c r="G113" s="7"/>
    </row>
    <row r="114" ht="15.75" customHeight="1">
      <c r="G114" s="7"/>
    </row>
    <row r="115" ht="15.75" customHeight="1">
      <c r="G115" s="7"/>
    </row>
    <row r="116" ht="15.75" customHeight="1">
      <c r="G116" s="7"/>
    </row>
    <row r="117" ht="15.75" customHeight="1">
      <c r="G117" s="7"/>
    </row>
    <row r="118" ht="15.75" customHeight="1">
      <c r="G118" s="7"/>
    </row>
    <row r="119" ht="15.75" customHeight="1">
      <c r="G119" s="7"/>
    </row>
    <row r="120" ht="15.75" customHeight="1">
      <c r="G120" s="7"/>
    </row>
    <row r="121" ht="15.75" customHeight="1">
      <c r="G121" s="7"/>
    </row>
    <row r="122" ht="15.75" customHeight="1">
      <c r="G122" s="7"/>
    </row>
    <row r="123" ht="15.75" customHeight="1">
      <c r="G123" s="7"/>
    </row>
    <row r="124" ht="15.75" customHeight="1">
      <c r="G124" s="7"/>
    </row>
    <row r="125" ht="15.75" customHeight="1">
      <c r="G125" s="7"/>
    </row>
    <row r="126" ht="15.75" customHeight="1">
      <c r="G126" s="7"/>
    </row>
    <row r="127" ht="15.75" customHeight="1">
      <c r="G127" s="7"/>
    </row>
    <row r="128" ht="15.75" customHeight="1">
      <c r="G128" s="7"/>
    </row>
    <row r="129" ht="15.75" customHeight="1">
      <c r="G129" s="7"/>
    </row>
    <row r="130" ht="15.75" customHeight="1">
      <c r="G130" s="7"/>
    </row>
    <row r="131" ht="15.75" customHeight="1">
      <c r="G131" s="7"/>
    </row>
    <row r="132" ht="15.75" customHeight="1">
      <c r="G132" s="7"/>
    </row>
    <row r="133" ht="15.75" customHeight="1">
      <c r="G133" s="7"/>
    </row>
    <row r="134" ht="15.75" customHeight="1">
      <c r="G134" s="7"/>
    </row>
    <row r="135" ht="15.75" customHeight="1">
      <c r="G135" s="7"/>
    </row>
    <row r="136" ht="15.75" customHeight="1">
      <c r="G136" s="7"/>
    </row>
    <row r="137" ht="15.75" customHeight="1">
      <c r="G137" s="7"/>
    </row>
    <row r="138" ht="15.75" customHeight="1">
      <c r="G138" s="7"/>
    </row>
    <row r="139" ht="15.75" customHeight="1">
      <c r="G139" s="7"/>
    </row>
    <row r="140" ht="15.75" customHeight="1">
      <c r="G140" s="7"/>
    </row>
    <row r="141" ht="15.75" customHeight="1">
      <c r="G141" s="7"/>
    </row>
    <row r="142" ht="15.75" customHeight="1">
      <c r="G142" s="7"/>
    </row>
    <row r="143" ht="15.75" customHeight="1">
      <c r="G143" s="7"/>
    </row>
    <row r="144" ht="15.75" customHeight="1">
      <c r="G144" s="7"/>
    </row>
    <row r="145" ht="15.75" customHeight="1">
      <c r="G145" s="7"/>
    </row>
    <row r="146" ht="15.75" customHeight="1">
      <c r="G146" s="7"/>
    </row>
    <row r="147" ht="15.75" customHeight="1">
      <c r="G147" s="7"/>
    </row>
    <row r="148" ht="15.75" customHeight="1">
      <c r="G148" s="7"/>
    </row>
    <row r="149" ht="15.75" customHeight="1">
      <c r="G149" s="7"/>
    </row>
    <row r="150" ht="15.75" customHeight="1">
      <c r="G150" s="7"/>
    </row>
    <row r="151" ht="15.75" customHeight="1">
      <c r="G151" s="7"/>
    </row>
    <row r="152" ht="15.75" customHeight="1">
      <c r="G152" s="7"/>
    </row>
    <row r="153" ht="15.75" customHeight="1">
      <c r="G153" s="7"/>
    </row>
    <row r="154" ht="15.75" customHeight="1">
      <c r="G154" s="7"/>
    </row>
    <row r="155" ht="15.75" customHeight="1">
      <c r="G155" s="7"/>
    </row>
    <row r="156" ht="15.75" customHeight="1">
      <c r="G156" s="7"/>
    </row>
    <row r="157" ht="15.75" customHeight="1">
      <c r="G157" s="7"/>
    </row>
    <row r="158" ht="15.75" customHeight="1">
      <c r="G158" s="7"/>
    </row>
    <row r="159" ht="15.75" customHeight="1">
      <c r="G159" s="7"/>
    </row>
    <row r="160" ht="15.75" customHeight="1">
      <c r="G160" s="7"/>
    </row>
    <row r="161" ht="15.75" customHeight="1">
      <c r="G161" s="7"/>
    </row>
    <row r="162" ht="15.75" customHeight="1">
      <c r="G162" s="7"/>
    </row>
    <row r="163" ht="15.75" customHeight="1">
      <c r="G163" s="7"/>
    </row>
    <row r="164" ht="15.75" customHeight="1">
      <c r="G164" s="7"/>
    </row>
    <row r="165" ht="15.75" customHeight="1">
      <c r="G165" s="7"/>
    </row>
    <row r="166" ht="15.75" customHeight="1">
      <c r="G166" s="7"/>
    </row>
    <row r="167" ht="15.75" customHeight="1">
      <c r="G167" s="7"/>
    </row>
    <row r="168" ht="15.75" customHeight="1">
      <c r="G168" s="7"/>
    </row>
    <row r="169" ht="15.75" customHeight="1">
      <c r="G169" s="7"/>
    </row>
    <row r="170" ht="15.75" customHeight="1">
      <c r="G170" s="7"/>
    </row>
    <row r="171" ht="15.75" customHeight="1">
      <c r="G171" s="7"/>
    </row>
    <row r="172" ht="15.75" customHeight="1">
      <c r="G172" s="7"/>
    </row>
    <row r="173" ht="15.75" customHeight="1">
      <c r="G173" s="7"/>
    </row>
    <row r="174" ht="15.75" customHeight="1">
      <c r="G174" s="7"/>
    </row>
    <row r="175" ht="15.75" customHeight="1">
      <c r="G175" s="7"/>
    </row>
    <row r="176" ht="15.75" customHeight="1">
      <c r="G176" s="7"/>
    </row>
    <row r="177" ht="15.75" customHeight="1">
      <c r="G177" s="7"/>
    </row>
    <row r="178" ht="15.75" customHeight="1">
      <c r="G178" s="7"/>
    </row>
    <row r="179" ht="15.75" customHeight="1">
      <c r="G179" s="7"/>
    </row>
    <row r="180" ht="15.75" customHeight="1">
      <c r="G180" s="7"/>
    </row>
    <row r="181" ht="15.75" customHeight="1">
      <c r="G181" s="7"/>
    </row>
    <row r="182" ht="15.75" customHeight="1">
      <c r="G182" s="7"/>
    </row>
    <row r="183" ht="15.75" customHeight="1">
      <c r="G183" s="7"/>
    </row>
    <row r="184" ht="15.75" customHeight="1">
      <c r="G184" s="7"/>
    </row>
    <row r="185" ht="15.75" customHeight="1">
      <c r="G185" s="7"/>
    </row>
    <row r="186" ht="15.75" customHeight="1">
      <c r="G186" s="7"/>
    </row>
    <row r="187" ht="15.75" customHeight="1">
      <c r="G187" s="7"/>
    </row>
    <row r="188" ht="15.75" customHeight="1">
      <c r="G188" s="7"/>
    </row>
    <row r="189" ht="15.75" customHeight="1">
      <c r="G189" s="7"/>
    </row>
    <row r="190" ht="15.75" customHeight="1">
      <c r="G190" s="7"/>
    </row>
    <row r="191" ht="15.75" customHeight="1">
      <c r="G191" s="7"/>
    </row>
    <row r="192" ht="15.75" customHeight="1">
      <c r="G192" s="7"/>
    </row>
    <row r="193" ht="15.75" customHeight="1">
      <c r="G193" s="7"/>
    </row>
    <row r="194" ht="15.75" customHeight="1">
      <c r="G194" s="7"/>
    </row>
    <row r="195" ht="15.75" customHeight="1">
      <c r="G195" s="7"/>
    </row>
    <row r="196" ht="15.75" customHeight="1">
      <c r="G196" s="7"/>
    </row>
    <row r="197" ht="15.75" customHeight="1">
      <c r="G197" s="7"/>
    </row>
    <row r="198" ht="15.75" customHeight="1">
      <c r="G198" s="7"/>
    </row>
    <row r="199" ht="15.75" customHeight="1">
      <c r="G199" s="7"/>
    </row>
    <row r="200" ht="15.75" customHeight="1">
      <c r="G200" s="7"/>
    </row>
    <row r="201" ht="15.75" customHeight="1">
      <c r="G201" s="7"/>
    </row>
    <row r="202" ht="15.75" customHeight="1">
      <c r="G202" s="7"/>
    </row>
    <row r="203" ht="15.75" customHeight="1">
      <c r="G203" s="7"/>
    </row>
    <row r="204" ht="15.75" customHeight="1">
      <c r="G204" s="7"/>
    </row>
    <row r="205" ht="15.75" customHeight="1">
      <c r="G205" s="7"/>
    </row>
    <row r="206" ht="15.75" customHeight="1">
      <c r="G206" s="7"/>
    </row>
    <row r="207" ht="15.75" customHeight="1">
      <c r="G207" s="7"/>
    </row>
    <row r="208" ht="15.75" customHeight="1">
      <c r="G208" s="7"/>
    </row>
    <row r="209" ht="15.75" customHeight="1">
      <c r="G209" s="7"/>
    </row>
    <row r="210" ht="15.75" customHeight="1">
      <c r="G210" s="7"/>
    </row>
    <row r="211" ht="15.75" customHeight="1">
      <c r="G211" s="7"/>
    </row>
    <row r="212" ht="15.75" customHeight="1">
      <c r="G212" s="7"/>
    </row>
    <row r="213" ht="15.75" customHeight="1">
      <c r="G213" s="7"/>
    </row>
    <row r="214" ht="15.75" customHeight="1">
      <c r="G214" s="7"/>
    </row>
    <row r="215" ht="15.75" customHeight="1">
      <c r="G215" s="7"/>
    </row>
    <row r="216" ht="15.75" customHeight="1">
      <c r="G216" s="7"/>
    </row>
    <row r="217" ht="15.75" customHeight="1">
      <c r="G217" s="7"/>
    </row>
    <row r="218" ht="15.75" customHeight="1">
      <c r="G218" s="7"/>
    </row>
    <row r="219" ht="15.75" customHeight="1">
      <c r="G219" s="7"/>
    </row>
    <row r="220" ht="15.75" customHeight="1">
      <c r="G220" s="7"/>
    </row>
    <row r="221" ht="15.75" customHeight="1">
      <c r="G221" s="7"/>
    </row>
    <row r="222" ht="15.75" customHeight="1">
      <c r="G222" s="7"/>
    </row>
    <row r="223" ht="15.75" customHeight="1">
      <c r="G223" s="7"/>
    </row>
    <row r="224" ht="15.75" customHeight="1">
      <c r="G224" s="7"/>
    </row>
    <row r="225" ht="15.75" customHeight="1">
      <c r="G225" s="7"/>
    </row>
    <row r="226" ht="15.75" customHeight="1">
      <c r="G226" s="7"/>
    </row>
    <row r="227" ht="15.75" customHeight="1">
      <c r="G227" s="7"/>
    </row>
    <row r="228" ht="15.75" customHeight="1">
      <c r="G228" s="7"/>
    </row>
    <row r="229" ht="15.75" customHeight="1">
      <c r="G229" s="7"/>
    </row>
    <row r="230" ht="15.75" customHeight="1">
      <c r="G230" s="7"/>
    </row>
    <row r="231" ht="15.75" customHeight="1">
      <c r="G231" s="7"/>
    </row>
    <row r="232" ht="15.75" customHeight="1">
      <c r="G232" s="7"/>
    </row>
    <row r="233" ht="15.75" customHeight="1">
      <c r="G233" s="7"/>
    </row>
    <row r="234" ht="15.75" customHeight="1">
      <c r="G234" s="7"/>
    </row>
    <row r="235" ht="15.75" customHeight="1">
      <c r="G235" s="7"/>
    </row>
    <row r="236" ht="15.75" customHeight="1">
      <c r="G236" s="7"/>
    </row>
    <row r="237" ht="15.75" customHeight="1">
      <c r="G237" s="7"/>
    </row>
    <row r="238" ht="15.75" customHeight="1">
      <c r="G238" s="7"/>
    </row>
    <row r="239" ht="15.75" customHeight="1">
      <c r="G239" s="7"/>
    </row>
    <row r="240" ht="15.75" customHeight="1">
      <c r="G240" s="7"/>
    </row>
    <row r="241" ht="15.75" customHeight="1">
      <c r="G241" s="7"/>
    </row>
    <row r="242" ht="15.75" customHeight="1">
      <c r="G242" s="7"/>
    </row>
    <row r="243" ht="15.75" customHeight="1">
      <c r="G243" s="7"/>
    </row>
    <row r="244" ht="15.75" customHeight="1">
      <c r="G244" s="7"/>
    </row>
    <row r="245" ht="15.75" customHeight="1">
      <c r="G245" s="7"/>
    </row>
    <row r="246" ht="15.75" customHeight="1">
      <c r="G246" s="7"/>
    </row>
    <row r="247" ht="15.75" customHeight="1">
      <c r="G247" s="7"/>
    </row>
    <row r="248" ht="15.75" customHeight="1">
      <c r="G248" s="7"/>
    </row>
    <row r="249" ht="15.75" customHeight="1">
      <c r="G249" s="7"/>
    </row>
    <row r="250" ht="15.75" customHeight="1">
      <c r="G250" s="7"/>
    </row>
    <row r="251" ht="15.75" customHeight="1">
      <c r="G251" s="7"/>
    </row>
    <row r="252" ht="15.75" customHeight="1">
      <c r="G252" s="7"/>
    </row>
    <row r="253" ht="15.75" customHeight="1">
      <c r="G253" s="7"/>
    </row>
    <row r="254" ht="15.75" customHeight="1">
      <c r="G254" s="7"/>
    </row>
    <row r="255" ht="15.75" customHeight="1">
      <c r="G255" s="7"/>
    </row>
    <row r="256" ht="15.75" customHeight="1">
      <c r="G256" s="7"/>
    </row>
    <row r="257" ht="15.75" customHeight="1">
      <c r="G257" s="7"/>
    </row>
    <row r="258" ht="15.75" customHeight="1">
      <c r="G258" s="7"/>
    </row>
    <row r="259" ht="15.75" customHeight="1">
      <c r="G259" s="7"/>
    </row>
    <row r="260" ht="15.75" customHeight="1">
      <c r="G260" s="7"/>
    </row>
    <row r="261" ht="15.75" customHeight="1">
      <c r="G261" s="7"/>
    </row>
    <row r="262" ht="15.75" customHeight="1">
      <c r="G262" s="7"/>
    </row>
    <row r="263" ht="15.75" customHeight="1">
      <c r="G263" s="7"/>
    </row>
    <row r="264" ht="15.75" customHeight="1">
      <c r="G264" s="7"/>
    </row>
    <row r="265" ht="15.75" customHeight="1">
      <c r="G265" s="7"/>
    </row>
    <row r="266" ht="15.75" customHeight="1">
      <c r="G266" s="7"/>
    </row>
    <row r="267" ht="15.75" customHeight="1">
      <c r="G267" s="7"/>
    </row>
    <row r="268" ht="15.75" customHeight="1">
      <c r="G268" s="7"/>
    </row>
    <row r="269" ht="15.75" customHeight="1">
      <c r="G269" s="7"/>
    </row>
    <row r="270" ht="15.75" customHeight="1">
      <c r="G270" s="7"/>
    </row>
    <row r="271" ht="15.75" customHeight="1">
      <c r="G271" s="7"/>
    </row>
    <row r="272" ht="15.75" customHeight="1">
      <c r="G272" s="7"/>
    </row>
    <row r="273" ht="15.75" customHeight="1">
      <c r="G273" s="7"/>
    </row>
    <row r="274" ht="15.75" customHeight="1">
      <c r="G274" s="7"/>
    </row>
    <row r="275" ht="15.75" customHeight="1">
      <c r="G275" s="7"/>
    </row>
    <row r="276" ht="15.75" customHeight="1">
      <c r="G276" s="7"/>
    </row>
    <row r="277" ht="15.75" customHeight="1">
      <c r="G277" s="7"/>
    </row>
    <row r="278" ht="15.75" customHeight="1">
      <c r="G278" s="7"/>
    </row>
    <row r="279" ht="15.75" customHeight="1">
      <c r="G279" s="7"/>
    </row>
    <row r="280" ht="15.75" customHeight="1">
      <c r="G280" s="7"/>
    </row>
    <row r="281" ht="15.75" customHeight="1">
      <c r="G281" s="7"/>
    </row>
    <row r="282" ht="15.75" customHeight="1">
      <c r="G282" s="7"/>
    </row>
    <row r="283" ht="15.75" customHeight="1">
      <c r="G283" s="7"/>
    </row>
    <row r="284" ht="15.75" customHeight="1">
      <c r="G284" s="7"/>
    </row>
    <row r="285" ht="15.75" customHeight="1">
      <c r="G285" s="7"/>
    </row>
    <row r="286" ht="15.75" customHeight="1">
      <c r="G286" s="7"/>
    </row>
    <row r="287" ht="15.75" customHeight="1">
      <c r="G287" s="7"/>
    </row>
    <row r="288" ht="15.75" customHeight="1">
      <c r="G288" s="7"/>
    </row>
    <row r="289" ht="15.75" customHeight="1">
      <c r="G289" s="7"/>
    </row>
    <row r="290" ht="15.75" customHeight="1">
      <c r="G290" s="7"/>
    </row>
    <row r="291" ht="15.75" customHeight="1">
      <c r="G291" s="7"/>
    </row>
    <row r="292" ht="15.75" customHeight="1">
      <c r="G292" s="7"/>
    </row>
    <row r="293" ht="15.75" customHeight="1">
      <c r="G293" s="7"/>
    </row>
    <row r="294" ht="15.75" customHeight="1">
      <c r="G294" s="7"/>
    </row>
    <row r="295" ht="15.75" customHeight="1">
      <c r="G295" s="7"/>
    </row>
    <row r="296" ht="15.75" customHeight="1">
      <c r="G296" s="7"/>
    </row>
    <row r="297" ht="15.75" customHeight="1">
      <c r="G297" s="7"/>
    </row>
    <row r="298" ht="15.75" customHeight="1">
      <c r="G298" s="7"/>
    </row>
    <row r="299" ht="15.75" customHeight="1">
      <c r="G299" s="7"/>
    </row>
    <row r="300" ht="15.75" customHeight="1">
      <c r="G300" s="7"/>
    </row>
    <row r="301" ht="15.75" customHeight="1">
      <c r="G301" s="7"/>
    </row>
    <row r="302" ht="15.75" customHeight="1">
      <c r="G302" s="7"/>
    </row>
    <row r="303" ht="15.75" customHeight="1">
      <c r="G303" s="7"/>
    </row>
    <row r="304" ht="15.75" customHeight="1">
      <c r="G304" s="7"/>
    </row>
    <row r="305" ht="15.75" customHeight="1">
      <c r="G305" s="7"/>
    </row>
    <row r="306" ht="15.75" customHeight="1">
      <c r="G306" s="7"/>
    </row>
    <row r="307" ht="15.75" customHeight="1">
      <c r="G307" s="7"/>
    </row>
    <row r="308" ht="15.75" customHeight="1">
      <c r="G308" s="7"/>
    </row>
    <row r="309" ht="15.75" customHeight="1">
      <c r="G309" s="7"/>
    </row>
    <row r="310" ht="15.75" customHeight="1">
      <c r="G310" s="7"/>
    </row>
    <row r="311" ht="15.75" customHeight="1">
      <c r="G311" s="7"/>
    </row>
    <row r="312" ht="15.75" customHeight="1">
      <c r="G312" s="7"/>
    </row>
    <row r="313" ht="15.75" customHeight="1">
      <c r="G313" s="7"/>
    </row>
    <row r="314" ht="15.75" customHeight="1">
      <c r="G314" s="7"/>
    </row>
    <row r="315" ht="15.75" customHeight="1">
      <c r="G315" s="7"/>
    </row>
    <row r="316" ht="15.75" customHeight="1">
      <c r="G316" s="7"/>
    </row>
    <row r="317" ht="15.75" customHeight="1">
      <c r="G317" s="7"/>
    </row>
    <row r="318" ht="15.75" customHeight="1">
      <c r="G318" s="7"/>
    </row>
    <row r="319" ht="15.75" customHeight="1">
      <c r="G319" s="7"/>
    </row>
    <row r="320" ht="15.75" customHeight="1">
      <c r="G320" s="7"/>
    </row>
    <row r="321" ht="15.75" customHeight="1">
      <c r="G321" s="7"/>
    </row>
    <row r="322" ht="15.75" customHeight="1">
      <c r="G322" s="7"/>
    </row>
    <row r="323" ht="15.75" customHeight="1">
      <c r="G323" s="7"/>
    </row>
    <row r="324" ht="15.75" customHeight="1">
      <c r="G324" s="7"/>
    </row>
    <row r="325" ht="15.75" customHeight="1">
      <c r="G325" s="7"/>
    </row>
    <row r="326" ht="15.75" customHeight="1">
      <c r="G326" s="7"/>
    </row>
    <row r="327" ht="15.75" customHeight="1">
      <c r="G327" s="7"/>
    </row>
    <row r="328" ht="15.75" customHeight="1">
      <c r="G328" s="7"/>
    </row>
    <row r="329" ht="15.75" customHeight="1">
      <c r="G329" s="7"/>
    </row>
    <row r="330" ht="15.75" customHeight="1">
      <c r="G330" s="7"/>
    </row>
    <row r="331" ht="15.75" customHeight="1">
      <c r="G331" s="7"/>
    </row>
    <row r="332" ht="15.75" customHeight="1">
      <c r="G332" s="7"/>
    </row>
    <row r="333" ht="15.75" customHeight="1">
      <c r="G333" s="7"/>
    </row>
    <row r="334" ht="15.75" customHeight="1">
      <c r="G334" s="7"/>
    </row>
    <row r="335" ht="15.75" customHeight="1">
      <c r="G335" s="7"/>
    </row>
    <row r="336" ht="15.75" customHeight="1">
      <c r="G336" s="7"/>
    </row>
    <row r="337" ht="15.75" customHeight="1">
      <c r="G337" s="7"/>
    </row>
    <row r="338" ht="15.75" customHeight="1">
      <c r="G338" s="7"/>
    </row>
    <row r="339" ht="15.75" customHeight="1">
      <c r="G339" s="7"/>
    </row>
    <row r="340" ht="15.75" customHeight="1">
      <c r="G340" s="7"/>
    </row>
    <row r="341" ht="15.75" customHeight="1">
      <c r="G341" s="7"/>
    </row>
    <row r="342" ht="15.75" customHeight="1">
      <c r="G342" s="7"/>
    </row>
    <row r="343" ht="15.75" customHeight="1">
      <c r="G343" s="7"/>
    </row>
    <row r="344" ht="15.75" customHeight="1">
      <c r="G344" s="7"/>
    </row>
    <row r="345" ht="15.75" customHeight="1">
      <c r="G345" s="7"/>
    </row>
    <row r="346" ht="15.75" customHeight="1">
      <c r="G346" s="7"/>
    </row>
    <row r="347" ht="15.75" customHeight="1">
      <c r="G347" s="7"/>
    </row>
    <row r="348" ht="15.75" customHeight="1">
      <c r="G348" s="7"/>
    </row>
    <row r="349" ht="15.75" customHeight="1">
      <c r="G349" s="7"/>
    </row>
    <row r="350" ht="15.75" customHeight="1">
      <c r="G350" s="7"/>
    </row>
    <row r="351" ht="15.75" customHeight="1">
      <c r="G351" s="7"/>
    </row>
    <row r="352" ht="15.75" customHeight="1">
      <c r="G352" s="7"/>
    </row>
    <row r="353" ht="15.75" customHeight="1">
      <c r="G353" s="7"/>
    </row>
    <row r="354" ht="15.75" customHeight="1">
      <c r="G354" s="7"/>
    </row>
    <row r="355" ht="15.75" customHeight="1">
      <c r="G355" s="7"/>
    </row>
    <row r="356" ht="15.75" customHeight="1">
      <c r="G356" s="7"/>
    </row>
    <row r="357" ht="15.75" customHeight="1">
      <c r="G357" s="7"/>
    </row>
    <row r="358" ht="15.75" customHeight="1">
      <c r="G358" s="7"/>
    </row>
    <row r="359" ht="15.75" customHeight="1">
      <c r="G359" s="7"/>
    </row>
    <row r="360" ht="15.75" customHeight="1">
      <c r="G360" s="7"/>
    </row>
    <row r="361" ht="15.75" customHeight="1">
      <c r="G361" s="7"/>
    </row>
    <row r="362" ht="15.75" customHeight="1">
      <c r="G362" s="7"/>
    </row>
    <row r="363" ht="15.75" customHeight="1">
      <c r="G363" s="7"/>
    </row>
    <row r="364" ht="15.75" customHeight="1">
      <c r="G364" s="7"/>
    </row>
    <row r="365" ht="15.75" customHeight="1">
      <c r="G365" s="7"/>
    </row>
    <row r="366" ht="15.75" customHeight="1">
      <c r="G366" s="7"/>
    </row>
    <row r="367" ht="15.75" customHeight="1">
      <c r="G367" s="7"/>
    </row>
    <row r="368" ht="15.75" customHeight="1">
      <c r="G368" s="7"/>
    </row>
    <row r="369" ht="15.75" customHeight="1">
      <c r="G369" s="7"/>
    </row>
    <row r="370" ht="15.75" customHeight="1">
      <c r="G370" s="7"/>
    </row>
    <row r="371" ht="15.75" customHeight="1">
      <c r="G371" s="7"/>
    </row>
    <row r="372" ht="15.75" customHeight="1">
      <c r="G372" s="7"/>
    </row>
    <row r="373" ht="15.75" customHeight="1">
      <c r="G373" s="7"/>
    </row>
    <row r="374" ht="15.75" customHeight="1">
      <c r="G374" s="7"/>
    </row>
    <row r="375" ht="15.75" customHeight="1">
      <c r="G375" s="7"/>
    </row>
    <row r="376" ht="15.75" customHeight="1">
      <c r="G376" s="7"/>
    </row>
    <row r="377" ht="15.75" customHeight="1">
      <c r="G377" s="7"/>
    </row>
    <row r="378" ht="15.75" customHeight="1">
      <c r="G378" s="7"/>
    </row>
    <row r="379" ht="15.75" customHeight="1">
      <c r="G379" s="7"/>
    </row>
    <row r="380" ht="15.75" customHeight="1">
      <c r="G380" s="7"/>
    </row>
    <row r="381" ht="15.75" customHeight="1">
      <c r="G381" s="7"/>
    </row>
    <row r="382" ht="15.75" customHeight="1">
      <c r="G382" s="7"/>
    </row>
    <row r="383" ht="15.75" customHeight="1">
      <c r="G383" s="7"/>
    </row>
    <row r="384" ht="15.75" customHeight="1">
      <c r="G384" s="7"/>
    </row>
    <row r="385" ht="15.75" customHeight="1">
      <c r="G385" s="7"/>
    </row>
    <row r="386" ht="15.75" customHeight="1">
      <c r="G386" s="7"/>
    </row>
    <row r="387" ht="15.75" customHeight="1">
      <c r="G387" s="7"/>
    </row>
    <row r="388" ht="15.75" customHeight="1">
      <c r="G388" s="7"/>
    </row>
    <row r="389" ht="15.75" customHeight="1">
      <c r="G389" s="7"/>
    </row>
    <row r="390" ht="15.75" customHeight="1">
      <c r="G390" s="7"/>
    </row>
    <row r="391" ht="15.75" customHeight="1">
      <c r="G391" s="7"/>
    </row>
    <row r="392" ht="15.75" customHeight="1">
      <c r="G392" s="7"/>
    </row>
    <row r="393" ht="15.75" customHeight="1">
      <c r="G393" s="7"/>
    </row>
    <row r="394" ht="15.75" customHeight="1">
      <c r="G394" s="7"/>
    </row>
    <row r="395" ht="15.75" customHeight="1">
      <c r="G395" s="7"/>
    </row>
    <row r="396" ht="15.75" customHeight="1">
      <c r="G396" s="7"/>
    </row>
    <row r="397" ht="15.75" customHeight="1">
      <c r="G397" s="7"/>
    </row>
    <row r="398" ht="15.75" customHeight="1">
      <c r="G398" s="7"/>
    </row>
    <row r="399" ht="15.75" customHeight="1">
      <c r="G399" s="7"/>
    </row>
    <row r="400" ht="15.75" customHeight="1">
      <c r="G400" s="7"/>
    </row>
    <row r="401" ht="15.75" customHeight="1">
      <c r="G401" s="7"/>
    </row>
    <row r="402" ht="15.75" customHeight="1">
      <c r="G402" s="7"/>
    </row>
    <row r="403" ht="15.75" customHeight="1">
      <c r="G403" s="7"/>
    </row>
    <row r="404" ht="15.75" customHeight="1">
      <c r="G404" s="7"/>
    </row>
    <row r="405" ht="15.75" customHeight="1">
      <c r="G405" s="7"/>
    </row>
    <row r="406" ht="15.75" customHeight="1">
      <c r="G406" s="7"/>
    </row>
    <row r="407" ht="15.75" customHeight="1">
      <c r="G407" s="7"/>
    </row>
    <row r="408" ht="15.75" customHeight="1">
      <c r="G408" s="7"/>
    </row>
    <row r="409" ht="15.75" customHeight="1">
      <c r="G409" s="7"/>
    </row>
    <row r="410" ht="15.75" customHeight="1">
      <c r="G410" s="7"/>
    </row>
    <row r="411" ht="15.75" customHeight="1">
      <c r="G411" s="7"/>
    </row>
    <row r="412" ht="15.75" customHeight="1">
      <c r="G412" s="7"/>
    </row>
    <row r="413" ht="15.75" customHeight="1">
      <c r="G413" s="7"/>
    </row>
    <row r="414" ht="15.75" customHeight="1">
      <c r="G414" s="7"/>
    </row>
    <row r="415" ht="15.75" customHeight="1">
      <c r="G415" s="7"/>
    </row>
    <row r="416" ht="15.75" customHeight="1">
      <c r="G416" s="7"/>
    </row>
    <row r="417" ht="15.75" customHeight="1">
      <c r="G417" s="7"/>
    </row>
    <row r="418" ht="15.75" customHeight="1">
      <c r="G418" s="7"/>
    </row>
    <row r="419" ht="15.75" customHeight="1">
      <c r="G419" s="7"/>
    </row>
    <row r="420" ht="15.75" customHeight="1">
      <c r="G420" s="7"/>
    </row>
    <row r="421" ht="15.75" customHeight="1">
      <c r="G421" s="7"/>
    </row>
    <row r="422" ht="15.75" customHeight="1">
      <c r="G422" s="7"/>
    </row>
    <row r="423" ht="15.75" customHeight="1">
      <c r="G423" s="7"/>
    </row>
    <row r="424" ht="15.75" customHeight="1">
      <c r="G424" s="7"/>
    </row>
    <row r="425" ht="15.75" customHeight="1">
      <c r="G425" s="7"/>
    </row>
    <row r="426" ht="15.75" customHeight="1">
      <c r="G426" s="7"/>
    </row>
    <row r="427" ht="15.75" customHeight="1">
      <c r="G427" s="7"/>
    </row>
    <row r="428" ht="15.75" customHeight="1">
      <c r="G428" s="7"/>
    </row>
    <row r="429" ht="15.75" customHeight="1">
      <c r="G429" s="7"/>
    </row>
    <row r="430" ht="15.75" customHeight="1">
      <c r="G430" s="7"/>
    </row>
    <row r="431" ht="15.75" customHeight="1">
      <c r="G431" s="7"/>
    </row>
    <row r="432" ht="15.75" customHeight="1">
      <c r="G432" s="7"/>
    </row>
    <row r="433" ht="15.75" customHeight="1">
      <c r="G433" s="7"/>
    </row>
    <row r="434" ht="15.75" customHeight="1">
      <c r="G434" s="7"/>
    </row>
    <row r="435" ht="15.75" customHeight="1">
      <c r="G435" s="7"/>
    </row>
    <row r="436" ht="15.75" customHeight="1">
      <c r="G436" s="7"/>
    </row>
    <row r="437" ht="15.75" customHeight="1">
      <c r="G437" s="7"/>
    </row>
    <row r="438" ht="15.75" customHeight="1">
      <c r="G438" s="7"/>
    </row>
    <row r="439" ht="15.75" customHeight="1">
      <c r="G439" s="7"/>
    </row>
    <row r="440" ht="15.75" customHeight="1">
      <c r="G440" s="7"/>
    </row>
    <row r="441" ht="15.75" customHeight="1">
      <c r="G441" s="7"/>
    </row>
    <row r="442" ht="15.75" customHeight="1">
      <c r="G442" s="7"/>
    </row>
    <row r="443" ht="15.75" customHeight="1">
      <c r="G443" s="7"/>
    </row>
    <row r="444" ht="15.75" customHeight="1">
      <c r="G444" s="7"/>
    </row>
    <row r="445" ht="15.75" customHeight="1">
      <c r="G445" s="7"/>
    </row>
    <row r="446" ht="15.75" customHeight="1">
      <c r="G446" s="7"/>
    </row>
    <row r="447" ht="15.75" customHeight="1">
      <c r="G447" s="7"/>
    </row>
    <row r="448" ht="15.75" customHeight="1">
      <c r="G448" s="7"/>
    </row>
    <row r="449" ht="15.75" customHeight="1">
      <c r="G449" s="7"/>
    </row>
    <row r="450" ht="15.75" customHeight="1">
      <c r="G450" s="7"/>
    </row>
    <row r="451" ht="15.75" customHeight="1">
      <c r="G451" s="7"/>
    </row>
    <row r="452" ht="15.75" customHeight="1">
      <c r="G452" s="7"/>
    </row>
    <row r="453" ht="15.75" customHeight="1">
      <c r="G453" s="7"/>
    </row>
    <row r="454" ht="15.75" customHeight="1">
      <c r="G454" s="7"/>
    </row>
    <row r="455" ht="15.75" customHeight="1">
      <c r="G455" s="7"/>
    </row>
    <row r="456" ht="15.75" customHeight="1">
      <c r="G456" s="7"/>
    </row>
    <row r="457" ht="15.75" customHeight="1">
      <c r="G457" s="7"/>
    </row>
    <row r="458" ht="15.75" customHeight="1">
      <c r="G458" s="7"/>
    </row>
    <row r="459" ht="15.75" customHeight="1">
      <c r="G459" s="7"/>
    </row>
    <row r="460" ht="15.75" customHeight="1">
      <c r="G460" s="7"/>
    </row>
    <row r="461" ht="15.75" customHeight="1">
      <c r="G461" s="7"/>
    </row>
    <row r="462" ht="15.75" customHeight="1">
      <c r="G462" s="7"/>
    </row>
    <row r="463" ht="15.75" customHeight="1">
      <c r="G463" s="7"/>
    </row>
    <row r="464" ht="15.75" customHeight="1">
      <c r="G464" s="7"/>
    </row>
    <row r="465" ht="15.75" customHeight="1">
      <c r="G465" s="7"/>
    </row>
    <row r="466" ht="15.75" customHeight="1">
      <c r="G466" s="7"/>
    </row>
    <row r="467" ht="15.75" customHeight="1">
      <c r="G467" s="7"/>
    </row>
    <row r="468" ht="15.75" customHeight="1">
      <c r="G468" s="7"/>
    </row>
    <row r="469" ht="15.75" customHeight="1">
      <c r="G469" s="7"/>
    </row>
    <row r="470" ht="15.75" customHeight="1">
      <c r="G470" s="7"/>
    </row>
    <row r="471" ht="15.75" customHeight="1">
      <c r="G471" s="7"/>
    </row>
    <row r="472" ht="15.75" customHeight="1">
      <c r="G472" s="7"/>
    </row>
    <row r="473" ht="15.75" customHeight="1">
      <c r="G473" s="7"/>
    </row>
    <row r="474" ht="15.75" customHeight="1">
      <c r="G474" s="7"/>
    </row>
    <row r="475" ht="15.75" customHeight="1">
      <c r="G475" s="7"/>
    </row>
    <row r="476" ht="15.75" customHeight="1">
      <c r="G476" s="7"/>
    </row>
    <row r="477" ht="15.75" customHeight="1">
      <c r="G477" s="7"/>
    </row>
    <row r="478" ht="15.75" customHeight="1">
      <c r="G478" s="7"/>
    </row>
    <row r="479" ht="15.75" customHeight="1">
      <c r="G479" s="7"/>
    </row>
    <row r="480" ht="15.75" customHeight="1">
      <c r="G480" s="7"/>
    </row>
    <row r="481" ht="15.75" customHeight="1">
      <c r="G481" s="7"/>
    </row>
    <row r="482" ht="15.75" customHeight="1">
      <c r="G482" s="7"/>
    </row>
    <row r="483" ht="15.75" customHeight="1">
      <c r="G483" s="7"/>
    </row>
    <row r="484" ht="15.75" customHeight="1">
      <c r="G484" s="7"/>
    </row>
    <row r="485" ht="15.75" customHeight="1">
      <c r="G485" s="7"/>
    </row>
    <row r="486" ht="15.75" customHeight="1">
      <c r="G486" s="7"/>
    </row>
    <row r="487" ht="15.75" customHeight="1">
      <c r="G487" s="7"/>
    </row>
    <row r="488" ht="15.75" customHeight="1">
      <c r="G488" s="7"/>
    </row>
    <row r="489" ht="15.75" customHeight="1">
      <c r="G489" s="7"/>
    </row>
    <row r="490" ht="15.75" customHeight="1">
      <c r="G490" s="7"/>
    </row>
    <row r="491" ht="15.75" customHeight="1">
      <c r="G491" s="7"/>
    </row>
    <row r="492" ht="15.75" customHeight="1">
      <c r="G492" s="7"/>
    </row>
    <row r="493" ht="15.75" customHeight="1">
      <c r="G493" s="7"/>
    </row>
    <row r="494" ht="15.75" customHeight="1">
      <c r="G494" s="7"/>
    </row>
    <row r="495" ht="15.75" customHeight="1">
      <c r="G495" s="7"/>
    </row>
    <row r="496" ht="15.75" customHeight="1">
      <c r="G496" s="7"/>
    </row>
    <row r="497" ht="15.75" customHeight="1">
      <c r="G497" s="7"/>
    </row>
    <row r="498" ht="15.75" customHeight="1">
      <c r="G498" s="7"/>
    </row>
    <row r="499" ht="15.75" customHeight="1">
      <c r="G499" s="7"/>
    </row>
    <row r="500" ht="15.75" customHeight="1">
      <c r="G500" s="7"/>
    </row>
    <row r="501" ht="15.75" customHeight="1">
      <c r="G501" s="7"/>
    </row>
    <row r="502" ht="15.75" customHeight="1">
      <c r="G502" s="7"/>
    </row>
    <row r="503" ht="15.75" customHeight="1">
      <c r="G503" s="7"/>
    </row>
    <row r="504" ht="15.75" customHeight="1">
      <c r="G504" s="7"/>
    </row>
    <row r="505" ht="15.75" customHeight="1">
      <c r="G505" s="7"/>
    </row>
    <row r="506" ht="15.75" customHeight="1">
      <c r="G506" s="7"/>
    </row>
    <row r="507" ht="15.75" customHeight="1">
      <c r="G507" s="7"/>
    </row>
    <row r="508" ht="15.75" customHeight="1">
      <c r="G508" s="7"/>
    </row>
    <row r="509" ht="15.75" customHeight="1">
      <c r="G509" s="7"/>
    </row>
    <row r="510" ht="15.75" customHeight="1">
      <c r="G510" s="7"/>
    </row>
    <row r="511" ht="15.75" customHeight="1">
      <c r="G511" s="7"/>
    </row>
    <row r="512" ht="15.75" customHeight="1">
      <c r="G512" s="7"/>
    </row>
    <row r="513" ht="15.75" customHeight="1">
      <c r="G513" s="7"/>
    </row>
    <row r="514" ht="15.75" customHeight="1">
      <c r="G514" s="7"/>
    </row>
    <row r="515" ht="15.75" customHeight="1">
      <c r="G515" s="7"/>
    </row>
    <row r="516" ht="15.75" customHeight="1">
      <c r="G516" s="7"/>
    </row>
    <row r="517" ht="15.75" customHeight="1">
      <c r="G517" s="7"/>
    </row>
    <row r="518" ht="15.75" customHeight="1">
      <c r="G518" s="7"/>
    </row>
    <row r="519" ht="15.75" customHeight="1">
      <c r="G519" s="7"/>
    </row>
    <row r="520" ht="15.75" customHeight="1">
      <c r="G520" s="7"/>
    </row>
    <row r="521" ht="15.75" customHeight="1">
      <c r="G521" s="7"/>
    </row>
    <row r="522" ht="15.75" customHeight="1">
      <c r="G522" s="7"/>
    </row>
    <row r="523" ht="15.75" customHeight="1">
      <c r="G523" s="7"/>
    </row>
    <row r="524" ht="15.75" customHeight="1">
      <c r="G524" s="7"/>
    </row>
    <row r="525" ht="15.75" customHeight="1">
      <c r="G525" s="7"/>
    </row>
    <row r="526" ht="15.75" customHeight="1">
      <c r="G526" s="7"/>
    </row>
    <row r="527" ht="15.75" customHeight="1">
      <c r="G527" s="7"/>
    </row>
    <row r="528" ht="15.75" customHeight="1">
      <c r="G528" s="7"/>
    </row>
    <row r="529" ht="15.75" customHeight="1">
      <c r="G529" s="7"/>
    </row>
    <row r="530" ht="15.75" customHeight="1">
      <c r="G530" s="7"/>
    </row>
    <row r="531" ht="15.75" customHeight="1">
      <c r="G531" s="7"/>
    </row>
    <row r="532" ht="15.75" customHeight="1">
      <c r="G532" s="7"/>
    </row>
    <row r="533" ht="15.75" customHeight="1">
      <c r="G533" s="7"/>
    </row>
    <row r="534" ht="15.75" customHeight="1">
      <c r="G534" s="7"/>
    </row>
    <row r="535" ht="15.75" customHeight="1">
      <c r="G535" s="7"/>
    </row>
    <row r="536" ht="15.75" customHeight="1">
      <c r="G536" s="7"/>
    </row>
    <row r="537" ht="15.75" customHeight="1">
      <c r="G537" s="7"/>
    </row>
    <row r="538" ht="15.75" customHeight="1">
      <c r="G538" s="7"/>
    </row>
    <row r="539" ht="15.75" customHeight="1">
      <c r="G539" s="7"/>
    </row>
    <row r="540" ht="15.75" customHeight="1">
      <c r="G540" s="7"/>
    </row>
    <row r="541" ht="15.75" customHeight="1">
      <c r="G541" s="7"/>
    </row>
    <row r="542" ht="15.75" customHeight="1">
      <c r="G542" s="7"/>
    </row>
    <row r="543" ht="15.75" customHeight="1">
      <c r="G543" s="7"/>
    </row>
    <row r="544" ht="15.75" customHeight="1">
      <c r="G544" s="7"/>
    </row>
    <row r="545" ht="15.75" customHeight="1">
      <c r="G545" s="7"/>
    </row>
    <row r="546" ht="15.75" customHeight="1">
      <c r="G546" s="7"/>
    </row>
    <row r="547" ht="15.75" customHeight="1">
      <c r="G547" s="7"/>
    </row>
    <row r="548" ht="15.75" customHeight="1">
      <c r="G548" s="7"/>
    </row>
    <row r="549" ht="15.75" customHeight="1">
      <c r="G549" s="7"/>
    </row>
    <row r="550" ht="15.75" customHeight="1">
      <c r="G550" s="7"/>
    </row>
    <row r="551" ht="15.75" customHeight="1">
      <c r="G551" s="7"/>
    </row>
    <row r="552" ht="15.75" customHeight="1">
      <c r="G552" s="7"/>
    </row>
    <row r="553" ht="15.75" customHeight="1">
      <c r="G553" s="7"/>
    </row>
    <row r="554" ht="15.75" customHeight="1">
      <c r="G554" s="7"/>
    </row>
    <row r="555" ht="15.75" customHeight="1">
      <c r="G555" s="7"/>
    </row>
    <row r="556" ht="15.75" customHeight="1">
      <c r="G556" s="7"/>
    </row>
    <row r="557" ht="15.75" customHeight="1">
      <c r="G557" s="7"/>
    </row>
    <row r="558" ht="15.75" customHeight="1">
      <c r="G558" s="7"/>
    </row>
    <row r="559" ht="15.75" customHeight="1">
      <c r="G559" s="7"/>
    </row>
    <row r="560" ht="15.75" customHeight="1">
      <c r="G560" s="7"/>
    </row>
    <row r="561" ht="15.75" customHeight="1">
      <c r="G561" s="7"/>
    </row>
    <row r="562" ht="15.75" customHeight="1">
      <c r="G562" s="7"/>
    </row>
    <row r="563" ht="15.75" customHeight="1">
      <c r="G563" s="7"/>
    </row>
    <row r="564" ht="15.75" customHeight="1">
      <c r="G564" s="7"/>
    </row>
    <row r="565" ht="15.75" customHeight="1">
      <c r="G565" s="7"/>
    </row>
    <row r="566" ht="15.75" customHeight="1">
      <c r="G566" s="7"/>
    </row>
    <row r="567" ht="15.75" customHeight="1">
      <c r="G567" s="7"/>
    </row>
    <row r="568" ht="15.75" customHeight="1">
      <c r="G568" s="7"/>
    </row>
    <row r="569" ht="15.75" customHeight="1">
      <c r="G569" s="7"/>
    </row>
    <row r="570" ht="15.75" customHeight="1">
      <c r="G570" s="7"/>
    </row>
    <row r="571" ht="15.75" customHeight="1">
      <c r="G571" s="7"/>
    </row>
    <row r="572" ht="15.75" customHeight="1">
      <c r="G572" s="7"/>
    </row>
    <row r="573" ht="15.75" customHeight="1">
      <c r="G573" s="7"/>
    </row>
    <row r="574" ht="15.75" customHeight="1">
      <c r="G574" s="7"/>
    </row>
    <row r="575" ht="15.75" customHeight="1">
      <c r="G575" s="7"/>
    </row>
    <row r="576" ht="15.75" customHeight="1">
      <c r="G576" s="7"/>
    </row>
    <row r="577" ht="15.75" customHeight="1">
      <c r="G577" s="7"/>
    </row>
    <row r="578" ht="15.75" customHeight="1">
      <c r="G578" s="7"/>
    </row>
    <row r="579" ht="15.75" customHeight="1">
      <c r="G579" s="7"/>
    </row>
    <row r="580" ht="15.75" customHeight="1">
      <c r="G580" s="7"/>
    </row>
    <row r="581" ht="15.75" customHeight="1">
      <c r="G581" s="7"/>
    </row>
    <row r="582" ht="15.75" customHeight="1">
      <c r="G582" s="7"/>
    </row>
    <row r="583" ht="15.75" customHeight="1">
      <c r="G583" s="7"/>
    </row>
    <row r="584" ht="15.75" customHeight="1">
      <c r="G584" s="7"/>
    </row>
    <row r="585" ht="15.75" customHeight="1">
      <c r="G585" s="7"/>
    </row>
    <row r="586" ht="15.75" customHeight="1">
      <c r="G586" s="7"/>
    </row>
    <row r="587" ht="15.75" customHeight="1">
      <c r="G587" s="7"/>
    </row>
    <row r="588" ht="15.75" customHeight="1">
      <c r="G588" s="7"/>
    </row>
    <row r="589" ht="15.75" customHeight="1">
      <c r="G589" s="7"/>
    </row>
    <row r="590" ht="15.75" customHeight="1">
      <c r="G590" s="7"/>
    </row>
    <row r="591" ht="15.75" customHeight="1">
      <c r="G591" s="7"/>
    </row>
    <row r="592" ht="15.75" customHeight="1">
      <c r="G592" s="7"/>
    </row>
    <row r="593" ht="15.75" customHeight="1">
      <c r="G593" s="7"/>
    </row>
    <row r="594" ht="15.75" customHeight="1">
      <c r="G594" s="7"/>
    </row>
    <row r="595" ht="15.75" customHeight="1">
      <c r="G595" s="7"/>
    </row>
    <row r="596" ht="15.75" customHeight="1">
      <c r="G596" s="7"/>
    </row>
    <row r="597" ht="15.75" customHeight="1">
      <c r="G597" s="7"/>
    </row>
    <row r="598" ht="15.75" customHeight="1">
      <c r="G598" s="7"/>
    </row>
    <row r="599" ht="15.75" customHeight="1">
      <c r="G599" s="7"/>
    </row>
    <row r="600" ht="15.75" customHeight="1">
      <c r="G600" s="7"/>
    </row>
    <row r="601" ht="15.75" customHeight="1">
      <c r="G601" s="7"/>
    </row>
    <row r="602" ht="15.75" customHeight="1">
      <c r="G602" s="7"/>
    </row>
    <row r="603" ht="15.75" customHeight="1">
      <c r="G603" s="7"/>
    </row>
    <row r="604" ht="15.75" customHeight="1">
      <c r="G604" s="7"/>
    </row>
    <row r="605" ht="15.75" customHeight="1">
      <c r="G605" s="7"/>
    </row>
    <row r="606" ht="15.75" customHeight="1">
      <c r="G606" s="7"/>
    </row>
    <row r="607" ht="15.75" customHeight="1">
      <c r="G607" s="7"/>
    </row>
    <row r="608" ht="15.75" customHeight="1">
      <c r="G608" s="7"/>
    </row>
    <row r="609" ht="15.75" customHeight="1">
      <c r="G609" s="7"/>
    </row>
    <row r="610" ht="15.75" customHeight="1">
      <c r="G610" s="7"/>
    </row>
    <row r="611" ht="15.75" customHeight="1">
      <c r="G611" s="7"/>
    </row>
    <row r="612" ht="15.75" customHeight="1">
      <c r="G612" s="7"/>
    </row>
    <row r="613" ht="15.75" customHeight="1">
      <c r="G613" s="7"/>
    </row>
    <row r="614" ht="15.75" customHeight="1">
      <c r="G614" s="7"/>
    </row>
    <row r="615" ht="15.75" customHeight="1">
      <c r="G615" s="7"/>
    </row>
    <row r="616" ht="15.75" customHeight="1">
      <c r="G616" s="7"/>
    </row>
    <row r="617" ht="15.75" customHeight="1">
      <c r="G617" s="7"/>
    </row>
    <row r="618" ht="15.75" customHeight="1">
      <c r="G618" s="7"/>
    </row>
    <row r="619" ht="15.75" customHeight="1">
      <c r="G619" s="7"/>
    </row>
    <row r="620" ht="15.75" customHeight="1">
      <c r="G620" s="7"/>
    </row>
    <row r="621" ht="15.75" customHeight="1">
      <c r="G621" s="7"/>
    </row>
    <row r="622" ht="15.75" customHeight="1">
      <c r="G622" s="7"/>
    </row>
    <row r="623" ht="15.75" customHeight="1">
      <c r="G623" s="7"/>
    </row>
    <row r="624" ht="15.75" customHeight="1">
      <c r="G624" s="7"/>
    </row>
    <row r="625" ht="15.75" customHeight="1">
      <c r="G625" s="7"/>
    </row>
    <row r="626" ht="15.75" customHeight="1">
      <c r="G626" s="7"/>
    </row>
    <row r="627" ht="15.75" customHeight="1">
      <c r="G627" s="7"/>
    </row>
    <row r="628" ht="15.75" customHeight="1">
      <c r="G628" s="7"/>
    </row>
    <row r="629" ht="15.75" customHeight="1">
      <c r="G629" s="7"/>
    </row>
    <row r="630" ht="15.75" customHeight="1">
      <c r="G630" s="7"/>
    </row>
    <row r="631" ht="15.75" customHeight="1">
      <c r="G631" s="7"/>
    </row>
    <row r="632" ht="15.75" customHeight="1">
      <c r="G632" s="7"/>
    </row>
    <row r="633" ht="15.75" customHeight="1">
      <c r="G633" s="7"/>
    </row>
    <row r="634" ht="15.75" customHeight="1">
      <c r="G634" s="7"/>
    </row>
    <row r="635" ht="15.75" customHeight="1">
      <c r="G635" s="7"/>
    </row>
    <row r="636" ht="15.75" customHeight="1">
      <c r="G636" s="7"/>
    </row>
    <row r="637" ht="15.75" customHeight="1">
      <c r="G637" s="7"/>
    </row>
    <row r="638" ht="15.75" customHeight="1">
      <c r="G638" s="7"/>
    </row>
    <row r="639" ht="15.75" customHeight="1">
      <c r="G639" s="7"/>
    </row>
    <row r="640" ht="15.75" customHeight="1">
      <c r="G640" s="7"/>
    </row>
    <row r="641" ht="15.75" customHeight="1">
      <c r="G641" s="7"/>
    </row>
    <row r="642" ht="15.75" customHeight="1">
      <c r="G642" s="7"/>
    </row>
    <row r="643" ht="15.75" customHeight="1">
      <c r="G643" s="7"/>
    </row>
    <row r="644" ht="15.75" customHeight="1">
      <c r="G644" s="7"/>
    </row>
    <row r="645" ht="15.75" customHeight="1">
      <c r="G645" s="7"/>
    </row>
    <row r="646" ht="15.75" customHeight="1">
      <c r="G646" s="7"/>
    </row>
    <row r="647" ht="15.75" customHeight="1">
      <c r="G647" s="7"/>
    </row>
    <row r="648" ht="15.75" customHeight="1">
      <c r="G648" s="7"/>
    </row>
    <row r="649" ht="15.75" customHeight="1">
      <c r="G649" s="7"/>
    </row>
    <row r="650" ht="15.75" customHeight="1">
      <c r="G650" s="7"/>
    </row>
    <row r="651" ht="15.75" customHeight="1">
      <c r="G651" s="7"/>
    </row>
    <row r="652" ht="15.75" customHeight="1">
      <c r="G652" s="7"/>
    </row>
    <row r="653" ht="15.75" customHeight="1">
      <c r="G653" s="7"/>
    </row>
    <row r="654" ht="15.75" customHeight="1">
      <c r="G654" s="7"/>
    </row>
    <row r="655" ht="15.75" customHeight="1">
      <c r="G655" s="7"/>
    </row>
    <row r="656" ht="15.75" customHeight="1">
      <c r="G656" s="7"/>
    </row>
    <row r="657" ht="15.75" customHeight="1">
      <c r="G657" s="7"/>
    </row>
    <row r="658" ht="15.75" customHeight="1">
      <c r="G658" s="7"/>
    </row>
    <row r="659" ht="15.75" customHeight="1">
      <c r="G659" s="7"/>
    </row>
    <row r="660" ht="15.75" customHeight="1">
      <c r="G660" s="7"/>
    </row>
    <row r="661" ht="15.75" customHeight="1">
      <c r="G661" s="7"/>
    </row>
    <row r="662" ht="15.75" customHeight="1">
      <c r="G662" s="7"/>
    </row>
    <row r="663" ht="15.75" customHeight="1">
      <c r="G663" s="7"/>
    </row>
    <row r="664" ht="15.75" customHeight="1">
      <c r="G664" s="7"/>
    </row>
    <row r="665" ht="15.75" customHeight="1">
      <c r="G665" s="7"/>
    </row>
    <row r="666" ht="15.75" customHeight="1">
      <c r="G666" s="7"/>
    </row>
    <row r="667" ht="15.75" customHeight="1">
      <c r="G667" s="7"/>
    </row>
    <row r="668" ht="15.75" customHeight="1">
      <c r="G668" s="7"/>
    </row>
    <row r="669" ht="15.75" customHeight="1">
      <c r="G669" s="7"/>
    </row>
    <row r="670" ht="15.75" customHeight="1">
      <c r="G670" s="7"/>
    </row>
    <row r="671" ht="15.75" customHeight="1">
      <c r="G671" s="7"/>
    </row>
    <row r="672" ht="15.75" customHeight="1">
      <c r="G672" s="7"/>
    </row>
    <row r="673" ht="15.75" customHeight="1">
      <c r="G673" s="7"/>
    </row>
    <row r="674" ht="15.75" customHeight="1">
      <c r="G674" s="7"/>
    </row>
    <row r="675" ht="15.75" customHeight="1">
      <c r="G675" s="7"/>
    </row>
    <row r="676" ht="15.75" customHeight="1">
      <c r="G676" s="7"/>
    </row>
    <row r="677" ht="15.75" customHeight="1">
      <c r="G677" s="7"/>
    </row>
    <row r="678" ht="15.75" customHeight="1">
      <c r="G678" s="7"/>
    </row>
    <row r="679" ht="15.75" customHeight="1">
      <c r="G679" s="7"/>
    </row>
    <row r="680" ht="15.75" customHeight="1">
      <c r="G680" s="7"/>
    </row>
    <row r="681" ht="15.75" customHeight="1">
      <c r="G681" s="7"/>
    </row>
    <row r="682" ht="15.75" customHeight="1">
      <c r="G682" s="7"/>
    </row>
    <row r="683" ht="15.75" customHeight="1">
      <c r="G683" s="7"/>
    </row>
    <row r="684" ht="15.75" customHeight="1">
      <c r="G684" s="7"/>
    </row>
    <row r="685" ht="15.75" customHeight="1">
      <c r="G685" s="7"/>
    </row>
    <row r="686" ht="15.75" customHeight="1">
      <c r="G686" s="7"/>
    </row>
    <row r="687" ht="15.75" customHeight="1">
      <c r="G687" s="7"/>
    </row>
    <row r="688" ht="15.75" customHeight="1">
      <c r="G688" s="7"/>
    </row>
    <row r="689" ht="15.75" customHeight="1">
      <c r="G689" s="7"/>
    </row>
    <row r="690" ht="15.75" customHeight="1">
      <c r="G690" s="7"/>
    </row>
    <row r="691" ht="15.75" customHeight="1">
      <c r="G691" s="7"/>
    </row>
    <row r="692" ht="15.75" customHeight="1">
      <c r="G692" s="7"/>
    </row>
    <row r="693" ht="15.75" customHeight="1">
      <c r="G693" s="7"/>
    </row>
    <row r="694" ht="15.75" customHeight="1">
      <c r="G694" s="7"/>
    </row>
    <row r="695" ht="15.75" customHeight="1">
      <c r="G695" s="7"/>
    </row>
    <row r="696" ht="15.75" customHeight="1">
      <c r="G696" s="7"/>
    </row>
    <row r="697" ht="15.75" customHeight="1">
      <c r="G697" s="7"/>
    </row>
    <row r="698" ht="15.75" customHeight="1">
      <c r="G698" s="7"/>
    </row>
    <row r="699" ht="15.75" customHeight="1">
      <c r="G699" s="7"/>
    </row>
    <row r="700" ht="15.75" customHeight="1">
      <c r="G700" s="7"/>
    </row>
    <row r="701" ht="15.75" customHeight="1">
      <c r="G701" s="7"/>
    </row>
    <row r="702" ht="15.75" customHeight="1">
      <c r="G702" s="7"/>
    </row>
    <row r="703" ht="15.75" customHeight="1">
      <c r="G703" s="7"/>
    </row>
    <row r="704" ht="15.75" customHeight="1">
      <c r="G704" s="7"/>
    </row>
    <row r="705" ht="15.75" customHeight="1">
      <c r="G705" s="7"/>
    </row>
    <row r="706" ht="15.75" customHeight="1">
      <c r="G706" s="7"/>
    </row>
    <row r="707" ht="15.75" customHeight="1">
      <c r="G707" s="7"/>
    </row>
    <row r="708" ht="15.75" customHeight="1">
      <c r="G708" s="7"/>
    </row>
    <row r="709" ht="15.75" customHeight="1">
      <c r="G709" s="7"/>
    </row>
    <row r="710" ht="15.75" customHeight="1">
      <c r="G710" s="7"/>
    </row>
    <row r="711" ht="15.75" customHeight="1">
      <c r="G711" s="7"/>
    </row>
    <row r="712" ht="15.75" customHeight="1">
      <c r="G712" s="7"/>
    </row>
    <row r="713" ht="15.75" customHeight="1">
      <c r="G713" s="7"/>
    </row>
    <row r="714" ht="15.75" customHeight="1">
      <c r="G714" s="7"/>
    </row>
    <row r="715" ht="15.75" customHeight="1">
      <c r="G715" s="7"/>
    </row>
    <row r="716" ht="15.75" customHeight="1">
      <c r="G716" s="7"/>
    </row>
    <row r="717" ht="15.75" customHeight="1">
      <c r="G717" s="7"/>
    </row>
    <row r="718" ht="15.75" customHeight="1">
      <c r="G718" s="7"/>
    </row>
    <row r="719" ht="15.75" customHeight="1">
      <c r="G719" s="7"/>
    </row>
    <row r="720" ht="15.75" customHeight="1">
      <c r="G720" s="7"/>
    </row>
    <row r="721" ht="15.75" customHeight="1">
      <c r="G721" s="7"/>
    </row>
    <row r="722" ht="15.75" customHeight="1">
      <c r="G722" s="7"/>
    </row>
    <row r="723" ht="15.75" customHeight="1">
      <c r="G723" s="7"/>
    </row>
    <row r="724" ht="15.75" customHeight="1">
      <c r="G724" s="7"/>
    </row>
    <row r="725" ht="15.75" customHeight="1">
      <c r="G725" s="7"/>
    </row>
    <row r="726" ht="15.75" customHeight="1">
      <c r="G726" s="7"/>
    </row>
    <row r="727" ht="15.75" customHeight="1">
      <c r="G727" s="7"/>
    </row>
    <row r="728" ht="15.75" customHeight="1">
      <c r="G728" s="7"/>
    </row>
    <row r="729" ht="15.75" customHeight="1">
      <c r="G729" s="7"/>
    </row>
    <row r="730" ht="15.75" customHeight="1">
      <c r="G730" s="7"/>
    </row>
    <row r="731" ht="15.75" customHeight="1">
      <c r="G731" s="7"/>
    </row>
    <row r="732" ht="15.75" customHeight="1">
      <c r="G732" s="7"/>
    </row>
    <row r="733" ht="15.75" customHeight="1">
      <c r="G733" s="7"/>
    </row>
    <row r="734" ht="15.75" customHeight="1">
      <c r="G734" s="7"/>
    </row>
    <row r="735" ht="15.75" customHeight="1">
      <c r="G735" s="7"/>
    </row>
    <row r="736" ht="15.75" customHeight="1">
      <c r="G736" s="7"/>
    </row>
    <row r="737" ht="15.75" customHeight="1">
      <c r="G737" s="7"/>
    </row>
    <row r="738" ht="15.75" customHeight="1">
      <c r="G738" s="7"/>
    </row>
    <row r="739" ht="15.75" customHeight="1">
      <c r="G739" s="7"/>
    </row>
    <row r="740" ht="15.75" customHeight="1">
      <c r="G740" s="7"/>
    </row>
    <row r="741" ht="15.75" customHeight="1">
      <c r="G741" s="7"/>
    </row>
    <row r="742" ht="15.75" customHeight="1">
      <c r="G742" s="7"/>
    </row>
    <row r="743" ht="15.75" customHeight="1">
      <c r="G743" s="7"/>
    </row>
    <row r="744" ht="15.75" customHeight="1">
      <c r="G744" s="7"/>
    </row>
    <row r="745" ht="15.75" customHeight="1">
      <c r="G745" s="7"/>
    </row>
    <row r="746" ht="15.75" customHeight="1">
      <c r="G746" s="7"/>
    </row>
    <row r="747" ht="15.75" customHeight="1">
      <c r="G747" s="7"/>
    </row>
    <row r="748" ht="15.75" customHeight="1">
      <c r="G748" s="7"/>
    </row>
    <row r="749" ht="15.75" customHeight="1">
      <c r="G749" s="7"/>
    </row>
    <row r="750" ht="15.75" customHeight="1">
      <c r="G750" s="7"/>
    </row>
    <row r="751" ht="15.75" customHeight="1">
      <c r="G751" s="7"/>
    </row>
    <row r="752" ht="15.75" customHeight="1">
      <c r="G752" s="7"/>
    </row>
    <row r="753" ht="15.75" customHeight="1">
      <c r="G753" s="7"/>
    </row>
    <row r="754" ht="15.75" customHeight="1">
      <c r="G754" s="7"/>
    </row>
    <row r="755" ht="15.75" customHeight="1">
      <c r="G755" s="7"/>
    </row>
    <row r="756" ht="15.75" customHeight="1">
      <c r="G756" s="7"/>
    </row>
    <row r="757" ht="15.75" customHeight="1">
      <c r="G757" s="7"/>
    </row>
    <row r="758" ht="15.75" customHeight="1">
      <c r="G758" s="7"/>
    </row>
    <row r="759" ht="15.75" customHeight="1">
      <c r="G759" s="7"/>
    </row>
    <row r="760" ht="15.75" customHeight="1">
      <c r="G760" s="7"/>
    </row>
    <row r="761" ht="15.75" customHeight="1">
      <c r="G761" s="7"/>
    </row>
    <row r="762" ht="15.75" customHeight="1">
      <c r="G762" s="7"/>
    </row>
    <row r="763" ht="15.75" customHeight="1">
      <c r="G763" s="7"/>
    </row>
    <row r="764" ht="15.75" customHeight="1">
      <c r="G764" s="7"/>
    </row>
    <row r="765" ht="15.75" customHeight="1">
      <c r="G765" s="7"/>
    </row>
    <row r="766" ht="15.75" customHeight="1">
      <c r="G766" s="7"/>
    </row>
    <row r="767" ht="15.75" customHeight="1">
      <c r="G767" s="7"/>
    </row>
    <row r="768" ht="15.75" customHeight="1">
      <c r="G768" s="7"/>
    </row>
    <row r="769" ht="15.75" customHeight="1">
      <c r="G769" s="7"/>
    </row>
    <row r="770" ht="15.75" customHeight="1">
      <c r="G770" s="7"/>
    </row>
    <row r="771" ht="15.75" customHeight="1">
      <c r="G771" s="7"/>
    </row>
    <row r="772" ht="15.75" customHeight="1">
      <c r="G772" s="7"/>
    </row>
    <row r="773" ht="15.75" customHeight="1">
      <c r="G773" s="7"/>
    </row>
    <row r="774" ht="15.75" customHeight="1">
      <c r="G774" s="7"/>
    </row>
    <row r="775" ht="15.75" customHeight="1">
      <c r="G775" s="7"/>
    </row>
    <row r="776" ht="15.75" customHeight="1">
      <c r="G776" s="7"/>
    </row>
    <row r="777" ht="15.75" customHeight="1">
      <c r="G777" s="7"/>
    </row>
    <row r="778" ht="15.75" customHeight="1">
      <c r="G778" s="7"/>
    </row>
    <row r="779" ht="15.75" customHeight="1">
      <c r="G779" s="7"/>
    </row>
    <row r="780" ht="15.75" customHeight="1">
      <c r="G780" s="7"/>
    </row>
    <row r="781" ht="15.75" customHeight="1">
      <c r="G781" s="7"/>
    </row>
    <row r="782" ht="15.75" customHeight="1">
      <c r="G782" s="7"/>
    </row>
    <row r="783" ht="15.75" customHeight="1">
      <c r="G783" s="7"/>
    </row>
    <row r="784" ht="15.75" customHeight="1">
      <c r="G784" s="7"/>
    </row>
    <row r="785" ht="15.75" customHeight="1">
      <c r="G785" s="7"/>
    </row>
    <row r="786" ht="15.75" customHeight="1">
      <c r="G786" s="7"/>
    </row>
    <row r="787" ht="15.75" customHeight="1">
      <c r="G787" s="7"/>
    </row>
    <row r="788" ht="15.75" customHeight="1">
      <c r="G788" s="7"/>
    </row>
    <row r="789" ht="15.75" customHeight="1">
      <c r="G789" s="7"/>
    </row>
    <row r="790" ht="15.75" customHeight="1">
      <c r="G790" s="7"/>
    </row>
    <row r="791" ht="15.75" customHeight="1">
      <c r="G791" s="7"/>
    </row>
    <row r="792" ht="15.75" customHeight="1">
      <c r="G792" s="7"/>
    </row>
    <row r="793" ht="15.75" customHeight="1">
      <c r="G793" s="7"/>
    </row>
    <row r="794" ht="15.75" customHeight="1">
      <c r="G794" s="7"/>
    </row>
    <row r="795" ht="15.75" customHeight="1">
      <c r="G795" s="7"/>
    </row>
    <row r="796" ht="15.75" customHeight="1">
      <c r="G796" s="7"/>
    </row>
    <row r="797" ht="15.75" customHeight="1">
      <c r="G797" s="7"/>
    </row>
    <row r="798" ht="15.75" customHeight="1">
      <c r="G798" s="7"/>
    </row>
    <row r="799" ht="15.75" customHeight="1">
      <c r="G799" s="7"/>
    </row>
    <row r="800" ht="15.75" customHeight="1">
      <c r="G800" s="7"/>
    </row>
    <row r="801" ht="15.75" customHeight="1">
      <c r="G801" s="7"/>
    </row>
    <row r="802" ht="15.75" customHeight="1">
      <c r="G802" s="7"/>
    </row>
    <row r="803" ht="15.75" customHeight="1">
      <c r="G803" s="7"/>
    </row>
    <row r="804" ht="15.75" customHeight="1">
      <c r="G804" s="7"/>
    </row>
    <row r="805" ht="15.75" customHeight="1">
      <c r="G805" s="7"/>
    </row>
    <row r="806" ht="15.75" customHeight="1">
      <c r="G806" s="7"/>
    </row>
    <row r="807" ht="15.75" customHeight="1">
      <c r="G807" s="7"/>
    </row>
    <row r="808" ht="15.75" customHeight="1">
      <c r="G808" s="7"/>
    </row>
    <row r="809" ht="15.75" customHeight="1">
      <c r="G809" s="7"/>
    </row>
    <row r="810" ht="15.75" customHeight="1">
      <c r="G810" s="7"/>
    </row>
    <row r="811" ht="15.75" customHeight="1">
      <c r="G811" s="7"/>
    </row>
    <row r="812" ht="15.75" customHeight="1">
      <c r="G812" s="7"/>
    </row>
    <row r="813" ht="15.75" customHeight="1">
      <c r="G813" s="7"/>
    </row>
    <row r="814" ht="15.75" customHeight="1">
      <c r="G814" s="7"/>
    </row>
    <row r="815" ht="15.75" customHeight="1">
      <c r="G815" s="7"/>
    </row>
    <row r="816" ht="15.75" customHeight="1">
      <c r="G816" s="7"/>
    </row>
    <row r="817" ht="15.75" customHeight="1">
      <c r="G817" s="7"/>
    </row>
    <row r="818" ht="15.75" customHeight="1">
      <c r="G818" s="7"/>
    </row>
    <row r="819" ht="15.75" customHeight="1">
      <c r="G819" s="7"/>
    </row>
    <row r="820" ht="15.75" customHeight="1">
      <c r="G820" s="7"/>
    </row>
    <row r="821" ht="15.75" customHeight="1">
      <c r="G821" s="7"/>
    </row>
    <row r="822" ht="15.75" customHeight="1">
      <c r="G822" s="7"/>
    </row>
    <row r="823" ht="15.75" customHeight="1">
      <c r="G823" s="7"/>
    </row>
    <row r="824" ht="15.75" customHeight="1">
      <c r="G824" s="7"/>
    </row>
    <row r="825" ht="15.75" customHeight="1">
      <c r="G825" s="7"/>
    </row>
    <row r="826" ht="15.75" customHeight="1">
      <c r="G826" s="7"/>
    </row>
    <row r="827" ht="15.75" customHeight="1">
      <c r="G827" s="7"/>
    </row>
    <row r="828" ht="15.75" customHeight="1">
      <c r="G828" s="7"/>
    </row>
    <row r="829" ht="15.75" customHeight="1">
      <c r="G829" s="7"/>
    </row>
    <row r="830" ht="15.75" customHeight="1">
      <c r="G830" s="7"/>
    </row>
    <row r="831" ht="15.75" customHeight="1">
      <c r="G831" s="7"/>
    </row>
    <row r="832" ht="15.75" customHeight="1">
      <c r="G832" s="7"/>
    </row>
    <row r="833" ht="15.75" customHeight="1">
      <c r="G833" s="7"/>
    </row>
    <row r="834" ht="15.75" customHeight="1">
      <c r="G834" s="7"/>
    </row>
    <row r="835" ht="15.75" customHeight="1">
      <c r="G835" s="7"/>
    </row>
    <row r="836" ht="15.75" customHeight="1">
      <c r="G836" s="7"/>
    </row>
    <row r="837" ht="15.75" customHeight="1">
      <c r="G837" s="7"/>
    </row>
    <row r="838" ht="15.75" customHeight="1">
      <c r="G838" s="7"/>
    </row>
    <row r="839" ht="15.75" customHeight="1">
      <c r="G839" s="7"/>
    </row>
    <row r="840" ht="15.75" customHeight="1">
      <c r="G840" s="7"/>
    </row>
    <row r="841" ht="15.75" customHeight="1">
      <c r="G841" s="7"/>
    </row>
    <row r="842" ht="15.75" customHeight="1">
      <c r="G842" s="7"/>
    </row>
    <row r="843" ht="15.75" customHeight="1">
      <c r="G843" s="7"/>
    </row>
    <row r="844" ht="15.75" customHeight="1">
      <c r="G844" s="7"/>
    </row>
    <row r="845" ht="15.75" customHeight="1">
      <c r="G845" s="7"/>
    </row>
    <row r="846" ht="15.75" customHeight="1">
      <c r="G846" s="7"/>
    </row>
    <row r="847" ht="15.75" customHeight="1">
      <c r="G847" s="7"/>
    </row>
    <row r="848" ht="15.75" customHeight="1">
      <c r="G848" s="7"/>
    </row>
    <row r="849" ht="15.75" customHeight="1">
      <c r="G849" s="7"/>
    </row>
    <row r="850" ht="15.75" customHeight="1">
      <c r="G850" s="7"/>
    </row>
    <row r="851" ht="15.75" customHeight="1">
      <c r="G851" s="7"/>
    </row>
    <row r="852" ht="15.75" customHeight="1">
      <c r="G852" s="7"/>
    </row>
    <row r="853" ht="15.75" customHeight="1">
      <c r="G853" s="7"/>
    </row>
    <row r="854" ht="15.75" customHeight="1">
      <c r="G854" s="7"/>
    </row>
    <row r="855" ht="15.75" customHeight="1">
      <c r="G855" s="7"/>
    </row>
    <row r="856" ht="15.75" customHeight="1">
      <c r="G856" s="7"/>
    </row>
    <row r="857" ht="15.75" customHeight="1">
      <c r="G857" s="7"/>
    </row>
    <row r="858" ht="15.75" customHeight="1">
      <c r="G858" s="7"/>
    </row>
    <row r="859" ht="15.75" customHeight="1">
      <c r="G859" s="7"/>
    </row>
    <row r="860" ht="15.75" customHeight="1">
      <c r="G860" s="7"/>
    </row>
    <row r="861" ht="15.75" customHeight="1">
      <c r="G861" s="7"/>
    </row>
    <row r="862" ht="15.75" customHeight="1">
      <c r="G862" s="7"/>
    </row>
    <row r="863" ht="15.75" customHeight="1">
      <c r="G863" s="7"/>
    </row>
    <row r="864" ht="15.75" customHeight="1">
      <c r="G864" s="7"/>
    </row>
    <row r="865" ht="15.75" customHeight="1">
      <c r="G865" s="7"/>
    </row>
    <row r="866" ht="15.75" customHeight="1">
      <c r="G866" s="7"/>
    </row>
    <row r="867" ht="15.75" customHeight="1">
      <c r="G867" s="7"/>
    </row>
    <row r="868" ht="15.75" customHeight="1">
      <c r="G868" s="7"/>
    </row>
    <row r="869" ht="15.75" customHeight="1">
      <c r="G869" s="7"/>
    </row>
    <row r="870" ht="15.75" customHeight="1">
      <c r="G870" s="7"/>
    </row>
    <row r="871" ht="15.75" customHeight="1">
      <c r="G871" s="7"/>
    </row>
    <row r="872" ht="15.75" customHeight="1">
      <c r="G872" s="7"/>
    </row>
    <row r="873" ht="15.75" customHeight="1">
      <c r="G873" s="7"/>
    </row>
    <row r="874" ht="15.75" customHeight="1">
      <c r="G874" s="7"/>
    </row>
    <row r="875" ht="15.75" customHeight="1">
      <c r="G875" s="7"/>
    </row>
    <row r="876" ht="15.75" customHeight="1">
      <c r="G876" s="7"/>
    </row>
    <row r="877" ht="15.75" customHeight="1">
      <c r="G877" s="7"/>
    </row>
    <row r="878" ht="15.75" customHeight="1">
      <c r="G878" s="7"/>
    </row>
    <row r="879" ht="15.75" customHeight="1">
      <c r="G879" s="7"/>
    </row>
    <row r="880" ht="15.75" customHeight="1">
      <c r="G880" s="7"/>
    </row>
    <row r="881" ht="15.75" customHeight="1">
      <c r="G881" s="7"/>
    </row>
    <row r="882" ht="15.75" customHeight="1">
      <c r="G882" s="7"/>
    </row>
    <row r="883" ht="15.75" customHeight="1">
      <c r="G883" s="7"/>
    </row>
    <row r="884" ht="15.75" customHeight="1">
      <c r="G884" s="7"/>
    </row>
    <row r="885" ht="15.75" customHeight="1">
      <c r="G885" s="7"/>
    </row>
    <row r="886" ht="15.75" customHeight="1">
      <c r="G886" s="7"/>
    </row>
    <row r="887" ht="15.75" customHeight="1">
      <c r="G887" s="7"/>
    </row>
    <row r="888" ht="15.75" customHeight="1">
      <c r="G888" s="7"/>
    </row>
    <row r="889" ht="15.75" customHeight="1">
      <c r="G889" s="7"/>
    </row>
    <row r="890" ht="15.75" customHeight="1">
      <c r="G890" s="7"/>
    </row>
    <row r="891" ht="15.75" customHeight="1">
      <c r="G891" s="7"/>
    </row>
    <row r="892" ht="15.75" customHeight="1">
      <c r="G892" s="7"/>
    </row>
    <row r="893" ht="15.75" customHeight="1">
      <c r="G893" s="7"/>
    </row>
    <row r="894" ht="15.75" customHeight="1">
      <c r="G894" s="7"/>
    </row>
    <row r="895" ht="15.75" customHeight="1">
      <c r="G895" s="7"/>
    </row>
    <row r="896" ht="15.75" customHeight="1">
      <c r="G896" s="7"/>
    </row>
    <row r="897" ht="15.75" customHeight="1">
      <c r="G897" s="7"/>
    </row>
    <row r="898" ht="15.75" customHeight="1">
      <c r="G898" s="7"/>
    </row>
    <row r="899" ht="15.75" customHeight="1">
      <c r="G899" s="7"/>
    </row>
    <row r="900" ht="15.75" customHeight="1">
      <c r="G900" s="7"/>
    </row>
    <row r="901" ht="15.75" customHeight="1">
      <c r="G901" s="7"/>
    </row>
    <row r="902" ht="15.75" customHeight="1">
      <c r="G902" s="7"/>
    </row>
    <row r="903" ht="15.75" customHeight="1">
      <c r="G903" s="7"/>
    </row>
    <row r="904" ht="15.75" customHeight="1">
      <c r="G904" s="7"/>
    </row>
    <row r="905" ht="15.75" customHeight="1">
      <c r="G905" s="7"/>
    </row>
    <row r="906" ht="15.75" customHeight="1">
      <c r="G906" s="7"/>
    </row>
    <row r="907" ht="15.75" customHeight="1">
      <c r="G907" s="7"/>
    </row>
    <row r="908" ht="15.75" customHeight="1">
      <c r="G908" s="7"/>
    </row>
    <row r="909" ht="15.75" customHeight="1">
      <c r="G909" s="7"/>
    </row>
    <row r="910" ht="15.75" customHeight="1">
      <c r="G910" s="7"/>
    </row>
    <row r="911" ht="15.75" customHeight="1">
      <c r="G911" s="7"/>
    </row>
    <row r="912" ht="15.75" customHeight="1">
      <c r="G912" s="7"/>
    </row>
    <row r="913" ht="15.75" customHeight="1">
      <c r="G913" s="7"/>
    </row>
    <row r="914" ht="15.75" customHeight="1">
      <c r="G914" s="7"/>
    </row>
    <row r="915" ht="15.75" customHeight="1">
      <c r="G915" s="7"/>
    </row>
    <row r="916" ht="15.75" customHeight="1">
      <c r="G916" s="7"/>
    </row>
    <row r="917" ht="15.75" customHeight="1">
      <c r="G917" s="7"/>
    </row>
    <row r="918" ht="15.75" customHeight="1">
      <c r="G918" s="7"/>
    </row>
    <row r="919" ht="15.75" customHeight="1">
      <c r="G919" s="7"/>
    </row>
    <row r="920" ht="15.75" customHeight="1">
      <c r="G920" s="7"/>
    </row>
    <row r="921" ht="15.75" customHeight="1">
      <c r="G921" s="7"/>
    </row>
    <row r="922" ht="15.75" customHeight="1">
      <c r="G922" s="7"/>
    </row>
    <row r="923" ht="15.75" customHeight="1">
      <c r="G923" s="7"/>
    </row>
    <row r="924" ht="15.75" customHeight="1">
      <c r="G924" s="7"/>
    </row>
    <row r="925" ht="15.75" customHeight="1">
      <c r="G925" s="7"/>
    </row>
    <row r="926" ht="15.75" customHeight="1">
      <c r="G926" s="7"/>
    </row>
    <row r="927" ht="15.75" customHeight="1">
      <c r="G927" s="7"/>
    </row>
    <row r="928" ht="15.75" customHeight="1">
      <c r="G928" s="7"/>
    </row>
    <row r="929" ht="15.75" customHeight="1">
      <c r="G929" s="7"/>
    </row>
    <row r="930" ht="15.75" customHeight="1">
      <c r="G930" s="7"/>
    </row>
    <row r="931" ht="15.75" customHeight="1">
      <c r="G931" s="7"/>
    </row>
    <row r="932" ht="15.75" customHeight="1">
      <c r="G932" s="7"/>
    </row>
    <row r="933" ht="15.75" customHeight="1">
      <c r="G933" s="7"/>
    </row>
    <row r="934" ht="15.75" customHeight="1">
      <c r="G934" s="7"/>
    </row>
    <row r="935" ht="15.75" customHeight="1">
      <c r="G935" s="7"/>
    </row>
    <row r="936" ht="15.75" customHeight="1">
      <c r="G936" s="7"/>
    </row>
    <row r="937" ht="15.75" customHeight="1">
      <c r="G937" s="7"/>
    </row>
    <row r="938" ht="15.75" customHeight="1">
      <c r="G938" s="7"/>
    </row>
    <row r="939" ht="15.75" customHeight="1">
      <c r="G939" s="7"/>
    </row>
    <row r="940" ht="15.75" customHeight="1">
      <c r="G940" s="7"/>
    </row>
    <row r="941" ht="15.75" customHeight="1">
      <c r="G941" s="7"/>
    </row>
    <row r="942" ht="15.75" customHeight="1">
      <c r="G942" s="7"/>
    </row>
    <row r="943" ht="15.75" customHeight="1">
      <c r="G943" s="7"/>
    </row>
    <row r="944" ht="15.75" customHeight="1">
      <c r="G944" s="7"/>
    </row>
    <row r="945" ht="15.75" customHeight="1">
      <c r="G945" s="7"/>
    </row>
    <row r="946" ht="15.75" customHeight="1">
      <c r="G946" s="7"/>
    </row>
    <row r="947" ht="15.75" customHeight="1">
      <c r="G947" s="7"/>
    </row>
    <row r="948" ht="15.75" customHeight="1">
      <c r="G948" s="7"/>
    </row>
    <row r="949" ht="15.75" customHeight="1">
      <c r="G949" s="7"/>
    </row>
    <row r="950" ht="15.75" customHeight="1">
      <c r="G950" s="7"/>
    </row>
    <row r="951" ht="15.75" customHeight="1">
      <c r="G951" s="7"/>
    </row>
    <row r="952" ht="15.75" customHeight="1">
      <c r="G952" s="7"/>
    </row>
    <row r="953" ht="15.75" customHeight="1">
      <c r="G953" s="7"/>
    </row>
    <row r="954" ht="15.75" customHeight="1">
      <c r="G954" s="7"/>
    </row>
    <row r="955" ht="15.75" customHeight="1">
      <c r="G955" s="7"/>
    </row>
    <row r="956" ht="15.75" customHeight="1">
      <c r="G956" s="7"/>
    </row>
    <row r="957" ht="15.75" customHeight="1">
      <c r="G957" s="7"/>
    </row>
    <row r="958" ht="15.75" customHeight="1">
      <c r="G958" s="7"/>
    </row>
    <row r="959" ht="15.75" customHeight="1">
      <c r="G959" s="7"/>
    </row>
    <row r="960" ht="15.75" customHeight="1">
      <c r="G960" s="7"/>
    </row>
    <row r="961" ht="15.75" customHeight="1">
      <c r="G961" s="7"/>
    </row>
    <row r="962" ht="15.75" customHeight="1">
      <c r="G962" s="7"/>
    </row>
    <row r="963" ht="15.75" customHeight="1">
      <c r="G963" s="7"/>
    </row>
    <row r="964" ht="15.75" customHeight="1">
      <c r="G964" s="7"/>
    </row>
    <row r="965" ht="15.75" customHeight="1">
      <c r="G965" s="7"/>
    </row>
    <row r="966" ht="15.75" customHeight="1">
      <c r="G966" s="7"/>
    </row>
    <row r="967" ht="15.75" customHeight="1">
      <c r="G967" s="7"/>
    </row>
    <row r="968" ht="15.75" customHeight="1">
      <c r="G968" s="7"/>
    </row>
    <row r="969" ht="15.75" customHeight="1">
      <c r="G969" s="7"/>
    </row>
    <row r="970" ht="15.75" customHeight="1">
      <c r="G970" s="7"/>
    </row>
    <row r="971" ht="15.75" customHeight="1">
      <c r="G971" s="7"/>
    </row>
    <row r="972" ht="15.75" customHeight="1">
      <c r="G972" s="7"/>
    </row>
    <row r="973" ht="15.75" customHeight="1">
      <c r="G973" s="7"/>
    </row>
    <row r="974" ht="15.75" customHeight="1">
      <c r="G974" s="7"/>
    </row>
    <row r="975" ht="15.75" customHeight="1">
      <c r="G975" s="7"/>
    </row>
    <row r="976" ht="15.75" customHeight="1">
      <c r="G976" s="7"/>
    </row>
    <row r="977" ht="15.75" customHeight="1">
      <c r="G977" s="7"/>
    </row>
    <row r="978" ht="15.75" customHeight="1">
      <c r="G978" s="7"/>
    </row>
    <row r="979" ht="15.75" customHeight="1">
      <c r="G979" s="7"/>
    </row>
    <row r="980" ht="15.75" customHeight="1">
      <c r="G980" s="7"/>
    </row>
    <row r="981" ht="15.75" customHeight="1">
      <c r="G981" s="7"/>
    </row>
    <row r="982" ht="15.75" customHeight="1">
      <c r="G982" s="7"/>
    </row>
    <row r="983" ht="15.75" customHeight="1">
      <c r="G983" s="7"/>
    </row>
    <row r="984" ht="15.75" customHeight="1">
      <c r="G984" s="7"/>
    </row>
    <row r="985" ht="15.75" customHeight="1">
      <c r="G985" s="7"/>
    </row>
    <row r="986" ht="15.75" customHeight="1">
      <c r="G986" s="7"/>
    </row>
    <row r="987" ht="15.75" customHeight="1">
      <c r="G987" s="7"/>
    </row>
    <row r="988" ht="15.75" customHeight="1">
      <c r="G988" s="7"/>
    </row>
    <row r="989" ht="15.75" customHeight="1">
      <c r="G989" s="7"/>
    </row>
    <row r="990" ht="15.75" customHeight="1">
      <c r="G990" s="7"/>
    </row>
    <row r="991" ht="15.75" customHeight="1">
      <c r="G991" s="7"/>
    </row>
    <row r="992" ht="15.75" customHeight="1">
      <c r="G992" s="7"/>
    </row>
    <row r="993" ht="15.75" customHeight="1">
      <c r="G993" s="7"/>
    </row>
    <row r="994" ht="15.75" customHeight="1">
      <c r="G994" s="7"/>
    </row>
    <row r="995" ht="15.75" customHeight="1">
      <c r="G995" s="7"/>
    </row>
    <row r="996" ht="15.75" customHeight="1">
      <c r="G996" s="7"/>
    </row>
    <row r="997" ht="15.75" customHeight="1">
      <c r="G997" s="7"/>
    </row>
    <row r="998" ht="15.75" customHeight="1">
      <c r="G998" s="7"/>
    </row>
    <row r="999" ht="15.75" customHeight="1">
      <c r="G999" s="7"/>
    </row>
    <row r="1000" ht="15.75" customHeight="1">
      <c r="G1000" s="7"/>
    </row>
  </sheetData>
  <mergeCells count="13">
    <mergeCell ref="G1:Q1"/>
    <mergeCell ref="A3:A19"/>
    <mergeCell ref="A20:A34"/>
    <mergeCell ref="A35:A41"/>
    <mergeCell ref="A42:A53"/>
    <mergeCell ref="A54:A60"/>
    <mergeCell ref="R1:W1"/>
    <mergeCell ref="Y1:AE1"/>
    <mergeCell ref="AF1:AL1"/>
    <mergeCell ref="AM1:AS1"/>
    <mergeCell ref="AT1:AV1"/>
    <mergeCell ref="AW1:AY1"/>
    <mergeCell ref="AZ1:BC1"/>
  </mergeCell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cols>
    <col customWidth="1" min="3" max="3" width="16.0"/>
    <col customWidth="1" min="6" max="6" width="8.38"/>
    <col customWidth="1" min="7" max="7" width="41.88"/>
    <col customWidth="1" min="8" max="8" width="15.88"/>
    <col customWidth="1" min="9" max="9" width="21.75"/>
    <col customWidth="1" min="10" max="10" width="22.63"/>
    <col customWidth="1" min="11" max="11" width="22.75"/>
    <col customWidth="1" min="12" max="12" width="22.38"/>
    <col customWidth="1" min="13" max="15" width="23.88"/>
    <col customWidth="1" min="16" max="16" width="24.5"/>
    <col customWidth="1" min="18" max="18" width="14.25"/>
    <col customWidth="1" min="19" max="19" width="17.63"/>
    <col customWidth="1" min="20" max="20" width="17.38"/>
    <col customWidth="1" min="21" max="21" width="23.75"/>
    <col customWidth="1" min="22" max="22" width="19.63"/>
    <col customWidth="1" min="23" max="23" width="24.25"/>
    <col customWidth="1" min="24" max="24" width="28.75"/>
    <col customWidth="1" min="25" max="25" width="19.25"/>
    <col customWidth="1" min="26" max="26" width="25.13"/>
    <col customWidth="1" min="27" max="27" width="24.75"/>
    <col customWidth="1" min="28" max="28" width="26.13"/>
    <col customWidth="1" min="29" max="29" width="26.63"/>
    <col customWidth="1" min="30" max="30" width="22.38"/>
    <col customWidth="1" min="31" max="31" width="28.63"/>
    <col customWidth="1" min="32" max="32" width="14.25"/>
    <col customWidth="1" min="33" max="33" width="23.13"/>
    <col customWidth="1" min="34" max="34" width="20.75"/>
    <col customWidth="1" min="35" max="35" width="23.63"/>
    <col customWidth="1" min="36" max="36" width="23.38"/>
    <col customWidth="1" min="37" max="37" width="21.75"/>
    <col customWidth="1" min="38" max="38" width="25.38"/>
    <col customWidth="1" min="39" max="39" width="16.88"/>
    <col customWidth="1" min="40" max="40" width="27.75"/>
    <col customWidth="1" min="41" max="41" width="26.25"/>
    <col customWidth="1" min="42" max="42" width="23.13"/>
    <col customWidth="1" min="43" max="43" width="29.38"/>
    <col customWidth="1" min="44" max="44" width="22.63"/>
    <col customWidth="1" min="45" max="45" width="27.25"/>
    <col customWidth="1" min="46" max="46" width="13.88"/>
    <col customWidth="1" min="47" max="47" width="24.75"/>
    <col customWidth="1" min="48" max="48" width="25.25"/>
    <col customWidth="1" min="50" max="50" width="24.38"/>
    <col customWidth="1" min="51" max="51" width="23.75"/>
    <col customWidth="1" min="52" max="52" width="32.63"/>
    <col customWidth="1" min="53" max="53" width="37.75"/>
    <col customWidth="1" min="54" max="54" width="27.75"/>
    <col customWidth="1" min="55" max="55" width="18.75"/>
  </cols>
  <sheetData>
    <row r="1" ht="22.5" customHeight="1">
      <c r="A1" s="109" t="s">
        <v>0</v>
      </c>
      <c r="B1" s="110" t="s">
        <v>405</v>
      </c>
      <c r="C1" s="111" t="s">
        <v>406</v>
      </c>
      <c r="D1" s="112" t="s">
        <v>3</v>
      </c>
      <c r="E1" s="112" t="s">
        <v>4</v>
      </c>
      <c r="F1" s="112" t="s">
        <v>8</v>
      </c>
      <c r="G1" s="30" t="s">
        <v>407</v>
      </c>
      <c r="H1" s="31"/>
      <c r="I1" s="31"/>
      <c r="J1" s="31"/>
      <c r="K1" s="31"/>
      <c r="L1" s="31"/>
      <c r="M1" s="31"/>
      <c r="N1" s="31"/>
      <c r="O1" s="31"/>
      <c r="P1" s="31"/>
      <c r="Q1" s="32"/>
      <c r="R1" s="33" t="s">
        <v>408</v>
      </c>
      <c r="S1" s="34"/>
      <c r="T1" s="34"/>
      <c r="U1" s="34"/>
      <c r="V1" s="34"/>
      <c r="W1" s="35"/>
      <c r="X1" s="36" t="s">
        <v>409</v>
      </c>
      <c r="Y1" s="33" t="s">
        <v>410</v>
      </c>
      <c r="Z1" s="34"/>
      <c r="AA1" s="34"/>
      <c r="AB1" s="34"/>
      <c r="AC1" s="34"/>
      <c r="AD1" s="34"/>
      <c r="AE1" s="35"/>
      <c r="AF1" s="37" t="s">
        <v>411</v>
      </c>
      <c r="AG1" s="38"/>
      <c r="AH1" s="38"/>
      <c r="AI1" s="38"/>
      <c r="AJ1" s="38"/>
      <c r="AK1" s="38"/>
      <c r="AL1" s="39"/>
      <c r="AM1" s="40" t="s">
        <v>412</v>
      </c>
      <c r="AN1" s="38"/>
      <c r="AO1" s="38"/>
      <c r="AP1" s="38"/>
      <c r="AQ1" s="38"/>
      <c r="AR1" s="38"/>
      <c r="AS1" s="39"/>
      <c r="AT1" s="37" t="s">
        <v>413</v>
      </c>
      <c r="AU1" s="38"/>
      <c r="AV1" s="39"/>
      <c r="AW1" s="37" t="s">
        <v>414</v>
      </c>
      <c r="AX1" s="38"/>
      <c r="AY1" s="39"/>
      <c r="AZ1" s="41" t="s">
        <v>415</v>
      </c>
      <c r="BA1" s="42"/>
      <c r="BB1" s="42"/>
      <c r="BC1" s="43"/>
    </row>
    <row r="2">
      <c r="A2" s="113"/>
      <c r="B2" s="25"/>
      <c r="C2" s="25"/>
      <c r="D2" s="7"/>
      <c r="E2" s="7"/>
      <c r="F2" s="7"/>
      <c r="G2" s="46" t="s">
        <v>416</v>
      </c>
      <c r="H2" s="47" t="s">
        <v>417</v>
      </c>
      <c r="I2" s="48" t="s">
        <v>418</v>
      </c>
      <c r="J2" s="48" t="s">
        <v>419</v>
      </c>
      <c r="K2" s="49" t="s">
        <v>420</v>
      </c>
      <c r="L2" s="45" t="s">
        <v>421</v>
      </c>
      <c r="M2" s="50" t="s">
        <v>601</v>
      </c>
      <c r="N2" s="51" t="s">
        <v>602</v>
      </c>
      <c r="O2" s="52" t="s">
        <v>424</v>
      </c>
      <c r="P2" s="53" t="s">
        <v>603</v>
      </c>
      <c r="Q2" s="114" t="s">
        <v>426</v>
      </c>
      <c r="R2" s="55" t="s">
        <v>427</v>
      </c>
      <c r="S2" s="52" t="s">
        <v>428</v>
      </c>
      <c r="T2" s="52" t="s">
        <v>429</v>
      </c>
      <c r="U2" s="56" t="s">
        <v>430</v>
      </c>
      <c r="V2" s="45" t="s">
        <v>431</v>
      </c>
      <c r="W2" s="57" t="s">
        <v>432</v>
      </c>
      <c r="X2" s="58" t="s">
        <v>433</v>
      </c>
      <c r="Y2" s="55" t="s">
        <v>434</v>
      </c>
      <c r="Z2" s="59" t="s">
        <v>435</v>
      </c>
      <c r="AA2" s="52" t="s">
        <v>436</v>
      </c>
      <c r="AB2" s="56" t="s">
        <v>437</v>
      </c>
      <c r="AC2" s="49" t="s">
        <v>438</v>
      </c>
      <c r="AD2" s="49" t="s">
        <v>439</v>
      </c>
      <c r="AE2" s="60" t="s">
        <v>440</v>
      </c>
      <c r="AF2" s="55" t="s">
        <v>441</v>
      </c>
      <c r="AG2" s="59" t="s">
        <v>442</v>
      </c>
      <c r="AH2" s="52" t="s">
        <v>443</v>
      </c>
      <c r="AI2" s="56" t="s">
        <v>444</v>
      </c>
      <c r="AJ2" s="45" t="s">
        <v>445</v>
      </c>
      <c r="AK2" s="45" t="s">
        <v>446</v>
      </c>
      <c r="AL2" s="61" t="s">
        <v>447</v>
      </c>
      <c r="AM2" s="55" t="s">
        <v>448</v>
      </c>
      <c r="AN2" s="52" t="s">
        <v>449</v>
      </c>
      <c r="AO2" s="52" t="s">
        <v>450</v>
      </c>
      <c r="AP2" s="56" t="s">
        <v>451</v>
      </c>
      <c r="AQ2" s="45" t="s">
        <v>452</v>
      </c>
      <c r="AR2" s="45" t="s">
        <v>453</v>
      </c>
      <c r="AS2" s="61" t="s">
        <v>454</v>
      </c>
      <c r="AT2" s="55" t="s">
        <v>455</v>
      </c>
      <c r="AU2" s="52" t="s">
        <v>456</v>
      </c>
      <c r="AV2" s="61" t="s">
        <v>457</v>
      </c>
      <c r="AW2" s="55" t="s">
        <v>458</v>
      </c>
      <c r="AX2" s="52" t="s">
        <v>459</v>
      </c>
      <c r="AY2" s="61" t="s">
        <v>460</v>
      </c>
      <c r="AZ2" s="62" t="s">
        <v>461</v>
      </c>
      <c r="BA2" s="63" t="s">
        <v>604</v>
      </c>
      <c r="BB2" s="64" t="s">
        <v>605</v>
      </c>
      <c r="BC2" s="65" t="s">
        <v>606</v>
      </c>
    </row>
    <row r="3" ht="15.75" customHeight="1">
      <c r="A3" s="8" t="s">
        <v>13</v>
      </c>
      <c r="B3" s="68" t="s">
        <v>14</v>
      </c>
      <c r="C3" s="68" t="s">
        <v>15</v>
      </c>
      <c r="D3" s="9" t="s">
        <v>22</v>
      </c>
      <c r="E3" s="9" t="s">
        <v>607</v>
      </c>
      <c r="F3" s="9" t="s">
        <v>26</v>
      </c>
      <c r="G3" s="75" t="s">
        <v>27</v>
      </c>
      <c r="H3" s="9">
        <v>5.0</v>
      </c>
      <c r="I3" s="9"/>
      <c r="J3" s="9"/>
      <c r="K3" s="9"/>
      <c r="L3" s="9">
        <v>25.0</v>
      </c>
      <c r="M3" s="9">
        <f t="shared" ref="M3:M58" si="1">if(P3&lt;500,0,P3/H3)</f>
        <v>0</v>
      </c>
      <c r="N3" s="9">
        <f t="shared" ref="N3:N58" si="2">4%*P3</f>
        <v>0</v>
      </c>
      <c r="O3" s="9">
        <v>1.0</v>
      </c>
      <c r="P3" s="11">
        <f>(I3*O3)+(J3*Q3)</f>
        <v>0</v>
      </c>
      <c r="Q3" s="69">
        <v>12.0</v>
      </c>
      <c r="R3" s="75">
        <v>11.0</v>
      </c>
      <c r="S3" s="9">
        <v>6.0</v>
      </c>
      <c r="T3" s="9">
        <v>700.0</v>
      </c>
      <c r="U3" s="9">
        <f t="shared" ref="U3:U58" si="3">S3*T3*Q3</f>
        <v>50400</v>
      </c>
      <c r="V3" s="9">
        <f t="shared" ref="V3:V58" si="4">S3*(1+R3%)</f>
        <v>6.66</v>
      </c>
      <c r="W3" s="11">
        <f t="shared" ref="W3:W58" si="5">V3*T3</f>
        <v>4662</v>
      </c>
      <c r="X3" s="72">
        <f t="shared" ref="X3:X58" si="6">(W3*Q3)-U3</f>
        <v>5544</v>
      </c>
      <c r="Y3" s="76">
        <v>0.0</v>
      </c>
      <c r="Z3" s="9">
        <v>400.0</v>
      </c>
      <c r="AA3" s="9">
        <v>1.6</v>
      </c>
      <c r="AB3" s="9">
        <f t="shared" ref="AB3:AB58" si="7">AA3*Z3</f>
        <v>640</v>
      </c>
      <c r="AC3" s="9">
        <f t="shared" ref="AC3:AC58" si="8">Z3*(1-Y3%)</f>
        <v>400</v>
      </c>
      <c r="AD3" s="9">
        <f t="shared" ref="AD3:AD58" si="9">AB3-(AC3*AA3)</f>
        <v>0</v>
      </c>
      <c r="AE3" s="73">
        <f t="shared" ref="AE3:AE58" si="10">AD3*Q3</f>
        <v>0</v>
      </c>
      <c r="AF3" s="75">
        <v>17.0</v>
      </c>
      <c r="AG3" s="9">
        <v>750.0</v>
      </c>
      <c r="AH3" s="74">
        <v>0.55</v>
      </c>
      <c r="AI3" s="9">
        <f t="shared" ref="AI3:AI58" si="11">AH3*AG3</f>
        <v>412.5</v>
      </c>
      <c r="AJ3" s="9">
        <f t="shared" ref="AJ3:AJ58" si="12">AG3*(1-AF3%)</f>
        <v>622.5</v>
      </c>
      <c r="AK3" s="9">
        <f t="shared" ref="AK3:AK58" si="13">AI3-(AJ3*AH3)</f>
        <v>70.125</v>
      </c>
      <c r="AL3" s="11">
        <f t="shared" ref="AL3:AL58" si="14">AK3*Q3</f>
        <v>841.5</v>
      </c>
      <c r="AM3" s="76">
        <v>0.0</v>
      </c>
      <c r="AN3" s="74">
        <v>1.8</v>
      </c>
      <c r="AO3" s="74">
        <v>25.0</v>
      </c>
      <c r="AP3" s="9">
        <f t="shared" ref="AP3:AP58" si="15">AO3*AN3</f>
        <v>45</v>
      </c>
      <c r="AQ3" s="9">
        <f t="shared" ref="AQ3:AQ58" si="16">AN3*(1-AM3%)</f>
        <v>1.8</v>
      </c>
      <c r="AR3" s="9">
        <f t="shared" ref="AR3:AR58" si="17">AP3-(AQ3*AO3)</f>
        <v>0</v>
      </c>
      <c r="AS3" s="11">
        <f t="shared" ref="AS3:AS58" si="18">AR3*Q3</f>
        <v>0</v>
      </c>
      <c r="AT3" s="76">
        <v>0.0</v>
      </c>
      <c r="AU3" s="74">
        <v>16000.0</v>
      </c>
      <c r="AV3" s="11">
        <f t="shared" ref="AV3:AV58" si="19">AU3-(AU3*(1-AT3%))</f>
        <v>0</v>
      </c>
      <c r="AW3" s="76">
        <v>0.0</v>
      </c>
      <c r="AX3" s="74">
        <v>5500.0</v>
      </c>
      <c r="AY3" s="11">
        <f t="shared" ref="AY3:AY58" si="20">AX3-(AX3*(1-AW3%))</f>
        <v>0</v>
      </c>
      <c r="AZ3" s="69">
        <f t="shared" ref="AZ3:AZ58" si="21">(AY3+AV3+AS3+AL3+AE3+X3)-(L3*O3)-M3-N3</f>
        <v>6360.5</v>
      </c>
      <c r="BA3" s="115" t="str">
        <f t="shared" ref="BA3:BA58" si="22">IF(P3&gt;0,AZ3/P3,"The DAT is free")</f>
        <v>The DAT is free</v>
      </c>
      <c r="BB3" s="69">
        <f t="shared" ref="BB3:BB58" si="23">if(AZ3&gt;0,P3/AZ3,"Payback period not applicable: the investment does not recover its cost under current conditions.")</f>
        <v>0</v>
      </c>
      <c r="BC3" s="11" t="str">
        <f t="shared" ref="BC3:BC58" si="24">IF(BB3&lt;6, "YES", "NO")</f>
        <v>YES</v>
      </c>
    </row>
    <row r="4" ht="15.75" customHeight="1">
      <c r="A4" s="12"/>
      <c r="B4" s="25" t="s">
        <v>14</v>
      </c>
      <c r="C4" s="25" t="s">
        <v>15</v>
      </c>
      <c r="D4" s="7" t="s">
        <v>29</v>
      </c>
      <c r="E4" s="7" t="s">
        <v>607</v>
      </c>
      <c r="F4" s="7" t="s">
        <v>26</v>
      </c>
      <c r="G4" s="84" t="s">
        <v>27</v>
      </c>
      <c r="H4" s="7">
        <v>5.0</v>
      </c>
      <c r="I4" s="7"/>
      <c r="J4" s="7"/>
      <c r="L4" s="7">
        <v>25.0</v>
      </c>
      <c r="M4" s="9">
        <f t="shared" si="1"/>
        <v>0</v>
      </c>
      <c r="N4" s="9">
        <f t="shared" si="2"/>
        <v>5</v>
      </c>
      <c r="O4" s="7">
        <v>1.0</v>
      </c>
      <c r="P4" s="14">
        <f t="shared" ref="P4:P58" si="25">(I4*O4)+(L4*O4*H4)+(J4*Q4)</f>
        <v>125</v>
      </c>
      <c r="Q4" s="79">
        <v>12.0</v>
      </c>
      <c r="R4" s="84">
        <v>11.0</v>
      </c>
      <c r="S4" s="7">
        <v>6.0</v>
      </c>
      <c r="T4" s="7">
        <v>700.0</v>
      </c>
      <c r="U4" s="7">
        <f t="shared" si="3"/>
        <v>50400</v>
      </c>
      <c r="V4" s="7">
        <f t="shared" si="4"/>
        <v>6.66</v>
      </c>
      <c r="W4" s="14">
        <f t="shared" si="5"/>
        <v>4662</v>
      </c>
      <c r="X4" s="94">
        <f t="shared" si="6"/>
        <v>5544</v>
      </c>
      <c r="Y4" s="82">
        <v>0.0</v>
      </c>
      <c r="Z4" s="7">
        <v>400.0</v>
      </c>
      <c r="AA4" s="7">
        <v>1.6</v>
      </c>
      <c r="AB4" s="7">
        <f t="shared" si="7"/>
        <v>640</v>
      </c>
      <c r="AC4" s="7">
        <f t="shared" si="8"/>
        <v>400</v>
      </c>
      <c r="AD4" s="7">
        <f t="shared" si="9"/>
        <v>0</v>
      </c>
      <c r="AE4" s="83">
        <f t="shared" si="10"/>
        <v>0</v>
      </c>
      <c r="AF4" s="84">
        <v>17.0</v>
      </c>
      <c r="AG4" s="7">
        <v>750.0</v>
      </c>
      <c r="AH4" s="78">
        <v>0.55</v>
      </c>
      <c r="AI4" s="7">
        <f t="shared" si="11"/>
        <v>412.5</v>
      </c>
      <c r="AJ4" s="7">
        <f t="shared" si="12"/>
        <v>622.5</v>
      </c>
      <c r="AK4" s="7">
        <f t="shared" si="13"/>
        <v>70.125</v>
      </c>
      <c r="AL4" s="14">
        <f t="shared" si="14"/>
        <v>841.5</v>
      </c>
      <c r="AM4" s="82">
        <v>0.0</v>
      </c>
      <c r="AN4" s="78">
        <v>1.8</v>
      </c>
      <c r="AO4" s="78">
        <v>25.0</v>
      </c>
      <c r="AP4" s="7">
        <f t="shared" si="15"/>
        <v>45</v>
      </c>
      <c r="AQ4" s="7">
        <f t="shared" si="16"/>
        <v>1.8</v>
      </c>
      <c r="AR4" s="7">
        <f t="shared" si="17"/>
        <v>0</v>
      </c>
      <c r="AS4" s="14">
        <f t="shared" si="18"/>
        <v>0</v>
      </c>
      <c r="AT4" s="82">
        <v>0.0</v>
      </c>
      <c r="AU4" s="78">
        <v>16000.0</v>
      </c>
      <c r="AV4" s="14">
        <f t="shared" si="19"/>
        <v>0</v>
      </c>
      <c r="AW4" s="82">
        <v>0.0</v>
      </c>
      <c r="AX4" s="78">
        <v>5500.0</v>
      </c>
      <c r="AY4" s="14">
        <f t="shared" si="20"/>
        <v>0</v>
      </c>
      <c r="AZ4" s="69">
        <f t="shared" si="21"/>
        <v>6355.5</v>
      </c>
      <c r="BA4" s="115">
        <f t="shared" si="22"/>
        <v>50.844</v>
      </c>
      <c r="BB4" s="69">
        <f t="shared" si="23"/>
        <v>0.01966800409</v>
      </c>
      <c r="BC4" s="11" t="str">
        <f t="shared" si="24"/>
        <v>YES</v>
      </c>
    </row>
    <row r="5" ht="15.75" customHeight="1">
      <c r="A5" s="12"/>
      <c r="B5" s="25" t="s">
        <v>14</v>
      </c>
      <c r="C5" s="25" t="s">
        <v>15</v>
      </c>
      <c r="D5" s="7" t="s">
        <v>85</v>
      </c>
      <c r="E5" s="7" t="s">
        <v>86</v>
      </c>
      <c r="F5" s="7" t="s">
        <v>89</v>
      </c>
      <c r="G5" s="84" t="s">
        <v>472</v>
      </c>
      <c r="H5" s="7">
        <v>5.0</v>
      </c>
      <c r="I5" s="7">
        <v>200.0</v>
      </c>
      <c r="J5" s="7"/>
      <c r="K5" s="78"/>
      <c r="L5" s="7"/>
      <c r="M5" s="9">
        <f t="shared" si="1"/>
        <v>0</v>
      </c>
      <c r="N5" s="9">
        <f t="shared" si="2"/>
        <v>8</v>
      </c>
      <c r="O5" s="7">
        <v>1.0</v>
      </c>
      <c r="P5" s="14">
        <f t="shared" si="25"/>
        <v>200</v>
      </c>
      <c r="Q5" s="79">
        <v>12.0</v>
      </c>
      <c r="R5" s="84">
        <v>11.0</v>
      </c>
      <c r="S5" s="7">
        <v>6.0</v>
      </c>
      <c r="T5" s="7">
        <v>700.0</v>
      </c>
      <c r="U5" s="7">
        <f t="shared" si="3"/>
        <v>50400</v>
      </c>
      <c r="V5" s="7">
        <f t="shared" si="4"/>
        <v>6.66</v>
      </c>
      <c r="W5" s="14">
        <f t="shared" si="5"/>
        <v>4662</v>
      </c>
      <c r="X5" s="94">
        <f t="shared" si="6"/>
        <v>5544</v>
      </c>
      <c r="Y5" s="82">
        <v>0.0</v>
      </c>
      <c r="Z5" s="7">
        <v>400.0</v>
      </c>
      <c r="AA5" s="7">
        <v>1.6</v>
      </c>
      <c r="AB5" s="7">
        <f t="shared" si="7"/>
        <v>640</v>
      </c>
      <c r="AC5" s="7">
        <f t="shared" si="8"/>
        <v>400</v>
      </c>
      <c r="AD5" s="7">
        <f t="shared" si="9"/>
        <v>0</v>
      </c>
      <c r="AE5" s="83">
        <f t="shared" si="10"/>
        <v>0</v>
      </c>
      <c r="AF5" s="84">
        <v>17.0</v>
      </c>
      <c r="AG5" s="7">
        <v>750.0</v>
      </c>
      <c r="AH5" s="78">
        <v>0.55</v>
      </c>
      <c r="AI5" s="7">
        <f t="shared" si="11"/>
        <v>412.5</v>
      </c>
      <c r="AJ5" s="7">
        <f t="shared" si="12"/>
        <v>622.5</v>
      </c>
      <c r="AK5" s="7">
        <f t="shared" si="13"/>
        <v>70.125</v>
      </c>
      <c r="AL5" s="14">
        <f t="shared" si="14"/>
        <v>841.5</v>
      </c>
      <c r="AM5" s="82">
        <v>0.0</v>
      </c>
      <c r="AN5" s="78">
        <v>1.8</v>
      </c>
      <c r="AO5" s="78">
        <v>25.0</v>
      </c>
      <c r="AP5" s="7">
        <f t="shared" si="15"/>
        <v>45</v>
      </c>
      <c r="AQ5" s="7">
        <f t="shared" si="16"/>
        <v>1.8</v>
      </c>
      <c r="AR5" s="7">
        <f t="shared" si="17"/>
        <v>0</v>
      </c>
      <c r="AS5" s="14">
        <f t="shared" si="18"/>
        <v>0</v>
      </c>
      <c r="AT5" s="82">
        <v>0.0</v>
      </c>
      <c r="AU5" s="78">
        <v>16000.0</v>
      </c>
      <c r="AV5" s="14">
        <f t="shared" si="19"/>
        <v>0</v>
      </c>
      <c r="AW5" s="82">
        <v>0.0</v>
      </c>
      <c r="AX5" s="78">
        <v>5500.0</v>
      </c>
      <c r="AY5" s="14">
        <f t="shared" si="20"/>
        <v>0</v>
      </c>
      <c r="AZ5" s="69">
        <f t="shared" si="21"/>
        <v>6377.5</v>
      </c>
      <c r="BA5" s="115">
        <f t="shared" si="22"/>
        <v>31.8875</v>
      </c>
      <c r="BB5" s="69">
        <f t="shared" si="23"/>
        <v>0.03136025088</v>
      </c>
      <c r="BC5" s="11" t="str">
        <f t="shared" si="24"/>
        <v>YES</v>
      </c>
    </row>
    <row r="6" ht="15.75" customHeight="1">
      <c r="A6" s="12"/>
      <c r="B6" s="25" t="s">
        <v>14</v>
      </c>
      <c r="C6" s="25" t="s">
        <v>608</v>
      </c>
      <c r="D6" s="7" t="s">
        <v>130</v>
      </c>
      <c r="E6" s="7" t="s">
        <v>130</v>
      </c>
      <c r="F6" s="7" t="s">
        <v>51</v>
      </c>
      <c r="G6" s="84" t="s">
        <v>494</v>
      </c>
      <c r="H6" s="7">
        <v>5.0</v>
      </c>
      <c r="I6" s="7"/>
      <c r="J6" s="7"/>
      <c r="L6" s="7">
        <v>500.0</v>
      </c>
      <c r="M6" s="9">
        <f t="shared" si="1"/>
        <v>500</v>
      </c>
      <c r="N6" s="9">
        <f t="shared" si="2"/>
        <v>100</v>
      </c>
      <c r="O6" s="7">
        <v>1.0</v>
      </c>
      <c r="P6" s="14">
        <f t="shared" si="25"/>
        <v>2500</v>
      </c>
      <c r="Q6" s="79">
        <v>12.0</v>
      </c>
      <c r="R6" s="84">
        <v>11.0</v>
      </c>
      <c r="S6" s="7">
        <v>6.0</v>
      </c>
      <c r="T6" s="7">
        <v>700.0</v>
      </c>
      <c r="U6" s="7">
        <f t="shared" si="3"/>
        <v>50400</v>
      </c>
      <c r="V6" s="7">
        <f t="shared" si="4"/>
        <v>6.66</v>
      </c>
      <c r="W6" s="14">
        <f t="shared" si="5"/>
        <v>4662</v>
      </c>
      <c r="X6" s="94">
        <f t="shared" si="6"/>
        <v>5544</v>
      </c>
      <c r="Y6" s="82">
        <v>0.0</v>
      </c>
      <c r="Z6" s="7">
        <v>400.0</v>
      </c>
      <c r="AA6" s="7">
        <v>1.6</v>
      </c>
      <c r="AB6" s="7">
        <f t="shared" si="7"/>
        <v>640</v>
      </c>
      <c r="AC6" s="7">
        <f t="shared" si="8"/>
        <v>400</v>
      </c>
      <c r="AD6" s="7">
        <f t="shared" si="9"/>
        <v>0</v>
      </c>
      <c r="AE6" s="83">
        <f t="shared" si="10"/>
        <v>0</v>
      </c>
      <c r="AF6" s="84">
        <v>17.0</v>
      </c>
      <c r="AG6" s="7">
        <v>750.0</v>
      </c>
      <c r="AH6" s="78">
        <v>0.55</v>
      </c>
      <c r="AI6" s="7">
        <f t="shared" si="11"/>
        <v>412.5</v>
      </c>
      <c r="AJ6" s="7">
        <f t="shared" si="12"/>
        <v>622.5</v>
      </c>
      <c r="AK6" s="7">
        <f t="shared" si="13"/>
        <v>70.125</v>
      </c>
      <c r="AL6" s="14">
        <f t="shared" si="14"/>
        <v>841.5</v>
      </c>
      <c r="AM6" s="84">
        <v>35.0</v>
      </c>
      <c r="AN6" s="78">
        <v>1.8</v>
      </c>
      <c r="AO6" s="78">
        <v>25.0</v>
      </c>
      <c r="AP6" s="7">
        <f t="shared" si="15"/>
        <v>45</v>
      </c>
      <c r="AQ6" s="7">
        <f t="shared" si="16"/>
        <v>1.17</v>
      </c>
      <c r="AR6" s="7">
        <f t="shared" si="17"/>
        <v>15.75</v>
      </c>
      <c r="AS6" s="14">
        <f t="shared" si="18"/>
        <v>189</v>
      </c>
      <c r="AT6" s="82">
        <v>0.0</v>
      </c>
      <c r="AU6" s="78">
        <v>16000.0</v>
      </c>
      <c r="AV6" s="14">
        <f t="shared" si="19"/>
        <v>0</v>
      </c>
      <c r="AW6" s="82">
        <v>0.0</v>
      </c>
      <c r="AX6" s="78">
        <v>5500.0</v>
      </c>
      <c r="AY6" s="14">
        <f t="shared" si="20"/>
        <v>0</v>
      </c>
      <c r="AZ6" s="69">
        <f t="shared" si="21"/>
        <v>5474.5</v>
      </c>
      <c r="BA6" s="115">
        <f t="shared" si="22"/>
        <v>2.1898</v>
      </c>
      <c r="BB6" s="69">
        <f t="shared" si="23"/>
        <v>0.4566627089</v>
      </c>
      <c r="BC6" s="11" t="str">
        <f t="shared" si="24"/>
        <v>YES</v>
      </c>
    </row>
    <row r="7" ht="15.75" customHeight="1">
      <c r="A7" s="12"/>
      <c r="B7" s="25" t="s">
        <v>36</v>
      </c>
      <c r="C7" s="25" t="s">
        <v>91</v>
      </c>
      <c r="D7" s="7" t="s">
        <v>46</v>
      </c>
      <c r="E7" s="7" t="s">
        <v>47</v>
      </c>
      <c r="F7" s="7" t="s">
        <v>51</v>
      </c>
      <c r="G7" s="84" t="s">
        <v>52</v>
      </c>
      <c r="H7" s="7">
        <v>5.0</v>
      </c>
      <c r="I7" s="7">
        <v>4900.0</v>
      </c>
      <c r="J7" s="7"/>
      <c r="K7" s="7">
        <v>150.0</v>
      </c>
      <c r="L7" s="7">
        <f>K7*12</f>
        <v>1800</v>
      </c>
      <c r="M7" s="9">
        <f t="shared" si="1"/>
        <v>2780</v>
      </c>
      <c r="N7" s="9">
        <f t="shared" si="2"/>
        <v>556</v>
      </c>
      <c r="O7" s="7">
        <v>1.0</v>
      </c>
      <c r="P7" s="14">
        <f t="shared" si="25"/>
        <v>13900</v>
      </c>
      <c r="Q7" s="79">
        <v>12.0</v>
      </c>
      <c r="R7" s="84">
        <v>11.0</v>
      </c>
      <c r="S7" s="7">
        <v>6.0</v>
      </c>
      <c r="T7" s="7">
        <v>700.0</v>
      </c>
      <c r="U7" s="7">
        <f t="shared" si="3"/>
        <v>50400</v>
      </c>
      <c r="V7" s="7">
        <f t="shared" si="4"/>
        <v>6.66</v>
      </c>
      <c r="W7" s="14">
        <f t="shared" si="5"/>
        <v>4662</v>
      </c>
      <c r="X7" s="94">
        <f t="shared" si="6"/>
        <v>5544</v>
      </c>
      <c r="Y7" s="82">
        <v>0.0</v>
      </c>
      <c r="Z7" s="7">
        <v>400.0</v>
      </c>
      <c r="AA7" s="7">
        <v>1.6</v>
      </c>
      <c r="AB7" s="7">
        <f t="shared" si="7"/>
        <v>640</v>
      </c>
      <c r="AC7" s="7">
        <f t="shared" si="8"/>
        <v>400</v>
      </c>
      <c r="AD7" s="7">
        <f t="shared" si="9"/>
        <v>0</v>
      </c>
      <c r="AE7" s="83">
        <f t="shared" si="10"/>
        <v>0</v>
      </c>
      <c r="AF7" s="82">
        <v>0.0</v>
      </c>
      <c r="AG7" s="7">
        <v>750.0</v>
      </c>
      <c r="AH7" s="78">
        <v>0.55</v>
      </c>
      <c r="AI7" s="7">
        <f t="shared" si="11"/>
        <v>412.5</v>
      </c>
      <c r="AJ7" s="7">
        <f t="shared" si="12"/>
        <v>750</v>
      </c>
      <c r="AK7" s="7">
        <f t="shared" si="13"/>
        <v>0</v>
      </c>
      <c r="AL7" s="14">
        <f t="shared" si="14"/>
        <v>0</v>
      </c>
      <c r="AM7" s="84">
        <v>35.0</v>
      </c>
      <c r="AN7" s="78">
        <v>1.8</v>
      </c>
      <c r="AO7" s="78">
        <v>25.0</v>
      </c>
      <c r="AP7" s="7">
        <f t="shared" si="15"/>
        <v>45</v>
      </c>
      <c r="AQ7" s="7">
        <f t="shared" si="16"/>
        <v>1.17</v>
      </c>
      <c r="AR7" s="7">
        <f t="shared" si="17"/>
        <v>15.75</v>
      </c>
      <c r="AS7" s="14">
        <f t="shared" si="18"/>
        <v>189</v>
      </c>
      <c r="AT7" s="82">
        <v>0.0</v>
      </c>
      <c r="AU7" s="78">
        <v>16000.0</v>
      </c>
      <c r="AV7" s="14">
        <f t="shared" si="19"/>
        <v>0</v>
      </c>
      <c r="AW7" s="82">
        <v>0.0</v>
      </c>
      <c r="AX7" s="78">
        <v>5500.0</v>
      </c>
      <c r="AY7" s="14">
        <f t="shared" si="20"/>
        <v>0</v>
      </c>
      <c r="AZ7" s="69">
        <f t="shared" si="21"/>
        <v>597</v>
      </c>
      <c r="BA7" s="115">
        <f t="shared" si="22"/>
        <v>0.04294964029</v>
      </c>
      <c r="BB7" s="69">
        <f t="shared" si="23"/>
        <v>23.28308208</v>
      </c>
      <c r="BC7" s="11" t="str">
        <f t="shared" si="24"/>
        <v>NO</v>
      </c>
    </row>
    <row r="8" ht="15.75" customHeight="1">
      <c r="A8" s="12"/>
      <c r="B8" s="25" t="s">
        <v>36</v>
      </c>
      <c r="C8" s="25" t="s">
        <v>91</v>
      </c>
      <c r="D8" s="7" t="s">
        <v>53</v>
      </c>
      <c r="E8" s="7" t="s">
        <v>54</v>
      </c>
      <c r="F8" s="7" t="s">
        <v>51</v>
      </c>
      <c r="G8" s="84" t="s">
        <v>485</v>
      </c>
      <c r="H8" s="7">
        <v>5.0</v>
      </c>
      <c r="I8" s="7"/>
      <c r="J8" s="7"/>
      <c r="L8" s="7">
        <v>30.0</v>
      </c>
      <c r="M8" s="9">
        <f t="shared" si="1"/>
        <v>0</v>
      </c>
      <c r="N8" s="9">
        <f t="shared" si="2"/>
        <v>6</v>
      </c>
      <c r="O8" s="7">
        <v>1.0</v>
      </c>
      <c r="P8" s="14">
        <f t="shared" si="25"/>
        <v>150</v>
      </c>
      <c r="Q8" s="79">
        <v>12.0</v>
      </c>
      <c r="R8" s="84">
        <v>11.0</v>
      </c>
      <c r="S8" s="7">
        <v>6.0</v>
      </c>
      <c r="T8" s="7">
        <v>700.0</v>
      </c>
      <c r="U8" s="7">
        <f t="shared" si="3"/>
        <v>50400</v>
      </c>
      <c r="V8" s="7">
        <f t="shared" si="4"/>
        <v>6.66</v>
      </c>
      <c r="W8" s="14">
        <f t="shared" si="5"/>
        <v>4662</v>
      </c>
      <c r="X8" s="94">
        <f t="shared" si="6"/>
        <v>5544</v>
      </c>
      <c r="Y8" s="82">
        <v>0.0</v>
      </c>
      <c r="Z8" s="7">
        <v>400.0</v>
      </c>
      <c r="AA8" s="7">
        <v>1.6</v>
      </c>
      <c r="AB8" s="7">
        <f t="shared" si="7"/>
        <v>640</v>
      </c>
      <c r="AC8" s="7">
        <f t="shared" si="8"/>
        <v>400</v>
      </c>
      <c r="AD8" s="7">
        <f t="shared" si="9"/>
        <v>0</v>
      </c>
      <c r="AE8" s="83">
        <f t="shared" si="10"/>
        <v>0</v>
      </c>
      <c r="AF8" s="82">
        <v>0.0</v>
      </c>
      <c r="AG8" s="7">
        <v>750.0</v>
      </c>
      <c r="AH8" s="78">
        <v>0.55</v>
      </c>
      <c r="AI8" s="7">
        <f t="shared" si="11"/>
        <v>412.5</v>
      </c>
      <c r="AJ8" s="7">
        <f t="shared" si="12"/>
        <v>750</v>
      </c>
      <c r="AK8" s="7">
        <f t="shared" si="13"/>
        <v>0</v>
      </c>
      <c r="AL8" s="14">
        <f t="shared" si="14"/>
        <v>0</v>
      </c>
      <c r="AM8" s="84">
        <v>35.0</v>
      </c>
      <c r="AN8" s="78">
        <v>1.8</v>
      </c>
      <c r="AO8" s="78">
        <v>25.0</v>
      </c>
      <c r="AP8" s="7">
        <f t="shared" si="15"/>
        <v>45</v>
      </c>
      <c r="AQ8" s="7">
        <f t="shared" si="16"/>
        <v>1.17</v>
      </c>
      <c r="AR8" s="7">
        <f t="shared" si="17"/>
        <v>15.75</v>
      </c>
      <c r="AS8" s="14">
        <f t="shared" si="18"/>
        <v>189</v>
      </c>
      <c r="AT8" s="82">
        <v>0.0</v>
      </c>
      <c r="AU8" s="78">
        <v>16000.0</v>
      </c>
      <c r="AV8" s="14">
        <f t="shared" si="19"/>
        <v>0</v>
      </c>
      <c r="AW8" s="82">
        <v>0.0</v>
      </c>
      <c r="AX8" s="78">
        <v>5500.0</v>
      </c>
      <c r="AY8" s="14">
        <f t="shared" si="20"/>
        <v>0</v>
      </c>
      <c r="AZ8" s="69">
        <f t="shared" si="21"/>
        <v>5697</v>
      </c>
      <c r="BA8" s="115">
        <f t="shared" si="22"/>
        <v>37.98</v>
      </c>
      <c r="BB8" s="69">
        <f t="shared" si="23"/>
        <v>0.02632964718</v>
      </c>
      <c r="BC8" s="11" t="str">
        <f t="shared" si="24"/>
        <v>YES</v>
      </c>
    </row>
    <row r="9" ht="15.75" customHeight="1">
      <c r="A9" s="12"/>
      <c r="B9" s="25" t="s">
        <v>36</v>
      </c>
      <c r="C9" s="25" t="s">
        <v>91</v>
      </c>
      <c r="D9" s="7" t="s">
        <v>486</v>
      </c>
      <c r="E9" s="7" t="s">
        <v>60</v>
      </c>
      <c r="F9" s="7" t="s">
        <v>51</v>
      </c>
      <c r="G9" s="84" t="s">
        <v>487</v>
      </c>
      <c r="H9" s="7">
        <v>5.0</v>
      </c>
      <c r="I9" s="7"/>
      <c r="J9" s="7"/>
      <c r="L9" s="7">
        <v>250.0</v>
      </c>
      <c r="M9" s="9">
        <f t="shared" si="1"/>
        <v>250</v>
      </c>
      <c r="N9" s="9">
        <f t="shared" si="2"/>
        <v>50</v>
      </c>
      <c r="O9" s="7">
        <v>1.0</v>
      </c>
      <c r="P9" s="14">
        <f t="shared" si="25"/>
        <v>1250</v>
      </c>
      <c r="Q9" s="79">
        <v>12.0</v>
      </c>
      <c r="R9" s="84">
        <v>11.0</v>
      </c>
      <c r="S9" s="7">
        <v>6.0</v>
      </c>
      <c r="T9" s="7">
        <v>700.0</v>
      </c>
      <c r="U9" s="7">
        <f t="shared" si="3"/>
        <v>50400</v>
      </c>
      <c r="V9" s="7">
        <f t="shared" si="4"/>
        <v>6.66</v>
      </c>
      <c r="W9" s="14">
        <f t="shared" si="5"/>
        <v>4662</v>
      </c>
      <c r="X9" s="94">
        <f t="shared" si="6"/>
        <v>5544</v>
      </c>
      <c r="Y9" s="82">
        <v>0.0</v>
      </c>
      <c r="Z9" s="7">
        <v>400.0</v>
      </c>
      <c r="AA9" s="7">
        <v>1.6</v>
      </c>
      <c r="AB9" s="7">
        <f t="shared" si="7"/>
        <v>640</v>
      </c>
      <c r="AC9" s="7">
        <f t="shared" si="8"/>
        <v>400</v>
      </c>
      <c r="AD9" s="7">
        <f t="shared" si="9"/>
        <v>0</v>
      </c>
      <c r="AE9" s="83">
        <f t="shared" si="10"/>
        <v>0</v>
      </c>
      <c r="AF9" s="82">
        <v>0.0</v>
      </c>
      <c r="AG9" s="7">
        <v>750.0</v>
      </c>
      <c r="AH9" s="78">
        <v>0.55</v>
      </c>
      <c r="AI9" s="7">
        <f t="shared" si="11"/>
        <v>412.5</v>
      </c>
      <c r="AJ9" s="7">
        <f t="shared" si="12"/>
        <v>750</v>
      </c>
      <c r="AK9" s="7">
        <f t="shared" si="13"/>
        <v>0</v>
      </c>
      <c r="AL9" s="14">
        <f t="shared" si="14"/>
        <v>0</v>
      </c>
      <c r="AM9" s="84">
        <v>35.0</v>
      </c>
      <c r="AN9" s="78">
        <v>1.8</v>
      </c>
      <c r="AO9" s="78">
        <v>25.0</v>
      </c>
      <c r="AP9" s="7">
        <f t="shared" si="15"/>
        <v>45</v>
      </c>
      <c r="AQ9" s="7">
        <f t="shared" si="16"/>
        <v>1.17</v>
      </c>
      <c r="AR9" s="7">
        <f t="shared" si="17"/>
        <v>15.75</v>
      </c>
      <c r="AS9" s="14">
        <f t="shared" si="18"/>
        <v>189</v>
      </c>
      <c r="AT9" s="82">
        <v>0.0</v>
      </c>
      <c r="AU9" s="78">
        <v>16000.0</v>
      </c>
      <c r="AV9" s="14">
        <f t="shared" si="19"/>
        <v>0</v>
      </c>
      <c r="AW9" s="82">
        <v>0.0</v>
      </c>
      <c r="AX9" s="78">
        <v>5500.0</v>
      </c>
      <c r="AY9" s="14">
        <f t="shared" si="20"/>
        <v>0</v>
      </c>
      <c r="AZ9" s="69">
        <f t="shared" si="21"/>
        <v>5183</v>
      </c>
      <c r="BA9" s="115">
        <f t="shared" si="22"/>
        <v>4.1464</v>
      </c>
      <c r="BB9" s="69">
        <f t="shared" si="23"/>
        <v>0.2411730658</v>
      </c>
      <c r="BC9" s="11" t="str">
        <f t="shared" si="24"/>
        <v>YES</v>
      </c>
    </row>
    <row r="10" ht="15.75" customHeight="1">
      <c r="A10" s="12"/>
      <c r="B10" s="25" t="s">
        <v>36</v>
      </c>
      <c r="C10" s="25" t="s">
        <v>91</v>
      </c>
      <c r="D10" s="7" t="s">
        <v>488</v>
      </c>
      <c r="E10" s="7"/>
      <c r="F10" s="7" t="s">
        <v>489</v>
      </c>
      <c r="G10" s="84" t="s">
        <v>490</v>
      </c>
      <c r="H10" s="7">
        <v>5.0</v>
      </c>
      <c r="I10" s="7"/>
      <c r="J10" s="7"/>
      <c r="L10" s="7">
        <v>950.0</v>
      </c>
      <c r="M10" s="9">
        <f t="shared" si="1"/>
        <v>950</v>
      </c>
      <c r="N10" s="9">
        <f t="shared" si="2"/>
        <v>190</v>
      </c>
      <c r="O10" s="7">
        <v>1.0</v>
      </c>
      <c r="P10" s="14">
        <f t="shared" si="25"/>
        <v>4750</v>
      </c>
      <c r="Q10" s="79">
        <v>12.0</v>
      </c>
      <c r="R10" s="84">
        <v>11.0</v>
      </c>
      <c r="S10" s="7">
        <v>6.0</v>
      </c>
      <c r="T10" s="7">
        <v>700.0</v>
      </c>
      <c r="U10" s="7">
        <f t="shared" si="3"/>
        <v>50400</v>
      </c>
      <c r="V10" s="7">
        <f t="shared" si="4"/>
        <v>6.66</v>
      </c>
      <c r="W10" s="14">
        <f t="shared" si="5"/>
        <v>4662</v>
      </c>
      <c r="X10" s="94">
        <f t="shared" si="6"/>
        <v>5544</v>
      </c>
      <c r="Y10" s="82">
        <v>0.0</v>
      </c>
      <c r="Z10" s="7">
        <v>400.0</v>
      </c>
      <c r="AA10" s="7">
        <v>1.6</v>
      </c>
      <c r="AB10" s="7">
        <f t="shared" si="7"/>
        <v>640</v>
      </c>
      <c r="AC10" s="7">
        <f t="shared" si="8"/>
        <v>400</v>
      </c>
      <c r="AD10" s="7">
        <f t="shared" si="9"/>
        <v>0</v>
      </c>
      <c r="AE10" s="83">
        <f t="shared" si="10"/>
        <v>0</v>
      </c>
      <c r="AF10" s="82">
        <v>0.0</v>
      </c>
      <c r="AG10" s="7">
        <v>750.0</v>
      </c>
      <c r="AH10" s="78">
        <v>0.55</v>
      </c>
      <c r="AI10" s="7">
        <f t="shared" si="11"/>
        <v>412.5</v>
      </c>
      <c r="AJ10" s="7">
        <f t="shared" si="12"/>
        <v>750</v>
      </c>
      <c r="AK10" s="7">
        <f t="shared" si="13"/>
        <v>0</v>
      </c>
      <c r="AL10" s="14">
        <f t="shared" si="14"/>
        <v>0</v>
      </c>
      <c r="AM10" s="84">
        <v>35.0</v>
      </c>
      <c r="AN10" s="78">
        <v>1.8</v>
      </c>
      <c r="AO10" s="78">
        <v>25.0</v>
      </c>
      <c r="AP10" s="7">
        <f t="shared" si="15"/>
        <v>45</v>
      </c>
      <c r="AQ10" s="7">
        <f t="shared" si="16"/>
        <v>1.17</v>
      </c>
      <c r="AR10" s="7">
        <f t="shared" si="17"/>
        <v>15.75</v>
      </c>
      <c r="AS10" s="14">
        <f t="shared" si="18"/>
        <v>189</v>
      </c>
      <c r="AT10" s="82">
        <v>0.0</v>
      </c>
      <c r="AU10" s="78">
        <v>16000.0</v>
      </c>
      <c r="AV10" s="14">
        <f t="shared" si="19"/>
        <v>0</v>
      </c>
      <c r="AW10" s="82">
        <v>0.0</v>
      </c>
      <c r="AX10" s="78">
        <v>5500.0</v>
      </c>
      <c r="AY10" s="14">
        <f t="shared" si="20"/>
        <v>0</v>
      </c>
      <c r="AZ10" s="69">
        <f t="shared" si="21"/>
        <v>3643</v>
      </c>
      <c r="BA10" s="115">
        <f t="shared" si="22"/>
        <v>0.7669473684</v>
      </c>
      <c r="BB10" s="69">
        <f t="shared" si="23"/>
        <v>1.303870436</v>
      </c>
      <c r="BC10" s="11" t="str">
        <f t="shared" si="24"/>
        <v>YES</v>
      </c>
    </row>
    <row r="11" ht="15.75" customHeight="1">
      <c r="A11" s="12"/>
      <c r="B11" s="25" t="s">
        <v>36</v>
      </c>
      <c r="C11" s="25" t="s">
        <v>91</v>
      </c>
      <c r="D11" s="7" t="s">
        <v>491</v>
      </c>
      <c r="E11" s="7" t="s">
        <v>72</v>
      </c>
      <c r="F11" s="7" t="s">
        <v>51</v>
      </c>
      <c r="G11" s="84" t="s">
        <v>492</v>
      </c>
      <c r="H11" s="7">
        <v>5.0</v>
      </c>
      <c r="I11" s="7"/>
      <c r="J11" s="7"/>
      <c r="L11" s="7">
        <v>60.0</v>
      </c>
      <c r="M11" s="9">
        <f t="shared" si="1"/>
        <v>0</v>
      </c>
      <c r="N11" s="9">
        <f t="shared" si="2"/>
        <v>12</v>
      </c>
      <c r="O11" s="7">
        <v>1.0</v>
      </c>
      <c r="P11" s="14">
        <f t="shared" si="25"/>
        <v>300</v>
      </c>
      <c r="Q11" s="79">
        <v>12.0</v>
      </c>
      <c r="R11" s="84">
        <v>11.0</v>
      </c>
      <c r="S11" s="7">
        <v>6.0</v>
      </c>
      <c r="T11" s="7">
        <v>700.0</v>
      </c>
      <c r="U11" s="7">
        <f t="shared" si="3"/>
        <v>50400</v>
      </c>
      <c r="V11" s="7">
        <f t="shared" si="4"/>
        <v>6.66</v>
      </c>
      <c r="W11" s="14">
        <f t="shared" si="5"/>
        <v>4662</v>
      </c>
      <c r="X11" s="94">
        <f t="shared" si="6"/>
        <v>5544</v>
      </c>
      <c r="Y11" s="82">
        <v>0.0</v>
      </c>
      <c r="Z11" s="7">
        <v>400.0</v>
      </c>
      <c r="AA11" s="7">
        <v>1.6</v>
      </c>
      <c r="AB11" s="7">
        <f t="shared" si="7"/>
        <v>640</v>
      </c>
      <c r="AC11" s="7">
        <f t="shared" si="8"/>
        <v>400</v>
      </c>
      <c r="AD11" s="7">
        <f t="shared" si="9"/>
        <v>0</v>
      </c>
      <c r="AE11" s="83">
        <f t="shared" si="10"/>
        <v>0</v>
      </c>
      <c r="AF11" s="82">
        <v>0.0</v>
      </c>
      <c r="AG11" s="7">
        <v>750.0</v>
      </c>
      <c r="AH11" s="78">
        <v>0.55</v>
      </c>
      <c r="AI11" s="7">
        <f t="shared" si="11"/>
        <v>412.5</v>
      </c>
      <c r="AJ11" s="7">
        <f t="shared" si="12"/>
        <v>750</v>
      </c>
      <c r="AK11" s="7">
        <f t="shared" si="13"/>
        <v>0</v>
      </c>
      <c r="AL11" s="14">
        <f t="shared" si="14"/>
        <v>0</v>
      </c>
      <c r="AM11" s="84">
        <v>35.0</v>
      </c>
      <c r="AN11" s="78">
        <v>1.8</v>
      </c>
      <c r="AO11" s="78">
        <v>25.0</v>
      </c>
      <c r="AP11" s="7">
        <f t="shared" si="15"/>
        <v>45</v>
      </c>
      <c r="AQ11" s="7">
        <f t="shared" si="16"/>
        <v>1.17</v>
      </c>
      <c r="AR11" s="7">
        <f t="shared" si="17"/>
        <v>15.75</v>
      </c>
      <c r="AS11" s="14">
        <f t="shared" si="18"/>
        <v>189</v>
      </c>
      <c r="AT11" s="82">
        <v>0.0</v>
      </c>
      <c r="AU11" s="78">
        <v>16000.0</v>
      </c>
      <c r="AV11" s="14">
        <f t="shared" si="19"/>
        <v>0</v>
      </c>
      <c r="AW11" s="82">
        <v>0.0</v>
      </c>
      <c r="AX11" s="78">
        <v>5500.0</v>
      </c>
      <c r="AY11" s="14">
        <f t="shared" si="20"/>
        <v>0</v>
      </c>
      <c r="AZ11" s="69">
        <f t="shared" si="21"/>
        <v>5661</v>
      </c>
      <c r="BA11" s="115">
        <f t="shared" si="22"/>
        <v>18.87</v>
      </c>
      <c r="BB11" s="69">
        <f t="shared" si="23"/>
        <v>0.05299417064</v>
      </c>
      <c r="BC11" s="11" t="str">
        <f t="shared" si="24"/>
        <v>YES</v>
      </c>
    </row>
    <row r="12" ht="15.75" customHeight="1">
      <c r="A12" s="12"/>
      <c r="B12" s="25" t="s">
        <v>503</v>
      </c>
      <c r="C12" s="25" t="s">
        <v>91</v>
      </c>
      <c r="D12" s="7" t="s">
        <v>79</v>
      </c>
      <c r="E12" s="7" t="s">
        <v>80</v>
      </c>
      <c r="F12" s="7" t="s">
        <v>51</v>
      </c>
      <c r="G12" s="84" t="s">
        <v>493</v>
      </c>
      <c r="H12" s="7">
        <v>5.0</v>
      </c>
      <c r="I12" s="7"/>
      <c r="J12" s="7">
        <v>6.0</v>
      </c>
      <c r="L12" s="7"/>
      <c r="M12" s="9">
        <f t="shared" si="1"/>
        <v>0</v>
      </c>
      <c r="N12" s="9">
        <f t="shared" si="2"/>
        <v>2.88</v>
      </c>
      <c r="O12" s="7">
        <v>1.0</v>
      </c>
      <c r="P12" s="14">
        <f t="shared" si="25"/>
        <v>72</v>
      </c>
      <c r="Q12" s="79">
        <v>12.0</v>
      </c>
      <c r="R12" s="84">
        <v>11.0</v>
      </c>
      <c r="S12" s="7">
        <v>6.0</v>
      </c>
      <c r="T12" s="7">
        <v>700.0</v>
      </c>
      <c r="U12" s="7">
        <f t="shared" si="3"/>
        <v>50400</v>
      </c>
      <c r="V12" s="7">
        <f t="shared" si="4"/>
        <v>6.66</v>
      </c>
      <c r="W12" s="14">
        <f t="shared" si="5"/>
        <v>4662</v>
      </c>
      <c r="X12" s="94">
        <f t="shared" si="6"/>
        <v>5544</v>
      </c>
      <c r="Y12" s="82">
        <v>0.0</v>
      </c>
      <c r="Z12" s="7">
        <v>400.0</v>
      </c>
      <c r="AA12" s="7">
        <v>1.6</v>
      </c>
      <c r="AB12" s="7">
        <f t="shared" si="7"/>
        <v>640</v>
      </c>
      <c r="AC12" s="7">
        <f t="shared" si="8"/>
        <v>400</v>
      </c>
      <c r="AD12" s="7">
        <f t="shared" si="9"/>
        <v>0</v>
      </c>
      <c r="AE12" s="83">
        <f t="shared" si="10"/>
        <v>0</v>
      </c>
      <c r="AF12" s="82">
        <v>0.0</v>
      </c>
      <c r="AG12" s="7">
        <v>750.0</v>
      </c>
      <c r="AH12" s="78">
        <v>0.55</v>
      </c>
      <c r="AI12" s="7">
        <f t="shared" si="11"/>
        <v>412.5</v>
      </c>
      <c r="AJ12" s="7">
        <f t="shared" si="12"/>
        <v>750</v>
      </c>
      <c r="AK12" s="7">
        <f t="shared" si="13"/>
        <v>0</v>
      </c>
      <c r="AL12" s="14">
        <f t="shared" si="14"/>
        <v>0</v>
      </c>
      <c r="AM12" s="84">
        <v>35.0</v>
      </c>
      <c r="AN12" s="78">
        <v>1.8</v>
      </c>
      <c r="AO12" s="78">
        <v>25.0</v>
      </c>
      <c r="AP12" s="7">
        <f t="shared" si="15"/>
        <v>45</v>
      </c>
      <c r="AQ12" s="7">
        <f t="shared" si="16"/>
        <v>1.17</v>
      </c>
      <c r="AR12" s="7">
        <f t="shared" si="17"/>
        <v>15.75</v>
      </c>
      <c r="AS12" s="14">
        <f t="shared" si="18"/>
        <v>189</v>
      </c>
      <c r="AT12" s="82">
        <v>0.0</v>
      </c>
      <c r="AU12" s="78">
        <v>16000.0</v>
      </c>
      <c r="AV12" s="14">
        <f t="shared" si="19"/>
        <v>0</v>
      </c>
      <c r="AW12" s="82">
        <v>0.0</v>
      </c>
      <c r="AX12" s="78">
        <v>5500.0</v>
      </c>
      <c r="AY12" s="14">
        <f t="shared" si="20"/>
        <v>0</v>
      </c>
      <c r="AZ12" s="69">
        <f t="shared" si="21"/>
        <v>5730.12</v>
      </c>
      <c r="BA12" s="115">
        <f t="shared" si="22"/>
        <v>79.585</v>
      </c>
      <c r="BB12" s="69">
        <f t="shared" si="23"/>
        <v>0.01256518188</v>
      </c>
      <c r="BC12" s="11" t="str">
        <f t="shared" si="24"/>
        <v>YES</v>
      </c>
    </row>
    <row r="13" ht="15.75" customHeight="1">
      <c r="A13" s="12"/>
      <c r="B13" s="25" t="s">
        <v>14</v>
      </c>
      <c r="C13" s="25" t="s">
        <v>91</v>
      </c>
      <c r="D13" s="7" t="s">
        <v>473</v>
      </c>
      <c r="E13" s="7" t="s">
        <v>93</v>
      </c>
      <c r="F13" s="7" t="s">
        <v>51</v>
      </c>
      <c r="G13" s="84" t="s">
        <v>475</v>
      </c>
      <c r="H13" s="7">
        <v>5.0</v>
      </c>
      <c r="I13" s="7"/>
      <c r="J13" s="7"/>
      <c r="L13" s="7">
        <v>180.0</v>
      </c>
      <c r="M13" s="9">
        <f t="shared" si="1"/>
        <v>180</v>
      </c>
      <c r="N13" s="9">
        <f t="shared" si="2"/>
        <v>36</v>
      </c>
      <c r="O13" s="7">
        <v>1.0</v>
      </c>
      <c r="P13" s="14">
        <f t="shared" si="25"/>
        <v>900</v>
      </c>
      <c r="Q13" s="79">
        <v>12.0</v>
      </c>
      <c r="R13" s="84">
        <v>11.0</v>
      </c>
      <c r="S13" s="7">
        <v>6.0</v>
      </c>
      <c r="T13" s="7">
        <v>700.0</v>
      </c>
      <c r="U13" s="7">
        <f t="shared" si="3"/>
        <v>50400</v>
      </c>
      <c r="V13" s="7">
        <f t="shared" si="4"/>
        <v>6.66</v>
      </c>
      <c r="W13" s="14">
        <f t="shared" si="5"/>
        <v>4662</v>
      </c>
      <c r="X13" s="94">
        <f t="shared" si="6"/>
        <v>5544</v>
      </c>
      <c r="Y13" s="82">
        <v>0.0</v>
      </c>
      <c r="Z13" s="7">
        <v>400.0</v>
      </c>
      <c r="AA13" s="7">
        <v>1.6</v>
      </c>
      <c r="AB13" s="7">
        <f t="shared" si="7"/>
        <v>640</v>
      </c>
      <c r="AC13" s="7">
        <f t="shared" si="8"/>
        <v>400</v>
      </c>
      <c r="AD13" s="7">
        <f t="shared" si="9"/>
        <v>0</v>
      </c>
      <c r="AE13" s="83">
        <f t="shared" si="10"/>
        <v>0</v>
      </c>
      <c r="AF13" s="82">
        <v>0.0</v>
      </c>
      <c r="AG13" s="7">
        <v>750.0</v>
      </c>
      <c r="AH13" s="78">
        <v>0.55</v>
      </c>
      <c r="AI13" s="7">
        <f t="shared" si="11"/>
        <v>412.5</v>
      </c>
      <c r="AJ13" s="7">
        <f t="shared" si="12"/>
        <v>750</v>
      </c>
      <c r="AK13" s="7">
        <f t="shared" si="13"/>
        <v>0</v>
      </c>
      <c r="AL13" s="14">
        <f t="shared" si="14"/>
        <v>0</v>
      </c>
      <c r="AM13" s="84">
        <v>35.0</v>
      </c>
      <c r="AN13" s="78">
        <v>1.8</v>
      </c>
      <c r="AO13" s="78">
        <v>25.0</v>
      </c>
      <c r="AP13" s="7">
        <f t="shared" si="15"/>
        <v>45</v>
      </c>
      <c r="AQ13" s="7">
        <f t="shared" si="16"/>
        <v>1.17</v>
      </c>
      <c r="AR13" s="7">
        <f t="shared" si="17"/>
        <v>15.75</v>
      </c>
      <c r="AS13" s="14">
        <f t="shared" si="18"/>
        <v>189</v>
      </c>
      <c r="AT13" s="82">
        <v>0.0</v>
      </c>
      <c r="AU13" s="78">
        <v>16000.0</v>
      </c>
      <c r="AV13" s="14">
        <f t="shared" si="19"/>
        <v>0</v>
      </c>
      <c r="AW13" s="82">
        <v>0.0</v>
      </c>
      <c r="AX13" s="78">
        <v>5500.0</v>
      </c>
      <c r="AY13" s="14">
        <f t="shared" si="20"/>
        <v>0</v>
      </c>
      <c r="AZ13" s="69">
        <f t="shared" si="21"/>
        <v>5337</v>
      </c>
      <c r="BA13" s="115">
        <f t="shared" si="22"/>
        <v>5.93</v>
      </c>
      <c r="BB13" s="69">
        <f t="shared" si="23"/>
        <v>0.1686340641</v>
      </c>
      <c r="BC13" s="11" t="str">
        <f t="shared" si="24"/>
        <v>YES</v>
      </c>
    </row>
    <row r="14" ht="15.75" customHeight="1">
      <c r="A14" s="12"/>
      <c r="B14" s="7" t="s">
        <v>14</v>
      </c>
      <c r="C14" s="7" t="s">
        <v>91</v>
      </c>
      <c r="D14" s="7" t="s">
        <v>476</v>
      </c>
      <c r="E14" s="7" t="s">
        <v>93</v>
      </c>
      <c r="F14" s="7" t="s">
        <v>51</v>
      </c>
      <c r="G14" s="84" t="s">
        <v>609</v>
      </c>
      <c r="H14" s="7">
        <v>5.0</v>
      </c>
      <c r="I14" s="7"/>
      <c r="J14" s="7"/>
      <c r="K14" s="7"/>
      <c r="L14" s="7">
        <v>340.0</v>
      </c>
      <c r="M14" s="9">
        <f t="shared" si="1"/>
        <v>340</v>
      </c>
      <c r="N14" s="9">
        <f t="shared" si="2"/>
        <v>68</v>
      </c>
      <c r="O14" s="116">
        <v>1.0</v>
      </c>
      <c r="P14" s="14">
        <f t="shared" si="25"/>
        <v>1700</v>
      </c>
      <c r="Q14" s="79">
        <v>12.0</v>
      </c>
      <c r="R14" s="84">
        <v>11.0</v>
      </c>
      <c r="S14" s="7">
        <v>6.0</v>
      </c>
      <c r="T14" s="7">
        <v>700.0</v>
      </c>
      <c r="U14" s="116">
        <f t="shared" si="3"/>
        <v>50400</v>
      </c>
      <c r="V14" s="116">
        <f t="shared" si="4"/>
        <v>6.66</v>
      </c>
      <c r="W14" s="117">
        <f t="shared" si="5"/>
        <v>4662</v>
      </c>
      <c r="X14" s="118">
        <f t="shared" si="6"/>
        <v>5544</v>
      </c>
      <c r="Y14" s="82">
        <v>0.0</v>
      </c>
      <c r="Z14" s="7">
        <v>400.0</v>
      </c>
      <c r="AA14" s="7">
        <v>1.6</v>
      </c>
      <c r="AB14" s="116">
        <f t="shared" si="7"/>
        <v>640</v>
      </c>
      <c r="AC14" s="116">
        <f t="shared" si="8"/>
        <v>400</v>
      </c>
      <c r="AD14" s="116">
        <f t="shared" si="9"/>
        <v>0</v>
      </c>
      <c r="AE14" s="117">
        <f t="shared" si="10"/>
        <v>0</v>
      </c>
      <c r="AF14" s="82">
        <v>0.0</v>
      </c>
      <c r="AG14" s="7">
        <v>750.0</v>
      </c>
      <c r="AH14" s="78">
        <v>0.55</v>
      </c>
      <c r="AI14" s="116">
        <f t="shared" si="11"/>
        <v>412.5</v>
      </c>
      <c r="AJ14" s="116">
        <f t="shared" si="12"/>
        <v>750</v>
      </c>
      <c r="AK14" s="116">
        <f t="shared" si="13"/>
        <v>0</v>
      </c>
      <c r="AL14" s="117">
        <f t="shared" si="14"/>
        <v>0</v>
      </c>
      <c r="AM14" s="84">
        <v>35.0</v>
      </c>
      <c r="AN14" s="78">
        <v>1.8</v>
      </c>
      <c r="AO14" s="78">
        <v>25.0</v>
      </c>
      <c r="AP14" s="116">
        <f t="shared" si="15"/>
        <v>45</v>
      </c>
      <c r="AQ14" s="116">
        <f t="shared" si="16"/>
        <v>1.17</v>
      </c>
      <c r="AR14" s="116">
        <f t="shared" si="17"/>
        <v>15.75</v>
      </c>
      <c r="AS14" s="117">
        <f t="shared" si="18"/>
        <v>189</v>
      </c>
      <c r="AT14" s="82">
        <v>0.0</v>
      </c>
      <c r="AU14" s="78">
        <v>16000.0</v>
      </c>
      <c r="AV14" s="117">
        <f t="shared" si="19"/>
        <v>0</v>
      </c>
      <c r="AW14" s="82">
        <v>0.0</v>
      </c>
      <c r="AX14" s="78">
        <v>5500.0</v>
      </c>
      <c r="AY14" s="117">
        <f t="shared" si="20"/>
        <v>0</v>
      </c>
      <c r="AZ14" s="69">
        <f t="shared" si="21"/>
        <v>4985</v>
      </c>
      <c r="BA14" s="115">
        <f t="shared" si="22"/>
        <v>2.932352941</v>
      </c>
      <c r="BB14" s="69">
        <f t="shared" si="23"/>
        <v>0.3410230692</v>
      </c>
      <c r="BC14" s="11" t="str">
        <f t="shared" si="24"/>
        <v>YES</v>
      </c>
    </row>
    <row r="15" ht="15.75" customHeight="1">
      <c r="A15" s="12"/>
      <c r="B15" s="25" t="s">
        <v>14</v>
      </c>
      <c r="C15" s="25" t="s">
        <v>91</v>
      </c>
      <c r="D15" s="7" t="s">
        <v>97</v>
      </c>
      <c r="E15" s="7" t="s">
        <v>98</v>
      </c>
      <c r="F15" s="7" t="s">
        <v>51</v>
      </c>
      <c r="G15" s="84" t="s">
        <v>480</v>
      </c>
      <c r="H15" s="7">
        <v>5.0</v>
      </c>
      <c r="I15" s="7"/>
      <c r="J15" s="7"/>
      <c r="K15" s="7">
        <v>20.0</v>
      </c>
      <c r="L15" s="7">
        <f>K15*12</f>
        <v>240</v>
      </c>
      <c r="M15" s="9">
        <f t="shared" si="1"/>
        <v>240</v>
      </c>
      <c r="N15" s="9">
        <f t="shared" si="2"/>
        <v>48</v>
      </c>
      <c r="O15" s="7">
        <v>1.0</v>
      </c>
      <c r="P15" s="14">
        <f t="shared" si="25"/>
        <v>1200</v>
      </c>
      <c r="Q15" s="79">
        <v>12.0</v>
      </c>
      <c r="R15" s="84">
        <v>11.0</v>
      </c>
      <c r="S15" s="7">
        <v>6.0</v>
      </c>
      <c r="T15" s="7">
        <v>700.0</v>
      </c>
      <c r="U15" s="7">
        <f t="shared" si="3"/>
        <v>50400</v>
      </c>
      <c r="V15" s="7">
        <f t="shared" si="4"/>
        <v>6.66</v>
      </c>
      <c r="W15" s="14">
        <f t="shared" si="5"/>
        <v>4662</v>
      </c>
      <c r="X15" s="81">
        <f t="shared" si="6"/>
        <v>5544</v>
      </c>
      <c r="Y15" s="16">
        <v>12.5</v>
      </c>
      <c r="Z15" s="7">
        <v>400.0</v>
      </c>
      <c r="AA15" s="7">
        <v>1.6</v>
      </c>
      <c r="AB15" s="7">
        <f t="shared" si="7"/>
        <v>640</v>
      </c>
      <c r="AC15" s="7">
        <f t="shared" si="8"/>
        <v>350</v>
      </c>
      <c r="AD15" s="7">
        <f t="shared" si="9"/>
        <v>80</v>
      </c>
      <c r="AE15" s="83">
        <f t="shared" si="10"/>
        <v>960</v>
      </c>
      <c r="AF15" s="82">
        <v>0.0</v>
      </c>
      <c r="AG15" s="7">
        <v>750.0</v>
      </c>
      <c r="AH15" s="78">
        <v>0.55</v>
      </c>
      <c r="AI15" s="7">
        <f t="shared" si="11"/>
        <v>412.5</v>
      </c>
      <c r="AJ15" s="7">
        <f t="shared" si="12"/>
        <v>750</v>
      </c>
      <c r="AK15" s="7">
        <f t="shared" si="13"/>
        <v>0</v>
      </c>
      <c r="AL15" s="14">
        <f t="shared" si="14"/>
        <v>0</v>
      </c>
      <c r="AM15" s="84">
        <v>35.0</v>
      </c>
      <c r="AN15" s="78">
        <v>1.8</v>
      </c>
      <c r="AO15" s="78">
        <v>25.0</v>
      </c>
      <c r="AP15" s="7">
        <f t="shared" si="15"/>
        <v>45</v>
      </c>
      <c r="AQ15" s="7">
        <f t="shared" si="16"/>
        <v>1.17</v>
      </c>
      <c r="AR15" s="7">
        <f t="shared" si="17"/>
        <v>15.75</v>
      </c>
      <c r="AS15" s="14">
        <f t="shared" si="18"/>
        <v>189</v>
      </c>
      <c r="AT15" s="82">
        <v>0.0</v>
      </c>
      <c r="AU15" s="78">
        <v>16000.0</v>
      </c>
      <c r="AV15" s="14">
        <f t="shared" si="19"/>
        <v>0</v>
      </c>
      <c r="AW15" s="80">
        <v>10.0</v>
      </c>
      <c r="AX15" s="78">
        <v>5500.0</v>
      </c>
      <c r="AY15" s="14">
        <f t="shared" si="20"/>
        <v>550</v>
      </c>
      <c r="AZ15" s="69">
        <f t="shared" si="21"/>
        <v>6715</v>
      </c>
      <c r="BA15" s="115">
        <f t="shared" si="22"/>
        <v>5.595833333</v>
      </c>
      <c r="BB15" s="69">
        <f t="shared" si="23"/>
        <v>0.1787043931</v>
      </c>
      <c r="BC15" s="11" t="str">
        <f t="shared" si="24"/>
        <v>YES</v>
      </c>
    </row>
    <row r="16" ht="15.75" customHeight="1">
      <c r="A16" s="12"/>
      <c r="B16" s="25" t="s">
        <v>14</v>
      </c>
      <c r="C16" s="25" t="s">
        <v>91</v>
      </c>
      <c r="D16" s="7" t="s">
        <v>108</v>
      </c>
      <c r="E16" s="7" t="s">
        <v>109</v>
      </c>
      <c r="F16" s="7" t="s">
        <v>51</v>
      </c>
      <c r="G16" s="84" t="s">
        <v>580</v>
      </c>
      <c r="H16" s="7">
        <v>5.0</v>
      </c>
      <c r="I16" s="7">
        <v>3300.0</v>
      </c>
      <c r="J16" s="7"/>
      <c r="L16" s="7"/>
      <c r="M16" s="9">
        <f t="shared" si="1"/>
        <v>660</v>
      </c>
      <c r="N16" s="9">
        <f t="shared" si="2"/>
        <v>132</v>
      </c>
      <c r="O16" s="7">
        <v>1.0</v>
      </c>
      <c r="P16" s="14">
        <f t="shared" si="25"/>
        <v>3300</v>
      </c>
      <c r="Q16" s="79">
        <v>12.0</v>
      </c>
      <c r="R16" s="84">
        <v>11.0</v>
      </c>
      <c r="S16" s="7">
        <v>6.0</v>
      </c>
      <c r="T16" s="7">
        <v>700.0</v>
      </c>
      <c r="U16" s="7">
        <f t="shared" si="3"/>
        <v>50400</v>
      </c>
      <c r="V16" s="7">
        <f t="shared" si="4"/>
        <v>6.66</v>
      </c>
      <c r="W16" s="14">
        <f t="shared" si="5"/>
        <v>4662</v>
      </c>
      <c r="X16" s="81">
        <f t="shared" si="6"/>
        <v>5544</v>
      </c>
      <c r="Y16" s="16">
        <v>12.5</v>
      </c>
      <c r="Z16" s="7">
        <v>400.0</v>
      </c>
      <c r="AA16" s="7">
        <v>1.6</v>
      </c>
      <c r="AB16" s="7">
        <f t="shared" si="7"/>
        <v>640</v>
      </c>
      <c r="AC16" s="7">
        <f t="shared" si="8"/>
        <v>350</v>
      </c>
      <c r="AD16" s="7">
        <f t="shared" si="9"/>
        <v>80</v>
      </c>
      <c r="AE16" s="83">
        <f t="shared" si="10"/>
        <v>960</v>
      </c>
      <c r="AF16" s="82">
        <v>0.0</v>
      </c>
      <c r="AG16" s="7">
        <v>750.0</v>
      </c>
      <c r="AH16" s="78">
        <v>0.55</v>
      </c>
      <c r="AI16" s="7">
        <f t="shared" si="11"/>
        <v>412.5</v>
      </c>
      <c r="AJ16" s="7">
        <f t="shared" si="12"/>
        <v>750</v>
      </c>
      <c r="AK16" s="7">
        <f t="shared" si="13"/>
        <v>0</v>
      </c>
      <c r="AL16" s="14">
        <f t="shared" si="14"/>
        <v>0</v>
      </c>
      <c r="AM16" s="84">
        <v>35.0</v>
      </c>
      <c r="AN16" s="78">
        <v>1.8</v>
      </c>
      <c r="AO16" s="78">
        <v>25.0</v>
      </c>
      <c r="AP16" s="7">
        <f t="shared" si="15"/>
        <v>45</v>
      </c>
      <c r="AQ16" s="7">
        <f t="shared" si="16"/>
        <v>1.17</v>
      </c>
      <c r="AR16" s="7">
        <f t="shared" si="17"/>
        <v>15.75</v>
      </c>
      <c r="AS16" s="14">
        <f t="shared" si="18"/>
        <v>189</v>
      </c>
      <c r="AT16" s="82">
        <v>0.0</v>
      </c>
      <c r="AU16" s="78">
        <v>16000.0</v>
      </c>
      <c r="AV16" s="14">
        <f t="shared" si="19"/>
        <v>0</v>
      </c>
      <c r="AW16" s="80">
        <v>10.0</v>
      </c>
      <c r="AX16" s="78">
        <v>5500.0</v>
      </c>
      <c r="AY16" s="14">
        <f t="shared" si="20"/>
        <v>550</v>
      </c>
      <c r="AZ16" s="69">
        <f t="shared" si="21"/>
        <v>6451</v>
      </c>
      <c r="BA16" s="115">
        <f t="shared" si="22"/>
        <v>1.954848485</v>
      </c>
      <c r="BB16" s="69">
        <f t="shared" si="23"/>
        <v>0.5115485971</v>
      </c>
      <c r="BC16" s="11" t="str">
        <f t="shared" si="24"/>
        <v>YES</v>
      </c>
    </row>
    <row r="17" ht="15.75" customHeight="1">
      <c r="A17" s="12"/>
      <c r="B17" s="25" t="s">
        <v>14</v>
      </c>
      <c r="C17" s="25" t="s">
        <v>91</v>
      </c>
      <c r="D17" s="7" t="s">
        <v>113</v>
      </c>
      <c r="E17" s="7" t="s">
        <v>109</v>
      </c>
      <c r="F17" s="7" t="s">
        <v>51</v>
      </c>
      <c r="G17" s="84" t="s">
        <v>496</v>
      </c>
      <c r="H17" s="7">
        <v>5.0</v>
      </c>
      <c r="I17" s="7">
        <v>6300.0</v>
      </c>
      <c r="J17" s="7"/>
      <c r="L17" s="7"/>
      <c r="M17" s="9">
        <f t="shared" si="1"/>
        <v>1260</v>
      </c>
      <c r="N17" s="9">
        <f t="shared" si="2"/>
        <v>252</v>
      </c>
      <c r="O17" s="7">
        <v>1.0</v>
      </c>
      <c r="P17" s="14">
        <f t="shared" si="25"/>
        <v>6300</v>
      </c>
      <c r="Q17" s="79">
        <v>12.0</v>
      </c>
      <c r="R17" s="84">
        <v>11.0</v>
      </c>
      <c r="S17" s="7">
        <v>6.0</v>
      </c>
      <c r="T17" s="7">
        <v>700.0</v>
      </c>
      <c r="U17" s="7">
        <f t="shared" si="3"/>
        <v>50400</v>
      </c>
      <c r="V17" s="7">
        <f t="shared" si="4"/>
        <v>6.66</v>
      </c>
      <c r="W17" s="14">
        <f t="shared" si="5"/>
        <v>4662</v>
      </c>
      <c r="X17" s="81">
        <f t="shared" si="6"/>
        <v>5544</v>
      </c>
      <c r="Y17" s="16">
        <v>12.5</v>
      </c>
      <c r="Z17" s="7">
        <v>400.0</v>
      </c>
      <c r="AA17" s="7">
        <v>1.6</v>
      </c>
      <c r="AB17" s="7">
        <f t="shared" si="7"/>
        <v>640</v>
      </c>
      <c r="AC17" s="7">
        <f t="shared" si="8"/>
        <v>350</v>
      </c>
      <c r="AD17" s="7">
        <f t="shared" si="9"/>
        <v>80</v>
      </c>
      <c r="AE17" s="83">
        <f t="shared" si="10"/>
        <v>960</v>
      </c>
      <c r="AF17" s="82">
        <v>0.0</v>
      </c>
      <c r="AG17" s="7">
        <v>750.0</v>
      </c>
      <c r="AH17" s="78">
        <v>0.55</v>
      </c>
      <c r="AI17" s="7">
        <f t="shared" si="11"/>
        <v>412.5</v>
      </c>
      <c r="AJ17" s="7">
        <f t="shared" si="12"/>
        <v>750</v>
      </c>
      <c r="AK17" s="7">
        <f t="shared" si="13"/>
        <v>0</v>
      </c>
      <c r="AL17" s="14">
        <f t="shared" si="14"/>
        <v>0</v>
      </c>
      <c r="AM17" s="84">
        <v>35.0</v>
      </c>
      <c r="AN17" s="78">
        <v>1.8</v>
      </c>
      <c r="AO17" s="78">
        <v>25.0</v>
      </c>
      <c r="AP17" s="7">
        <f t="shared" si="15"/>
        <v>45</v>
      </c>
      <c r="AQ17" s="7">
        <f t="shared" si="16"/>
        <v>1.17</v>
      </c>
      <c r="AR17" s="7">
        <f t="shared" si="17"/>
        <v>15.75</v>
      </c>
      <c r="AS17" s="14">
        <f t="shared" si="18"/>
        <v>189</v>
      </c>
      <c r="AT17" s="82">
        <v>0.0</v>
      </c>
      <c r="AU17" s="78">
        <v>16000.0</v>
      </c>
      <c r="AV17" s="14">
        <f t="shared" si="19"/>
        <v>0</v>
      </c>
      <c r="AW17" s="80">
        <v>10.0</v>
      </c>
      <c r="AX17" s="78">
        <v>5500.0</v>
      </c>
      <c r="AY17" s="14">
        <f t="shared" si="20"/>
        <v>550</v>
      </c>
      <c r="AZ17" s="69">
        <f t="shared" si="21"/>
        <v>5731</v>
      </c>
      <c r="BA17" s="115">
        <f t="shared" si="22"/>
        <v>0.9096825397</v>
      </c>
      <c r="BB17" s="69">
        <f t="shared" si="23"/>
        <v>1.099284593</v>
      </c>
      <c r="BC17" s="11" t="str">
        <f t="shared" si="24"/>
        <v>YES</v>
      </c>
    </row>
    <row r="18" ht="15.75" customHeight="1">
      <c r="A18" s="12"/>
      <c r="B18" s="25" t="s">
        <v>14</v>
      </c>
      <c r="C18" s="25" t="s">
        <v>608</v>
      </c>
      <c r="D18" s="7" t="s">
        <v>135</v>
      </c>
      <c r="E18" s="7" t="s">
        <v>136</v>
      </c>
      <c r="F18" s="7" t="s">
        <v>51</v>
      </c>
      <c r="G18" s="84" t="s">
        <v>139</v>
      </c>
      <c r="H18" s="7">
        <v>5.0</v>
      </c>
      <c r="I18" s="7"/>
      <c r="J18" s="7"/>
      <c r="L18" s="7">
        <v>1000.0</v>
      </c>
      <c r="M18" s="9">
        <f t="shared" si="1"/>
        <v>1000</v>
      </c>
      <c r="N18" s="9">
        <f t="shared" si="2"/>
        <v>200</v>
      </c>
      <c r="O18" s="7">
        <v>1.0</v>
      </c>
      <c r="P18" s="14">
        <f t="shared" si="25"/>
        <v>5000</v>
      </c>
      <c r="Q18" s="79">
        <v>12.0</v>
      </c>
      <c r="R18" s="84">
        <v>11.0</v>
      </c>
      <c r="S18" s="7">
        <v>6.0</v>
      </c>
      <c r="T18" s="7">
        <v>700.0</v>
      </c>
      <c r="U18" s="7">
        <f t="shared" si="3"/>
        <v>50400</v>
      </c>
      <c r="V18" s="7">
        <f t="shared" si="4"/>
        <v>6.66</v>
      </c>
      <c r="W18" s="14">
        <f t="shared" si="5"/>
        <v>4662</v>
      </c>
      <c r="X18" s="81">
        <f t="shared" si="6"/>
        <v>5544</v>
      </c>
      <c r="Y18" s="16">
        <v>12.5</v>
      </c>
      <c r="Z18" s="7">
        <v>400.0</v>
      </c>
      <c r="AA18" s="7">
        <v>1.6</v>
      </c>
      <c r="AB18" s="7">
        <f t="shared" si="7"/>
        <v>640</v>
      </c>
      <c r="AC18" s="7">
        <f t="shared" si="8"/>
        <v>350</v>
      </c>
      <c r="AD18" s="7">
        <f t="shared" si="9"/>
        <v>80</v>
      </c>
      <c r="AE18" s="83">
        <f t="shared" si="10"/>
        <v>960</v>
      </c>
      <c r="AF18" s="82">
        <v>0.0</v>
      </c>
      <c r="AG18" s="7">
        <v>750.0</v>
      </c>
      <c r="AH18" s="78">
        <v>0.55</v>
      </c>
      <c r="AI18" s="7">
        <f t="shared" si="11"/>
        <v>412.5</v>
      </c>
      <c r="AJ18" s="7">
        <f t="shared" si="12"/>
        <v>750</v>
      </c>
      <c r="AK18" s="7">
        <f t="shared" si="13"/>
        <v>0</v>
      </c>
      <c r="AL18" s="14">
        <f t="shared" si="14"/>
        <v>0</v>
      </c>
      <c r="AM18" s="84">
        <v>35.0</v>
      </c>
      <c r="AN18" s="78">
        <v>1.8</v>
      </c>
      <c r="AO18" s="78">
        <v>25.0</v>
      </c>
      <c r="AP18" s="7">
        <f t="shared" si="15"/>
        <v>45</v>
      </c>
      <c r="AQ18" s="7">
        <f t="shared" si="16"/>
        <v>1.17</v>
      </c>
      <c r="AR18" s="7">
        <f t="shared" si="17"/>
        <v>15.75</v>
      </c>
      <c r="AS18" s="14">
        <f t="shared" si="18"/>
        <v>189</v>
      </c>
      <c r="AT18" s="82">
        <v>0.0</v>
      </c>
      <c r="AU18" s="78">
        <v>16000.0</v>
      </c>
      <c r="AV18" s="14">
        <f t="shared" si="19"/>
        <v>0</v>
      </c>
      <c r="AW18" s="80">
        <v>10.0</v>
      </c>
      <c r="AX18" s="78">
        <v>5500.0</v>
      </c>
      <c r="AY18" s="14">
        <f t="shared" si="20"/>
        <v>550</v>
      </c>
      <c r="AZ18" s="69">
        <f t="shared" si="21"/>
        <v>5043</v>
      </c>
      <c r="BA18" s="115">
        <f t="shared" si="22"/>
        <v>1.0086</v>
      </c>
      <c r="BB18" s="69">
        <f t="shared" si="23"/>
        <v>0.9914733294</v>
      </c>
      <c r="BC18" s="11" t="str">
        <f t="shared" si="24"/>
        <v>YES</v>
      </c>
    </row>
    <row r="19" ht="15.75" customHeight="1">
      <c r="A19" s="18"/>
      <c r="B19" s="86" t="s">
        <v>14</v>
      </c>
      <c r="C19" s="86" t="s">
        <v>15</v>
      </c>
      <c r="D19" s="19" t="s">
        <v>124</v>
      </c>
      <c r="E19" s="19" t="s">
        <v>125</v>
      </c>
      <c r="F19" s="19" t="s">
        <v>51</v>
      </c>
      <c r="G19" s="88" t="s">
        <v>128</v>
      </c>
      <c r="H19" s="19">
        <v>5.0</v>
      </c>
      <c r="I19" s="19"/>
      <c r="J19" s="19"/>
      <c r="K19" s="19"/>
      <c r="L19" s="19">
        <v>400.0</v>
      </c>
      <c r="M19" s="9">
        <f t="shared" si="1"/>
        <v>400</v>
      </c>
      <c r="N19" s="9">
        <f t="shared" si="2"/>
        <v>80</v>
      </c>
      <c r="O19" s="19">
        <v>1.0</v>
      </c>
      <c r="P19" s="21">
        <f t="shared" si="25"/>
        <v>2000</v>
      </c>
      <c r="Q19" s="87">
        <v>12.0</v>
      </c>
      <c r="R19" s="88">
        <v>11.0</v>
      </c>
      <c r="S19" s="19">
        <v>6.0</v>
      </c>
      <c r="T19" s="19">
        <v>700.0</v>
      </c>
      <c r="U19" s="19">
        <f t="shared" si="3"/>
        <v>50400</v>
      </c>
      <c r="V19" s="19">
        <f t="shared" si="4"/>
        <v>6.66</v>
      </c>
      <c r="W19" s="21">
        <f t="shared" si="5"/>
        <v>4662</v>
      </c>
      <c r="X19" s="89">
        <f t="shared" si="6"/>
        <v>5544</v>
      </c>
      <c r="Y19" s="92">
        <v>0.0</v>
      </c>
      <c r="Z19" s="19">
        <v>400.0</v>
      </c>
      <c r="AA19" s="19">
        <v>1.6</v>
      </c>
      <c r="AB19" s="19">
        <f t="shared" si="7"/>
        <v>640</v>
      </c>
      <c r="AC19" s="19">
        <f t="shared" si="8"/>
        <v>400</v>
      </c>
      <c r="AD19" s="19">
        <f t="shared" si="9"/>
        <v>0</v>
      </c>
      <c r="AE19" s="91">
        <f t="shared" si="10"/>
        <v>0</v>
      </c>
      <c r="AF19" s="88">
        <v>17.0</v>
      </c>
      <c r="AG19" s="19">
        <v>750.0</v>
      </c>
      <c r="AH19" s="93">
        <v>0.55</v>
      </c>
      <c r="AI19" s="19">
        <f t="shared" si="11"/>
        <v>412.5</v>
      </c>
      <c r="AJ19" s="19">
        <f t="shared" si="12"/>
        <v>622.5</v>
      </c>
      <c r="AK19" s="19">
        <f t="shared" si="13"/>
        <v>70.125</v>
      </c>
      <c r="AL19" s="21">
        <f t="shared" si="14"/>
        <v>841.5</v>
      </c>
      <c r="AM19" s="92">
        <v>0.0</v>
      </c>
      <c r="AN19" s="93">
        <v>1.8</v>
      </c>
      <c r="AO19" s="93">
        <v>25.0</v>
      </c>
      <c r="AP19" s="19">
        <f t="shared" si="15"/>
        <v>45</v>
      </c>
      <c r="AQ19" s="19">
        <f t="shared" si="16"/>
        <v>1.8</v>
      </c>
      <c r="AR19" s="19">
        <f t="shared" si="17"/>
        <v>0</v>
      </c>
      <c r="AS19" s="21">
        <f t="shared" si="18"/>
        <v>0</v>
      </c>
      <c r="AT19" s="92">
        <v>0.0</v>
      </c>
      <c r="AU19" s="93">
        <v>16000.0</v>
      </c>
      <c r="AV19" s="21">
        <f t="shared" si="19"/>
        <v>0</v>
      </c>
      <c r="AW19" s="92">
        <v>0.0</v>
      </c>
      <c r="AX19" s="93">
        <v>5500.0</v>
      </c>
      <c r="AY19" s="21">
        <f t="shared" si="20"/>
        <v>0</v>
      </c>
      <c r="AZ19" s="69">
        <f t="shared" si="21"/>
        <v>5505.5</v>
      </c>
      <c r="BA19" s="115">
        <f t="shared" si="22"/>
        <v>2.75275</v>
      </c>
      <c r="BB19" s="69">
        <f t="shared" si="23"/>
        <v>0.3632730905</v>
      </c>
      <c r="BC19" s="11" t="str">
        <f t="shared" si="24"/>
        <v>YES</v>
      </c>
    </row>
    <row r="20" ht="15.75" customHeight="1">
      <c r="A20" s="8" t="s">
        <v>140</v>
      </c>
      <c r="B20" s="68" t="s">
        <v>14</v>
      </c>
      <c r="C20" s="68" t="s">
        <v>509</v>
      </c>
      <c r="D20" s="9" t="s">
        <v>142</v>
      </c>
      <c r="E20" s="9" t="s">
        <v>143</v>
      </c>
      <c r="F20" s="9" t="s">
        <v>51</v>
      </c>
      <c r="G20" s="75" t="s">
        <v>498</v>
      </c>
      <c r="H20" s="9">
        <v>5.0</v>
      </c>
      <c r="I20" s="9">
        <v>6290.0</v>
      </c>
      <c r="J20" s="9"/>
      <c r="K20" s="9"/>
      <c r="L20" s="9"/>
      <c r="M20" s="9">
        <f t="shared" si="1"/>
        <v>1258</v>
      </c>
      <c r="N20" s="9">
        <f t="shared" si="2"/>
        <v>251.6</v>
      </c>
      <c r="O20" s="9">
        <v>1.0</v>
      </c>
      <c r="P20" s="11">
        <f t="shared" si="25"/>
        <v>6290</v>
      </c>
      <c r="Q20" s="69">
        <v>12.0</v>
      </c>
      <c r="R20" s="75">
        <v>12.5</v>
      </c>
      <c r="S20" s="9">
        <v>6.0</v>
      </c>
      <c r="T20" s="9">
        <v>700.0</v>
      </c>
      <c r="U20" s="9">
        <f t="shared" si="3"/>
        <v>50400</v>
      </c>
      <c r="V20" s="9">
        <f t="shared" si="4"/>
        <v>6.75</v>
      </c>
      <c r="W20" s="11">
        <f t="shared" si="5"/>
        <v>4725</v>
      </c>
      <c r="X20" s="72">
        <f t="shared" si="6"/>
        <v>6300</v>
      </c>
      <c r="Y20" s="71">
        <v>12.5</v>
      </c>
      <c r="Z20" s="9">
        <v>400.0</v>
      </c>
      <c r="AA20" s="9">
        <v>1.6</v>
      </c>
      <c r="AB20" s="9">
        <f t="shared" si="7"/>
        <v>640</v>
      </c>
      <c r="AC20" s="9">
        <f t="shared" si="8"/>
        <v>350</v>
      </c>
      <c r="AD20" s="9">
        <f t="shared" si="9"/>
        <v>80</v>
      </c>
      <c r="AE20" s="73">
        <f t="shared" si="10"/>
        <v>960</v>
      </c>
      <c r="AF20" s="71">
        <v>34.5</v>
      </c>
      <c r="AG20" s="9">
        <v>750.0</v>
      </c>
      <c r="AH20" s="74">
        <v>0.55</v>
      </c>
      <c r="AI20" s="9">
        <f t="shared" si="11"/>
        <v>412.5</v>
      </c>
      <c r="AJ20" s="9">
        <f t="shared" si="12"/>
        <v>491.25</v>
      </c>
      <c r="AK20" s="9">
        <f t="shared" si="13"/>
        <v>142.3125</v>
      </c>
      <c r="AL20" s="11">
        <f t="shared" si="14"/>
        <v>1707.75</v>
      </c>
      <c r="AM20" s="101">
        <v>4.0</v>
      </c>
      <c r="AN20" s="74">
        <v>1.8</v>
      </c>
      <c r="AO20" s="74">
        <v>25.0</v>
      </c>
      <c r="AP20" s="9">
        <f t="shared" si="15"/>
        <v>45</v>
      </c>
      <c r="AQ20" s="9">
        <f t="shared" si="16"/>
        <v>1.728</v>
      </c>
      <c r="AR20" s="9">
        <f t="shared" si="17"/>
        <v>1.8</v>
      </c>
      <c r="AS20" s="11">
        <f t="shared" si="18"/>
        <v>21.6</v>
      </c>
      <c r="AT20" s="101">
        <v>13.0</v>
      </c>
      <c r="AU20" s="74">
        <v>16000.0</v>
      </c>
      <c r="AV20" s="11">
        <f t="shared" si="19"/>
        <v>2080</v>
      </c>
      <c r="AW20" s="101">
        <v>26.0</v>
      </c>
      <c r="AX20" s="74">
        <v>5500.0</v>
      </c>
      <c r="AY20" s="11">
        <f t="shared" si="20"/>
        <v>1430</v>
      </c>
      <c r="AZ20" s="69">
        <f t="shared" si="21"/>
        <v>10989.75</v>
      </c>
      <c r="BA20" s="115">
        <f t="shared" si="22"/>
        <v>1.74717806</v>
      </c>
      <c r="BB20" s="69">
        <f t="shared" si="23"/>
        <v>0.5723515094</v>
      </c>
      <c r="BC20" s="11" t="str">
        <f t="shared" si="24"/>
        <v>YES</v>
      </c>
    </row>
    <row r="21" ht="15.75" customHeight="1">
      <c r="A21" s="12"/>
      <c r="B21" s="25" t="s">
        <v>14</v>
      </c>
      <c r="C21" s="25" t="s">
        <v>509</v>
      </c>
      <c r="D21" s="7" t="s">
        <v>147</v>
      </c>
      <c r="E21" s="7" t="s">
        <v>148</v>
      </c>
      <c r="F21" s="7" t="s">
        <v>51</v>
      </c>
      <c r="G21" s="84" t="s">
        <v>499</v>
      </c>
      <c r="H21" s="7">
        <v>5.0</v>
      </c>
      <c r="I21" s="7">
        <v>5100.0</v>
      </c>
      <c r="J21" s="7"/>
      <c r="L21" s="7"/>
      <c r="M21" s="9">
        <f t="shared" si="1"/>
        <v>1020</v>
      </c>
      <c r="N21" s="9">
        <f t="shared" si="2"/>
        <v>204</v>
      </c>
      <c r="O21" s="7">
        <v>1.0</v>
      </c>
      <c r="P21" s="14">
        <f t="shared" si="25"/>
        <v>5100</v>
      </c>
      <c r="Q21" s="79">
        <v>12.0</v>
      </c>
      <c r="R21" s="84">
        <v>12.5</v>
      </c>
      <c r="S21" s="7">
        <v>6.0</v>
      </c>
      <c r="T21" s="7">
        <v>700.0</v>
      </c>
      <c r="U21" s="7">
        <f t="shared" si="3"/>
        <v>50400</v>
      </c>
      <c r="V21" s="7">
        <f t="shared" si="4"/>
        <v>6.75</v>
      </c>
      <c r="W21" s="14">
        <f t="shared" si="5"/>
        <v>4725</v>
      </c>
      <c r="X21" s="94">
        <f t="shared" si="6"/>
        <v>6300</v>
      </c>
      <c r="Y21" s="80">
        <v>12.5</v>
      </c>
      <c r="Z21" s="7">
        <v>400.0</v>
      </c>
      <c r="AA21" s="7">
        <v>1.6</v>
      </c>
      <c r="AB21" s="7">
        <f t="shared" si="7"/>
        <v>640</v>
      </c>
      <c r="AC21" s="7">
        <f t="shared" si="8"/>
        <v>350</v>
      </c>
      <c r="AD21" s="7">
        <f t="shared" si="9"/>
        <v>80</v>
      </c>
      <c r="AE21" s="83">
        <f t="shared" si="10"/>
        <v>960</v>
      </c>
      <c r="AF21" s="80">
        <v>34.5</v>
      </c>
      <c r="AG21" s="7">
        <v>750.0</v>
      </c>
      <c r="AH21" s="78">
        <v>0.55</v>
      </c>
      <c r="AI21" s="7">
        <f t="shared" si="11"/>
        <v>412.5</v>
      </c>
      <c r="AJ21" s="7">
        <f t="shared" si="12"/>
        <v>491.25</v>
      </c>
      <c r="AK21" s="7">
        <f t="shared" si="13"/>
        <v>142.3125</v>
      </c>
      <c r="AL21" s="14">
        <f t="shared" si="14"/>
        <v>1707.75</v>
      </c>
      <c r="AM21" s="81">
        <v>4.0</v>
      </c>
      <c r="AN21" s="78">
        <v>1.8</v>
      </c>
      <c r="AO21" s="78">
        <v>25.0</v>
      </c>
      <c r="AP21" s="7">
        <f t="shared" si="15"/>
        <v>45</v>
      </c>
      <c r="AQ21" s="7">
        <f t="shared" si="16"/>
        <v>1.728</v>
      </c>
      <c r="AR21" s="7">
        <f t="shared" si="17"/>
        <v>1.8</v>
      </c>
      <c r="AS21" s="14">
        <f t="shared" si="18"/>
        <v>21.6</v>
      </c>
      <c r="AT21" s="81">
        <v>13.0</v>
      </c>
      <c r="AU21" s="78">
        <v>16000.0</v>
      </c>
      <c r="AV21" s="14">
        <f t="shared" si="19"/>
        <v>2080</v>
      </c>
      <c r="AW21" s="81">
        <v>26.0</v>
      </c>
      <c r="AX21" s="78">
        <v>5500.0</v>
      </c>
      <c r="AY21" s="14">
        <f t="shared" si="20"/>
        <v>1430</v>
      </c>
      <c r="AZ21" s="69">
        <f t="shared" si="21"/>
        <v>11275.35</v>
      </c>
      <c r="BA21" s="115">
        <f t="shared" si="22"/>
        <v>2.210852941</v>
      </c>
      <c r="BB21" s="69">
        <f t="shared" si="23"/>
        <v>0.4523141189</v>
      </c>
      <c r="BC21" s="11" t="str">
        <f t="shared" si="24"/>
        <v>YES</v>
      </c>
    </row>
    <row r="22" ht="15.75" customHeight="1">
      <c r="A22" s="12"/>
      <c r="B22" s="25" t="s">
        <v>14</v>
      </c>
      <c r="C22" s="25" t="s">
        <v>610</v>
      </c>
      <c r="D22" s="7" t="s">
        <v>160</v>
      </c>
      <c r="E22" s="7" t="s">
        <v>161</v>
      </c>
      <c r="F22" s="7" t="s">
        <v>51</v>
      </c>
      <c r="G22" s="84" t="s">
        <v>502</v>
      </c>
      <c r="H22" s="7">
        <v>5.0</v>
      </c>
      <c r="I22" s="7">
        <v>1500.0</v>
      </c>
      <c r="J22" s="7"/>
      <c r="L22" s="7"/>
      <c r="M22" s="9">
        <f t="shared" si="1"/>
        <v>300</v>
      </c>
      <c r="N22" s="9">
        <f t="shared" si="2"/>
        <v>60</v>
      </c>
      <c r="O22" s="7">
        <v>1.0</v>
      </c>
      <c r="P22" s="14">
        <f t="shared" si="25"/>
        <v>1500</v>
      </c>
      <c r="Q22" s="79">
        <v>12.0</v>
      </c>
      <c r="R22" s="84">
        <v>12.5</v>
      </c>
      <c r="S22" s="7">
        <v>6.0</v>
      </c>
      <c r="T22" s="7">
        <v>700.0</v>
      </c>
      <c r="U22" s="7">
        <f t="shared" si="3"/>
        <v>50400</v>
      </c>
      <c r="V22" s="7">
        <f t="shared" si="4"/>
        <v>6.75</v>
      </c>
      <c r="W22" s="14">
        <f t="shared" si="5"/>
        <v>4725</v>
      </c>
      <c r="X22" s="94">
        <f t="shared" si="6"/>
        <v>6300</v>
      </c>
      <c r="Y22" s="80">
        <v>12.5</v>
      </c>
      <c r="Z22" s="7">
        <v>400.0</v>
      </c>
      <c r="AA22" s="7">
        <v>1.6</v>
      </c>
      <c r="AB22" s="7">
        <f t="shared" si="7"/>
        <v>640</v>
      </c>
      <c r="AC22" s="7">
        <f t="shared" si="8"/>
        <v>350</v>
      </c>
      <c r="AD22" s="7">
        <f t="shared" si="9"/>
        <v>80</v>
      </c>
      <c r="AE22" s="83">
        <f t="shared" si="10"/>
        <v>960</v>
      </c>
      <c r="AF22" s="80">
        <v>34.5</v>
      </c>
      <c r="AG22" s="7">
        <v>750.0</v>
      </c>
      <c r="AH22" s="78">
        <v>0.55</v>
      </c>
      <c r="AI22" s="7">
        <f t="shared" si="11"/>
        <v>412.5</v>
      </c>
      <c r="AJ22" s="7">
        <f t="shared" si="12"/>
        <v>491.25</v>
      </c>
      <c r="AK22" s="7">
        <f t="shared" si="13"/>
        <v>142.3125</v>
      </c>
      <c r="AL22" s="14">
        <f t="shared" si="14"/>
        <v>1707.75</v>
      </c>
      <c r="AM22" s="81">
        <v>4.0</v>
      </c>
      <c r="AN22" s="78">
        <v>1.8</v>
      </c>
      <c r="AO22" s="78">
        <v>25.0</v>
      </c>
      <c r="AP22" s="7">
        <f t="shared" si="15"/>
        <v>45</v>
      </c>
      <c r="AQ22" s="7">
        <f t="shared" si="16"/>
        <v>1.728</v>
      </c>
      <c r="AR22" s="7">
        <f t="shared" si="17"/>
        <v>1.8</v>
      </c>
      <c r="AS22" s="14">
        <f t="shared" si="18"/>
        <v>21.6</v>
      </c>
      <c r="AT22" s="81">
        <v>13.0</v>
      </c>
      <c r="AU22" s="78">
        <v>16000.0</v>
      </c>
      <c r="AV22" s="14">
        <f t="shared" si="19"/>
        <v>2080</v>
      </c>
      <c r="AW22" s="81">
        <v>26.0</v>
      </c>
      <c r="AX22" s="78">
        <v>5500.0</v>
      </c>
      <c r="AY22" s="14">
        <f t="shared" si="20"/>
        <v>1430</v>
      </c>
      <c r="AZ22" s="69">
        <f t="shared" si="21"/>
        <v>12139.35</v>
      </c>
      <c r="BA22" s="115">
        <f t="shared" si="22"/>
        <v>8.0929</v>
      </c>
      <c r="BB22" s="69">
        <f t="shared" si="23"/>
        <v>0.1235651003</v>
      </c>
      <c r="BC22" s="11" t="str">
        <f t="shared" si="24"/>
        <v>YES</v>
      </c>
    </row>
    <row r="23" ht="15.75" customHeight="1">
      <c r="A23" s="12"/>
      <c r="B23" s="25" t="s">
        <v>14</v>
      </c>
      <c r="C23" s="25" t="s">
        <v>506</v>
      </c>
      <c r="D23" s="7" t="s">
        <v>166</v>
      </c>
      <c r="E23" s="7" t="s">
        <v>167</v>
      </c>
      <c r="F23" s="7" t="s">
        <v>51</v>
      </c>
      <c r="G23" s="84" t="s">
        <v>508</v>
      </c>
      <c r="H23" s="7">
        <v>5.0</v>
      </c>
      <c r="I23" s="7">
        <v>1100.0</v>
      </c>
      <c r="J23" s="7"/>
      <c r="L23" s="7"/>
      <c r="M23" s="9">
        <f t="shared" si="1"/>
        <v>220</v>
      </c>
      <c r="N23" s="9">
        <f t="shared" si="2"/>
        <v>44</v>
      </c>
      <c r="O23" s="7">
        <v>1.0</v>
      </c>
      <c r="P23" s="14">
        <f t="shared" si="25"/>
        <v>1100</v>
      </c>
      <c r="Q23" s="79">
        <v>12.0</v>
      </c>
      <c r="R23" s="84">
        <v>12.5</v>
      </c>
      <c r="S23" s="7">
        <v>6.0</v>
      </c>
      <c r="T23" s="7">
        <v>700.0</v>
      </c>
      <c r="U23" s="7">
        <f t="shared" si="3"/>
        <v>50400</v>
      </c>
      <c r="V23" s="7">
        <f t="shared" si="4"/>
        <v>6.75</v>
      </c>
      <c r="W23" s="14">
        <f t="shared" si="5"/>
        <v>4725</v>
      </c>
      <c r="X23" s="94">
        <f t="shared" si="6"/>
        <v>6300</v>
      </c>
      <c r="Y23" s="80">
        <v>12.5</v>
      </c>
      <c r="Z23" s="7">
        <v>400.0</v>
      </c>
      <c r="AA23" s="7">
        <v>1.6</v>
      </c>
      <c r="AB23" s="7">
        <f t="shared" si="7"/>
        <v>640</v>
      </c>
      <c r="AC23" s="7">
        <f t="shared" si="8"/>
        <v>350</v>
      </c>
      <c r="AD23" s="7">
        <f t="shared" si="9"/>
        <v>80</v>
      </c>
      <c r="AE23" s="83">
        <f t="shared" si="10"/>
        <v>960</v>
      </c>
      <c r="AF23" s="80">
        <v>34.5</v>
      </c>
      <c r="AG23" s="7">
        <v>750.0</v>
      </c>
      <c r="AH23" s="78">
        <v>0.55</v>
      </c>
      <c r="AI23" s="7">
        <f t="shared" si="11"/>
        <v>412.5</v>
      </c>
      <c r="AJ23" s="7">
        <f t="shared" si="12"/>
        <v>491.25</v>
      </c>
      <c r="AK23" s="7">
        <f t="shared" si="13"/>
        <v>142.3125</v>
      </c>
      <c r="AL23" s="14">
        <f t="shared" si="14"/>
        <v>1707.75</v>
      </c>
      <c r="AM23" s="81">
        <v>4.0</v>
      </c>
      <c r="AN23" s="78">
        <v>1.8</v>
      </c>
      <c r="AO23" s="78">
        <v>25.0</v>
      </c>
      <c r="AP23" s="7">
        <f t="shared" si="15"/>
        <v>45</v>
      </c>
      <c r="AQ23" s="7">
        <f t="shared" si="16"/>
        <v>1.728</v>
      </c>
      <c r="AR23" s="7">
        <f t="shared" si="17"/>
        <v>1.8</v>
      </c>
      <c r="AS23" s="14">
        <f t="shared" si="18"/>
        <v>21.6</v>
      </c>
      <c r="AT23" s="81">
        <v>13.0</v>
      </c>
      <c r="AU23" s="78">
        <v>16000.0</v>
      </c>
      <c r="AV23" s="14">
        <f t="shared" si="19"/>
        <v>2080</v>
      </c>
      <c r="AW23" s="81">
        <v>26.0</v>
      </c>
      <c r="AX23" s="78">
        <v>5500.0</v>
      </c>
      <c r="AY23" s="14">
        <f t="shared" si="20"/>
        <v>1430</v>
      </c>
      <c r="AZ23" s="69">
        <f t="shared" si="21"/>
        <v>12235.35</v>
      </c>
      <c r="BA23" s="115">
        <f t="shared" si="22"/>
        <v>11.12304545</v>
      </c>
      <c r="BB23" s="69">
        <f t="shared" si="23"/>
        <v>0.08990343554</v>
      </c>
      <c r="BC23" s="11" t="str">
        <f t="shared" si="24"/>
        <v>YES</v>
      </c>
    </row>
    <row r="24" ht="15.75" customHeight="1">
      <c r="A24" s="12"/>
      <c r="B24" s="25" t="s">
        <v>14</v>
      </c>
      <c r="C24" s="25" t="s">
        <v>509</v>
      </c>
      <c r="D24" s="7" t="s">
        <v>182</v>
      </c>
      <c r="E24" s="7" t="s">
        <v>585</v>
      </c>
      <c r="F24" s="7" t="s">
        <v>51</v>
      </c>
      <c r="G24" s="84" t="s">
        <v>510</v>
      </c>
      <c r="H24" s="7">
        <v>5.0</v>
      </c>
      <c r="I24" s="7">
        <v>4320.0</v>
      </c>
      <c r="J24" s="7"/>
      <c r="L24" s="7"/>
      <c r="M24" s="9">
        <f t="shared" si="1"/>
        <v>864</v>
      </c>
      <c r="N24" s="9">
        <f t="shared" si="2"/>
        <v>172.8</v>
      </c>
      <c r="O24" s="7">
        <v>1.0</v>
      </c>
      <c r="P24" s="14">
        <f t="shared" si="25"/>
        <v>4320</v>
      </c>
      <c r="Q24" s="79">
        <v>12.0</v>
      </c>
      <c r="R24" s="84">
        <v>12.5</v>
      </c>
      <c r="S24" s="7">
        <v>6.0</v>
      </c>
      <c r="T24" s="7">
        <v>700.0</v>
      </c>
      <c r="U24" s="7">
        <f t="shared" si="3"/>
        <v>50400</v>
      </c>
      <c r="V24" s="7">
        <f t="shared" si="4"/>
        <v>6.75</v>
      </c>
      <c r="W24" s="14">
        <f t="shared" si="5"/>
        <v>4725</v>
      </c>
      <c r="X24" s="94">
        <f t="shared" si="6"/>
        <v>6300</v>
      </c>
      <c r="Y24" s="80">
        <v>12.5</v>
      </c>
      <c r="Z24" s="7">
        <v>400.0</v>
      </c>
      <c r="AA24" s="7">
        <v>1.6</v>
      </c>
      <c r="AB24" s="7">
        <f t="shared" si="7"/>
        <v>640</v>
      </c>
      <c r="AC24" s="7">
        <f t="shared" si="8"/>
        <v>350</v>
      </c>
      <c r="AD24" s="7">
        <f t="shared" si="9"/>
        <v>80</v>
      </c>
      <c r="AE24" s="83">
        <f t="shared" si="10"/>
        <v>960</v>
      </c>
      <c r="AF24" s="80">
        <v>34.5</v>
      </c>
      <c r="AG24" s="7">
        <v>750.0</v>
      </c>
      <c r="AH24" s="78">
        <v>0.55</v>
      </c>
      <c r="AI24" s="7">
        <f t="shared" si="11"/>
        <v>412.5</v>
      </c>
      <c r="AJ24" s="7">
        <f t="shared" si="12"/>
        <v>491.25</v>
      </c>
      <c r="AK24" s="7">
        <f t="shared" si="13"/>
        <v>142.3125</v>
      </c>
      <c r="AL24" s="14">
        <f t="shared" si="14"/>
        <v>1707.75</v>
      </c>
      <c r="AM24" s="81">
        <v>4.0</v>
      </c>
      <c r="AN24" s="78">
        <v>1.8</v>
      </c>
      <c r="AO24" s="78">
        <v>25.0</v>
      </c>
      <c r="AP24" s="7">
        <f t="shared" si="15"/>
        <v>45</v>
      </c>
      <c r="AQ24" s="7">
        <f t="shared" si="16"/>
        <v>1.728</v>
      </c>
      <c r="AR24" s="7">
        <f t="shared" si="17"/>
        <v>1.8</v>
      </c>
      <c r="AS24" s="14">
        <f t="shared" si="18"/>
        <v>21.6</v>
      </c>
      <c r="AT24" s="81">
        <v>13.0</v>
      </c>
      <c r="AU24" s="78">
        <v>16000.0</v>
      </c>
      <c r="AV24" s="14">
        <f t="shared" si="19"/>
        <v>2080</v>
      </c>
      <c r="AW24" s="81">
        <v>26.0</v>
      </c>
      <c r="AX24" s="78">
        <v>5500.0</v>
      </c>
      <c r="AY24" s="14">
        <f t="shared" si="20"/>
        <v>1430</v>
      </c>
      <c r="AZ24" s="69">
        <f t="shared" si="21"/>
        <v>11462.55</v>
      </c>
      <c r="BA24" s="115">
        <f t="shared" si="22"/>
        <v>2.653368056</v>
      </c>
      <c r="BB24" s="69">
        <f t="shared" si="23"/>
        <v>0.3768794902</v>
      </c>
      <c r="BC24" s="11" t="str">
        <f t="shared" si="24"/>
        <v>YES</v>
      </c>
    </row>
    <row r="25" ht="15.75" customHeight="1">
      <c r="A25" s="12"/>
      <c r="B25" s="25" t="s">
        <v>14</v>
      </c>
      <c r="C25" s="25" t="s">
        <v>141</v>
      </c>
      <c r="D25" s="7" t="s">
        <v>198</v>
      </c>
      <c r="E25" s="7" t="s">
        <v>611</v>
      </c>
      <c r="F25" s="7" t="s">
        <v>51</v>
      </c>
      <c r="G25" s="84" t="s">
        <v>517</v>
      </c>
      <c r="H25" s="7">
        <v>5.0</v>
      </c>
      <c r="I25" s="7">
        <v>7000.0</v>
      </c>
      <c r="J25" s="7"/>
      <c r="L25" s="7"/>
      <c r="M25" s="9">
        <f t="shared" si="1"/>
        <v>1400</v>
      </c>
      <c r="N25" s="9">
        <f t="shared" si="2"/>
        <v>280</v>
      </c>
      <c r="O25" s="7">
        <v>1.0</v>
      </c>
      <c r="P25" s="14">
        <f t="shared" si="25"/>
        <v>7000</v>
      </c>
      <c r="Q25" s="79">
        <v>12.0</v>
      </c>
      <c r="R25" s="84">
        <v>12.5</v>
      </c>
      <c r="S25" s="7">
        <v>6.0</v>
      </c>
      <c r="T25" s="7">
        <v>700.0</v>
      </c>
      <c r="U25" s="7">
        <f t="shared" si="3"/>
        <v>50400</v>
      </c>
      <c r="V25" s="7">
        <f t="shared" si="4"/>
        <v>6.75</v>
      </c>
      <c r="W25" s="14">
        <f t="shared" si="5"/>
        <v>4725</v>
      </c>
      <c r="X25" s="94">
        <f t="shared" si="6"/>
        <v>6300</v>
      </c>
      <c r="Y25" s="80">
        <v>12.5</v>
      </c>
      <c r="Z25" s="7">
        <v>400.0</v>
      </c>
      <c r="AA25" s="7">
        <v>1.6</v>
      </c>
      <c r="AB25" s="7">
        <f t="shared" si="7"/>
        <v>640</v>
      </c>
      <c r="AC25" s="7">
        <f t="shared" si="8"/>
        <v>350</v>
      </c>
      <c r="AD25" s="7">
        <f t="shared" si="9"/>
        <v>80</v>
      </c>
      <c r="AE25" s="83">
        <f t="shared" si="10"/>
        <v>960</v>
      </c>
      <c r="AF25" s="80">
        <v>34.5</v>
      </c>
      <c r="AG25" s="7">
        <v>750.0</v>
      </c>
      <c r="AH25" s="78">
        <v>0.55</v>
      </c>
      <c r="AI25" s="7">
        <f t="shared" si="11"/>
        <v>412.5</v>
      </c>
      <c r="AJ25" s="7">
        <f t="shared" si="12"/>
        <v>491.25</v>
      </c>
      <c r="AK25" s="7">
        <f t="shared" si="13"/>
        <v>142.3125</v>
      </c>
      <c r="AL25" s="14">
        <f t="shared" si="14"/>
        <v>1707.75</v>
      </c>
      <c r="AM25" s="81">
        <v>4.0</v>
      </c>
      <c r="AN25" s="78">
        <v>1.8</v>
      </c>
      <c r="AO25" s="78">
        <v>25.0</v>
      </c>
      <c r="AP25" s="7">
        <f t="shared" si="15"/>
        <v>45</v>
      </c>
      <c r="AQ25" s="7">
        <f t="shared" si="16"/>
        <v>1.728</v>
      </c>
      <c r="AR25" s="7">
        <f t="shared" si="17"/>
        <v>1.8</v>
      </c>
      <c r="AS25" s="14">
        <f t="shared" si="18"/>
        <v>21.6</v>
      </c>
      <c r="AT25" s="81">
        <v>13.0</v>
      </c>
      <c r="AU25" s="78">
        <v>16000.0</v>
      </c>
      <c r="AV25" s="14">
        <f t="shared" si="19"/>
        <v>2080</v>
      </c>
      <c r="AW25" s="81">
        <v>26.0</v>
      </c>
      <c r="AX25" s="78">
        <v>5500.0</v>
      </c>
      <c r="AY25" s="14">
        <f t="shared" si="20"/>
        <v>1430</v>
      </c>
      <c r="AZ25" s="69">
        <f t="shared" si="21"/>
        <v>10819.35</v>
      </c>
      <c r="BA25" s="115">
        <f t="shared" si="22"/>
        <v>1.545621429</v>
      </c>
      <c r="BB25" s="69">
        <f t="shared" si="23"/>
        <v>0.6469889596</v>
      </c>
      <c r="BC25" s="11" t="str">
        <f t="shared" si="24"/>
        <v>YES</v>
      </c>
    </row>
    <row r="26" ht="15.75" customHeight="1">
      <c r="A26" s="12"/>
      <c r="B26" s="25" t="s">
        <v>14</v>
      </c>
      <c r="C26" s="25" t="s">
        <v>141</v>
      </c>
      <c r="D26" s="7" t="s">
        <v>201</v>
      </c>
      <c r="E26" s="7" t="s">
        <v>516</v>
      </c>
      <c r="F26" s="7" t="s">
        <v>51</v>
      </c>
      <c r="G26" s="84" t="s">
        <v>584</v>
      </c>
      <c r="H26" s="7">
        <v>5.0</v>
      </c>
      <c r="I26" s="7">
        <v>10000.0</v>
      </c>
      <c r="J26" s="7"/>
      <c r="L26" s="7"/>
      <c r="M26" s="9">
        <f t="shared" si="1"/>
        <v>2000</v>
      </c>
      <c r="N26" s="9">
        <f t="shared" si="2"/>
        <v>400</v>
      </c>
      <c r="O26" s="7">
        <v>1.0</v>
      </c>
      <c r="P26" s="14">
        <f t="shared" si="25"/>
        <v>10000</v>
      </c>
      <c r="Q26" s="79">
        <v>12.0</v>
      </c>
      <c r="R26" s="84">
        <v>12.5</v>
      </c>
      <c r="S26" s="7">
        <v>6.0</v>
      </c>
      <c r="T26" s="7">
        <v>700.0</v>
      </c>
      <c r="U26" s="7">
        <f t="shared" si="3"/>
        <v>50400</v>
      </c>
      <c r="V26" s="7">
        <f t="shared" si="4"/>
        <v>6.75</v>
      </c>
      <c r="W26" s="14">
        <f t="shared" si="5"/>
        <v>4725</v>
      </c>
      <c r="X26" s="94">
        <f t="shared" si="6"/>
        <v>6300</v>
      </c>
      <c r="Y26" s="80">
        <v>12.5</v>
      </c>
      <c r="Z26" s="7">
        <v>400.0</v>
      </c>
      <c r="AA26" s="7">
        <v>1.6</v>
      </c>
      <c r="AB26" s="7">
        <f t="shared" si="7"/>
        <v>640</v>
      </c>
      <c r="AC26" s="7">
        <f t="shared" si="8"/>
        <v>350</v>
      </c>
      <c r="AD26" s="7">
        <f t="shared" si="9"/>
        <v>80</v>
      </c>
      <c r="AE26" s="83">
        <f t="shared" si="10"/>
        <v>960</v>
      </c>
      <c r="AF26" s="80">
        <v>34.5</v>
      </c>
      <c r="AG26" s="7">
        <v>750.0</v>
      </c>
      <c r="AH26" s="78">
        <v>0.55</v>
      </c>
      <c r="AI26" s="7">
        <f t="shared" si="11"/>
        <v>412.5</v>
      </c>
      <c r="AJ26" s="7">
        <f t="shared" si="12"/>
        <v>491.25</v>
      </c>
      <c r="AK26" s="7">
        <f t="shared" si="13"/>
        <v>142.3125</v>
      </c>
      <c r="AL26" s="14">
        <f t="shared" si="14"/>
        <v>1707.75</v>
      </c>
      <c r="AM26" s="81">
        <v>4.0</v>
      </c>
      <c r="AN26" s="78">
        <v>1.8</v>
      </c>
      <c r="AO26" s="78">
        <v>25.0</v>
      </c>
      <c r="AP26" s="7">
        <f t="shared" si="15"/>
        <v>45</v>
      </c>
      <c r="AQ26" s="7">
        <f t="shared" si="16"/>
        <v>1.728</v>
      </c>
      <c r="AR26" s="7">
        <f t="shared" si="17"/>
        <v>1.8</v>
      </c>
      <c r="AS26" s="14">
        <f t="shared" si="18"/>
        <v>21.6</v>
      </c>
      <c r="AT26" s="81">
        <v>13.0</v>
      </c>
      <c r="AU26" s="78">
        <v>16000.0</v>
      </c>
      <c r="AV26" s="14">
        <f t="shared" si="19"/>
        <v>2080</v>
      </c>
      <c r="AW26" s="81">
        <v>26.0</v>
      </c>
      <c r="AX26" s="78">
        <v>5500.0</v>
      </c>
      <c r="AY26" s="14">
        <f t="shared" si="20"/>
        <v>1430</v>
      </c>
      <c r="AZ26" s="69">
        <f t="shared" si="21"/>
        <v>10099.35</v>
      </c>
      <c r="BA26" s="115">
        <f t="shared" si="22"/>
        <v>1.009935</v>
      </c>
      <c r="BB26" s="69">
        <f t="shared" si="23"/>
        <v>0.9901627332</v>
      </c>
      <c r="BC26" s="11" t="str">
        <f t="shared" si="24"/>
        <v>YES</v>
      </c>
    </row>
    <row r="27" ht="15.75" customHeight="1">
      <c r="A27" s="12"/>
      <c r="B27" s="25" t="s">
        <v>14</v>
      </c>
      <c r="C27" s="25" t="s">
        <v>586</v>
      </c>
      <c r="D27" s="7" t="s">
        <v>587</v>
      </c>
      <c r="E27" s="7" t="s">
        <v>513</v>
      </c>
      <c r="F27" s="7" t="s">
        <v>51</v>
      </c>
      <c r="G27" s="84" t="s">
        <v>514</v>
      </c>
      <c r="H27" s="7">
        <v>5.0</v>
      </c>
      <c r="I27" s="7">
        <v>17500.0</v>
      </c>
      <c r="J27" s="7"/>
      <c r="L27" s="7"/>
      <c r="M27" s="9">
        <f t="shared" si="1"/>
        <v>3500</v>
      </c>
      <c r="N27" s="9">
        <f t="shared" si="2"/>
        <v>700</v>
      </c>
      <c r="O27" s="7">
        <v>1.0</v>
      </c>
      <c r="P27" s="14">
        <f t="shared" si="25"/>
        <v>17500</v>
      </c>
      <c r="Q27" s="79">
        <v>12.0</v>
      </c>
      <c r="R27" s="84">
        <v>12.5</v>
      </c>
      <c r="S27" s="7">
        <v>6.0</v>
      </c>
      <c r="T27" s="7">
        <v>700.0</v>
      </c>
      <c r="U27" s="7">
        <f t="shared" si="3"/>
        <v>50400</v>
      </c>
      <c r="V27" s="7">
        <f t="shared" si="4"/>
        <v>6.75</v>
      </c>
      <c r="W27" s="14">
        <f t="shared" si="5"/>
        <v>4725</v>
      </c>
      <c r="X27" s="94">
        <f t="shared" si="6"/>
        <v>6300</v>
      </c>
      <c r="Y27" s="80">
        <v>12.5</v>
      </c>
      <c r="Z27" s="7">
        <v>400.0</v>
      </c>
      <c r="AA27" s="7">
        <v>1.6</v>
      </c>
      <c r="AB27" s="7">
        <f t="shared" si="7"/>
        <v>640</v>
      </c>
      <c r="AC27" s="7">
        <f t="shared" si="8"/>
        <v>350</v>
      </c>
      <c r="AD27" s="7">
        <f t="shared" si="9"/>
        <v>80</v>
      </c>
      <c r="AE27" s="83">
        <f t="shared" si="10"/>
        <v>960</v>
      </c>
      <c r="AF27" s="80">
        <v>34.5</v>
      </c>
      <c r="AG27" s="7">
        <v>750.0</v>
      </c>
      <c r="AH27" s="78">
        <v>0.55</v>
      </c>
      <c r="AI27" s="7">
        <f t="shared" si="11"/>
        <v>412.5</v>
      </c>
      <c r="AJ27" s="7">
        <f t="shared" si="12"/>
        <v>491.25</v>
      </c>
      <c r="AK27" s="7">
        <f t="shared" si="13"/>
        <v>142.3125</v>
      </c>
      <c r="AL27" s="14">
        <f t="shared" si="14"/>
        <v>1707.75</v>
      </c>
      <c r="AM27" s="81">
        <v>4.0</v>
      </c>
      <c r="AN27" s="78">
        <v>1.8</v>
      </c>
      <c r="AO27" s="78">
        <v>25.0</v>
      </c>
      <c r="AP27" s="7">
        <f t="shared" si="15"/>
        <v>45</v>
      </c>
      <c r="AQ27" s="7">
        <f t="shared" si="16"/>
        <v>1.728</v>
      </c>
      <c r="AR27" s="7">
        <f t="shared" si="17"/>
        <v>1.8</v>
      </c>
      <c r="AS27" s="14">
        <f t="shared" si="18"/>
        <v>21.6</v>
      </c>
      <c r="AT27" s="81">
        <v>13.0</v>
      </c>
      <c r="AU27" s="78">
        <v>16000.0</v>
      </c>
      <c r="AV27" s="14">
        <f t="shared" si="19"/>
        <v>2080</v>
      </c>
      <c r="AW27" s="81">
        <v>26.0</v>
      </c>
      <c r="AX27" s="78">
        <v>5500.0</v>
      </c>
      <c r="AY27" s="14">
        <f t="shared" si="20"/>
        <v>1430</v>
      </c>
      <c r="AZ27" s="69">
        <f t="shared" si="21"/>
        <v>8299.35</v>
      </c>
      <c r="BA27" s="115">
        <f t="shared" si="22"/>
        <v>0.4742485714</v>
      </c>
      <c r="BB27" s="69">
        <f t="shared" si="23"/>
        <v>2.108598866</v>
      </c>
      <c r="BC27" s="11" t="str">
        <f t="shared" si="24"/>
        <v>YES</v>
      </c>
    </row>
    <row r="28" ht="15.75" customHeight="1">
      <c r="A28" s="12"/>
      <c r="B28" s="25" t="s">
        <v>503</v>
      </c>
      <c r="C28" s="25" t="s">
        <v>610</v>
      </c>
      <c r="D28" s="7" t="s">
        <v>171</v>
      </c>
      <c r="E28" s="7" t="s">
        <v>172</v>
      </c>
      <c r="F28" s="7" t="s">
        <v>51</v>
      </c>
      <c r="G28" s="84" t="s">
        <v>176</v>
      </c>
      <c r="H28" s="7">
        <v>5.0</v>
      </c>
      <c r="I28" s="7">
        <v>12500.0</v>
      </c>
      <c r="J28" s="7"/>
      <c r="L28" s="7"/>
      <c r="M28" s="9">
        <f t="shared" si="1"/>
        <v>2500</v>
      </c>
      <c r="N28" s="9">
        <f t="shared" si="2"/>
        <v>500</v>
      </c>
      <c r="O28" s="7">
        <v>1.0</v>
      </c>
      <c r="P28" s="14">
        <f t="shared" si="25"/>
        <v>12500</v>
      </c>
      <c r="Q28" s="79">
        <v>12.0</v>
      </c>
      <c r="R28" s="84">
        <v>12.5</v>
      </c>
      <c r="S28" s="7">
        <v>6.0</v>
      </c>
      <c r="T28" s="7">
        <v>700.0</v>
      </c>
      <c r="U28" s="7">
        <f t="shared" si="3"/>
        <v>50400</v>
      </c>
      <c r="V28" s="7">
        <f t="shared" si="4"/>
        <v>6.75</v>
      </c>
      <c r="W28" s="14">
        <f t="shared" si="5"/>
        <v>4725</v>
      </c>
      <c r="X28" s="94">
        <f t="shared" si="6"/>
        <v>6300</v>
      </c>
      <c r="Y28" s="80">
        <v>12.5</v>
      </c>
      <c r="Z28" s="7">
        <v>400.0</v>
      </c>
      <c r="AA28" s="7">
        <v>1.6</v>
      </c>
      <c r="AB28" s="7">
        <f t="shared" si="7"/>
        <v>640</v>
      </c>
      <c r="AC28" s="7">
        <f t="shared" si="8"/>
        <v>350</v>
      </c>
      <c r="AD28" s="7">
        <f t="shared" si="9"/>
        <v>80</v>
      </c>
      <c r="AE28" s="83">
        <f t="shared" si="10"/>
        <v>960</v>
      </c>
      <c r="AF28" s="80">
        <v>34.5</v>
      </c>
      <c r="AG28" s="7">
        <v>750.0</v>
      </c>
      <c r="AH28" s="78">
        <v>0.55</v>
      </c>
      <c r="AI28" s="7">
        <f t="shared" si="11"/>
        <v>412.5</v>
      </c>
      <c r="AJ28" s="7">
        <f t="shared" si="12"/>
        <v>491.25</v>
      </c>
      <c r="AK28" s="7">
        <f t="shared" si="13"/>
        <v>142.3125</v>
      </c>
      <c r="AL28" s="14">
        <f t="shared" si="14"/>
        <v>1707.75</v>
      </c>
      <c r="AM28" s="81">
        <v>4.0</v>
      </c>
      <c r="AN28" s="78">
        <v>1.8</v>
      </c>
      <c r="AO28" s="78">
        <v>25.0</v>
      </c>
      <c r="AP28" s="7">
        <f t="shared" si="15"/>
        <v>45</v>
      </c>
      <c r="AQ28" s="7">
        <f t="shared" si="16"/>
        <v>1.728</v>
      </c>
      <c r="AR28" s="7">
        <f t="shared" si="17"/>
        <v>1.8</v>
      </c>
      <c r="AS28" s="14">
        <f t="shared" si="18"/>
        <v>21.6</v>
      </c>
      <c r="AT28" s="81">
        <v>13.0</v>
      </c>
      <c r="AU28" s="78">
        <v>16000.0</v>
      </c>
      <c r="AV28" s="14">
        <f t="shared" si="19"/>
        <v>2080</v>
      </c>
      <c r="AW28" s="81">
        <v>26.0</v>
      </c>
      <c r="AX28" s="78">
        <v>5500.0</v>
      </c>
      <c r="AY28" s="14">
        <f t="shared" si="20"/>
        <v>1430</v>
      </c>
      <c r="AZ28" s="69">
        <f t="shared" si="21"/>
        <v>9499.35</v>
      </c>
      <c r="BA28" s="115">
        <f t="shared" si="22"/>
        <v>0.759948</v>
      </c>
      <c r="BB28" s="69">
        <f t="shared" si="23"/>
        <v>1.315879508</v>
      </c>
      <c r="BC28" s="11" t="str">
        <f t="shared" si="24"/>
        <v>YES</v>
      </c>
    </row>
    <row r="29" ht="15.75" customHeight="1">
      <c r="A29" s="12"/>
      <c r="B29" s="25" t="s">
        <v>503</v>
      </c>
      <c r="C29" s="25" t="s">
        <v>177</v>
      </c>
      <c r="D29" s="7" t="s">
        <v>505</v>
      </c>
      <c r="E29" s="7" t="s">
        <v>172</v>
      </c>
      <c r="F29" s="7" t="s">
        <v>51</v>
      </c>
      <c r="G29" s="84"/>
      <c r="H29" s="7">
        <v>5.0</v>
      </c>
      <c r="I29" s="7">
        <v>17500.0</v>
      </c>
      <c r="J29" s="7"/>
      <c r="L29" s="7"/>
      <c r="M29" s="9">
        <f t="shared" si="1"/>
        <v>3500</v>
      </c>
      <c r="N29" s="9">
        <f t="shared" si="2"/>
        <v>700</v>
      </c>
      <c r="O29" s="7">
        <v>1.0</v>
      </c>
      <c r="P29" s="14">
        <f t="shared" si="25"/>
        <v>17500</v>
      </c>
      <c r="Q29" s="79">
        <v>12.0</v>
      </c>
      <c r="R29" s="84">
        <v>12.5</v>
      </c>
      <c r="S29" s="7">
        <v>6.0</v>
      </c>
      <c r="T29" s="7">
        <v>700.0</v>
      </c>
      <c r="U29" s="7">
        <f t="shared" si="3"/>
        <v>50400</v>
      </c>
      <c r="V29" s="7">
        <f t="shared" si="4"/>
        <v>6.75</v>
      </c>
      <c r="W29" s="14">
        <f t="shared" si="5"/>
        <v>4725</v>
      </c>
      <c r="X29" s="94">
        <f t="shared" si="6"/>
        <v>6300</v>
      </c>
      <c r="Y29" s="80">
        <v>12.5</v>
      </c>
      <c r="Z29" s="7">
        <v>400.0</v>
      </c>
      <c r="AA29" s="7">
        <v>1.6</v>
      </c>
      <c r="AB29" s="7">
        <f t="shared" si="7"/>
        <v>640</v>
      </c>
      <c r="AC29" s="7">
        <f t="shared" si="8"/>
        <v>350</v>
      </c>
      <c r="AD29" s="7">
        <f t="shared" si="9"/>
        <v>80</v>
      </c>
      <c r="AE29" s="83">
        <f t="shared" si="10"/>
        <v>960</v>
      </c>
      <c r="AF29" s="80">
        <v>34.5</v>
      </c>
      <c r="AG29" s="7">
        <v>750.0</v>
      </c>
      <c r="AH29" s="78">
        <v>0.55</v>
      </c>
      <c r="AI29" s="7">
        <f t="shared" si="11"/>
        <v>412.5</v>
      </c>
      <c r="AJ29" s="7">
        <f t="shared" si="12"/>
        <v>491.25</v>
      </c>
      <c r="AK29" s="7">
        <f t="shared" si="13"/>
        <v>142.3125</v>
      </c>
      <c r="AL29" s="14">
        <f t="shared" si="14"/>
        <v>1707.75</v>
      </c>
      <c r="AM29" s="81">
        <v>4.0</v>
      </c>
      <c r="AN29" s="78">
        <v>1.8</v>
      </c>
      <c r="AO29" s="78">
        <v>25.0</v>
      </c>
      <c r="AP29" s="7">
        <f t="shared" si="15"/>
        <v>45</v>
      </c>
      <c r="AQ29" s="7">
        <f t="shared" si="16"/>
        <v>1.728</v>
      </c>
      <c r="AR29" s="7">
        <f t="shared" si="17"/>
        <v>1.8</v>
      </c>
      <c r="AS29" s="14">
        <f t="shared" si="18"/>
        <v>21.6</v>
      </c>
      <c r="AT29" s="81">
        <v>13.0</v>
      </c>
      <c r="AU29" s="78">
        <v>16000.0</v>
      </c>
      <c r="AV29" s="14">
        <f t="shared" si="19"/>
        <v>2080</v>
      </c>
      <c r="AW29" s="81">
        <v>26.0</v>
      </c>
      <c r="AX29" s="78">
        <v>5500.0</v>
      </c>
      <c r="AY29" s="14">
        <f t="shared" si="20"/>
        <v>1430</v>
      </c>
      <c r="AZ29" s="69">
        <f t="shared" si="21"/>
        <v>8299.35</v>
      </c>
      <c r="BA29" s="115">
        <f t="shared" si="22"/>
        <v>0.4742485714</v>
      </c>
      <c r="BB29" s="69">
        <f t="shared" si="23"/>
        <v>2.108598866</v>
      </c>
      <c r="BC29" s="11" t="str">
        <f t="shared" si="24"/>
        <v>YES</v>
      </c>
    </row>
    <row r="30" ht="15.75" customHeight="1">
      <c r="A30" s="12"/>
      <c r="B30" s="25" t="s">
        <v>14</v>
      </c>
      <c r="C30" s="25" t="s">
        <v>509</v>
      </c>
      <c r="D30" s="7" t="s">
        <v>212</v>
      </c>
      <c r="E30" s="7" t="s">
        <v>136</v>
      </c>
      <c r="F30" s="7" t="s">
        <v>51</v>
      </c>
      <c r="G30" s="84" t="s">
        <v>504</v>
      </c>
      <c r="H30" s="7">
        <v>5.0</v>
      </c>
      <c r="I30" s="7">
        <v>20000.0</v>
      </c>
      <c r="J30" s="7"/>
      <c r="L30" s="7"/>
      <c r="M30" s="9">
        <f t="shared" si="1"/>
        <v>4000</v>
      </c>
      <c r="N30" s="9">
        <f t="shared" si="2"/>
        <v>800</v>
      </c>
      <c r="O30" s="7">
        <v>1.0</v>
      </c>
      <c r="P30" s="14">
        <f t="shared" si="25"/>
        <v>20000</v>
      </c>
      <c r="Q30" s="79">
        <v>12.0</v>
      </c>
      <c r="R30" s="84">
        <v>12.5</v>
      </c>
      <c r="S30" s="7">
        <v>6.0</v>
      </c>
      <c r="T30" s="7">
        <v>700.0</v>
      </c>
      <c r="U30" s="7">
        <f t="shared" si="3"/>
        <v>50400</v>
      </c>
      <c r="V30" s="7">
        <f t="shared" si="4"/>
        <v>6.75</v>
      </c>
      <c r="W30" s="14">
        <f t="shared" si="5"/>
        <v>4725</v>
      </c>
      <c r="X30" s="94">
        <f t="shared" si="6"/>
        <v>6300</v>
      </c>
      <c r="Y30" s="80">
        <v>12.5</v>
      </c>
      <c r="Z30" s="7">
        <v>400.0</v>
      </c>
      <c r="AA30" s="7">
        <v>1.6</v>
      </c>
      <c r="AB30" s="7">
        <f t="shared" si="7"/>
        <v>640</v>
      </c>
      <c r="AC30" s="7">
        <f t="shared" si="8"/>
        <v>350</v>
      </c>
      <c r="AD30" s="7">
        <f t="shared" si="9"/>
        <v>80</v>
      </c>
      <c r="AE30" s="83">
        <f t="shared" si="10"/>
        <v>960</v>
      </c>
      <c r="AF30" s="80">
        <v>34.5</v>
      </c>
      <c r="AG30" s="7">
        <v>750.0</v>
      </c>
      <c r="AH30" s="78">
        <v>0.55</v>
      </c>
      <c r="AI30" s="7">
        <f t="shared" si="11"/>
        <v>412.5</v>
      </c>
      <c r="AJ30" s="7">
        <f t="shared" si="12"/>
        <v>491.25</v>
      </c>
      <c r="AK30" s="7">
        <f t="shared" si="13"/>
        <v>142.3125</v>
      </c>
      <c r="AL30" s="14">
        <f t="shared" si="14"/>
        <v>1707.75</v>
      </c>
      <c r="AM30" s="81">
        <v>4.0</v>
      </c>
      <c r="AN30" s="78">
        <v>1.8</v>
      </c>
      <c r="AO30" s="78">
        <v>25.0</v>
      </c>
      <c r="AP30" s="7">
        <f t="shared" si="15"/>
        <v>45</v>
      </c>
      <c r="AQ30" s="7">
        <f t="shared" si="16"/>
        <v>1.728</v>
      </c>
      <c r="AR30" s="7">
        <f t="shared" si="17"/>
        <v>1.8</v>
      </c>
      <c r="AS30" s="14">
        <f t="shared" si="18"/>
        <v>21.6</v>
      </c>
      <c r="AT30" s="81">
        <v>13.0</v>
      </c>
      <c r="AU30" s="78">
        <v>16000.0</v>
      </c>
      <c r="AV30" s="14">
        <f t="shared" si="19"/>
        <v>2080</v>
      </c>
      <c r="AW30" s="81">
        <v>26.0</v>
      </c>
      <c r="AX30" s="78">
        <v>5500.0</v>
      </c>
      <c r="AY30" s="14">
        <f t="shared" si="20"/>
        <v>1430</v>
      </c>
      <c r="AZ30" s="69">
        <f t="shared" si="21"/>
        <v>7699.35</v>
      </c>
      <c r="BA30" s="115">
        <f t="shared" si="22"/>
        <v>0.3849675</v>
      </c>
      <c r="BB30" s="69">
        <f t="shared" si="23"/>
        <v>2.597621877</v>
      </c>
      <c r="BC30" s="11" t="str">
        <f t="shared" si="24"/>
        <v>YES</v>
      </c>
    </row>
    <row r="31" ht="15.75" customHeight="1">
      <c r="A31" s="12"/>
      <c r="B31" s="25" t="s">
        <v>14</v>
      </c>
      <c r="C31" s="25" t="s">
        <v>141</v>
      </c>
      <c r="D31" s="7" t="s">
        <v>216</v>
      </c>
      <c r="E31" s="7" t="s">
        <v>172</v>
      </c>
      <c r="F31" s="7" t="s">
        <v>51</v>
      </c>
      <c r="G31" s="84" t="s">
        <v>504</v>
      </c>
      <c r="H31" s="7">
        <v>5.0</v>
      </c>
      <c r="I31" s="7">
        <v>20000.0</v>
      </c>
      <c r="J31" s="7"/>
      <c r="L31" s="7"/>
      <c r="M31" s="9">
        <f t="shared" si="1"/>
        <v>4000</v>
      </c>
      <c r="N31" s="9">
        <f t="shared" si="2"/>
        <v>800</v>
      </c>
      <c r="O31" s="7">
        <v>1.0</v>
      </c>
      <c r="P31" s="14">
        <f t="shared" si="25"/>
        <v>20000</v>
      </c>
      <c r="Q31" s="79">
        <v>12.0</v>
      </c>
      <c r="R31" s="84">
        <v>12.5</v>
      </c>
      <c r="S31" s="7">
        <v>6.0</v>
      </c>
      <c r="T31" s="7">
        <v>700.0</v>
      </c>
      <c r="U31" s="7">
        <f t="shared" si="3"/>
        <v>50400</v>
      </c>
      <c r="V31" s="7">
        <f t="shared" si="4"/>
        <v>6.75</v>
      </c>
      <c r="W31" s="14">
        <f t="shared" si="5"/>
        <v>4725</v>
      </c>
      <c r="X31" s="94">
        <f t="shared" si="6"/>
        <v>6300</v>
      </c>
      <c r="Y31" s="80">
        <v>12.5</v>
      </c>
      <c r="Z31" s="7">
        <v>400.0</v>
      </c>
      <c r="AA31" s="7">
        <v>1.6</v>
      </c>
      <c r="AB31" s="7">
        <f t="shared" si="7"/>
        <v>640</v>
      </c>
      <c r="AC31" s="7">
        <f t="shared" si="8"/>
        <v>350</v>
      </c>
      <c r="AD31" s="7">
        <f t="shared" si="9"/>
        <v>80</v>
      </c>
      <c r="AE31" s="83">
        <f t="shared" si="10"/>
        <v>960</v>
      </c>
      <c r="AF31" s="80">
        <v>34.5</v>
      </c>
      <c r="AG31" s="7">
        <v>750.0</v>
      </c>
      <c r="AH31" s="78">
        <v>0.55</v>
      </c>
      <c r="AI31" s="7">
        <f t="shared" si="11"/>
        <v>412.5</v>
      </c>
      <c r="AJ31" s="7">
        <f t="shared" si="12"/>
        <v>491.25</v>
      </c>
      <c r="AK31" s="7">
        <f t="shared" si="13"/>
        <v>142.3125</v>
      </c>
      <c r="AL31" s="14">
        <f t="shared" si="14"/>
        <v>1707.75</v>
      </c>
      <c r="AM31" s="81">
        <v>4.0</v>
      </c>
      <c r="AN31" s="78">
        <v>1.8</v>
      </c>
      <c r="AO31" s="78">
        <v>25.0</v>
      </c>
      <c r="AP31" s="7">
        <f t="shared" si="15"/>
        <v>45</v>
      </c>
      <c r="AQ31" s="7">
        <f t="shared" si="16"/>
        <v>1.728</v>
      </c>
      <c r="AR31" s="7">
        <f t="shared" si="17"/>
        <v>1.8</v>
      </c>
      <c r="AS31" s="14">
        <f t="shared" si="18"/>
        <v>21.6</v>
      </c>
      <c r="AT31" s="81">
        <v>13.0</v>
      </c>
      <c r="AU31" s="78">
        <v>16000.0</v>
      </c>
      <c r="AV31" s="14">
        <f t="shared" si="19"/>
        <v>2080</v>
      </c>
      <c r="AW31" s="81">
        <v>26.0</v>
      </c>
      <c r="AX31" s="78">
        <v>5500.0</v>
      </c>
      <c r="AY31" s="14">
        <f t="shared" si="20"/>
        <v>1430</v>
      </c>
      <c r="AZ31" s="69">
        <f t="shared" si="21"/>
        <v>7699.35</v>
      </c>
      <c r="BA31" s="115">
        <f t="shared" si="22"/>
        <v>0.3849675</v>
      </c>
      <c r="BB31" s="69">
        <f t="shared" si="23"/>
        <v>2.597621877</v>
      </c>
      <c r="BC31" s="11" t="str">
        <f t="shared" si="24"/>
        <v>YES</v>
      </c>
    </row>
    <row r="32" ht="15.75" customHeight="1">
      <c r="A32" s="12"/>
      <c r="B32" s="25" t="s">
        <v>14</v>
      </c>
      <c r="C32" s="25" t="s">
        <v>177</v>
      </c>
      <c r="D32" s="7" t="s">
        <v>186</v>
      </c>
      <c r="E32" s="7" t="s">
        <v>187</v>
      </c>
      <c r="F32" s="7" t="s">
        <v>51</v>
      </c>
      <c r="G32" s="84" t="s">
        <v>511</v>
      </c>
      <c r="H32" s="7">
        <v>5.0</v>
      </c>
      <c r="I32" s="7">
        <v>4100.0</v>
      </c>
      <c r="J32" s="7"/>
      <c r="L32" s="7"/>
      <c r="M32" s="9">
        <f t="shared" si="1"/>
        <v>820</v>
      </c>
      <c r="N32" s="9">
        <f t="shared" si="2"/>
        <v>164</v>
      </c>
      <c r="O32" s="7">
        <v>1.0</v>
      </c>
      <c r="P32" s="14">
        <f t="shared" si="25"/>
        <v>4100</v>
      </c>
      <c r="Q32" s="79">
        <v>12.0</v>
      </c>
      <c r="R32" s="84">
        <v>12.5</v>
      </c>
      <c r="S32" s="7">
        <v>6.0</v>
      </c>
      <c r="T32" s="7">
        <v>700.0</v>
      </c>
      <c r="U32" s="7">
        <f t="shared" si="3"/>
        <v>50400</v>
      </c>
      <c r="V32" s="7">
        <f t="shared" si="4"/>
        <v>6.75</v>
      </c>
      <c r="W32" s="14">
        <f t="shared" si="5"/>
        <v>4725</v>
      </c>
      <c r="X32" s="94">
        <f t="shared" si="6"/>
        <v>6300</v>
      </c>
      <c r="Y32" s="80">
        <v>12.5</v>
      </c>
      <c r="Z32" s="7">
        <v>400.0</v>
      </c>
      <c r="AA32" s="7">
        <v>1.6</v>
      </c>
      <c r="AB32" s="7">
        <f t="shared" si="7"/>
        <v>640</v>
      </c>
      <c r="AC32" s="7">
        <f t="shared" si="8"/>
        <v>350</v>
      </c>
      <c r="AD32" s="7">
        <f t="shared" si="9"/>
        <v>80</v>
      </c>
      <c r="AE32" s="83">
        <f t="shared" si="10"/>
        <v>960</v>
      </c>
      <c r="AF32" s="80">
        <v>34.5</v>
      </c>
      <c r="AG32" s="7">
        <v>750.0</v>
      </c>
      <c r="AH32" s="78">
        <v>0.55</v>
      </c>
      <c r="AI32" s="7">
        <f t="shared" si="11"/>
        <v>412.5</v>
      </c>
      <c r="AJ32" s="7">
        <f t="shared" si="12"/>
        <v>491.25</v>
      </c>
      <c r="AK32" s="7">
        <f t="shared" si="13"/>
        <v>142.3125</v>
      </c>
      <c r="AL32" s="14">
        <f t="shared" si="14"/>
        <v>1707.75</v>
      </c>
      <c r="AM32" s="81">
        <v>4.0</v>
      </c>
      <c r="AN32" s="78">
        <v>1.8</v>
      </c>
      <c r="AO32" s="78">
        <v>25.0</v>
      </c>
      <c r="AP32" s="7">
        <f t="shared" si="15"/>
        <v>45</v>
      </c>
      <c r="AQ32" s="7">
        <f t="shared" si="16"/>
        <v>1.728</v>
      </c>
      <c r="AR32" s="7">
        <f t="shared" si="17"/>
        <v>1.8</v>
      </c>
      <c r="AS32" s="14">
        <f t="shared" si="18"/>
        <v>21.6</v>
      </c>
      <c r="AT32" s="81">
        <v>13.0</v>
      </c>
      <c r="AU32" s="78">
        <v>16000.0</v>
      </c>
      <c r="AV32" s="14">
        <f t="shared" si="19"/>
        <v>2080</v>
      </c>
      <c r="AW32" s="81">
        <v>26.0</v>
      </c>
      <c r="AX32" s="78">
        <v>5500.0</v>
      </c>
      <c r="AY32" s="14">
        <f t="shared" si="20"/>
        <v>1430</v>
      </c>
      <c r="AZ32" s="69">
        <f t="shared" si="21"/>
        <v>11515.35</v>
      </c>
      <c r="BA32" s="115">
        <f t="shared" si="22"/>
        <v>2.808621951</v>
      </c>
      <c r="BB32" s="69">
        <f t="shared" si="23"/>
        <v>0.3560464945</v>
      </c>
      <c r="BC32" s="11" t="str">
        <f t="shared" si="24"/>
        <v>YES</v>
      </c>
    </row>
    <row r="33" ht="15.75" customHeight="1">
      <c r="A33" s="12"/>
      <c r="B33" s="25" t="s">
        <v>14</v>
      </c>
      <c r="C33" s="25" t="s">
        <v>141</v>
      </c>
      <c r="D33" s="7" t="s">
        <v>191</v>
      </c>
      <c r="E33" s="7" t="s">
        <v>187</v>
      </c>
      <c r="F33" s="7" t="s">
        <v>51</v>
      </c>
      <c r="G33" s="84" t="s">
        <v>515</v>
      </c>
      <c r="H33" s="7">
        <v>5.0</v>
      </c>
      <c r="I33" s="7">
        <v>15000.0</v>
      </c>
      <c r="J33" s="7"/>
      <c r="L33" s="7"/>
      <c r="M33" s="9">
        <f t="shared" si="1"/>
        <v>3000</v>
      </c>
      <c r="N33" s="9">
        <f t="shared" si="2"/>
        <v>600</v>
      </c>
      <c r="O33" s="7">
        <v>1.0</v>
      </c>
      <c r="P33" s="14">
        <f t="shared" si="25"/>
        <v>15000</v>
      </c>
      <c r="Q33" s="79">
        <v>12.0</v>
      </c>
      <c r="R33" s="84">
        <v>12.5</v>
      </c>
      <c r="S33" s="7">
        <v>6.0</v>
      </c>
      <c r="T33" s="7">
        <v>700.0</v>
      </c>
      <c r="U33" s="7">
        <f t="shared" si="3"/>
        <v>50400</v>
      </c>
      <c r="V33" s="7">
        <f t="shared" si="4"/>
        <v>6.75</v>
      </c>
      <c r="W33" s="14">
        <f t="shared" si="5"/>
        <v>4725</v>
      </c>
      <c r="X33" s="94">
        <f t="shared" si="6"/>
        <v>6300</v>
      </c>
      <c r="Y33" s="80">
        <v>12.5</v>
      </c>
      <c r="Z33" s="7">
        <v>400.0</v>
      </c>
      <c r="AA33" s="7">
        <v>1.6</v>
      </c>
      <c r="AB33" s="7">
        <f t="shared" si="7"/>
        <v>640</v>
      </c>
      <c r="AC33" s="7">
        <f t="shared" si="8"/>
        <v>350</v>
      </c>
      <c r="AD33" s="7">
        <f t="shared" si="9"/>
        <v>80</v>
      </c>
      <c r="AE33" s="83">
        <f t="shared" si="10"/>
        <v>960</v>
      </c>
      <c r="AF33" s="80">
        <v>34.5</v>
      </c>
      <c r="AG33" s="7">
        <v>750.0</v>
      </c>
      <c r="AH33" s="78">
        <v>0.55</v>
      </c>
      <c r="AI33" s="7">
        <f t="shared" si="11"/>
        <v>412.5</v>
      </c>
      <c r="AJ33" s="7">
        <f t="shared" si="12"/>
        <v>491.25</v>
      </c>
      <c r="AK33" s="7">
        <f t="shared" si="13"/>
        <v>142.3125</v>
      </c>
      <c r="AL33" s="14">
        <f t="shared" si="14"/>
        <v>1707.75</v>
      </c>
      <c r="AM33" s="81">
        <v>4.0</v>
      </c>
      <c r="AN33" s="78">
        <v>1.8</v>
      </c>
      <c r="AO33" s="78">
        <v>25.0</v>
      </c>
      <c r="AP33" s="7">
        <f t="shared" si="15"/>
        <v>45</v>
      </c>
      <c r="AQ33" s="7">
        <f t="shared" si="16"/>
        <v>1.728</v>
      </c>
      <c r="AR33" s="7">
        <f t="shared" si="17"/>
        <v>1.8</v>
      </c>
      <c r="AS33" s="14">
        <f t="shared" si="18"/>
        <v>21.6</v>
      </c>
      <c r="AT33" s="81">
        <v>13.0</v>
      </c>
      <c r="AU33" s="78">
        <v>16000.0</v>
      </c>
      <c r="AV33" s="14">
        <f t="shared" si="19"/>
        <v>2080</v>
      </c>
      <c r="AW33" s="81">
        <v>26.0</v>
      </c>
      <c r="AX33" s="78">
        <v>5500.0</v>
      </c>
      <c r="AY33" s="14">
        <f t="shared" si="20"/>
        <v>1430</v>
      </c>
      <c r="AZ33" s="69">
        <f t="shared" si="21"/>
        <v>8899.35</v>
      </c>
      <c r="BA33" s="115">
        <f t="shared" si="22"/>
        <v>0.59329</v>
      </c>
      <c r="BB33" s="69">
        <f t="shared" si="23"/>
        <v>1.685516358</v>
      </c>
      <c r="BC33" s="11" t="str">
        <f t="shared" si="24"/>
        <v>YES</v>
      </c>
    </row>
    <row r="34" ht="15.75" customHeight="1">
      <c r="A34" s="18"/>
      <c r="B34" s="86" t="s">
        <v>14</v>
      </c>
      <c r="C34" s="86" t="s">
        <v>141</v>
      </c>
      <c r="D34" s="19" t="s">
        <v>194</v>
      </c>
      <c r="E34" s="19" t="s">
        <v>583</v>
      </c>
      <c r="F34" s="19" t="s">
        <v>51</v>
      </c>
      <c r="G34" s="88" t="s">
        <v>518</v>
      </c>
      <c r="H34" s="19">
        <v>5.0</v>
      </c>
      <c r="I34" s="19">
        <v>6000.0</v>
      </c>
      <c r="J34" s="19"/>
      <c r="K34" s="19"/>
      <c r="L34" s="19"/>
      <c r="M34" s="9">
        <f t="shared" si="1"/>
        <v>1200</v>
      </c>
      <c r="N34" s="9">
        <f t="shared" si="2"/>
        <v>240</v>
      </c>
      <c r="O34" s="19">
        <v>1.0</v>
      </c>
      <c r="P34" s="21">
        <f t="shared" si="25"/>
        <v>6000</v>
      </c>
      <c r="Q34" s="87">
        <v>12.0</v>
      </c>
      <c r="R34" s="88">
        <v>12.5</v>
      </c>
      <c r="S34" s="19">
        <v>6.0</v>
      </c>
      <c r="T34" s="19">
        <v>700.0</v>
      </c>
      <c r="U34" s="19">
        <f t="shared" si="3"/>
        <v>50400</v>
      </c>
      <c r="V34" s="19">
        <f t="shared" si="4"/>
        <v>6.75</v>
      </c>
      <c r="W34" s="21">
        <f t="shared" si="5"/>
        <v>4725</v>
      </c>
      <c r="X34" s="89">
        <f t="shared" si="6"/>
        <v>6300</v>
      </c>
      <c r="Y34" s="90">
        <v>12.5</v>
      </c>
      <c r="Z34" s="19">
        <v>400.0</v>
      </c>
      <c r="AA34" s="19">
        <v>1.6</v>
      </c>
      <c r="AB34" s="19">
        <f t="shared" si="7"/>
        <v>640</v>
      </c>
      <c r="AC34" s="19">
        <f t="shared" si="8"/>
        <v>350</v>
      </c>
      <c r="AD34" s="19">
        <f t="shared" si="9"/>
        <v>80</v>
      </c>
      <c r="AE34" s="91">
        <f t="shared" si="10"/>
        <v>960</v>
      </c>
      <c r="AF34" s="90">
        <v>34.5</v>
      </c>
      <c r="AG34" s="19">
        <v>750.0</v>
      </c>
      <c r="AH34" s="93">
        <v>0.55</v>
      </c>
      <c r="AI34" s="19">
        <f t="shared" si="11"/>
        <v>412.5</v>
      </c>
      <c r="AJ34" s="19">
        <f t="shared" si="12"/>
        <v>491.25</v>
      </c>
      <c r="AK34" s="19">
        <f t="shared" si="13"/>
        <v>142.3125</v>
      </c>
      <c r="AL34" s="21">
        <f t="shared" si="14"/>
        <v>1707.75</v>
      </c>
      <c r="AM34" s="104">
        <v>4.0</v>
      </c>
      <c r="AN34" s="93">
        <v>1.8</v>
      </c>
      <c r="AO34" s="93">
        <v>25.0</v>
      </c>
      <c r="AP34" s="19">
        <f t="shared" si="15"/>
        <v>45</v>
      </c>
      <c r="AQ34" s="19">
        <f t="shared" si="16"/>
        <v>1.728</v>
      </c>
      <c r="AR34" s="19">
        <f t="shared" si="17"/>
        <v>1.8</v>
      </c>
      <c r="AS34" s="21">
        <f t="shared" si="18"/>
        <v>21.6</v>
      </c>
      <c r="AT34" s="104">
        <v>13.0</v>
      </c>
      <c r="AU34" s="93">
        <v>16000.0</v>
      </c>
      <c r="AV34" s="21">
        <f t="shared" si="19"/>
        <v>2080</v>
      </c>
      <c r="AW34" s="104">
        <v>26.0</v>
      </c>
      <c r="AX34" s="93">
        <v>5500.0</v>
      </c>
      <c r="AY34" s="21">
        <f t="shared" si="20"/>
        <v>1430</v>
      </c>
      <c r="AZ34" s="69">
        <f t="shared" si="21"/>
        <v>11059.35</v>
      </c>
      <c r="BA34" s="115">
        <f t="shared" si="22"/>
        <v>1.843225</v>
      </c>
      <c r="BB34" s="69">
        <f t="shared" si="23"/>
        <v>0.5425273637</v>
      </c>
      <c r="BC34" s="11" t="str">
        <f t="shared" si="24"/>
        <v>YES</v>
      </c>
    </row>
    <row r="35" ht="15.75" customHeight="1">
      <c r="A35" s="8" t="s">
        <v>612</v>
      </c>
      <c r="B35" s="68" t="s">
        <v>14</v>
      </c>
      <c r="C35" s="68" t="s">
        <v>613</v>
      </c>
      <c r="D35" s="9" t="s">
        <v>220</v>
      </c>
      <c r="E35" s="9" t="s">
        <v>221</v>
      </c>
      <c r="F35" s="9" t="s">
        <v>51</v>
      </c>
      <c r="G35" s="75" t="s">
        <v>520</v>
      </c>
      <c r="H35" s="9">
        <v>5.0</v>
      </c>
      <c r="I35" s="9"/>
      <c r="J35" s="9"/>
      <c r="K35" s="9"/>
      <c r="L35" s="9">
        <v>260.0</v>
      </c>
      <c r="M35" s="9">
        <f t="shared" si="1"/>
        <v>260</v>
      </c>
      <c r="N35" s="9">
        <f t="shared" si="2"/>
        <v>52</v>
      </c>
      <c r="O35" s="9">
        <v>1.0</v>
      </c>
      <c r="P35" s="11">
        <f t="shared" si="25"/>
        <v>1300</v>
      </c>
      <c r="Q35" s="69">
        <v>12.0</v>
      </c>
      <c r="R35" s="75">
        <v>17.0</v>
      </c>
      <c r="S35" s="9">
        <v>6.0</v>
      </c>
      <c r="T35" s="9">
        <v>700.0</v>
      </c>
      <c r="U35" s="9">
        <f t="shared" si="3"/>
        <v>50400</v>
      </c>
      <c r="V35" s="9">
        <f t="shared" si="4"/>
        <v>7.02</v>
      </c>
      <c r="W35" s="11">
        <f t="shared" si="5"/>
        <v>4914</v>
      </c>
      <c r="X35" s="72">
        <f t="shared" si="6"/>
        <v>8568</v>
      </c>
      <c r="Y35" s="71">
        <v>8.0</v>
      </c>
      <c r="Z35" s="9">
        <v>400.0</v>
      </c>
      <c r="AA35" s="9">
        <v>1.6</v>
      </c>
      <c r="AB35" s="9">
        <f t="shared" si="7"/>
        <v>640</v>
      </c>
      <c r="AC35" s="9">
        <f t="shared" si="8"/>
        <v>368</v>
      </c>
      <c r="AD35" s="9">
        <f t="shared" si="9"/>
        <v>51.2</v>
      </c>
      <c r="AE35" s="73">
        <f t="shared" si="10"/>
        <v>614.4</v>
      </c>
      <c r="AF35" s="75">
        <v>20.0</v>
      </c>
      <c r="AG35" s="9">
        <v>750.0</v>
      </c>
      <c r="AH35" s="74">
        <v>0.55</v>
      </c>
      <c r="AI35" s="9">
        <f t="shared" si="11"/>
        <v>412.5</v>
      </c>
      <c r="AJ35" s="9">
        <f t="shared" si="12"/>
        <v>600</v>
      </c>
      <c r="AK35" s="9">
        <f t="shared" si="13"/>
        <v>82.5</v>
      </c>
      <c r="AL35" s="11">
        <f t="shared" si="14"/>
        <v>990</v>
      </c>
      <c r="AM35" s="75">
        <v>25.0</v>
      </c>
      <c r="AN35" s="74">
        <v>1.8</v>
      </c>
      <c r="AO35" s="74">
        <v>25.0</v>
      </c>
      <c r="AP35" s="9">
        <f t="shared" si="15"/>
        <v>45</v>
      </c>
      <c r="AQ35" s="9">
        <f t="shared" si="16"/>
        <v>1.35</v>
      </c>
      <c r="AR35" s="9">
        <f t="shared" si="17"/>
        <v>11.25</v>
      </c>
      <c r="AS35" s="11">
        <f t="shared" si="18"/>
        <v>135</v>
      </c>
      <c r="AT35" s="71">
        <v>2.8</v>
      </c>
      <c r="AU35" s="74">
        <v>16000.0</v>
      </c>
      <c r="AV35" s="11">
        <f t="shared" si="19"/>
        <v>448</v>
      </c>
      <c r="AW35" s="76">
        <v>0.0</v>
      </c>
      <c r="AX35" s="74">
        <v>5500.0</v>
      </c>
      <c r="AY35" s="11">
        <f t="shared" si="20"/>
        <v>0</v>
      </c>
      <c r="AZ35" s="69">
        <f t="shared" si="21"/>
        <v>10183.4</v>
      </c>
      <c r="BA35" s="115">
        <f t="shared" si="22"/>
        <v>7.833384615</v>
      </c>
      <c r="BB35" s="69">
        <f t="shared" si="23"/>
        <v>0.1276587387</v>
      </c>
      <c r="BC35" s="11" t="str">
        <f t="shared" si="24"/>
        <v>YES</v>
      </c>
    </row>
    <row r="36" ht="15.75" customHeight="1">
      <c r="A36" s="12"/>
      <c r="B36" s="25" t="s">
        <v>14</v>
      </c>
      <c r="C36" s="25" t="s">
        <v>225</v>
      </c>
      <c r="D36" s="7" t="s">
        <v>226</v>
      </c>
      <c r="E36" s="7" t="s">
        <v>588</v>
      </c>
      <c r="F36" s="7" t="s">
        <v>51</v>
      </c>
      <c r="G36" s="84" t="s">
        <v>521</v>
      </c>
      <c r="H36" s="7">
        <v>5.0</v>
      </c>
      <c r="I36" s="7">
        <v>22300.0</v>
      </c>
      <c r="J36" s="7"/>
      <c r="L36" s="7"/>
      <c r="M36" s="9">
        <f t="shared" si="1"/>
        <v>4460</v>
      </c>
      <c r="N36" s="9">
        <f t="shared" si="2"/>
        <v>892</v>
      </c>
      <c r="O36" s="7">
        <v>1.0</v>
      </c>
      <c r="P36" s="14">
        <f t="shared" si="25"/>
        <v>22300</v>
      </c>
      <c r="Q36" s="79">
        <v>12.0</v>
      </c>
      <c r="R36" s="84">
        <v>17.0</v>
      </c>
      <c r="S36" s="7">
        <v>6.0</v>
      </c>
      <c r="T36" s="7">
        <v>700.0</v>
      </c>
      <c r="U36" s="7">
        <f t="shared" si="3"/>
        <v>50400</v>
      </c>
      <c r="V36" s="7">
        <f t="shared" si="4"/>
        <v>7.02</v>
      </c>
      <c r="W36" s="14">
        <f t="shared" si="5"/>
        <v>4914</v>
      </c>
      <c r="X36" s="94">
        <f t="shared" si="6"/>
        <v>8568</v>
      </c>
      <c r="Y36" s="80">
        <v>8.0</v>
      </c>
      <c r="Z36" s="7">
        <v>400.0</v>
      </c>
      <c r="AA36" s="7">
        <v>1.6</v>
      </c>
      <c r="AB36" s="7">
        <f t="shared" si="7"/>
        <v>640</v>
      </c>
      <c r="AC36" s="7">
        <f t="shared" si="8"/>
        <v>368</v>
      </c>
      <c r="AD36" s="7">
        <f t="shared" si="9"/>
        <v>51.2</v>
      </c>
      <c r="AE36" s="83">
        <f t="shared" si="10"/>
        <v>614.4</v>
      </c>
      <c r="AF36" s="82">
        <v>0.0</v>
      </c>
      <c r="AG36" s="7">
        <v>750.0</v>
      </c>
      <c r="AH36" s="78">
        <v>0.55</v>
      </c>
      <c r="AI36" s="7">
        <f t="shared" si="11"/>
        <v>412.5</v>
      </c>
      <c r="AJ36" s="7">
        <f t="shared" si="12"/>
        <v>750</v>
      </c>
      <c r="AK36" s="7">
        <f t="shared" si="13"/>
        <v>0</v>
      </c>
      <c r="AL36" s="14">
        <f t="shared" si="14"/>
        <v>0</v>
      </c>
      <c r="AM36" s="82">
        <v>0.0</v>
      </c>
      <c r="AN36" s="78">
        <v>1.8</v>
      </c>
      <c r="AO36" s="78">
        <v>25.0</v>
      </c>
      <c r="AP36" s="7">
        <f t="shared" si="15"/>
        <v>45</v>
      </c>
      <c r="AQ36" s="7">
        <f t="shared" si="16"/>
        <v>1.8</v>
      </c>
      <c r="AR36" s="7">
        <f t="shared" si="17"/>
        <v>0</v>
      </c>
      <c r="AS36" s="14">
        <f t="shared" si="18"/>
        <v>0</v>
      </c>
      <c r="AT36" s="80">
        <v>2.8</v>
      </c>
      <c r="AU36" s="78">
        <v>16000.0</v>
      </c>
      <c r="AV36" s="14">
        <f t="shared" si="19"/>
        <v>448</v>
      </c>
      <c r="AW36" s="82">
        <v>0.0</v>
      </c>
      <c r="AX36" s="78">
        <v>5500.0</v>
      </c>
      <c r="AY36" s="14">
        <f t="shared" si="20"/>
        <v>0</v>
      </c>
      <c r="AZ36" s="69">
        <f t="shared" si="21"/>
        <v>4278.4</v>
      </c>
      <c r="BA36" s="115">
        <f t="shared" si="22"/>
        <v>0.1918565022</v>
      </c>
      <c r="BB36" s="69">
        <f t="shared" si="23"/>
        <v>5.212228871</v>
      </c>
      <c r="BC36" s="11" t="str">
        <f t="shared" si="24"/>
        <v>YES</v>
      </c>
    </row>
    <row r="37" ht="15.75" customHeight="1">
      <c r="A37" s="12"/>
      <c r="B37" s="25" t="s">
        <v>14</v>
      </c>
      <c r="C37" s="25" t="s">
        <v>238</v>
      </c>
      <c r="D37" s="7" t="s">
        <v>239</v>
      </c>
      <c r="E37" s="7" t="s">
        <v>187</v>
      </c>
      <c r="F37" s="7" t="s">
        <v>51</v>
      </c>
      <c r="G37" s="84" t="s">
        <v>523</v>
      </c>
      <c r="H37" s="7">
        <v>5.0</v>
      </c>
      <c r="I37" s="7">
        <v>3000.0</v>
      </c>
      <c r="J37" s="7"/>
      <c r="L37" s="7"/>
      <c r="M37" s="9">
        <f t="shared" si="1"/>
        <v>600</v>
      </c>
      <c r="N37" s="9">
        <f t="shared" si="2"/>
        <v>120</v>
      </c>
      <c r="O37" s="7">
        <v>1.0</v>
      </c>
      <c r="P37" s="14">
        <f t="shared" si="25"/>
        <v>3000</v>
      </c>
      <c r="Q37" s="79">
        <v>12.0</v>
      </c>
      <c r="R37" s="84">
        <v>17.0</v>
      </c>
      <c r="S37" s="7">
        <v>6.0</v>
      </c>
      <c r="T37" s="7">
        <v>700.0</v>
      </c>
      <c r="U37" s="7">
        <f t="shared" si="3"/>
        <v>50400</v>
      </c>
      <c r="V37" s="7">
        <f t="shared" si="4"/>
        <v>7.02</v>
      </c>
      <c r="W37" s="14">
        <f t="shared" si="5"/>
        <v>4914</v>
      </c>
      <c r="X37" s="94">
        <f t="shared" si="6"/>
        <v>8568</v>
      </c>
      <c r="Y37" s="82">
        <v>0.0</v>
      </c>
      <c r="Z37" s="7">
        <v>400.0</v>
      </c>
      <c r="AA37" s="7">
        <v>1.6</v>
      </c>
      <c r="AB37" s="7">
        <f t="shared" si="7"/>
        <v>640</v>
      </c>
      <c r="AC37" s="7">
        <f t="shared" si="8"/>
        <v>400</v>
      </c>
      <c r="AD37" s="7">
        <f t="shared" si="9"/>
        <v>0</v>
      </c>
      <c r="AE37" s="83">
        <f t="shared" si="10"/>
        <v>0</v>
      </c>
      <c r="AF37" s="82">
        <v>0.0</v>
      </c>
      <c r="AG37" s="7">
        <v>750.0</v>
      </c>
      <c r="AH37" s="78">
        <v>0.55</v>
      </c>
      <c r="AI37" s="7">
        <f t="shared" si="11"/>
        <v>412.5</v>
      </c>
      <c r="AJ37" s="7">
        <f t="shared" si="12"/>
        <v>750</v>
      </c>
      <c r="AK37" s="7">
        <f t="shared" si="13"/>
        <v>0</v>
      </c>
      <c r="AL37" s="14">
        <f t="shared" si="14"/>
        <v>0</v>
      </c>
      <c r="AM37" s="84">
        <v>25.0</v>
      </c>
      <c r="AN37" s="78">
        <v>1.8</v>
      </c>
      <c r="AO37" s="78">
        <v>25.0</v>
      </c>
      <c r="AP37" s="7">
        <f t="shared" si="15"/>
        <v>45</v>
      </c>
      <c r="AQ37" s="7">
        <f t="shared" si="16"/>
        <v>1.35</v>
      </c>
      <c r="AR37" s="7">
        <f t="shared" si="17"/>
        <v>11.25</v>
      </c>
      <c r="AS37" s="14">
        <f t="shared" si="18"/>
        <v>135</v>
      </c>
      <c r="AT37" s="80">
        <v>2.8</v>
      </c>
      <c r="AU37" s="78">
        <v>16000.0</v>
      </c>
      <c r="AV37" s="14">
        <f t="shared" si="19"/>
        <v>448</v>
      </c>
      <c r="AW37" s="82">
        <v>0.0</v>
      </c>
      <c r="AX37" s="78">
        <v>5500.0</v>
      </c>
      <c r="AY37" s="14">
        <f t="shared" si="20"/>
        <v>0</v>
      </c>
      <c r="AZ37" s="69">
        <f t="shared" si="21"/>
        <v>8431</v>
      </c>
      <c r="BA37" s="115">
        <f t="shared" si="22"/>
        <v>2.810333333</v>
      </c>
      <c r="BB37" s="69">
        <f t="shared" si="23"/>
        <v>0.3558296762</v>
      </c>
      <c r="BC37" s="11" t="str">
        <f t="shared" si="24"/>
        <v>YES</v>
      </c>
    </row>
    <row r="38" ht="15.75" customHeight="1">
      <c r="A38" s="12"/>
      <c r="B38" s="25" t="s">
        <v>14</v>
      </c>
      <c r="C38" s="25" t="s">
        <v>238</v>
      </c>
      <c r="D38" s="7" t="s">
        <v>243</v>
      </c>
      <c r="E38" s="7" t="s">
        <v>244</v>
      </c>
      <c r="F38" s="7" t="s">
        <v>51</v>
      </c>
      <c r="G38" s="84" t="s">
        <v>524</v>
      </c>
      <c r="H38" s="7">
        <v>5.0</v>
      </c>
      <c r="I38" s="7">
        <v>2500.0</v>
      </c>
      <c r="J38" s="7"/>
      <c r="K38" s="7"/>
      <c r="L38" s="7"/>
      <c r="M38" s="9">
        <f t="shared" si="1"/>
        <v>500</v>
      </c>
      <c r="N38" s="9">
        <f t="shared" si="2"/>
        <v>100</v>
      </c>
      <c r="O38" s="7">
        <v>1.0</v>
      </c>
      <c r="P38" s="14">
        <f t="shared" si="25"/>
        <v>2500</v>
      </c>
      <c r="Q38" s="79">
        <v>12.0</v>
      </c>
      <c r="R38" s="84">
        <v>17.0</v>
      </c>
      <c r="S38" s="7">
        <v>6.0</v>
      </c>
      <c r="T38" s="7">
        <v>700.0</v>
      </c>
      <c r="U38" s="7">
        <f t="shared" si="3"/>
        <v>50400</v>
      </c>
      <c r="V38" s="7">
        <f t="shared" si="4"/>
        <v>7.02</v>
      </c>
      <c r="W38" s="14">
        <f t="shared" si="5"/>
        <v>4914</v>
      </c>
      <c r="X38" s="94">
        <f t="shared" si="6"/>
        <v>8568</v>
      </c>
      <c r="Y38" s="82">
        <v>0.0</v>
      </c>
      <c r="Z38" s="7">
        <v>400.0</v>
      </c>
      <c r="AA38" s="7">
        <v>1.6</v>
      </c>
      <c r="AB38" s="7">
        <f t="shared" si="7"/>
        <v>640</v>
      </c>
      <c r="AC38" s="7">
        <f t="shared" si="8"/>
        <v>400</v>
      </c>
      <c r="AD38" s="7">
        <f t="shared" si="9"/>
        <v>0</v>
      </c>
      <c r="AE38" s="83">
        <f t="shared" si="10"/>
        <v>0</v>
      </c>
      <c r="AF38" s="82">
        <v>0.0</v>
      </c>
      <c r="AG38" s="7">
        <v>750.0</v>
      </c>
      <c r="AH38" s="78">
        <v>0.55</v>
      </c>
      <c r="AI38" s="7">
        <f t="shared" si="11"/>
        <v>412.5</v>
      </c>
      <c r="AJ38" s="7">
        <f t="shared" si="12"/>
        <v>750</v>
      </c>
      <c r="AK38" s="7">
        <f t="shared" si="13"/>
        <v>0</v>
      </c>
      <c r="AL38" s="14">
        <f t="shared" si="14"/>
        <v>0</v>
      </c>
      <c r="AM38" s="84">
        <v>25.0</v>
      </c>
      <c r="AN38" s="78">
        <v>1.8</v>
      </c>
      <c r="AO38" s="78">
        <v>25.0</v>
      </c>
      <c r="AP38" s="7">
        <f t="shared" si="15"/>
        <v>45</v>
      </c>
      <c r="AQ38" s="7">
        <f t="shared" si="16"/>
        <v>1.35</v>
      </c>
      <c r="AR38" s="7">
        <f t="shared" si="17"/>
        <v>11.25</v>
      </c>
      <c r="AS38" s="14">
        <f t="shared" si="18"/>
        <v>135</v>
      </c>
      <c r="AT38" s="80">
        <v>2.8</v>
      </c>
      <c r="AU38" s="78">
        <v>16000.0</v>
      </c>
      <c r="AV38" s="14">
        <f t="shared" si="19"/>
        <v>448</v>
      </c>
      <c r="AW38" s="82">
        <v>0.0</v>
      </c>
      <c r="AX38" s="78">
        <v>5500.0</v>
      </c>
      <c r="AY38" s="14">
        <f t="shared" si="20"/>
        <v>0</v>
      </c>
      <c r="AZ38" s="69">
        <f t="shared" si="21"/>
        <v>8551</v>
      </c>
      <c r="BA38" s="115">
        <f t="shared" si="22"/>
        <v>3.4204</v>
      </c>
      <c r="BB38" s="69">
        <f t="shared" si="23"/>
        <v>0.2923634663</v>
      </c>
      <c r="BC38" s="11" t="str">
        <f t="shared" si="24"/>
        <v>YES</v>
      </c>
    </row>
    <row r="39" ht="15.75" customHeight="1">
      <c r="A39" s="12"/>
      <c r="B39" s="25" t="s">
        <v>14</v>
      </c>
      <c r="C39" s="25" t="s">
        <v>589</v>
      </c>
      <c r="D39" s="7" t="s">
        <v>262</v>
      </c>
      <c r="E39" s="7" t="s">
        <v>172</v>
      </c>
      <c r="F39" s="7" t="s">
        <v>51</v>
      </c>
      <c r="G39" s="84" t="s">
        <v>525</v>
      </c>
      <c r="H39" s="7">
        <v>5.0</v>
      </c>
      <c r="I39" s="7">
        <v>9500.0</v>
      </c>
      <c r="M39" s="9">
        <f t="shared" si="1"/>
        <v>1900</v>
      </c>
      <c r="N39" s="9">
        <f t="shared" si="2"/>
        <v>380</v>
      </c>
      <c r="O39" s="7">
        <v>1.0</v>
      </c>
      <c r="P39" s="14">
        <f t="shared" si="25"/>
        <v>9500</v>
      </c>
      <c r="Q39" s="79">
        <v>12.0</v>
      </c>
      <c r="R39" s="84">
        <v>17.0</v>
      </c>
      <c r="S39" s="7">
        <v>6.0</v>
      </c>
      <c r="T39" s="7">
        <v>700.0</v>
      </c>
      <c r="U39" s="7">
        <f t="shared" si="3"/>
        <v>50400</v>
      </c>
      <c r="V39" s="7">
        <f t="shared" si="4"/>
        <v>7.02</v>
      </c>
      <c r="W39" s="14">
        <f t="shared" si="5"/>
        <v>4914</v>
      </c>
      <c r="X39" s="94">
        <f t="shared" si="6"/>
        <v>8568</v>
      </c>
      <c r="Y39" s="80">
        <v>8.0</v>
      </c>
      <c r="Z39" s="7">
        <v>400.0</v>
      </c>
      <c r="AA39" s="7">
        <v>1.6</v>
      </c>
      <c r="AB39" s="7">
        <f t="shared" si="7"/>
        <v>640</v>
      </c>
      <c r="AC39" s="7">
        <f t="shared" si="8"/>
        <v>368</v>
      </c>
      <c r="AD39" s="7">
        <f t="shared" si="9"/>
        <v>51.2</v>
      </c>
      <c r="AE39" s="83">
        <f t="shared" si="10"/>
        <v>614.4</v>
      </c>
      <c r="AF39" s="82">
        <v>0.0</v>
      </c>
      <c r="AG39" s="7">
        <v>750.0</v>
      </c>
      <c r="AH39" s="78">
        <v>0.55</v>
      </c>
      <c r="AI39" s="7">
        <f t="shared" si="11"/>
        <v>412.5</v>
      </c>
      <c r="AJ39" s="7">
        <f t="shared" si="12"/>
        <v>750</v>
      </c>
      <c r="AK39" s="7">
        <f t="shared" si="13"/>
        <v>0</v>
      </c>
      <c r="AL39" s="14">
        <f t="shared" si="14"/>
        <v>0</v>
      </c>
      <c r="AM39" s="84">
        <v>25.0</v>
      </c>
      <c r="AN39" s="78">
        <v>1.8</v>
      </c>
      <c r="AO39" s="78">
        <v>25.0</v>
      </c>
      <c r="AP39" s="7">
        <f t="shared" si="15"/>
        <v>45</v>
      </c>
      <c r="AQ39" s="7">
        <f t="shared" si="16"/>
        <v>1.35</v>
      </c>
      <c r="AR39" s="7">
        <f t="shared" si="17"/>
        <v>11.25</v>
      </c>
      <c r="AS39" s="14">
        <f t="shared" si="18"/>
        <v>135</v>
      </c>
      <c r="AT39" s="80">
        <v>2.8</v>
      </c>
      <c r="AU39" s="78">
        <v>16000.0</v>
      </c>
      <c r="AV39" s="14">
        <f t="shared" si="19"/>
        <v>448</v>
      </c>
      <c r="AW39" s="82">
        <v>0.0</v>
      </c>
      <c r="AX39" s="78">
        <v>5500.0</v>
      </c>
      <c r="AY39" s="14">
        <f t="shared" si="20"/>
        <v>0</v>
      </c>
      <c r="AZ39" s="69">
        <f t="shared" si="21"/>
        <v>7485.4</v>
      </c>
      <c r="BA39" s="115">
        <f t="shared" si="22"/>
        <v>0.7879368421</v>
      </c>
      <c r="BB39" s="69">
        <f t="shared" si="23"/>
        <v>1.269137254</v>
      </c>
      <c r="BC39" s="11" t="str">
        <f t="shared" si="24"/>
        <v>YES</v>
      </c>
    </row>
    <row r="40" ht="15.75" customHeight="1">
      <c r="A40" s="12"/>
      <c r="B40" s="25" t="s">
        <v>14</v>
      </c>
      <c r="C40" s="25" t="s">
        <v>534</v>
      </c>
      <c r="D40" s="97" t="s">
        <v>591</v>
      </c>
      <c r="E40" s="7" t="s">
        <v>513</v>
      </c>
      <c r="F40" s="7" t="s">
        <v>51</v>
      </c>
      <c r="G40" s="84" t="s">
        <v>536</v>
      </c>
      <c r="H40" s="7">
        <v>5.0</v>
      </c>
      <c r="I40" s="7">
        <v>7500.0</v>
      </c>
      <c r="M40" s="9">
        <f t="shared" si="1"/>
        <v>1500</v>
      </c>
      <c r="N40" s="9">
        <f t="shared" si="2"/>
        <v>300</v>
      </c>
      <c r="O40" s="7">
        <v>1.0</v>
      </c>
      <c r="P40" s="14">
        <f t="shared" si="25"/>
        <v>7500</v>
      </c>
      <c r="Q40" s="79">
        <v>12.0</v>
      </c>
      <c r="R40" s="84">
        <v>17.0</v>
      </c>
      <c r="S40" s="7">
        <v>6.0</v>
      </c>
      <c r="T40" s="7">
        <v>700.0</v>
      </c>
      <c r="U40" s="7">
        <f t="shared" si="3"/>
        <v>50400</v>
      </c>
      <c r="V40" s="7">
        <f t="shared" si="4"/>
        <v>7.02</v>
      </c>
      <c r="W40" s="14">
        <f t="shared" si="5"/>
        <v>4914</v>
      </c>
      <c r="X40" s="94">
        <f t="shared" si="6"/>
        <v>8568</v>
      </c>
      <c r="Y40" s="80">
        <v>8.0</v>
      </c>
      <c r="Z40" s="7">
        <v>400.0</v>
      </c>
      <c r="AA40" s="7">
        <v>1.6</v>
      </c>
      <c r="AB40" s="7">
        <f t="shared" si="7"/>
        <v>640</v>
      </c>
      <c r="AC40" s="7">
        <f t="shared" si="8"/>
        <v>368</v>
      </c>
      <c r="AD40" s="7">
        <f t="shared" si="9"/>
        <v>51.2</v>
      </c>
      <c r="AE40" s="83">
        <f t="shared" si="10"/>
        <v>614.4</v>
      </c>
      <c r="AF40" s="82">
        <v>0.0</v>
      </c>
      <c r="AG40" s="7">
        <v>750.0</v>
      </c>
      <c r="AH40" s="78">
        <v>0.55</v>
      </c>
      <c r="AI40" s="7">
        <f t="shared" si="11"/>
        <v>412.5</v>
      </c>
      <c r="AJ40" s="7">
        <f t="shared" si="12"/>
        <v>750</v>
      </c>
      <c r="AK40" s="7">
        <f t="shared" si="13"/>
        <v>0</v>
      </c>
      <c r="AL40" s="14">
        <f t="shared" si="14"/>
        <v>0</v>
      </c>
      <c r="AM40" s="82">
        <v>0.0</v>
      </c>
      <c r="AN40" s="78">
        <v>1.8</v>
      </c>
      <c r="AO40" s="78">
        <v>25.0</v>
      </c>
      <c r="AP40" s="7">
        <f t="shared" si="15"/>
        <v>45</v>
      </c>
      <c r="AQ40" s="7">
        <f t="shared" si="16"/>
        <v>1.8</v>
      </c>
      <c r="AR40" s="7">
        <f t="shared" si="17"/>
        <v>0</v>
      </c>
      <c r="AS40" s="14">
        <f t="shared" si="18"/>
        <v>0</v>
      </c>
      <c r="AT40" s="80">
        <v>2.8</v>
      </c>
      <c r="AU40" s="78">
        <v>16000.0</v>
      </c>
      <c r="AV40" s="14">
        <f t="shared" si="19"/>
        <v>448</v>
      </c>
      <c r="AW40" s="82">
        <v>0.0</v>
      </c>
      <c r="AX40" s="78">
        <v>5500.0</v>
      </c>
      <c r="AY40" s="14">
        <f t="shared" si="20"/>
        <v>0</v>
      </c>
      <c r="AZ40" s="69">
        <f t="shared" si="21"/>
        <v>7830.4</v>
      </c>
      <c r="BA40" s="115">
        <f t="shared" si="22"/>
        <v>1.044053333</v>
      </c>
      <c r="BB40" s="69">
        <f t="shared" si="23"/>
        <v>0.9578054761</v>
      </c>
      <c r="BC40" s="11" t="str">
        <f t="shared" si="24"/>
        <v>YES</v>
      </c>
    </row>
    <row r="41" ht="15.75" customHeight="1">
      <c r="A41" s="18"/>
      <c r="B41" s="86" t="s">
        <v>503</v>
      </c>
      <c r="C41" s="86" t="s">
        <v>537</v>
      </c>
      <c r="D41" s="19" t="s">
        <v>538</v>
      </c>
      <c r="E41" s="19" t="s">
        <v>233</v>
      </c>
      <c r="F41" s="19" t="s">
        <v>51</v>
      </c>
      <c r="G41" s="88" t="s">
        <v>237</v>
      </c>
      <c r="H41" s="19">
        <v>5.0</v>
      </c>
      <c r="I41" s="19">
        <v>750.0</v>
      </c>
      <c r="J41" s="19"/>
      <c r="K41" s="19"/>
      <c r="L41" s="19"/>
      <c r="M41" s="9">
        <f t="shared" si="1"/>
        <v>150</v>
      </c>
      <c r="N41" s="9">
        <f t="shared" si="2"/>
        <v>30</v>
      </c>
      <c r="O41" s="19">
        <v>1.0</v>
      </c>
      <c r="P41" s="21">
        <f t="shared" si="25"/>
        <v>750</v>
      </c>
      <c r="Q41" s="87">
        <v>12.0</v>
      </c>
      <c r="R41" s="88">
        <v>17.0</v>
      </c>
      <c r="S41" s="19">
        <v>6.0</v>
      </c>
      <c r="T41" s="19">
        <v>700.0</v>
      </c>
      <c r="U41" s="19">
        <f t="shared" si="3"/>
        <v>50400</v>
      </c>
      <c r="V41" s="19">
        <f t="shared" si="4"/>
        <v>7.02</v>
      </c>
      <c r="W41" s="21">
        <f t="shared" si="5"/>
        <v>4914</v>
      </c>
      <c r="X41" s="89">
        <f t="shared" si="6"/>
        <v>8568</v>
      </c>
      <c r="Y41" s="92">
        <v>0.0</v>
      </c>
      <c r="Z41" s="19">
        <v>400.0</v>
      </c>
      <c r="AA41" s="19">
        <v>1.6</v>
      </c>
      <c r="AB41" s="19">
        <f t="shared" si="7"/>
        <v>640</v>
      </c>
      <c r="AC41" s="19">
        <f t="shared" si="8"/>
        <v>400</v>
      </c>
      <c r="AD41" s="19">
        <f t="shared" si="9"/>
        <v>0</v>
      </c>
      <c r="AE41" s="91">
        <f t="shared" si="10"/>
        <v>0</v>
      </c>
      <c r="AF41" s="88">
        <v>20.0</v>
      </c>
      <c r="AG41" s="19">
        <v>750.0</v>
      </c>
      <c r="AH41" s="93">
        <v>0.55</v>
      </c>
      <c r="AI41" s="19">
        <f t="shared" si="11"/>
        <v>412.5</v>
      </c>
      <c r="AJ41" s="19">
        <f t="shared" si="12"/>
        <v>600</v>
      </c>
      <c r="AK41" s="19">
        <f t="shared" si="13"/>
        <v>82.5</v>
      </c>
      <c r="AL41" s="21">
        <f t="shared" si="14"/>
        <v>990</v>
      </c>
      <c r="AM41" s="92">
        <v>0.0</v>
      </c>
      <c r="AN41" s="93">
        <v>1.8</v>
      </c>
      <c r="AO41" s="93">
        <v>25.0</v>
      </c>
      <c r="AP41" s="19">
        <f t="shared" si="15"/>
        <v>45</v>
      </c>
      <c r="AQ41" s="19">
        <f t="shared" si="16"/>
        <v>1.8</v>
      </c>
      <c r="AR41" s="19">
        <f t="shared" si="17"/>
        <v>0</v>
      </c>
      <c r="AS41" s="21">
        <f t="shared" si="18"/>
        <v>0</v>
      </c>
      <c r="AT41" s="90">
        <v>2.8</v>
      </c>
      <c r="AU41" s="93">
        <v>16000.0</v>
      </c>
      <c r="AV41" s="21">
        <f t="shared" si="19"/>
        <v>448</v>
      </c>
      <c r="AW41" s="92">
        <v>0.0</v>
      </c>
      <c r="AX41" s="93">
        <v>5500.0</v>
      </c>
      <c r="AY41" s="21">
        <f t="shared" si="20"/>
        <v>0</v>
      </c>
      <c r="AZ41" s="69">
        <f t="shared" si="21"/>
        <v>9826</v>
      </c>
      <c r="BA41" s="115">
        <f t="shared" si="22"/>
        <v>13.10133333</v>
      </c>
      <c r="BB41" s="69">
        <f t="shared" si="23"/>
        <v>0.0763281091</v>
      </c>
      <c r="BC41" s="11" t="str">
        <f t="shared" si="24"/>
        <v>YES</v>
      </c>
    </row>
    <row r="42" ht="15.75" customHeight="1">
      <c r="A42" s="8" t="s">
        <v>270</v>
      </c>
      <c r="B42" s="68" t="s">
        <v>14</v>
      </c>
      <c r="C42" s="9" t="s">
        <v>271</v>
      </c>
      <c r="D42" s="9" t="s">
        <v>272</v>
      </c>
      <c r="E42" s="9" t="s">
        <v>273</v>
      </c>
      <c r="F42" s="9" t="s">
        <v>51</v>
      </c>
      <c r="G42" s="75" t="s">
        <v>540</v>
      </c>
      <c r="H42" s="9">
        <v>5.0</v>
      </c>
      <c r="I42" s="9">
        <v>15750.0</v>
      </c>
      <c r="J42" s="9"/>
      <c r="K42" s="9"/>
      <c r="L42" s="9"/>
      <c r="M42" s="9">
        <f t="shared" si="1"/>
        <v>3150</v>
      </c>
      <c r="N42" s="9">
        <f t="shared" si="2"/>
        <v>630</v>
      </c>
      <c r="O42" s="9">
        <v>1.0</v>
      </c>
      <c r="P42" s="11">
        <f t="shared" si="25"/>
        <v>15750</v>
      </c>
      <c r="Q42" s="69">
        <v>12.0</v>
      </c>
      <c r="R42" s="75">
        <v>40.0</v>
      </c>
      <c r="S42" s="9">
        <v>6.0</v>
      </c>
      <c r="T42" s="9">
        <v>700.0</v>
      </c>
      <c r="U42" s="9">
        <f t="shared" si="3"/>
        <v>50400</v>
      </c>
      <c r="V42" s="9">
        <f t="shared" si="4"/>
        <v>8.4</v>
      </c>
      <c r="W42" s="11">
        <f t="shared" si="5"/>
        <v>5880</v>
      </c>
      <c r="X42" s="72">
        <f t="shared" si="6"/>
        <v>20160</v>
      </c>
      <c r="Y42" s="75">
        <v>80.0</v>
      </c>
      <c r="Z42" s="9">
        <v>400.0</v>
      </c>
      <c r="AA42" s="9">
        <v>1.6</v>
      </c>
      <c r="AB42" s="9">
        <f t="shared" si="7"/>
        <v>640</v>
      </c>
      <c r="AC42" s="9">
        <f t="shared" si="8"/>
        <v>80</v>
      </c>
      <c r="AD42" s="9">
        <f t="shared" si="9"/>
        <v>512</v>
      </c>
      <c r="AE42" s="73">
        <f t="shared" si="10"/>
        <v>6144</v>
      </c>
      <c r="AF42" s="75">
        <v>11.0</v>
      </c>
      <c r="AG42" s="9">
        <v>750.0</v>
      </c>
      <c r="AH42" s="74">
        <v>0.55</v>
      </c>
      <c r="AI42" s="9">
        <f t="shared" si="11"/>
        <v>412.5</v>
      </c>
      <c r="AJ42" s="9">
        <f t="shared" si="12"/>
        <v>667.5</v>
      </c>
      <c r="AK42" s="9">
        <f t="shared" si="13"/>
        <v>45.375</v>
      </c>
      <c r="AL42" s="11">
        <f t="shared" si="14"/>
        <v>544.5</v>
      </c>
      <c r="AM42" s="75">
        <v>22.0</v>
      </c>
      <c r="AN42" s="74">
        <v>1.8</v>
      </c>
      <c r="AO42" s="74">
        <v>25.0</v>
      </c>
      <c r="AP42" s="9">
        <f t="shared" si="15"/>
        <v>45</v>
      </c>
      <c r="AQ42" s="9">
        <f t="shared" si="16"/>
        <v>1.404</v>
      </c>
      <c r="AR42" s="9">
        <f t="shared" si="17"/>
        <v>9.9</v>
      </c>
      <c r="AS42" s="11">
        <f t="shared" si="18"/>
        <v>118.8</v>
      </c>
      <c r="AT42" s="76">
        <v>0.0</v>
      </c>
      <c r="AU42" s="74">
        <v>16000.0</v>
      </c>
      <c r="AV42" s="11">
        <f t="shared" si="19"/>
        <v>0</v>
      </c>
      <c r="AW42" s="76">
        <v>0.0</v>
      </c>
      <c r="AX42" s="74">
        <v>5500.0</v>
      </c>
      <c r="AY42" s="11">
        <f t="shared" si="20"/>
        <v>0</v>
      </c>
      <c r="AZ42" s="69">
        <f t="shared" si="21"/>
        <v>23187.3</v>
      </c>
      <c r="BA42" s="115">
        <f t="shared" si="22"/>
        <v>1.472209524</v>
      </c>
      <c r="BB42" s="69">
        <f t="shared" si="23"/>
        <v>0.6792511418</v>
      </c>
      <c r="BC42" s="11" t="str">
        <f t="shared" si="24"/>
        <v>YES</v>
      </c>
    </row>
    <row r="43" ht="15.75" customHeight="1">
      <c r="A43" s="12"/>
      <c r="B43" s="25" t="s">
        <v>14</v>
      </c>
      <c r="C43" s="7" t="s">
        <v>271</v>
      </c>
      <c r="D43" s="7" t="s">
        <v>277</v>
      </c>
      <c r="E43" s="7" t="s">
        <v>273</v>
      </c>
      <c r="F43" s="7" t="s">
        <v>51</v>
      </c>
      <c r="G43" s="84" t="s">
        <v>593</v>
      </c>
      <c r="H43" s="7">
        <v>5.0</v>
      </c>
      <c r="I43" s="7">
        <v>9500.0</v>
      </c>
      <c r="J43" s="7"/>
      <c r="K43" s="7"/>
      <c r="L43" s="7"/>
      <c r="M43" s="9">
        <f t="shared" si="1"/>
        <v>1900</v>
      </c>
      <c r="N43" s="9">
        <f t="shared" si="2"/>
        <v>380</v>
      </c>
      <c r="O43" s="7">
        <v>1.0</v>
      </c>
      <c r="P43" s="14">
        <f t="shared" si="25"/>
        <v>9500</v>
      </c>
      <c r="Q43" s="79">
        <v>12.0</v>
      </c>
      <c r="R43" s="84">
        <v>40.0</v>
      </c>
      <c r="S43" s="7">
        <v>6.0</v>
      </c>
      <c r="T43" s="7">
        <v>700.0</v>
      </c>
      <c r="U43" s="7">
        <f t="shared" si="3"/>
        <v>50400</v>
      </c>
      <c r="V43" s="7">
        <f t="shared" si="4"/>
        <v>8.4</v>
      </c>
      <c r="W43" s="14">
        <f t="shared" si="5"/>
        <v>5880</v>
      </c>
      <c r="X43" s="94">
        <f t="shared" si="6"/>
        <v>20160</v>
      </c>
      <c r="Y43" s="84">
        <v>80.0</v>
      </c>
      <c r="Z43" s="7">
        <v>400.0</v>
      </c>
      <c r="AA43" s="7">
        <v>1.6</v>
      </c>
      <c r="AB43" s="7">
        <f t="shared" si="7"/>
        <v>640</v>
      </c>
      <c r="AC43" s="7">
        <f t="shared" si="8"/>
        <v>80</v>
      </c>
      <c r="AD43" s="7">
        <f t="shared" si="9"/>
        <v>512</v>
      </c>
      <c r="AE43" s="83">
        <f t="shared" si="10"/>
        <v>6144</v>
      </c>
      <c r="AF43" s="84">
        <v>11.0</v>
      </c>
      <c r="AG43" s="7">
        <v>750.0</v>
      </c>
      <c r="AH43" s="78">
        <v>0.55</v>
      </c>
      <c r="AI43" s="7">
        <f t="shared" si="11"/>
        <v>412.5</v>
      </c>
      <c r="AJ43" s="7">
        <f t="shared" si="12"/>
        <v>667.5</v>
      </c>
      <c r="AK43" s="7">
        <f t="shared" si="13"/>
        <v>45.375</v>
      </c>
      <c r="AL43" s="14">
        <f t="shared" si="14"/>
        <v>544.5</v>
      </c>
      <c r="AM43" s="84">
        <v>22.0</v>
      </c>
      <c r="AN43" s="78">
        <v>1.8</v>
      </c>
      <c r="AO43" s="78">
        <v>25.0</v>
      </c>
      <c r="AP43" s="7">
        <f t="shared" si="15"/>
        <v>45</v>
      </c>
      <c r="AQ43" s="7">
        <f t="shared" si="16"/>
        <v>1.404</v>
      </c>
      <c r="AR43" s="7">
        <f t="shared" si="17"/>
        <v>9.9</v>
      </c>
      <c r="AS43" s="14">
        <f t="shared" si="18"/>
        <v>118.8</v>
      </c>
      <c r="AT43" s="82">
        <v>0.0</v>
      </c>
      <c r="AU43" s="78">
        <v>16000.0</v>
      </c>
      <c r="AV43" s="14">
        <f t="shared" si="19"/>
        <v>0</v>
      </c>
      <c r="AW43" s="82">
        <v>0.0</v>
      </c>
      <c r="AX43" s="78">
        <v>5500.0</v>
      </c>
      <c r="AY43" s="14">
        <f t="shared" si="20"/>
        <v>0</v>
      </c>
      <c r="AZ43" s="69">
        <f t="shared" si="21"/>
        <v>24687.3</v>
      </c>
      <c r="BA43" s="115">
        <f t="shared" si="22"/>
        <v>2.598663158</v>
      </c>
      <c r="BB43" s="69">
        <f t="shared" si="23"/>
        <v>0.3848132441</v>
      </c>
      <c r="BC43" s="11" t="str">
        <f t="shared" si="24"/>
        <v>YES</v>
      </c>
    </row>
    <row r="44" ht="15.75" customHeight="1">
      <c r="A44" s="12"/>
      <c r="B44" s="25" t="s">
        <v>14</v>
      </c>
      <c r="C44" s="7" t="s">
        <v>542</v>
      </c>
      <c r="D44" s="7" t="s">
        <v>280</v>
      </c>
      <c r="E44" s="7" t="s">
        <v>281</v>
      </c>
      <c r="F44" s="7" t="s">
        <v>51</v>
      </c>
      <c r="G44" s="84" t="s">
        <v>543</v>
      </c>
      <c r="H44" s="7">
        <v>5.0</v>
      </c>
      <c r="I44" s="7">
        <v>1800.0</v>
      </c>
      <c r="J44" s="7"/>
      <c r="K44" s="7"/>
      <c r="L44" s="7"/>
      <c r="M44" s="9">
        <f t="shared" si="1"/>
        <v>360</v>
      </c>
      <c r="N44" s="9">
        <f t="shared" si="2"/>
        <v>72</v>
      </c>
      <c r="O44" s="7">
        <v>1.0</v>
      </c>
      <c r="P44" s="14">
        <f t="shared" si="25"/>
        <v>1800</v>
      </c>
      <c r="Q44" s="79">
        <v>12.0</v>
      </c>
      <c r="R44" s="84">
        <v>40.0</v>
      </c>
      <c r="S44" s="7">
        <v>6.0</v>
      </c>
      <c r="T44" s="7">
        <v>700.0</v>
      </c>
      <c r="U44" s="7">
        <f t="shared" si="3"/>
        <v>50400</v>
      </c>
      <c r="V44" s="7">
        <f t="shared" si="4"/>
        <v>8.4</v>
      </c>
      <c r="W44" s="14">
        <f t="shared" si="5"/>
        <v>5880</v>
      </c>
      <c r="X44" s="94">
        <f t="shared" si="6"/>
        <v>20160</v>
      </c>
      <c r="Y44" s="84">
        <v>80.0</v>
      </c>
      <c r="Z44" s="7">
        <v>400.0</v>
      </c>
      <c r="AA44" s="7">
        <v>1.6</v>
      </c>
      <c r="AB44" s="7">
        <f t="shared" si="7"/>
        <v>640</v>
      </c>
      <c r="AC44" s="7">
        <f t="shared" si="8"/>
        <v>80</v>
      </c>
      <c r="AD44" s="7">
        <f t="shared" si="9"/>
        <v>512</v>
      </c>
      <c r="AE44" s="83">
        <f t="shared" si="10"/>
        <v>6144</v>
      </c>
      <c r="AF44" s="84">
        <v>11.0</v>
      </c>
      <c r="AG44" s="7">
        <v>750.0</v>
      </c>
      <c r="AH44" s="78">
        <v>0.55</v>
      </c>
      <c r="AI44" s="7">
        <f t="shared" si="11"/>
        <v>412.5</v>
      </c>
      <c r="AJ44" s="7">
        <f t="shared" si="12"/>
        <v>667.5</v>
      </c>
      <c r="AK44" s="7">
        <f t="shared" si="13"/>
        <v>45.375</v>
      </c>
      <c r="AL44" s="14">
        <f t="shared" si="14"/>
        <v>544.5</v>
      </c>
      <c r="AM44" s="84">
        <v>22.0</v>
      </c>
      <c r="AN44" s="78">
        <v>1.8</v>
      </c>
      <c r="AO44" s="78">
        <v>25.0</v>
      </c>
      <c r="AP44" s="7">
        <f t="shared" si="15"/>
        <v>45</v>
      </c>
      <c r="AQ44" s="7">
        <f t="shared" si="16"/>
        <v>1.404</v>
      </c>
      <c r="AR44" s="7">
        <f t="shared" si="17"/>
        <v>9.9</v>
      </c>
      <c r="AS44" s="14">
        <f t="shared" si="18"/>
        <v>118.8</v>
      </c>
      <c r="AT44" s="82">
        <v>0.0</v>
      </c>
      <c r="AU44" s="78">
        <v>16000.0</v>
      </c>
      <c r="AV44" s="14">
        <f t="shared" si="19"/>
        <v>0</v>
      </c>
      <c r="AW44" s="80">
        <v>6.3</v>
      </c>
      <c r="AX44" s="78">
        <v>5500.0</v>
      </c>
      <c r="AY44" s="14">
        <f t="shared" si="20"/>
        <v>346.5</v>
      </c>
      <c r="AZ44" s="69">
        <f t="shared" si="21"/>
        <v>26881.8</v>
      </c>
      <c r="BA44" s="115">
        <f t="shared" si="22"/>
        <v>14.93433333</v>
      </c>
      <c r="BB44" s="69">
        <f t="shared" si="23"/>
        <v>0.0669598018</v>
      </c>
      <c r="BC44" s="11" t="str">
        <f t="shared" si="24"/>
        <v>YES</v>
      </c>
    </row>
    <row r="45" ht="15.75" customHeight="1">
      <c r="A45" s="12"/>
      <c r="B45" s="25" t="s">
        <v>14</v>
      </c>
      <c r="C45" s="7" t="s">
        <v>271</v>
      </c>
      <c r="D45" s="7" t="s">
        <v>295</v>
      </c>
      <c r="E45" s="7" t="s">
        <v>296</v>
      </c>
      <c r="F45" s="7" t="s">
        <v>51</v>
      </c>
      <c r="G45" s="84" t="s">
        <v>544</v>
      </c>
      <c r="H45" s="7">
        <v>5.0</v>
      </c>
      <c r="I45" s="7">
        <v>6500.0</v>
      </c>
      <c r="J45" s="7"/>
      <c r="K45" s="7"/>
      <c r="L45" s="7"/>
      <c r="M45" s="9">
        <f t="shared" si="1"/>
        <v>1300</v>
      </c>
      <c r="N45" s="9">
        <f t="shared" si="2"/>
        <v>260</v>
      </c>
      <c r="O45" s="7">
        <v>1.0</v>
      </c>
      <c r="P45" s="14">
        <f t="shared" si="25"/>
        <v>6500</v>
      </c>
      <c r="Q45" s="79">
        <v>12.0</v>
      </c>
      <c r="R45" s="84">
        <v>40.0</v>
      </c>
      <c r="S45" s="7">
        <v>6.0</v>
      </c>
      <c r="T45" s="7">
        <v>700.0</v>
      </c>
      <c r="U45" s="7">
        <f t="shared" si="3"/>
        <v>50400</v>
      </c>
      <c r="V45" s="7">
        <f t="shared" si="4"/>
        <v>8.4</v>
      </c>
      <c r="W45" s="14">
        <f t="shared" si="5"/>
        <v>5880</v>
      </c>
      <c r="X45" s="94">
        <f t="shared" si="6"/>
        <v>20160</v>
      </c>
      <c r="Y45" s="84">
        <v>80.0</v>
      </c>
      <c r="Z45" s="7">
        <v>400.0</v>
      </c>
      <c r="AA45" s="7">
        <v>1.6</v>
      </c>
      <c r="AB45" s="7">
        <f t="shared" si="7"/>
        <v>640</v>
      </c>
      <c r="AC45" s="7">
        <f t="shared" si="8"/>
        <v>80</v>
      </c>
      <c r="AD45" s="7">
        <f t="shared" si="9"/>
        <v>512</v>
      </c>
      <c r="AE45" s="83">
        <f t="shared" si="10"/>
        <v>6144</v>
      </c>
      <c r="AF45" s="84">
        <v>11.0</v>
      </c>
      <c r="AG45" s="7">
        <v>750.0</v>
      </c>
      <c r="AH45" s="78">
        <v>0.55</v>
      </c>
      <c r="AI45" s="7">
        <f t="shared" si="11"/>
        <v>412.5</v>
      </c>
      <c r="AJ45" s="7">
        <f t="shared" si="12"/>
        <v>667.5</v>
      </c>
      <c r="AK45" s="7">
        <f t="shared" si="13"/>
        <v>45.375</v>
      </c>
      <c r="AL45" s="14">
        <f t="shared" si="14"/>
        <v>544.5</v>
      </c>
      <c r="AM45" s="84">
        <v>22.0</v>
      </c>
      <c r="AN45" s="78">
        <v>1.8</v>
      </c>
      <c r="AO45" s="78">
        <v>25.0</v>
      </c>
      <c r="AP45" s="7">
        <f t="shared" si="15"/>
        <v>45</v>
      </c>
      <c r="AQ45" s="7">
        <f t="shared" si="16"/>
        <v>1.404</v>
      </c>
      <c r="AR45" s="7">
        <f t="shared" si="17"/>
        <v>9.9</v>
      </c>
      <c r="AS45" s="14">
        <f t="shared" si="18"/>
        <v>118.8</v>
      </c>
      <c r="AT45" s="82">
        <v>0.0</v>
      </c>
      <c r="AU45" s="78">
        <v>16000.0</v>
      </c>
      <c r="AV45" s="14">
        <f t="shared" si="19"/>
        <v>0</v>
      </c>
      <c r="AW45" s="80">
        <v>6.3</v>
      </c>
      <c r="AX45" s="78">
        <v>5500.0</v>
      </c>
      <c r="AY45" s="14">
        <f t="shared" si="20"/>
        <v>346.5</v>
      </c>
      <c r="AZ45" s="69">
        <f t="shared" si="21"/>
        <v>25753.8</v>
      </c>
      <c r="BA45" s="115">
        <f t="shared" si="22"/>
        <v>3.962123077</v>
      </c>
      <c r="BB45" s="69">
        <f t="shared" si="23"/>
        <v>0.2523899386</v>
      </c>
      <c r="BC45" s="11" t="str">
        <f t="shared" si="24"/>
        <v>YES</v>
      </c>
    </row>
    <row r="46" ht="15.75" customHeight="1">
      <c r="A46" s="12"/>
      <c r="B46" s="25" t="s">
        <v>14</v>
      </c>
      <c r="C46" s="7" t="s">
        <v>300</v>
      </c>
      <c r="D46" s="7" t="s">
        <v>301</v>
      </c>
      <c r="E46" s="7" t="s">
        <v>302</v>
      </c>
      <c r="F46" s="7" t="s">
        <v>51</v>
      </c>
      <c r="G46" s="84" t="s">
        <v>546</v>
      </c>
      <c r="H46" s="7">
        <v>5.0</v>
      </c>
      <c r="I46" s="7">
        <v>12000.0</v>
      </c>
      <c r="J46" s="7"/>
      <c r="K46" s="7"/>
      <c r="L46" s="7"/>
      <c r="M46" s="9">
        <f t="shared" si="1"/>
        <v>2400</v>
      </c>
      <c r="N46" s="9">
        <f t="shared" si="2"/>
        <v>480</v>
      </c>
      <c r="O46" s="7">
        <v>1.0</v>
      </c>
      <c r="P46" s="14">
        <f t="shared" si="25"/>
        <v>12000</v>
      </c>
      <c r="Q46" s="79">
        <v>12.0</v>
      </c>
      <c r="R46" s="84">
        <v>40.0</v>
      </c>
      <c r="S46" s="7">
        <v>6.0</v>
      </c>
      <c r="T46" s="7">
        <v>700.0</v>
      </c>
      <c r="U46" s="7">
        <f t="shared" si="3"/>
        <v>50400</v>
      </c>
      <c r="V46" s="7">
        <f t="shared" si="4"/>
        <v>8.4</v>
      </c>
      <c r="W46" s="14">
        <f t="shared" si="5"/>
        <v>5880</v>
      </c>
      <c r="X46" s="94">
        <f t="shared" si="6"/>
        <v>20160</v>
      </c>
      <c r="Y46" s="84">
        <v>80.0</v>
      </c>
      <c r="Z46" s="7">
        <v>400.0</v>
      </c>
      <c r="AA46" s="7">
        <v>1.6</v>
      </c>
      <c r="AB46" s="7">
        <f t="shared" si="7"/>
        <v>640</v>
      </c>
      <c r="AC46" s="7">
        <f t="shared" si="8"/>
        <v>80</v>
      </c>
      <c r="AD46" s="7">
        <f t="shared" si="9"/>
        <v>512</v>
      </c>
      <c r="AE46" s="83">
        <f t="shared" si="10"/>
        <v>6144</v>
      </c>
      <c r="AF46" s="84">
        <v>11.0</v>
      </c>
      <c r="AG46" s="7">
        <v>750.0</v>
      </c>
      <c r="AH46" s="78">
        <v>0.55</v>
      </c>
      <c r="AI46" s="7">
        <f t="shared" si="11"/>
        <v>412.5</v>
      </c>
      <c r="AJ46" s="7">
        <f t="shared" si="12"/>
        <v>667.5</v>
      </c>
      <c r="AK46" s="7">
        <f t="shared" si="13"/>
        <v>45.375</v>
      </c>
      <c r="AL46" s="14">
        <f t="shared" si="14"/>
        <v>544.5</v>
      </c>
      <c r="AM46" s="84">
        <v>22.0</v>
      </c>
      <c r="AN46" s="78">
        <v>1.8</v>
      </c>
      <c r="AO46" s="78">
        <v>25.0</v>
      </c>
      <c r="AP46" s="7">
        <f t="shared" si="15"/>
        <v>45</v>
      </c>
      <c r="AQ46" s="7">
        <f t="shared" si="16"/>
        <v>1.404</v>
      </c>
      <c r="AR46" s="7">
        <f t="shared" si="17"/>
        <v>9.9</v>
      </c>
      <c r="AS46" s="14">
        <f t="shared" si="18"/>
        <v>118.8</v>
      </c>
      <c r="AT46" s="82">
        <v>0.0</v>
      </c>
      <c r="AU46" s="78">
        <v>16000.0</v>
      </c>
      <c r="AV46" s="14">
        <f t="shared" si="19"/>
        <v>0</v>
      </c>
      <c r="AW46" s="80">
        <v>6.3</v>
      </c>
      <c r="AX46" s="78">
        <v>5500.0</v>
      </c>
      <c r="AY46" s="14">
        <f t="shared" si="20"/>
        <v>346.5</v>
      </c>
      <c r="AZ46" s="69">
        <f t="shared" si="21"/>
        <v>24433.8</v>
      </c>
      <c r="BA46" s="115">
        <f t="shared" si="22"/>
        <v>2.03615</v>
      </c>
      <c r="BB46" s="69">
        <f t="shared" si="23"/>
        <v>0.4911229526</v>
      </c>
      <c r="BC46" s="11" t="str">
        <f t="shared" si="24"/>
        <v>YES</v>
      </c>
    </row>
    <row r="47" ht="15.75" customHeight="1">
      <c r="A47" s="12"/>
      <c r="B47" s="25" t="s">
        <v>14</v>
      </c>
      <c r="C47" s="7" t="s">
        <v>289</v>
      </c>
      <c r="D47" s="7" t="s">
        <v>306</v>
      </c>
      <c r="E47" s="7" t="s">
        <v>614</v>
      </c>
      <c r="F47" s="7" t="s">
        <v>51</v>
      </c>
      <c r="G47" s="84" t="s">
        <v>517</v>
      </c>
      <c r="H47" s="7">
        <v>5.0</v>
      </c>
      <c r="I47" s="7">
        <v>7000.0</v>
      </c>
      <c r="J47" s="7"/>
      <c r="K47" s="7"/>
      <c r="L47" s="7"/>
      <c r="M47" s="9">
        <f t="shared" si="1"/>
        <v>1400</v>
      </c>
      <c r="N47" s="9">
        <f t="shared" si="2"/>
        <v>280</v>
      </c>
      <c r="O47" s="7">
        <v>1.0</v>
      </c>
      <c r="P47" s="14">
        <f t="shared" si="25"/>
        <v>7000</v>
      </c>
      <c r="Q47" s="79">
        <v>12.0</v>
      </c>
      <c r="R47" s="84">
        <v>40.0</v>
      </c>
      <c r="S47" s="7">
        <v>6.0</v>
      </c>
      <c r="T47" s="7">
        <v>700.0</v>
      </c>
      <c r="U47" s="7">
        <f t="shared" si="3"/>
        <v>50400</v>
      </c>
      <c r="V47" s="7">
        <f t="shared" si="4"/>
        <v>8.4</v>
      </c>
      <c r="W47" s="14">
        <f t="shared" si="5"/>
        <v>5880</v>
      </c>
      <c r="X47" s="94">
        <f t="shared" si="6"/>
        <v>20160</v>
      </c>
      <c r="Y47" s="84">
        <v>80.0</v>
      </c>
      <c r="Z47" s="7">
        <v>400.0</v>
      </c>
      <c r="AA47" s="7">
        <v>1.6</v>
      </c>
      <c r="AB47" s="7">
        <f t="shared" si="7"/>
        <v>640</v>
      </c>
      <c r="AC47" s="7">
        <f t="shared" si="8"/>
        <v>80</v>
      </c>
      <c r="AD47" s="7">
        <f t="shared" si="9"/>
        <v>512</v>
      </c>
      <c r="AE47" s="83">
        <f t="shared" si="10"/>
        <v>6144</v>
      </c>
      <c r="AF47" s="84">
        <v>11.0</v>
      </c>
      <c r="AG47" s="7">
        <v>750.0</v>
      </c>
      <c r="AH47" s="78">
        <v>0.55</v>
      </c>
      <c r="AI47" s="7">
        <f t="shared" si="11"/>
        <v>412.5</v>
      </c>
      <c r="AJ47" s="7">
        <f t="shared" si="12"/>
        <v>667.5</v>
      </c>
      <c r="AK47" s="7">
        <f t="shared" si="13"/>
        <v>45.375</v>
      </c>
      <c r="AL47" s="14">
        <f t="shared" si="14"/>
        <v>544.5</v>
      </c>
      <c r="AM47" s="84">
        <v>22.0</v>
      </c>
      <c r="AN47" s="78">
        <v>1.8</v>
      </c>
      <c r="AO47" s="78">
        <v>25.0</v>
      </c>
      <c r="AP47" s="7">
        <f t="shared" si="15"/>
        <v>45</v>
      </c>
      <c r="AQ47" s="7">
        <f t="shared" si="16"/>
        <v>1.404</v>
      </c>
      <c r="AR47" s="7">
        <f t="shared" si="17"/>
        <v>9.9</v>
      </c>
      <c r="AS47" s="14">
        <f t="shared" si="18"/>
        <v>118.8</v>
      </c>
      <c r="AT47" s="82">
        <v>0.0</v>
      </c>
      <c r="AU47" s="78">
        <v>16000.0</v>
      </c>
      <c r="AV47" s="14">
        <f t="shared" si="19"/>
        <v>0</v>
      </c>
      <c r="AW47" s="82">
        <v>0.0</v>
      </c>
      <c r="AX47" s="78">
        <v>5500.0</v>
      </c>
      <c r="AY47" s="14">
        <f t="shared" si="20"/>
        <v>0</v>
      </c>
      <c r="AZ47" s="69">
        <f t="shared" si="21"/>
        <v>25287.3</v>
      </c>
      <c r="BA47" s="115">
        <f t="shared" si="22"/>
        <v>3.612471429</v>
      </c>
      <c r="BB47" s="69">
        <f t="shared" si="23"/>
        <v>0.2768187984</v>
      </c>
      <c r="BC47" s="11" t="str">
        <f t="shared" si="24"/>
        <v>YES</v>
      </c>
    </row>
    <row r="48" ht="15.75" customHeight="1">
      <c r="A48" s="12"/>
      <c r="B48" s="25" t="s">
        <v>14</v>
      </c>
      <c r="C48" s="7" t="s">
        <v>289</v>
      </c>
      <c r="D48" s="7" t="s">
        <v>310</v>
      </c>
      <c r="E48" s="7" t="s">
        <v>311</v>
      </c>
      <c r="F48" s="7" t="s">
        <v>51</v>
      </c>
      <c r="G48" s="84" t="s">
        <v>615</v>
      </c>
      <c r="H48" s="7">
        <v>5.0</v>
      </c>
      <c r="I48" s="7">
        <v>2500.0</v>
      </c>
      <c r="J48" s="7"/>
      <c r="K48" s="7"/>
      <c r="L48" s="7"/>
      <c r="M48" s="9">
        <f t="shared" si="1"/>
        <v>500</v>
      </c>
      <c r="N48" s="9">
        <f t="shared" si="2"/>
        <v>100</v>
      </c>
      <c r="O48" s="7">
        <v>1.0</v>
      </c>
      <c r="P48" s="14">
        <f t="shared" si="25"/>
        <v>2500</v>
      </c>
      <c r="Q48" s="79">
        <v>12.0</v>
      </c>
      <c r="R48" s="84">
        <v>40.0</v>
      </c>
      <c r="S48" s="7">
        <v>6.0</v>
      </c>
      <c r="T48" s="7">
        <v>700.0</v>
      </c>
      <c r="U48" s="7">
        <f t="shared" si="3"/>
        <v>50400</v>
      </c>
      <c r="V48" s="7">
        <f t="shared" si="4"/>
        <v>8.4</v>
      </c>
      <c r="W48" s="14">
        <f t="shared" si="5"/>
        <v>5880</v>
      </c>
      <c r="X48" s="94">
        <f t="shared" si="6"/>
        <v>20160</v>
      </c>
      <c r="Y48" s="84">
        <v>80.0</v>
      </c>
      <c r="Z48" s="7">
        <v>400.0</v>
      </c>
      <c r="AA48" s="7">
        <v>1.6</v>
      </c>
      <c r="AB48" s="7">
        <f t="shared" si="7"/>
        <v>640</v>
      </c>
      <c r="AC48" s="7">
        <f t="shared" si="8"/>
        <v>80</v>
      </c>
      <c r="AD48" s="7">
        <f t="shared" si="9"/>
        <v>512</v>
      </c>
      <c r="AE48" s="83">
        <f t="shared" si="10"/>
        <v>6144</v>
      </c>
      <c r="AF48" s="84">
        <v>11.0</v>
      </c>
      <c r="AG48" s="7">
        <v>750.0</v>
      </c>
      <c r="AH48" s="78">
        <v>0.55</v>
      </c>
      <c r="AI48" s="7">
        <f t="shared" si="11"/>
        <v>412.5</v>
      </c>
      <c r="AJ48" s="7">
        <f t="shared" si="12"/>
        <v>667.5</v>
      </c>
      <c r="AK48" s="7">
        <f t="shared" si="13"/>
        <v>45.375</v>
      </c>
      <c r="AL48" s="14">
        <f t="shared" si="14"/>
        <v>544.5</v>
      </c>
      <c r="AM48" s="84">
        <v>22.0</v>
      </c>
      <c r="AN48" s="78">
        <v>1.8</v>
      </c>
      <c r="AO48" s="78">
        <v>25.0</v>
      </c>
      <c r="AP48" s="7">
        <f t="shared" si="15"/>
        <v>45</v>
      </c>
      <c r="AQ48" s="7">
        <f t="shared" si="16"/>
        <v>1.404</v>
      </c>
      <c r="AR48" s="7">
        <f t="shared" si="17"/>
        <v>9.9</v>
      </c>
      <c r="AS48" s="14">
        <f t="shared" si="18"/>
        <v>118.8</v>
      </c>
      <c r="AT48" s="82">
        <v>0.0</v>
      </c>
      <c r="AU48" s="78">
        <v>16000.0</v>
      </c>
      <c r="AV48" s="14">
        <f t="shared" si="19"/>
        <v>0</v>
      </c>
      <c r="AW48" s="82">
        <v>0.0</v>
      </c>
      <c r="AX48" s="78">
        <v>5500.0</v>
      </c>
      <c r="AY48" s="14">
        <f t="shared" si="20"/>
        <v>0</v>
      </c>
      <c r="AZ48" s="69">
        <f t="shared" si="21"/>
        <v>26367.3</v>
      </c>
      <c r="BA48" s="115">
        <f t="shared" si="22"/>
        <v>10.54692</v>
      </c>
      <c r="BB48" s="69">
        <f t="shared" si="23"/>
        <v>0.09481441027</v>
      </c>
      <c r="BC48" s="11" t="str">
        <f t="shared" si="24"/>
        <v>YES</v>
      </c>
    </row>
    <row r="49" ht="15.75" customHeight="1">
      <c r="A49" s="12"/>
      <c r="B49" s="25" t="s">
        <v>14</v>
      </c>
      <c r="C49" s="7" t="s">
        <v>271</v>
      </c>
      <c r="D49" s="7" t="s">
        <v>319</v>
      </c>
      <c r="E49" s="7" t="s">
        <v>594</v>
      </c>
      <c r="F49" s="7" t="s">
        <v>51</v>
      </c>
      <c r="G49" s="84" t="s">
        <v>551</v>
      </c>
      <c r="H49" s="7">
        <v>5.0</v>
      </c>
      <c r="I49" s="7">
        <v>900.0</v>
      </c>
      <c r="J49" s="7"/>
      <c r="K49" s="7"/>
      <c r="L49" s="7"/>
      <c r="M49" s="9">
        <f t="shared" si="1"/>
        <v>180</v>
      </c>
      <c r="N49" s="9">
        <f t="shared" si="2"/>
        <v>36</v>
      </c>
      <c r="O49" s="7">
        <v>1.0</v>
      </c>
      <c r="P49" s="14">
        <f t="shared" si="25"/>
        <v>900</v>
      </c>
      <c r="Q49" s="79">
        <v>12.0</v>
      </c>
      <c r="R49" s="84">
        <v>40.0</v>
      </c>
      <c r="S49" s="7">
        <v>6.0</v>
      </c>
      <c r="T49" s="7">
        <v>700.0</v>
      </c>
      <c r="U49" s="7">
        <f t="shared" si="3"/>
        <v>50400</v>
      </c>
      <c r="V49" s="7">
        <f t="shared" si="4"/>
        <v>8.4</v>
      </c>
      <c r="W49" s="14">
        <f t="shared" si="5"/>
        <v>5880</v>
      </c>
      <c r="X49" s="94">
        <f t="shared" si="6"/>
        <v>20160</v>
      </c>
      <c r="Y49" s="84">
        <v>80.0</v>
      </c>
      <c r="Z49" s="7">
        <v>400.0</v>
      </c>
      <c r="AA49" s="7">
        <v>1.6</v>
      </c>
      <c r="AB49" s="7">
        <f t="shared" si="7"/>
        <v>640</v>
      </c>
      <c r="AC49" s="7">
        <f t="shared" si="8"/>
        <v>80</v>
      </c>
      <c r="AD49" s="7">
        <f t="shared" si="9"/>
        <v>512</v>
      </c>
      <c r="AE49" s="83">
        <f t="shared" si="10"/>
        <v>6144</v>
      </c>
      <c r="AF49" s="84">
        <v>11.0</v>
      </c>
      <c r="AG49" s="7">
        <v>750.0</v>
      </c>
      <c r="AH49" s="78">
        <v>0.55</v>
      </c>
      <c r="AI49" s="7">
        <f t="shared" si="11"/>
        <v>412.5</v>
      </c>
      <c r="AJ49" s="7">
        <f t="shared" si="12"/>
        <v>667.5</v>
      </c>
      <c r="AK49" s="7">
        <f t="shared" si="13"/>
        <v>45.375</v>
      </c>
      <c r="AL49" s="14">
        <f t="shared" si="14"/>
        <v>544.5</v>
      </c>
      <c r="AM49" s="84">
        <v>22.0</v>
      </c>
      <c r="AN49" s="78">
        <v>1.8</v>
      </c>
      <c r="AO49" s="78">
        <v>25.0</v>
      </c>
      <c r="AP49" s="7">
        <f t="shared" si="15"/>
        <v>45</v>
      </c>
      <c r="AQ49" s="7">
        <f t="shared" si="16"/>
        <v>1.404</v>
      </c>
      <c r="AR49" s="7">
        <f t="shared" si="17"/>
        <v>9.9</v>
      </c>
      <c r="AS49" s="14">
        <f t="shared" si="18"/>
        <v>118.8</v>
      </c>
      <c r="AT49" s="82">
        <v>0.0</v>
      </c>
      <c r="AU49" s="78">
        <v>16000.0</v>
      </c>
      <c r="AV49" s="14">
        <f t="shared" si="19"/>
        <v>0</v>
      </c>
      <c r="AW49" s="82">
        <v>0.0</v>
      </c>
      <c r="AX49" s="78">
        <v>5500.0</v>
      </c>
      <c r="AY49" s="14">
        <f t="shared" si="20"/>
        <v>0</v>
      </c>
      <c r="AZ49" s="69">
        <f t="shared" si="21"/>
        <v>26751.3</v>
      </c>
      <c r="BA49" s="115">
        <f t="shared" si="22"/>
        <v>29.72366667</v>
      </c>
      <c r="BB49" s="69">
        <f t="shared" si="23"/>
        <v>0.03364322482</v>
      </c>
      <c r="BC49" s="11" t="str">
        <f t="shared" si="24"/>
        <v>YES</v>
      </c>
    </row>
    <row r="50" ht="15.75" customHeight="1">
      <c r="A50" s="12"/>
      <c r="B50" s="25" t="s">
        <v>14</v>
      </c>
      <c r="C50" s="7" t="s">
        <v>271</v>
      </c>
      <c r="D50" s="7" t="s">
        <v>323</v>
      </c>
      <c r="E50" s="7" t="s">
        <v>549</v>
      </c>
      <c r="F50" s="7" t="s">
        <v>51</v>
      </c>
      <c r="G50" s="84" t="s">
        <v>550</v>
      </c>
      <c r="H50" s="7">
        <v>5.0</v>
      </c>
      <c r="I50" s="7">
        <v>115.0</v>
      </c>
      <c r="J50" s="7"/>
      <c r="K50" s="7"/>
      <c r="L50" s="7"/>
      <c r="M50" s="9">
        <f t="shared" si="1"/>
        <v>0</v>
      </c>
      <c r="N50" s="9">
        <f t="shared" si="2"/>
        <v>4.6</v>
      </c>
      <c r="O50" s="7">
        <v>1.0</v>
      </c>
      <c r="P50" s="14">
        <f t="shared" si="25"/>
        <v>115</v>
      </c>
      <c r="Q50" s="79">
        <v>12.0</v>
      </c>
      <c r="R50" s="84">
        <v>40.0</v>
      </c>
      <c r="S50" s="7">
        <v>6.0</v>
      </c>
      <c r="T50" s="7">
        <v>700.0</v>
      </c>
      <c r="U50" s="7">
        <f t="shared" si="3"/>
        <v>50400</v>
      </c>
      <c r="V50" s="7">
        <f t="shared" si="4"/>
        <v>8.4</v>
      </c>
      <c r="W50" s="14">
        <f t="shared" si="5"/>
        <v>5880</v>
      </c>
      <c r="X50" s="94">
        <f t="shared" si="6"/>
        <v>20160</v>
      </c>
      <c r="Y50" s="84">
        <v>80.0</v>
      </c>
      <c r="Z50" s="7">
        <v>400.0</v>
      </c>
      <c r="AA50" s="7">
        <v>1.6</v>
      </c>
      <c r="AB50" s="7">
        <f t="shared" si="7"/>
        <v>640</v>
      </c>
      <c r="AC50" s="7">
        <f t="shared" si="8"/>
        <v>80</v>
      </c>
      <c r="AD50" s="7">
        <f t="shared" si="9"/>
        <v>512</v>
      </c>
      <c r="AE50" s="83">
        <f t="shared" si="10"/>
        <v>6144</v>
      </c>
      <c r="AF50" s="84">
        <v>11.0</v>
      </c>
      <c r="AG50" s="7">
        <v>750.0</v>
      </c>
      <c r="AH50" s="78">
        <v>0.55</v>
      </c>
      <c r="AI50" s="7">
        <f t="shared" si="11"/>
        <v>412.5</v>
      </c>
      <c r="AJ50" s="7">
        <f t="shared" si="12"/>
        <v>667.5</v>
      </c>
      <c r="AK50" s="7">
        <f t="shared" si="13"/>
        <v>45.375</v>
      </c>
      <c r="AL50" s="14">
        <f t="shared" si="14"/>
        <v>544.5</v>
      </c>
      <c r="AM50" s="84">
        <v>22.0</v>
      </c>
      <c r="AN50" s="78">
        <v>1.8</v>
      </c>
      <c r="AO50" s="78">
        <v>25.0</v>
      </c>
      <c r="AP50" s="7">
        <f t="shared" si="15"/>
        <v>45</v>
      </c>
      <c r="AQ50" s="7">
        <f t="shared" si="16"/>
        <v>1.404</v>
      </c>
      <c r="AR50" s="7">
        <f t="shared" si="17"/>
        <v>9.9</v>
      </c>
      <c r="AS50" s="14">
        <f t="shared" si="18"/>
        <v>118.8</v>
      </c>
      <c r="AT50" s="82">
        <v>0.0</v>
      </c>
      <c r="AU50" s="78">
        <v>16000.0</v>
      </c>
      <c r="AV50" s="14">
        <f t="shared" si="19"/>
        <v>0</v>
      </c>
      <c r="AW50" s="82">
        <v>0.0</v>
      </c>
      <c r="AX50" s="78">
        <v>5500.0</v>
      </c>
      <c r="AY50" s="14">
        <f t="shared" si="20"/>
        <v>0</v>
      </c>
      <c r="AZ50" s="69">
        <f t="shared" si="21"/>
        <v>26962.7</v>
      </c>
      <c r="BA50" s="115">
        <f t="shared" si="22"/>
        <v>234.4582609</v>
      </c>
      <c r="BB50" s="69">
        <f t="shared" si="23"/>
        <v>0.004265151487</v>
      </c>
      <c r="BC50" s="11" t="str">
        <f t="shared" si="24"/>
        <v>YES</v>
      </c>
    </row>
    <row r="51" ht="15.75" customHeight="1">
      <c r="A51" s="12"/>
      <c r="B51" s="25" t="s">
        <v>36</v>
      </c>
      <c r="C51" s="7" t="s">
        <v>271</v>
      </c>
      <c r="D51" s="7" t="s">
        <v>547</v>
      </c>
      <c r="E51" s="7" t="s">
        <v>285</v>
      </c>
      <c r="F51" s="7" t="s">
        <v>51</v>
      </c>
      <c r="G51" s="84" t="s">
        <v>44</v>
      </c>
      <c r="H51" s="7">
        <v>5.0</v>
      </c>
      <c r="I51" s="7">
        <v>0.0</v>
      </c>
      <c r="J51" s="7"/>
      <c r="K51" s="7"/>
      <c r="L51" s="7"/>
      <c r="M51" s="9">
        <f t="shared" si="1"/>
        <v>0</v>
      </c>
      <c r="N51" s="9">
        <f t="shared" si="2"/>
        <v>0</v>
      </c>
      <c r="O51" s="7">
        <v>1.0</v>
      </c>
      <c r="P51" s="14">
        <f t="shared" si="25"/>
        <v>0</v>
      </c>
      <c r="Q51" s="79">
        <v>12.0</v>
      </c>
      <c r="R51" s="84">
        <v>40.0</v>
      </c>
      <c r="S51" s="7">
        <v>6.0</v>
      </c>
      <c r="T51" s="7">
        <v>700.0</v>
      </c>
      <c r="U51" s="7">
        <f t="shared" si="3"/>
        <v>50400</v>
      </c>
      <c r="V51" s="7">
        <f t="shared" si="4"/>
        <v>8.4</v>
      </c>
      <c r="W51" s="14">
        <f t="shared" si="5"/>
        <v>5880</v>
      </c>
      <c r="X51" s="94">
        <f t="shared" si="6"/>
        <v>20160</v>
      </c>
      <c r="Y51" s="84">
        <v>80.0</v>
      </c>
      <c r="Z51" s="7">
        <v>400.0</v>
      </c>
      <c r="AA51" s="7">
        <v>1.6</v>
      </c>
      <c r="AB51" s="7">
        <f t="shared" si="7"/>
        <v>640</v>
      </c>
      <c r="AC51" s="7">
        <f t="shared" si="8"/>
        <v>80</v>
      </c>
      <c r="AD51" s="7">
        <f t="shared" si="9"/>
        <v>512</v>
      </c>
      <c r="AE51" s="83">
        <f t="shared" si="10"/>
        <v>6144</v>
      </c>
      <c r="AF51" s="84">
        <v>11.0</v>
      </c>
      <c r="AG51" s="7">
        <v>750.0</v>
      </c>
      <c r="AH51" s="78">
        <v>0.55</v>
      </c>
      <c r="AI51" s="7">
        <f t="shared" si="11"/>
        <v>412.5</v>
      </c>
      <c r="AJ51" s="7">
        <f t="shared" si="12"/>
        <v>667.5</v>
      </c>
      <c r="AK51" s="7">
        <f t="shared" si="13"/>
        <v>45.375</v>
      </c>
      <c r="AL51" s="14">
        <f t="shared" si="14"/>
        <v>544.5</v>
      </c>
      <c r="AM51" s="84">
        <v>22.0</v>
      </c>
      <c r="AN51" s="78">
        <v>1.8</v>
      </c>
      <c r="AO51" s="78">
        <v>25.0</v>
      </c>
      <c r="AP51" s="7">
        <f t="shared" si="15"/>
        <v>45</v>
      </c>
      <c r="AQ51" s="7">
        <f t="shared" si="16"/>
        <v>1.404</v>
      </c>
      <c r="AR51" s="7">
        <f t="shared" si="17"/>
        <v>9.9</v>
      </c>
      <c r="AS51" s="14">
        <f t="shared" si="18"/>
        <v>118.8</v>
      </c>
      <c r="AT51" s="82">
        <v>0.0</v>
      </c>
      <c r="AU51" s="78">
        <v>16000.0</v>
      </c>
      <c r="AV51" s="14">
        <f t="shared" si="19"/>
        <v>0</v>
      </c>
      <c r="AW51" s="82">
        <v>0.0</v>
      </c>
      <c r="AX51" s="78">
        <v>5500.0</v>
      </c>
      <c r="AY51" s="14">
        <f t="shared" si="20"/>
        <v>0</v>
      </c>
      <c r="AZ51" s="69">
        <f t="shared" si="21"/>
        <v>26967.3</v>
      </c>
      <c r="BA51" s="115" t="str">
        <f t="shared" si="22"/>
        <v>The DAT is free</v>
      </c>
      <c r="BB51" s="69">
        <f t="shared" si="23"/>
        <v>0</v>
      </c>
      <c r="BC51" s="11" t="str">
        <f t="shared" si="24"/>
        <v>YES</v>
      </c>
    </row>
    <row r="52" ht="15.75" customHeight="1">
      <c r="A52" s="12"/>
      <c r="B52" s="25" t="s">
        <v>14</v>
      </c>
      <c r="C52" s="7" t="s">
        <v>289</v>
      </c>
      <c r="D52" s="7" t="s">
        <v>290</v>
      </c>
      <c r="E52" s="7" t="s">
        <v>291</v>
      </c>
      <c r="F52" s="7" t="s">
        <v>51</v>
      </c>
      <c r="G52" s="84" t="s">
        <v>294</v>
      </c>
      <c r="H52" s="7">
        <v>5.0</v>
      </c>
      <c r="I52" s="7">
        <v>220.0</v>
      </c>
      <c r="J52" s="7"/>
      <c r="K52" s="7"/>
      <c r="L52" s="7"/>
      <c r="M52" s="9">
        <f t="shared" si="1"/>
        <v>0</v>
      </c>
      <c r="N52" s="9">
        <f t="shared" si="2"/>
        <v>8.8</v>
      </c>
      <c r="O52" s="7">
        <v>1.0</v>
      </c>
      <c r="P52" s="14">
        <f t="shared" si="25"/>
        <v>220</v>
      </c>
      <c r="Q52" s="79">
        <v>12.0</v>
      </c>
      <c r="R52" s="84">
        <v>40.0</v>
      </c>
      <c r="S52" s="7">
        <v>6.0</v>
      </c>
      <c r="T52" s="7">
        <v>700.0</v>
      </c>
      <c r="U52" s="7">
        <f t="shared" si="3"/>
        <v>50400</v>
      </c>
      <c r="V52" s="7">
        <f t="shared" si="4"/>
        <v>8.4</v>
      </c>
      <c r="W52" s="14">
        <f t="shared" si="5"/>
        <v>5880</v>
      </c>
      <c r="X52" s="94">
        <f t="shared" si="6"/>
        <v>20160</v>
      </c>
      <c r="Y52" s="84">
        <v>80.0</v>
      </c>
      <c r="Z52" s="7">
        <v>400.0</v>
      </c>
      <c r="AA52" s="7">
        <v>1.6</v>
      </c>
      <c r="AB52" s="7">
        <f t="shared" si="7"/>
        <v>640</v>
      </c>
      <c r="AC52" s="7">
        <f t="shared" si="8"/>
        <v>80</v>
      </c>
      <c r="AD52" s="7">
        <f t="shared" si="9"/>
        <v>512</v>
      </c>
      <c r="AE52" s="83">
        <f t="shared" si="10"/>
        <v>6144</v>
      </c>
      <c r="AF52" s="84">
        <v>11.0</v>
      </c>
      <c r="AG52" s="7">
        <v>750.0</v>
      </c>
      <c r="AH52" s="78">
        <v>0.55</v>
      </c>
      <c r="AI52" s="7">
        <f t="shared" si="11"/>
        <v>412.5</v>
      </c>
      <c r="AJ52" s="7">
        <f t="shared" si="12"/>
        <v>667.5</v>
      </c>
      <c r="AK52" s="7">
        <f t="shared" si="13"/>
        <v>45.375</v>
      </c>
      <c r="AL52" s="14">
        <f t="shared" si="14"/>
        <v>544.5</v>
      </c>
      <c r="AM52" s="84">
        <v>22.0</v>
      </c>
      <c r="AN52" s="78">
        <v>1.8</v>
      </c>
      <c r="AO52" s="78">
        <v>25.0</v>
      </c>
      <c r="AP52" s="7">
        <f t="shared" si="15"/>
        <v>45</v>
      </c>
      <c r="AQ52" s="7">
        <f t="shared" si="16"/>
        <v>1.404</v>
      </c>
      <c r="AR52" s="7">
        <f t="shared" si="17"/>
        <v>9.9</v>
      </c>
      <c r="AS52" s="14">
        <f t="shared" si="18"/>
        <v>118.8</v>
      </c>
      <c r="AT52" s="82">
        <v>0.0</v>
      </c>
      <c r="AU52" s="78">
        <v>16000.0</v>
      </c>
      <c r="AV52" s="14">
        <f t="shared" si="19"/>
        <v>0</v>
      </c>
      <c r="AW52" s="82">
        <v>0.0</v>
      </c>
      <c r="AX52" s="78">
        <v>5500.0</v>
      </c>
      <c r="AY52" s="14">
        <f t="shared" si="20"/>
        <v>0</v>
      </c>
      <c r="AZ52" s="69">
        <f t="shared" si="21"/>
        <v>26958.5</v>
      </c>
      <c r="BA52" s="115">
        <f t="shared" si="22"/>
        <v>122.5386364</v>
      </c>
      <c r="BB52" s="69">
        <f t="shared" si="23"/>
        <v>0.008160691433</v>
      </c>
      <c r="BC52" s="11" t="str">
        <f t="shared" si="24"/>
        <v>YES</v>
      </c>
    </row>
    <row r="53" ht="15.75" customHeight="1">
      <c r="A53" s="18"/>
      <c r="B53" s="86" t="s">
        <v>14</v>
      </c>
      <c r="C53" s="19" t="s">
        <v>271</v>
      </c>
      <c r="D53" s="19" t="s">
        <v>314</v>
      </c>
      <c r="E53" s="19" t="s">
        <v>594</v>
      </c>
      <c r="F53" s="19" t="s">
        <v>51</v>
      </c>
      <c r="G53" s="88" t="s">
        <v>553</v>
      </c>
      <c r="H53" s="19">
        <v>5.0</v>
      </c>
      <c r="I53" s="19">
        <v>165.0</v>
      </c>
      <c r="J53" s="19"/>
      <c r="K53" s="19"/>
      <c r="L53" s="19"/>
      <c r="M53" s="9">
        <f t="shared" si="1"/>
        <v>0</v>
      </c>
      <c r="N53" s="9">
        <f t="shared" si="2"/>
        <v>6.6</v>
      </c>
      <c r="O53" s="19">
        <v>1.0</v>
      </c>
      <c r="P53" s="21">
        <f t="shared" si="25"/>
        <v>165</v>
      </c>
      <c r="Q53" s="87">
        <v>12.0</v>
      </c>
      <c r="R53" s="88">
        <v>40.0</v>
      </c>
      <c r="S53" s="19">
        <v>6.0</v>
      </c>
      <c r="T53" s="19">
        <v>700.0</v>
      </c>
      <c r="U53" s="19">
        <f t="shared" si="3"/>
        <v>50400</v>
      </c>
      <c r="V53" s="19">
        <f t="shared" si="4"/>
        <v>8.4</v>
      </c>
      <c r="W53" s="21">
        <f t="shared" si="5"/>
        <v>5880</v>
      </c>
      <c r="X53" s="89">
        <f t="shared" si="6"/>
        <v>20160</v>
      </c>
      <c r="Y53" s="88">
        <v>80.0</v>
      </c>
      <c r="Z53" s="19">
        <v>400.0</v>
      </c>
      <c r="AA53" s="19">
        <v>1.6</v>
      </c>
      <c r="AB53" s="19">
        <f t="shared" si="7"/>
        <v>640</v>
      </c>
      <c r="AC53" s="19">
        <f t="shared" si="8"/>
        <v>80</v>
      </c>
      <c r="AD53" s="19">
        <f t="shared" si="9"/>
        <v>512</v>
      </c>
      <c r="AE53" s="91">
        <f t="shared" si="10"/>
        <v>6144</v>
      </c>
      <c r="AF53" s="88">
        <v>11.0</v>
      </c>
      <c r="AG53" s="19">
        <v>750.0</v>
      </c>
      <c r="AH53" s="93">
        <v>0.55</v>
      </c>
      <c r="AI53" s="19">
        <f t="shared" si="11"/>
        <v>412.5</v>
      </c>
      <c r="AJ53" s="19">
        <f t="shared" si="12"/>
        <v>667.5</v>
      </c>
      <c r="AK53" s="19">
        <f t="shared" si="13"/>
        <v>45.375</v>
      </c>
      <c r="AL53" s="21">
        <f t="shared" si="14"/>
        <v>544.5</v>
      </c>
      <c r="AM53" s="88">
        <v>22.0</v>
      </c>
      <c r="AN53" s="93">
        <v>1.8</v>
      </c>
      <c r="AO53" s="93">
        <v>25.0</v>
      </c>
      <c r="AP53" s="19">
        <f t="shared" si="15"/>
        <v>45</v>
      </c>
      <c r="AQ53" s="19">
        <f t="shared" si="16"/>
        <v>1.404</v>
      </c>
      <c r="AR53" s="19">
        <f t="shared" si="17"/>
        <v>9.9</v>
      </c>
      <c r="AS53" s="21">
        <f t="shared" si="18"/>
        <v>118.8</v>
      </c>
      <c r="AT53" s="92">
        <v>0.0</v>
      </c>
      <c r="AU53" s="93">
        <v>16000.0</v>
      </c>
      <c r="AV53" s="21">
        <f t="shared" si="19"/>
        <v>0</v>
      </c>
      <c r="AW53" s="92">
        <v>0.0</v>
      </c>
      <c r="AX53" s="93">
        <v>5500.0</v>
      </c>
      <c r="AY53" s="21">
        <f t="shared" si="20"/>
        <v>0</v>
      </c>
      <c r="AZ53" s="69">
        <f t="shared" si="21"/>
        <v>26960.7</v>
      </c>
      <c r="BA53" s="115">
        <f t="shared" si="22"/>
        <v>163.3981818</v>
      </c>
      <c r="BB53" s="69">
        <f t="shared" si="23"/>
        <v>0.006120019139</v>
      </c>
      <c r="BC53" s="11" t="str">
        <f t="shared" si="24"/>
        <v>YES</v>
      </c>
    </row>
    <row r="54" ht="15.75" customHeight="1">
      <c r="A54" s="8" t="s">
        <v>616</v>
      </c>
      <c r="B54" s="68" t="s">
        <v>14</v>
      </c>
      <c r="C54" s="68" t="s">
        <v>329</v>
      </c>
      <c r="D54" s="9" t="s">
        <v>330</v>
      </c>
      <c r="E54" s="9" t="s">
        <v>331</v>
      </c>
      <c r="F54" s="9" t="s">
        <v>51</v>
      </c>
      <c r="G54" s="75" t="s">
        <v>555</v>
      </c>
      <c r="H54" s="9">
        <v>5.0</v>
      </c>
      <c r="I54" s="9">
        <v>18000.0</v>
      </c>
      <c r="J54" s="9"/>
      <c r="K54" s="9"/>
      <c r="L54" s="9"/>
      <c r="M54" s="9">
        <f t="shared" si="1"/>
        <v>3600</v>
      </c>
      <c r="N54" s="9">
        <f t="shared" si="2"/>
        <v>720</v>
      </c>
      <c r="O54" s="9">
        <v>1.0</v>
      </c>
      <c r="P54" s="11">
        <f t="shared" si="25"/>
        <v>18000</v>
      </c>
      <c r="Q54" s="69">
        <v>12.0</v>
      </c>
      <c r="R54" s="71">
        <v>0.0</v>
      </c>
      <c r="S54" s="9">
        <v>6.0</v>
      </c>
      <c r="T54" s="9">
        <v>700.0</v>
      </c>
      <c r="U54" s="9">
        <f t="shared" si="3"/>
        <v>50400</v>
      </c>
      <c r="V54" s="9">
        <f t="shared" si="4"/>
        <v>6</v>
      </c>
      <c r="W54" s="11">
        <f t="shared" si="5"/>
        <v>4200</v>
      </c>
      <c r="X54" s="72">
        <f t="shared" si="6"/>
        <v>0</v>
      </c>
      <c r="Y54" s="76">
        <v>0.0</v>
      </c>
      <c r="Z54" s="9">
        <v>400.0</v>
      </c>
      <c r="AA54" s="9">
        <v>1.6</v>
      </c>
      <c r="AB54" s="9">
        <f t="shared" si="7"/>
        <v>640</v>
      </c>
      <c r="AC54" s="9">
        <f t="shared" si="8"/>
        <v>400</v>
      </c>
      <c r="AD54" s="9">
        <f t="shared" si="9"/>
        <v>0</v>
      </c>
      <c r="AE54" s="73">
        <f t="shared" si="10"/>
        <v>0</v>
      </c>
      <c r="AF54" s="76">
        <v>0.0</v>
      </c>
      <c r="AG54" s="9">
        <v>750.0</v>
      </c>
      <c r="AH54" s="74">
        <v>0.55</v>
      </c>
      <c r="AI54" s="9">
        <f t="shared" si="11"/>
        <v>412.5</v>
      </c>
      <c r="AJ54" s="9">
        <f t="shared" si="12"/>
        <v>750</v>
      </c>
      <c r="AK54" s="9">
        <f t="shared" si="13"/>
        <v>0</v>
      </c>
      <c r="AL54" s="11">
        <f t="shared" si="14"/>
        <v>0</v>
      </c>
      <c r="AM54" s="71">
        <v>75.0</v>
      </c>
      <c r="AN54" s="74">
        <v>1.8</v>
      </c>
      <c r="AO54" s="74">
        <v>25.0</v>
      </c>
      <c r="AP54" s="9">
        <f t="shared" si="15"/>
        <v>45</v>
      </c>
      <c r="AQ54" s="9">
        <f t="shared" si="16"/>
        <v>0.45</v>
      </c>
      <c r="AR54" s="9">
        <f t="shared" si="17"/>
        <v>33.75</v>
      </c>
      <c r="AS54" s="11">
        <f t="shared" si="18"/>
        <v>405</v>
      </c>
      <c r="AT54" s="9">
        <v>57.5</v>
      </c>
      <c r="AU54" s="74">
        <v>16000.0</v>
      </c>
      <c r="AV54" s="11">
        <f t="shared" si="19"/>
        <v>9200</v>
      </c>
      <c r="AW54" s="76">
        <v>0.0</v>
      </c>
      <c r="AX54" s="74">
        <v>5500.0</v>
      </c>
      <c r="AY54" s="11">
        <f t="shared" si="20"/>
        <v>0</v>
      </c>
      <c r="AZ54" s="69">
        <f t="shared" si="21"/>
        <v>5285</v>
      </c>
      <c r="BA54" s="115">
        <f t="shared" si="22"/>
        <v>0.2936111111</v>
      </c>
      <c r="BB54" s="69">
        <f t="shared" si="23"/>
        <v>3.405865658</v>
      </c>
      <c r="BC54" s="11" t="str">
        <f t="shared" si="24"/>
        <v>YES</v>
      </c>
    </row>
    <row r="55" ht="15.75" customHeight="1">
      <c r="A55" s="12"/>
      <c r="B55" s="25" t="s">
        <v>14</v>
      </c>
      <c r="C55" s="25" t="s">
        <v>343</v>
      </c>
      <c r="D55" s="7" t="s">
        <v>344</v>
      </c>
      <c r="E55" s="7" t="s">
        <v>345</v>
      </c>
      <c r="F55" s="7" t="s">
        <v>348</v>
      </c>
      <c r="G55" s="84" t="s">
        <v>617</v>
      </c>
      <c r="H55" s="7">
        <v>5.0</v>
      </c>
      <c r="I55" s="7">
        <v>35000.0</v>
      </c>
      <c r="J55" s="7"/>
      <c r="K55" s="7"/>
      <c r="L55" s="7"/>
      <c r="M55" s="9">
        <f t="shared" si="1"/>
        <v>7000</v>
      </c>
      <c r="N55" s="9">
        <f t="shared" si="2"/>
        <v>1400</v>
      </c>
      <c r="O55" s="7">
        <v>1.0</v>
      </c>
      <c r="P55" s="14">
        <f t="shared" si="25"/>
        <v>35000</v>
      </c>
      <c r="Q55" s="79">
        <v>12.0</v>
      </c>
      <c r="R55" s="84">
        <v>16.0</v>
      </c>
      <c r="S55" s="7">
        <v>6.0</v>
      </c>
      <c r="T55" s="7">
        <v>700.0</v>
      </c>
      <c r="U55" s="7">
        <f t="shared" si="3"/>
        <v>50400</v>
      </c>
      <c r="V55" s="7">
        <f t="shared" si="4"/>
        <v>6.96</v>
      </c>
      <c r="W55" s="14">
        <f t="shared" si="5"/>
        <v>4872</v>
      </c>
      <c r="X55" s="94">
        <f t="shared" si="6"/>
        <v>8064</v>
      </c>
      <c r="Y55" s="82">
        <v>0.0</v>
      </c>
      <c r="Z55" s="7">
        <v>400.0</v>
      </c>
      <c r="AA55" s="7">
        <v>1.6</v>
      </c>
      <c r="AB55" s="7">
        <f t="shared" si="7"/>
        <v>640</v>
      </c>
      <c r="AC55" s="7">
        <f t="shared" si="8"/>
        <v>400</v>
      </c>
      <c r="AD55" s="7">
        <f t="shared" si="9"/>
        <v>0</v>
      </c>
      <c r="AE55" s="83">
        <f t="shared" si="10"/>
        <v>0</v>
      </c>
      <c r="AF55" s="82">
        <v>0.0</v>
      </c>
      <c r="AG55" s="7">
        <v>750.0</v>
      </c>
      <c r="AH55" s="78">
        <v>0.55</v>
      </c>
      <c r="AI55" s="7">
        <f t="shared" si="11"/>
        <v>412.5</v>
      </c>
      <c r="AJ55" s="7">
        <f t="shared" si="12"/>
        <v>750</v>
      </c>
      <c r="AK55" s="7">
        <f t="shared" si="13"/>
        <v>0</v>
      </c>
      <c r="AL55" s="14">
        <f t="shared" si="14"/>
        <v>0</v>
      </c>
      <c r="AM55" s="80">
        <v>0.0</v>
      </c>
      <c r="AN55" s="78">
        <v>1.8</v>
      </c>
      <c r="AO55" s="78">
        <v>25.0</v>
      </c>
      <c r="AP55" s="7">
        <f t="shared" si="15"/>
        <v>45</v>
      </c>
      <c r="AQ55" s="7">
        <f t="shared" si="16"/>
        <v>1.8</v>
      </c>
      <c r="AR55" s="7">
        <f t="shared" si="17"/>
        <v>0</v>
      </c>
      <c r="AS55" s="14">
        <f t="shared" si="18"/>
        <v>0</v>
      </c>
      <c r="AT55" s="7">
        <v>57.5</v>
      </c>
      <c r="AU55" s="78">
        <v>16000.0</v>
      </c>
      <c r="AV55" s="14">
        <f t="shared" si="19"/>
        <v>9200</v>
      </c>
      <c r="AW55" s="82">
        <v>0.0</v>
      </c>
      <c r="AX55" s="78">
        <v>5500.0</v>
      </c>
      <c r="AY55" s="14">
        <f t="shared" si="20"/>
        <v>0</v>
      </c>
      <c r="AZ55" s="69">
        <f t="shared" si="21"/>
        <v>8864</v>
      </c>
      <c r="BA55" s="115">
        <f t="shared" si="22"/>
        <v>0.2532571429</v>
      </c>
      <c r="BB55" s="69">
        <f t="shared" si="23"/>
        <v>3.948555957</v>
      </c>
      <c r="BC55" s="11" t="str">
        <f t="shared" si="24"/>
        <v>YES</v>
      </c>
    </row>
    <row r="56" ht="15.75" customHeight="1">
      <c r="A56" s="12"/>
      <c r="B56" s="25" t="s">
        <v>14</v>
      </c>
      <c r="C56" s="25" t="s">
        <v>329</v>
      </c>
      <c r="D56" s="7" t="s">
        <v>567</v>
      </c>
      <c r="E56" s="7" t="s">
        <v>618</v>
      </c>
      <c r="F56" s="7" t="s">
        <v>51</v>
      </c>
      <c r="G56" s="84" t="s">
        <v>569</v>
      </c>
      <c r="H56" s="7">
        <v>5.0</v>
      </c>
      <c r="I56" s="7"/>
      <c r="J56" s="7"/>
      <c r="K56" s="7">
        <v>415.0</v>
      </c>
      <c r="L56" s="7">
        <f>K56*12</f>
        <v>4980</v>
      </c>
      <c r="M56" s="9">
        <f t="shared" si="1"/>
        <v>4980</v>
      </c>
      <c r="N56" s="9">
        <f t="shared" si="2"/>
        <v>996</v>
      </c>
      <c r="O56" s="7">
        <v>1.0</v>
      </c>
      <c r="P56" s="14">
        <f t="shared" si="25"/>
        <v>24900</v>
      </c>
      <c r="Q56" s="79">
        <v>12.0</v>
      </c>
      <c r="R56" s="80">
        <v>0.0</v>
      </c>
      <c r="S56" s="7">
        <v>6.0</v>
      </c>
      <c r="T56" s="7">
        <v>700.0</v>
      </c>
      <c r="U56" s="7">
        <f t="shared" si="3"/>
        <v>50400</v>
      </c>
      <c r="V56" s="7">
        <f t="shared" si="4"/>
        <v>6</v>
      </c>
      <c r="W56" s="14">
        <f t="shared" si="5"/>
        <v>4200</v>
      </c>
      <c r="X56" s="94">
        <f t="shared" si="6"/>
        <v>0</v>
      </c>
      <c r="Y56" s="82">
        <v>0.0</v>
      </c>
      <c r="Z56" s="7">
        <v>400.0</v>
      </c>
      <c r="AA56" s="7">
        <v>1.6</v>
      </c>
      <c r="AB56" s="7">
        <f t="shared" si="7"/>
        <v>640</v>
      </c>
      <c r="AC56" s="7">
        <f t="shared" si="8"/>
        <v>400</v>
      </c>
      <c r="AD56" s="7">
        <f t="shared" si="9"/>
        <v>0</v>
      </c>
      <c r="AE56" s="83">
        <f t="shared" si="10"/>
        <v>0</v>
      </c>
      <c r="AF56" s="82">
        <v>0.0</v>
      </c>
      <c r="AG56" s="7">
        <v>750.0</v>
      </c>
      <c r="AH56" s="78">
        <v>0.55</v>
      </c>
      <c r="AI56" s="7">
        <f t="shared" si="11"/>
        <v>412.5</v>
      </c>
      <c r="AJ56" s="7">
        <f t="shared" si="12"/>
        <v>750</v>
      </c>
      <c r="AK56" s="7">
        <f t="shared" si="13"/>
        <v>0</v>
      </c>
      <c r="AL56" s="14">
        <f t="shared" si="14"/>
        <v>0</v>
      </c>
      <c r="AM56" s="80">
        <v>75.0</v>
      </c>
      <c r="AN56" s="78">
        <v>1.8</v>
      </c>
      <c r="AO56" s="78">
        <v>25.0</v>
      </c>
      <c r="AP56" s="7">
        <f t="shared" si="15"/>
        <v>45</v>
      </c>
      <c r="AQ56" s="7">
        <f t="shared" si="16"/>
        <v>0.45</v>
      </c>
      <c r="AR56" s="7">
        <f t="shared" si="17"/>
        <v>33.75</v>
      </c>
      <c r="AS56" s="14">
        <f t="shared" si="18"/>
        <v>405</v>
      </c>
      <c r="AT56" s="7">
        <v>57.5</v>
      </c>
      <c r="AU56" s="78">
        <v>16000.0</v>
      </c>
      <c r="AV56" s="14">
        <f t="shared" si="19"/>
        <v>9200</v>
      </c>
      <c r="AW56" s="82">
        <v>0.0</v>
      </c>
      <c r="AX56" s="78">
        <v>5500.0</v>
      </c>
      <c r="AY56" s="14">
        <f t="shared" si="20"/>
        <v>0</v>
      </c>
      <c r="AZ56" s="69">
        <f t="shared" si="21"/>
        <v>-1351</v>
      </c>
      <c r="BA56" s="115">
        <f t="shared" si="22"/>
        <v>-0.05425702811</v>
      </c>
      <c r="BB56" s="69" t="str">
        <f t="shared" si="23"/>
        <v>Payback period not applicable: the investment does not recover its cost under current conditions.</v>
      </c>
      <c r="BC56" s="11" t="str">
        <f t="shared" si="24"/>
        <v>NO</v>
      </c>
    </row>
    <row r="57" ht="15.75" customHeight="1">
      <c r="A57" s="12"/>
      <c r="B57" s="25" t="s">
        <v>14</v>
      </c>
      <c r="C57" s="25" t="s">
        <v>238</v>
      </c>
      <c r="D57" s="7" t="s">
        <v>382</v>
      </c>
      <c r="E57" s="7" t="s">
        <v>187</v>
      </c>
      <c r="F57" s="7" t="s">
        <v>51</v>
      </c>
      <c r="G57" s="84" t="s">
        <v>595</v>
      </c>
      <c r="H57" s="7">
        <v>5.0</v>
      </c>
      <c r="I57" s="7">
        <v>30000.0</v>
      </c>
      <c r="J57" s="7"/>
      <c r="K57" s="7"/>
      <c r="L57" s="7"/>
      <c r="M57" s="9">
        <f t="shared" si="1"/>
        <v>6000</v>
      </c>
      <c r="N57" s="9">
        <f t="shared" si="2"/>
        <v>1200</v>
      </c>
      <c r="O57" s="7">
        <v>1.0</v>
      </c>
      <c r="P57" s="14">
        <f t="shared" si="25"/>
        <v>30000</v>
      </c>
      <c r="Q57" s="79">
        <v>12.0</v>
      </c>
      <c r="R57" s="84">
        <v>16.0</v>
      </c>
      <c r="S57" s="7">
        <v>6.0</v>
      </c>
      <c r="T57" s="7">
        <v>700.0</v>
      </c>
      <c r="U57" s="7">
        <f t="shared" si="3"/>
        <v>50400</v>
      </c>
      <c r="V57" s="7">
        <f t="shared" si="4"/>
        <v>6.96</v>
      </c>
      <c r="W57" s="14">
        <f t="shared" si="5"/>
        <v>4872</v>
      </c>
      <c r="X57" s="94">
        <f t="shared" si="6"/>
        <v>8064</v>
      </c>
      <c r="Y57" s="84">
        <v>28.0</v>
      </c>
      <c r="Z57" s="7">
        <v>400.0</v>
      </c>
      <c r="AA57" s="7">
        <v>1.6</v>
      </c>
      <c r="AB57" s="7">
        <f t="shared" si="7"/>
        <v>640</v>
      </c>
      <c r="AC57" s="7">
        <f t="shared" si="8"/>
        <v>288</v>
      </c>
      <c r="AD57" s="7">
        <f t="shared" si="9"/>
        <v>179.2</v>
      </c>
      <c r="AE57" s="83">
        <f t="shared" si="10"/>
        <v>2150.4</v>
      </c>
      <c r="AF57" s="82">
        <v>0.0</v>
      </c>
      <c r="AG57" s="7">
        <v>750.0</v>
      </c>
      <c r="AH57" s="78">
        <v>0.55</v>
      </c>
      <c r="AI57" s="7">
        <f t="shared" si="11"/>
        <v>412.5</v>
      </c>
      <c r="AJ57" s="7">
        <f t="shared" si="12"/>
        <v>750</v>
      </c>
      <c r="AK57" s="7">
        <f t="shared" si="13"/>
        <v>0</v>
      </c>
      <c r="AL57" s="14">
        <f t="shared" si="14"/>
        <v>0</v>
      </c>
      <c r="AM57" s="80">
        <v>75.0</v>
      </c>
      <c r="AN57" s="78">
        <v>1.8</v>
      </c>
      <c r="AO57" s="78">
        <v>25.0</v>
      </c>
      <c r="AP57" s="7">
        <f t="shared" si="15"/>
        <v>45</v>
      </c>
      <c r="AQ57" s="7">
        <f t="shared" si="16"/>
        <v>0.45</v>
      </c>
      <c r="AR57" s="7">
        <f t="shared" si="17"/>
        <v>33.75</v>
      </c>
      <c r="AS57" s="14">
        <f t="shared" si="18"/>
        <v>405</v>
      </c>
      <c r="AT57" s="7">
        <v>57.5</v>
      </c>
      <c r="AU57" s="78">
        <v>16000.0</v>
      </c>
      <c r="AV57" s="14">
        <f t="shared" si="19"/>
        <v>9200</v>
      </c>
      <c r="AW57" s="82">
        <v>0.0</v>
      </c>
      <c r="AX57" s="78">
        <v>5500.0</v>
      </c>
      <c r="AY57" s="14">
        <f t="shared" si="20"/>
        <v>0</v>
      </c>
      <c r="AZ57" s="69">
        <f t="shared" si="21"/>
        <v>12619.4</v>
      </c>
      <c r="BA57" s="115">
        <f t="shared" si="22"/>
        <v>0.4206466667</v>
      </c>
      <c r="BB57" s="69">
        <f t="shared" si="23"/>
        <v>2.377292106</v>
      </c>
      <c r="BC57" s="11" t="str">
        <f t="shared" si="24"/>
        <v>YES</v>
      </c>
    </row>
    <row r="58" ht="15.75" customHeight="1">
      <c r="A58" s="18"/>
      <c r="B58" s="86" t="s">
        <v>14</v>
      </c>
      <c r="C58" s="86" t="s">
        <v>392</v>
      </c>
      <c r="D58" s="19" t="s">
        <v>393</v>
      </c>
      <c r="E58" s="19" t="s">
        <v>394</v>
      </c>
      <c r="F58" s="19" t="s">
        <v>51</v>
      </c>
      <c r="G58" s="88" t="s">
        <v>559</v>
      </c>
      <c r="H58" s="19">
        <v>5.0</v>
      </c>
      <c r="I58" s="19">
        <v>950.0</v>
      </c>
      <c r="J58" s="19"/>
      <c r="K58" s="19"/>
      <c r="L58" s="19"/>
      <c r="M58" s="9">
        <f t="shared" si="1"/>
        <v>190</v>
      </c>
      <c r="N58" s="9">
        <f t="shared" si="2"/>
        <v>38</v>
      </c>
      <c r="O58" s="19">
        <v>1.0</v>
      </c>
      <c r="P58" s="21">
        <f t="shared" si="25"/>
        <v>950</v>
      </c>
      <c r="Q58" s="87">
        <v>12.0</v>
      </c>
      <c r="R58" s="90">
        <v>0.0</v>
      </c>
      <c r="S58" s="19">
        <v>6.0</v>
      </c>
      <c r="T58" s="19">
        <v>700.0</v>
      </c>
      <c r="U58" s="19">
        <f t="shared" si="3"/>
        <v>50400</v>
      </c>
      <c r="V58" s="19">
        <f t="shared" si="4"/>
        <v>6</v>
      </c>
      <c r="W58" s="21">
        <f t="shared" si="5"/>
        <v>4200</v>
      </c>
      <c r="X58" s="89">
        <f t="shared" si="6"/>
        <v>0</v>
      </c>
      <c r="Y58" s="88">
        <v>0.0</v>
      </c>
      <c r="Z58" s="19">
        <v>400.0</v>
      </c>
      <c r="AA58" s="19">
        <v>1.6</v>
      </c>
      <c r="AB58" s="19">
        <f t="shared" si="7"/>
        <v>640</v>
      </c>
      <c r="AC58" s="19">
        <f t="shared" si="8"/>
        <v>400</v>
      </c>
      <c r="AD58" s="19">
        <f t="shared" si="9"/>
        <v>0</v>
      </c>
      <c r="AE58" s="91">
        <f t="shared" si="10"/>
        <v>0</v>
      </c>
      <c r="AF58" s="90">
        <v>22.5</v>
      </c>
      <c r="AG58" s="19">
        <v>750.0</v>
      </c>
      <c r="AH58" s="93">
        <v>0.55</v>
      </c>
      <c r="AI58" s="19">
        <f t="shared" si="11"/>
        <v>412.5</v>
      </c>
      <c r="AJ58" s="19">
        <f t="shared" si="12"/>
        <v>581.25</v>
      </c>
      <c r="AK58" s="19">
        <f t="shared" si="13"/>
        <v>92.8125</v>
      </c>
      <c r="AL58" s="21">
        <f t="shared" si="14"/>
        <v>1113.75</v>
      </c>
      <c r="AM58" s="90">
        <v>0.0</v>
      </c>
      <c r="AN58" s="93">
        <v>1.8</v>
      </c>
      <c r="AO58" s="93">
        <v>25.0</v>
      </c>
      <c r="AP58" s="19">
        <f t="shared" si="15"/>
        <v>45</v>
      </c>
      <c r="AQ58" s="19">
        <f t="shared" si="16"/>
        <v>1.8</v>
      </c>
      <c r="AR58" s="19">
        <f t="shared" si="17"/>
        <v>0</v>
      </c>
      <c r="AS58" s="21">
        <f t="shared" si="18"/>
        <v>0</v>
      </c>
      <c r="AT58" s="19">
        <v>57.5</v>
      </c>
      <c r="AU58" s="93">
        <v>16000.0</v>
      </c>
      <c r="AV58" s="21">
        <f t="shared" si="19"/>
        <v>9200</v>
      </c>
      <c r="AW58" s="92">
        <v>0.0</v>
      </c>
      <c r="AX58" s="93">
        <v>5500.0</v>
      </c>
      <c r="AY58" s="21">
        <f t="shared" si="20"/>
        <v>0</v>
      </c>
      <c r="AZ58" s="69">
        <f t="shared" si="21"/>
        <v>10085.75</v>
      </c>
      <c r="BA58" s="115">
        <f t="shared" si="22"/>
        <v>10.61657895</v>
      </c>
      <c r="BB58" s="69">
        <f t="shared" si="23"/>
        <v>0.09419230102</v>
      </c>
      <c r="BC58" s="11" t="str">
        <f t="shared" si="24"/>
        <v>YES</v>
      </c>
    </row>
    <row r="59" ht="15.75" customHeight="1">
      <c r="A59" s="25"/>
      <c r="B59" s="25"/>
      <c r="C59" s="25"/>
      <c r="D59" s="7"/>
      <c r="E59" s="7"/>
      <c r="F59" s="7"/>
      <c r="G59" s="7"/>
    </row>
    <row r="60" ht="15.75" customHeight="1">
      <c r="A60" s="25"/>
      <c r="B60" s="25"/>
      <c r="C60" s="25"/>
      <c r="D60" s="7"/>
      <c r="E60" s="7"/>
      <c r="F60" s="7"/>
      <c r="G60" s="7"/>
    </row>
    <row r="61" ht="15.75" customHeight="1">
      <c r="A61" s="25"/>
      <c r="B61" s="25"/>
      <c r="C61" s="25"/>
      <c r="D61" s="7"/>
      <c r="E61" s="7"/>
      <c r="F61" s="7"/>
      <c r="G61" s="7"/>
    </row>
    <row r="62" ht="15.75" customHeight="1">
      <c r="A62" s="25"/>
      <c r="B62" s="25"/>
      <c r="C62" s="25"/>
      <c r="D62" s="7"/>
      <c r="E62" s="7"/>
      <c r="F62" s="7"/>
      <c r="G62" s="7"/>
    </row>
    <row r="63" ht="15.75" customHeight="1">
      <c r="A63" s="25"/>
      <c r="B63" s="25"/>
      <c r="C63" s="25"/>
      <c r="D63" s="7"/>
      <c r="E63" s="7"/>
      <c r="F63" s="7"/>
      <c r="G63" s="7"/>
    </row>
    <row r="64" ht="15.75" customHeight="1">
      <c r="A64" s="25"/>
      <c r="B64" s="25"/>
      <c r="C64" s="25"/>
      <c r="D64" s="7"/>
      <c r="E64" s="7"/>
      <c r="F64" s="7"/>
      <c r="G64" s="7"/>
    </row>
    <row r="65" ht="15.75" customHeight="1">
      <c r="A65" s="25"/>
      <c r="B65" s="25"/>
      <c r="C65" s="25"/>
      <c r="D65" s="7"/>
      <c r="E65" s="7"/>
      <c r="F65" s="7"/>
      <c r="G65" s="7"/>
    </row>
    <row r="66" ht="15.75" customHeight="1">
      <c r="A66" s="25"/>
      <c r="B66" s="25"/>
      <c r="C66" s="25"/>
      <c r="D66" s="7"/>
      <c r="E66" s="7"/>
      <c r="F66" s="7"/>
      <c r="G66" s="7"/>
    </row>
    <row r="67" ht="15.75" customHeight="1">
      <c r="A67" s="7"/>
      <c r="B67" s="7"/>
      <c r="C67" s="7"/>
      <c r="D67" s="7"/>
      <c r="E67" s="7"/>
      <c r="F67" s="7"/>
      <c r="G67" s="7"/>
    </row>
    <row r="68" ht="15.75" customHeight="1">
      <c r="A68" s="7"/>
      <c r="B68" s="7"/>
      <c r="C68" s="7"/>
      <c r="D68" s="7"/>
      <c r="E68" s="7"/>
      <c r="F68" s="7"/>
      <c r="G68" s="7"/>
    </row>
    <row r="69" ht="15.75" customHeight="1">
      <c r="A69" s="7"/>
      <c r="B69" s="7"/>
      <c r="C69" s="7"/>
      <c r="D69" s="7"/>
      <c r="E69" s="7"/>
      <c r="F69" s="7"/>
      <c r="G69" s="7"/>
    </row>
    <row r="70" ht="15.75" customHeight="1">
      <c r="A70" s="7"/>
      <c r="B70" s="7"/>
      <c r="C70" s="7"/>
      <c r="D70" s="7"/>
      <c r="E70" s="7"/>
      <c r="F70" s="7"/>
      <c r="G70" s="7"/>
    </row>
    <row r="71" ht="15.75" customHeight="1">
      <c r="A71" s="7"/>
      <c r="B71" s="7"/>
      <c r="C71" s="7"/>
      <c r="D71" s="7"/>
      <c r="E71" s="7"/>
      <c r="F71" s="7"/>
      <c r="G71" s="7"/>
    </row>
    <row r="72" ht="15.75" customHeight="1">
      <c r="A72" s="7"/>
      <c r="B72" s="7"/>
      <c r="C72" s="7"/>
      <c r="D72" s="7"/>
      <c r="E72" s="7"/>
      <c r="F72" s="7"/>
      <c r="G72" s="7"/>
    </row>
    <row r="73" ht="15.75" customHeight="1">
      <c r="A73" s="7"/>
      <c r="B73" s="7"/>
      <c r="C73" s="7"/>
      <c r="D73" s="7"/>
      <c r="E73" s="7"/>
      <c r="F73" s="7"/>
      <c r="G73" s="7"/>
    </row>
    <row r="74" ht="15.75" customHeight="1">
      <c r="A74" s="7"/>
      <c r="B74" s="7"/>
      <c r="C74" s="7"/>
      <c r="D74" s="7"/>
      <c r="E74" s="7"/>
      <c r="F74" s="7"/>
      <c r="G74" s="7"/>
    </row>
    <row r="75" ht="15.75" customHeight="1">
      <c r="A75" s="7"/>
      <c r="B75" s="7"/>
      <c r="C75" s="7"/>
      <c r="D75" s="7"/>
      <c r="E75" s="7"/>
      <c r="F75" s="7"/>
      <c r="G75" s="7"/>
    </row>
    <row r="76" ht="15.75" customHeight="1">
      <c r="A76" s="7"/>
      <c r="B76" s="7"/>
      <c r="C76" s="7"/>
      <c r="D76" s="7"/>
      <c r="E76" s="7"/>
      <c r="F76" s="7"/>
      <c r="G76" s="7"/>
    </row>
    <row r="77" ht="15.75" customHeight="1">
      <c r="A77" s="7"/>
      <c r="B77" s="7"/>
      <c r="C77" s="7"/>
      <c r="D77" s="7"/>
      <c r="E77" s="7"/>
      <c r="F77" s="7"/>
      <c r="G77" s="7"/>
    </row>
    <row r="78" ht="15.75" customHeight="1">
      <c r="A78" s="7"/>
      <c r="B78" s="7"/>
      <c r="C78" s="7"/>
      <c r="D78" s="7"/>
      <c r="E78" s="7"/>
      <c r="F78" s="7"/>
      <c r="G78" s="7"/>
    </row>
    <row r="79" ht="15.75" customHeight="1">
      <c r="A79" s="7"/>
      <c r="B79" s="7"/>
      <c r="C79" s="7"/>
      <c r="D79" s="7"/>
      <c r="E79" s="7"/>
      <c r="F79" s="7"/>
      <c r="G79" s="7"/>
    </row>
    <row r="80" ht="15.75" customHeight="1">
      <c r="A80" s="7"/>
      <c r="B80" s="7"/>
      <c r="C80" s="7"/>
      <c r="D80" s="7"/>
      <c r="E80" s="7"/>
      <c r="F80" s="7"/>
      <c r="G80" s="7"/>
    </row>
    <row r="81" ht="15.75" customHeight="1">
      <c r="A81" s="7"/>
      <c r="B81" s="7"/>
      <c r="C81" s="7"/>
      <c r="D81" s="7"/>
      <c r="E81" s="7"/>
      <c r="F81" s="7"/>
      <c r="G81" s="7"/>
    </row>
    <row r="82" ht="15.75" customHeight="1">
      <c r="A82" s="7"/>
      <c r="B82" s="7"/>
      <c r="C82" s="7"/>
      <c r="D82" s="7"/>
      <c r="E82" s="7"/>
      <c r="F82" s="7"/>
      <c r="G82" s="7"/>
    </row>
    <row r="83" ht="15.75" customHeight="1">
      <c r="A83" s="7"/>
      <c r="B83" s="7"/>
      <c r="C83" s="7"/>
      <c r="D83" s="7"/>
      <c r="E83" s="7"/>
      <c r="F83" s="7"/>
      <c r="G83" s="7"/>
    </row>
    <row r="84" ht="15.75" customHeight="1">
      <c r="A84" s="7"/>
      <c r="B84" s="7"/>
      <c r="C84" s="7"/>
      <c r="D84" s="7"/>
      <c r="E84" s="7"/>
      <c r="F84" s="7"/>
      <c r="G84" s="7"/>
    </row>
    <row r="85" ht="15.75" customHeight="1">
      <c r="A85" s="7"/>
      <c r="B85" s="7"/>
      <c r="C85" s="7"/>
      <c r="D85" s="7"/>
      <c r="E85" s="7"/>
      <c r="F85" s="7"/>
      <c r="G85" s="7"/>
    </row>
    <row r="86" ht="15.75" customHeight="1">
      <c r="A86" s="7"/>
      <c r="B86" s="7"/>
      <c r="C86" s="7"/>
      <c r="D86" s="7"/>
      <c r="E86" s="7"/>
      <c r="F86" s="7"/>
      <c r="G86" s="7"/>
    </row>
    <row r="87" ht="15.75" customHeight="1">
      <c r="A87" s="7"/>
      <c r="B87" s="7"/>
      <c r="C87" s="7"/>
      <c r="D87" s="7"/>
      <c r="E87" s="7"/>
      <c r="F87" s="7"/>
      <c r="G87" s="7"/>
    </row>
    <row r="88" ht="15.75" customHeight="1">
      <c r="A88" s="7"/>
      <c r="B88" s="7"/>
      <c r="C88" s="7"/>
      <c r="D88" s="7"/>
      <c r="E88" s="7"/>
      <c r="F88" s="7"/>
      <c r="G88" s="7"/>
    </row>
    <row r="89" ht="15.75" customHeight="1">
      <c r="A89" s="7"/>
      <c r="B89" s="7"/>
      <c r="C89" s="7"/>
      <c r="D89" s="7"/>
      <c r="E89" s="7"/>
      <c r="F89" s="7"/>
      <c r="G89" s="7"/>
    </row>
    <row r="90" ht="15.75" customHeight="1">
      <c r="A90" s="7"/>
      <c r="B90" s="7"/>
      <c r="C90" s="7"/>
      <c r="D90" s="7"/>
      <c r="E90" s="7"/>
      <c r="F90" s="7"/>
      <c r="G90" s="7"/>
    </row>
    <row r="91" ht="15.75" customHeight="1">
      <c r="A91" s="7"/>
      <c r="B91" s="7"/>
      <c r="C91" s="7"/>
      <c r="D91" s="7"/>
      <c r="E91" s="7"/>
      <c r="F91" s="7"/>
      <c r="G91" s="7"/>
    </row>
    <row r="92" ht="15.75" customHeight="1">
      <c r="A92" s="7"/>
      <c r="B92" s="7"/>
      <c r="C92" s="7"/>
      <c r="D92" s="7"/>
      <c r="E92" s="7"/>
      <c r="F92" s="7"/>
      <c r="G92" s="7"/>
    </row>
    <row r="93" ht="15.75" customHeight="1">
      <c r="A93" s="7"/>
      <c r="B93" s="7"/>
      <c r="C93" s="7"/>
      <c r="D93" s="7"/>
      <c r="E93" s="7"/>
      <c r="F93" s="7"/>
      <c r="G93" s="7"/>
    </row>
    <row r="94" ht="15.75" customHeight="1">
      <c r="A94" s="7"/>
      <c r="B94" s="7"/>
      <c r="C94" s="7"/>
      <c r="D94" s="7"/>
      <c r="E94" s="7"/>
      <c r="F94" s="7"/>
      <c r="G94" s="7"/>
    </row>
    <row r="95" ht="15.75" customHeight="1">
      <c r="A95" s="7"/>
      <c r="B95" s="7"/>
      <c r="C95" s="7"/>
      <c r="D95" s="7"/>
      <c r="E95" s="7"/>
      <c r="F95" s="7"/>
      <c r="G95" s="7"/>
    </row>
    <row r="96" ht="15.75" customHeight="1">
      <c r="A96" s="7"/>
      <c r="B96" s="7"/>
      <c r="C96" s="7"/>
      <c r="D96" s="7"/>
      <c r="E96" s="7"/>
      <c r="F96" s="7"/>
      <c r="G96" s="7"/>
    </row>
    <row r="97" ht="15.75" customHeight="1">
      <c r="A97" s="7"/>
      <c r="B97" s="7"/>
      <c r="C97" s="7"/>
      <c r="D97" s="7"/>
      <c r="E97" s="7"/>
      <c r="F97" s="7"/>
      <c r="G97" s="7"/>
    </row>
    <row r="98" ht="15.75" customHeight="1">
      <c r="A98" s="7"/>
      <c r="B98" s="7"/>
      <c r="C98" s="7"/>
      <c r="D98" s="7"/>
      <c r="E98" s="7"/>
      <c r="F98" s="7"/>
      <c r="G98" s="7"/>
    </row>
    <row r="99" ht="15.75" customHeight="1">
      <c r="A99" s="7"/>
      <c r="B99" s="7"/>
      <c r="C99" s="7"/>
      <c r="D99" s="7"/>
      <c r="E99" s="7"/>
      <c r="F99" s="7"/>
      <c r="G99" s="7"/>
    </row>
    <row r="100" ht="15.75" customHeight="1">
      <c r="A100" s="7"/>
      <c r="B100" s="7"/>
      <c r="C100" s="7"/>
      <c r="D100" s="7"/>
      <c r="E100" s="7"/>
      <c r="F100" s="7"/>
      <c r="G100" s="7"/>
    </row>
    <row r="101" ht="15.75" customHeight="1">
      <c r="A101" s="7"/>
      <c r="B101" s="7"/>
      <c r="C101" s="7"/>
      <c r="D101" s="7"/>
      <c r="E101" s="7"/>
      <c r="F101" s="7"/>
      <c r="G101" s="7"/>
    </row>
    <row r="102" ht="15.75" customHeight="1">
      <c r="A102" s="7"/>
      <c r="B102" s="7"/>
      <c r="C102" s="7"/>
      <c r="D102" s="7"/>
      <c r="E102" s="7"/>
      <c r="F102" s="7"/>
      <c r="G102" s="7"/>
    </row>
    <row r="103" ht="15.75" customHeight="1">
      <c r="A103" s="7"/>
      <c r="B103" s="7"/>
      <c r="C103" s="7"/>
      <c r="D103" s="7"/>
      <c r="E103" s="7"/>
      <c r="F103" s="7"/>
      <c r="G103" s="7"/>
    </row>
    <row r="104" ht="15.75" customHeight="1">
      <c r="A104" s="7"/>
      <c r="B104" s="7"/>
      <c r="C104" s="7"/>
      <c r="D104" s="7"/>
      <c r="E104" s="7"/>
      <c r="F104" s="7"/>
      <c r="G104" s="7"/>
    </row>
    <row r="105" ht="15.75" customHeight="1">
      <c r="A105" s="7"/>
      <c r="B105" s="7"/>
      <c r="C105" s="7"/>
      <c r="D105" s="7"/>
      <c r="E105" s="7"/>
      <c r="F105" s="7"/>
      <c r="G105" s="7"/>
    </row>
    <row r="106" ht="15.75" customHeight="1">
      <c r="A106" s="7"/>
      <c r="B106" s="7"/>
      <c r="C106" s="7"/>
      <c r="D106" s="7"/>
      <c r="E106" s="7"/>
      <c r="F106" s="7"/>
      <c r="G106" s="7"/>
    </row>
    <row r="107" ht="15.75" customHeight="1">
      <c r="A107" s="7"/>
      <c r="B107" s="7"/>
      <c r="C107" s="7"/>
      <c r="D107" s="7"/>
      <c r="E107" s="7"/>
      <c r="F107" s="7"/>
      <c r="G107" s="7"/>
    </row>
    <row r="108" ht="15.75" customHeight="1">
      <c r="A108" s="7"/>
      <c r="B108" s="7"/>
      <c r="C108" s="7"/>
      <c r="D108" s="7"/>
      <c r="E108" s="7"/>
      <c r="F108" s="7"/>
      <c r="G108" s="7"/>
    </row>
    <row r="109" ht="15.75" customHeight="1">
      <c r="A109" s="7"/>
      <c r="B109" s="7"/>
      <c r="C109" s="7"/>
      <c r="D109" s="7"/>
      <c r="E109" s="7"/>
      <c r="F109" s="7"/>
      <c r="G109" s="7"/>
    </row>
    <row r="110" ht="15.75" customHeight="1">
      <c r="A110" s="7"/>
      <c r="B110" s="7"/>
      <c r="C110" s="7"/>
      <c r="D110" s="7"/>
      <c r="E110" s="7"/>
      <c r="F110" s="7"/>
      <c r="G110" s="7"/>
    </row>
    <row r="111" ht="15.75" customHeight="1">
      <c r="A111" s="7"/>
      <c r="B111" s="7"/>
      <c r="C111" s="7"/>
      <c r="D111" s="7"/>
      <c r="E111" s="7"/>
      <c r="F111" s="7"/>
      <c r="G111" s="7"/>
    </row>
    <row r="112" ht="15.75" customHeight="1">
      <c r="A112" s="7"/>
      <c r="B112" s="7"/>
      <c r="C112" s="7"/>
      <c r="D112" s="7"/>
      <c r="E112" s="7"/>
      <c r="F112" s="7"/>
      <c r="G112" s="7"/>
    </row>
    <row r="113" ht="15.75" customHeight="1">
      <c r="A113" s="7"/>
      <c r="B113" s="7"/>
      <c r="C113" s="7"/>
      <c r="D113" s="7"/>
      <c r="E113" s="7"/>
      <c r="F113" s="7"/>
      <c r="G113" s="7"/>
    </row>
    <row r="114" ht="15.75" customHeight="1">
      <c r="A114" s="7"/>
      <c r="B114" s="7"/>
      <c r="C114" s="7"/>
      <c r="D114" s="7"/>
      <c r="E114" s="7"/>
      <c r="F114" s="7"/>
      <c r="G114" s="7"/>
    </row>
    <row r="115" ht="15.75" customHeight="1">
      <c r="A115" s="7"/>
      <c r="B115" s="7"/>
      <c r="C115" s="7"/>
      <c r="D115" s="7"/>
      <c r="E115" s="7"/>
      <c r="F115" s="7"/>
      <c r="G115" s="7"/>
    </row>
    <row r="116" ht="15.75" customHeight="1">
      <c r="A116" s="7"/>
      <c r="B116" s="7"/>
      <c r="C116" s="7"/>
      <c r="D116" s="7"/>
      <c r="E116" s="7"/>
      <c r="F116" s="7"/>
      <c r="G116" s="7"/>
    </row>
    <row r="117" ht="15.75" customHeight="1">
      <c r="A117" s="7"/>
      <c r="B117" s="7"/>
      <c r="C117" s="7"/>
      <c r="D117" s="7"/>
      <c r="E117" s="7"/>
      <c r="F117" s="7"/>
      <c r="G117" s="7"/>
    </row>
    <row r="118" ht="15.75" customHeight="1">
      <c r="A118" s="7"/>
      <c r="B118" s="7"/>
      <c r="C118" s="7"/>
      <c r="D118" s="7"/>
      <c r="E118" s="7"/>
      <c r="F118" s="7"/>
      <c r="G118" s="7"/>
    </row>
    <row r="119" ht="15.75" customHeight="1">
      <c r="A119" s="7"/>
      <c r="B119" s="7"/>
      <c r="C119" s="7"/>
      <c r="D119" s="7"/>
      <c r="E119" s="7"/>
      <c r="F119" s="7"/>
      <c r="G119" s="7"/>
    </row>
    <row r="120" ht="15.75" customHeight="1">
      <c r="A120" s="7"/>
      <c r="B120" s="7"/>
      <c r="C120" s="7"/>
      <c r="D120" s="7"/>
      <c r="E120" s="7"/>
      <c r="F120" s="7"/>
      <c r="G120" s="7"/>
    </row>
    <row r="121" ht="15.75" customHeight="1">
      <c r="A121" s="7"/>
      <c r="B121" s="7"/>
      <c r="C121" s="7"/>
      <c r="D121" s="7"/>
      <c r="E121" s="7"/>
      <c r="F121" s="7"/>
      <c r="G121" s="7"/>
    </row>
    <row r="122" ht="15.75" customHeight="1">
      <c r="A122" s="7"/>
      <c r="B122" s="7"/>
      <c r="C122" s="7"/>
      <c r="D122" s="7"/>
      <c r="E122" s="7"/>
      <c r="F122" s="7"/>
      <c r="G122" s="7"/>
    </row>
    <row r="123" ht="15.75" customHeight="1">
      <c r="A123" s="7"/>
      <c r="B123" s="7"/>
      <c r="C123" s="7"/>
      <c r="D123" s="7"/>
      <c r="E123" s="7"/>
      <c r="F123" s="7"/>
      <c r="G123" s="7"/>
    </row>
    <row r="124" ht="15.75" customHeight="1">
      <c r="A124" s="7"/>
      <c r="B124" s="7"/>
      <c r="C124" s="7"/>
      <c r="D124" s="7"/>
      <c r="E124" s="7"/>
      <c r="F124" s="7"/>
      <c r="G124" s="7"/>
    </row>
    <row r="125" ht="15.75" customHeight="1">
      <c r="A125" s="7"/>
      <c r="B125" s="7"/>
      <c r="C125" s="7"/>
      <c r="D125" s="7"/>
      <c r="E125" s="7"/>
      <c r="F125" s="7"/>
      <c r="G125" s="7"/>
    </row>
    <row r="126" ht="15.75" customHeight="1">
      <c r="A126" s="7"/>
      <c r="B126" s="7"/>
      <c r="C126" s="7"/>
      <c r="D126" s="7"/>
      <c r="E126" s="7"/>
      <c r="F126" s="7"/>
      <c r="G126" s="7"/>
    </row>
    <row r="127" ht="15.75" customHeight="1">
      <c r="A127" s="7"/>
      <c r="B127" s="7"/>
      <c r="C127" s="7"/>
      <c r="D127" s="7"/>
      <c r="E127" s="7"/>
      <c r="F127" s="7"/>
      <c r="G127" s="7"/>
    </row>
    <row r="128" ht="15.75" customHeight="1">
      <c r="A128" s="7"/>
      <c r="B128" s="7"/>
      <c r="C128" s="7"/>
      <c r="D128" s="7"/>
      <c r="E128" s="7"/>
      <c r="F128" s="7"/>
      <c r="G128" s="7"/>
    </row>
    <row r="129" ht="15.75" customHeight="1">
      <c r="A129" s="7"/>
      <c r="B129" s="7"/>
      <c r="C129" s="7"/>
      <c r="D129" s="7"/>
      <c r="E129" s="7"/>
      <c r="F129" s="7"/>
      <c r="G129" s="7"/>
    </row>
    <row r="130" ht="15.75" customHeight="1">
      <c r="A130" s="7"/>
      <c r="B130" s="7"/>
      <c r="C130" s="7"/>
      <c r="D130" s="7"/>
      <c r="E130" s="7"/>
      <c r="F130" s="7"/>
      <c r="G130" s="7"/>
    </row>
    <row r="131" ht="15.75" customHeight="1">
      <c r="A131" s="7"/>
      <c r="B131" s="7"/>
      <c r="C131" s="7"/>
      <c r="D131" s="7"/>
      <c r="E131" s="7"/>
      <c r="F131" s="7"/>
      <c r="G131" s="7"/>
    </row>
    <row r="132" ht="15.75" customHeight="1">
      <c r="A132" s="7"/>
      <c r="B132" s="7"/>
      <c r="C132" s="7"/>
      <c r="D132" s="7"/>
      <c r="E132" s="7"/>
      <c r="F132" s="7"/>
      <c r="G132" s="7"/>
    </row>
    <row r="133" ht="15.75" customHeight="1">
      <c r="A133" s="7"/>
      <c r="B133" s="7"/>
      <c r="C133" s="7"/>
      <c r="D133" s="7"/>
      <c r="E133" s="7"/>
      <c r="F133" s="7"/>
      <c r="G133" s="7"/>
    </row>
    <row r="134" ht="15.75" customHeight="1">
      <c r="A134" s="7"/>
      <c r="B134" s="7"/>
      <c r="C134" s="7"/>
      <c r="D134" s="7"/>
      <c r="E134" s="7"/>
      <c r="F134" s="7"/>
      <c r="G134" s="7"/>
    </row>
    <row r="135" ht="15.75" customHeight="1">
      <c r="A135" s="7"/>
      <c r="B135" s="7"/>
      <c r="C135" s="7"/>
      <c r="D135" s="7"/>
      <c r="E135" s="7"/>
      <c r="F135" s="7"/>
      <c r="G135" s="7"/>
    </row>
    <row r="136" ht="15.75" customHeight="1">
      <c r="A136" s="7"/>
      <c r="B136" s="7"/>
      <c r="C136" s="7"/>
      <c r="D136" s="7"/>
      <c r="E136" s="7"/>
      <c r="F136" s="7"/>
      <c r="G136" s="7"/>
    </row>
    <row r="137" ht="15.75" customHeight="1">
      <c r="A137" s="7"/>
      <c r="B137" s="7"/>
      <c r="C137" s="7"/>
      <c r="D137" s="7"/>
      <c r="E137" s="7"/>
      <c r="F137" s="7"/>
      <c r="G137" s="7"/>
    </row>
    <row r="138" ht="15.75" customHeight="1">
      <c r="A138" s="7"/>
      <c r="B138" s="7"/>
      <c r="C138" s="7"/>
      <c r="D138" s="7"/>
      <c r="E138" s="7"/>
      <c r="F138" s="7"/>
      <c r="G138" s="7"/>
    </row>
    <row r="139" ht="15.75" customHeight="1">
      <c r="A139" s="7"/>
      <c r="B139" s="7"/>
      <c r="C139" s="7"/>
      <c r="D139" s="7"/>
      <c r="E139" s="7"/>
      <c r="F139" s="7"/>
      <c r="G139" s="7"/>
    </row>
    <row r="140" ht="15.75" customHeight="1">
      <c r="A140" s="7"/>
      <c r="B140" s="7"/>
      <c r="C140" s="7"/>
      <c r="D140" s="7"/>
      <c r="E140" s="7"/>
      <c r="F140" s="7"/>
      <c r="G140" s="7"/>
    </row>
    <row r="141" ht="15.75" customHeight="1">
      <c r="A141" s="7"/>
      <c r="B141" s="7"/>
      <c r="C141" s="7"/>
      <c r="D141" s="7"/>
      <c r="E141" s="7"/>
      <c r="F141" s="7"/>
      <c r="G141" s="7"/>
    </row>
    <row r="142" ht="15.75" customHeight="1">
      <c r="A142" s="7"/>
      <c r="B142" s="7"/>
      <c r="C142" s="7"/>
      <c r="D142" s="7"/>
      <c r="E142" s="7"/>
      <c r="F142" s="7"/>
      <c r="G142" s="7"/>
    </row>
    <row r="143" ht="15.75" customHeight="1">
      <c r="A143" s="7"/>
      <c r="B143" s="7"/>
      <c r="C143" s="7"/>
      <c r="D143" s="7"/>
      <c r="E143" s="7"/>
      <c r="F143" s="7"/>
      <c r="G143" s="7"/>
    </row>
    <row r="144" ht="15.75" customHeight="1">
      <c r="A144" s="7"/>
      <c r="B144" s="7"/>
      <c r="C144" s="7"/>
      <c r="D144" s="7"/>
      <c r="E144" s="7"/>
      <c r="F144" s="7"/>
      <c r="G144" s="7"/>
    </row>
    <row r="145" ht="15.75" customHeight="1">
      <c r="A145" s="7"/>
      <c r="B145" s="7"/>
      <c r="C145" s="7"/>
      <c r="D145" s="7"/>
      <c r="E145" s="7"/>
      <c r="F145" s="7"/>
      <c r="G145" s="7"/>
    </row>
    <row r="146" ht="15.75" customHeight="1">
      <c r="A146" s="7"/>
      <c r="B146" s="7"/>
      <c r="C146" s="7"/>
      <c r="D146" s="7"/>
      <c r="E146" s="7"/>
      <c r="F146" s="7"/>
      <c r="G146" s="7"/>
    </row>
    <row r="147" ht="15.75" customHeight="1">
      <c r="A147" s="7"/>
      <c r="B147" s="7"/>
      <c r="C147" s="7"/>
      <c r="D147" s="7"/>
      <c r="E147" s="7"/>
      <c r="F147" s="7"/>
      <c r="G147" s="7"/>
    </row>
    <row r="148" ht="15.75" customHeight="1">
      <c r="A148" s="7"/>
      <c r="B148" s="7"/>
      <c r="C148" s="7"/>
      <c r="D148" s="7"/>
      <c r="E148" s="7"/>
      <c r="F148" s="7"/>
      <c r="G148" s="7"/>
    </row>
    <row r="149" ht="15.75" customHeight="1">
      <c r="A149" s="7"/>
      <c r="B149" s="7"/>
      <c r="C149" s="7"/>
      <c r="D149" s="7"/>
      <c r="E149" s="7"/>
      <c r="F149" s="7"/>
      <c r="G149" s="7"/>
    </row>
    <row r="150" ht="15.75" customHeight="1">
      <c r="A150" s="7"/>
      <c r="B150" s="7"/>
      <c r="C150" s="7"/>
      <c r="D150" s="7"/>
      <c r="E150" s="7"/>
      <c r="F150" s="7"/>
      <c r="G150" s="7"/>
    </row>
    <row r="151" ht="15.75" customHeight="1">
      <c r="A151" s="7"/>
      <c r="B151" s="7"/>
      <c r="C151" s="7"/>
      <c r="D151" s="7"/>
      <c r="E151" s="7"/>
      <c r="F151" s="7"/>
      <c r="G151" s="7"/>
    </row>
    <row r="152" ht="15.75" customHeight="1">
      <c r="A152" s="7"/>
      <c r="B152" s="7"/>
      <c r="C152" s="7"/>
      <c r="D152" s="7"/>
      <c r="E152" s="7"/>
      <c r="F152" s="7"/>
      <c r="G152" s="7"/>
    </row>
    <row r="153" ht="15.75" customHeight="1">
      <c r="A153" s="7"/>
      <c r="B153" s="7"/>
      <c r="C153" s="7"/>
      <c r="D153" s="7"/>
      <c r="E153" s="7"/>
      <c r="F153" s="7"/>
      <c r="G153" s="7"/>
    </row>
    <row r="154" ht="15.75" customHeight="1">
      <c r="A154" s="7"/>
      <c r="B154" s="7"/>
      <c r="C154" s="7"/>
      <c r="D154" s="7"/>
      <c r="E154" s="7"/>
      <c r="F154" s="7"/>
      <c r="G154" s="7"/>
    </row>
    <row r="155" ht="15.75" customHeight="1">
      <c r="A155" s="7"/>
      <c r="B155" s="7"/>
      <c r="C155" s="7"/>
      <c r="D155" s="7"/>
      <c r="E155" s="7"/>
      <c r="F155" s="7"/>
      <c r="G155" s="7"/>
    </row>
    <row r="156" ht="15.75" customHeight="1">
      <c r="A156" s="7"/>
      <c r="B156" s="7"/>
      <c r="C156" s="7"/>
      <c r="D156" s="7"/>
      <c r="E156" s="7"/>
      <c r="F156" s="7"/>
      <c r="G156" s="7"/>
    </row>
    <row r="157" ht="15.75" customHeight="1">
      <c r="A157" s="7"/>
      <c r="B157" s="7"/>
      <c r="C157" s="7"/>
      <c r="D157" s="7"/>
      <c r="E157" s="7"/>
      <c r="F157" s="7"/>
      <c r="G157" s="7"/>
    </row>
    <row r="158" ht="15.75" customHeight="1">
      <c r="A158" s="7"/>
      <c r="B158" s="7"/>
      <c r="C158" s="7"/>
      <c r="D158" s="7"/>
      <c r="E158" s="7"/>
      <c r="F158" s="7"/>
      <c r="G158" s="7"/>
    </row>
    <row r="159" ht="15.75" customHeight="1">
      <c r="A159" s="7"/>
      <c r="B159" s="7"/>
      <c r="C159" s="7"/>
      <c r="D159" s="7"/>
      <c r="E159" s="7"/>
      <c r="F159" s="7"/>
      <c r="G159" s="7"/>
    </row>
    <row r="160" ht="15.75" customHeight="1">
      <c r="A160" s="7"/>
      <c r="B160" s="7"/>
      <c r="C160" s="7"/>
      <c r="D160" s="7"/>
      <c r="E160" s="7"/>
      <c r="F160" s="7"/>
      <c r="G160" s="7"/>
    </row>
    <row r="161" ht="15.75" customHeight="1">
      <c r="A161" s="7"/>
      <c r="B161" s="7"/>
      <c r="C161" s="7"/>
      <c r="D161" s="7"/>
      <c r="E161" s="7"/>
      <c r="F161" s="7"/>
      <c r="G161" s="7"/>
    </row>
    <row r="162" ht="15.75" customHeight="1">
      <c r="A162" s="7"/>
      <c r="B162" s="7"/>
      <c r="C162" s="7"/>
      <c r="D162" s="7"/>
      <c r="E162" s="7"/>
      <c r="F162" s="7"/>
      <c r="G162" s="7"/>
    </row>
    <row r="163" ht="15.75" customHeight="1">
      <c r="A163" s="7"/>
      <c r="B163" s="7"/>
      <c r="C163" s="7"/>
      <c r="D163" s="7"/>
      <c r="E163" s="7"/>
      <c r="F163" s="7"/>
      <c r="G163" s="7"/>
    </row>
    <row r="164" ht="15.75" customHeight="1">
      <c r="A164" s="7"/>
      <c r="B164" s="7"/>
      <c r="C164" s="7"/>
      <c r="D164" s="7"/>
      <c r="E164" s="7"/>
      <c r="F164" s="7"/>
      <c r="G164" s="7"/>
    </row>
    <row r="165" ht="15.75" customHeight="1">
      <c r="A165" s="7"/>
      <c r="B165" s="7"/>
      <c r="C165" s="7"/>
      <c r="D165" s="7"/>
      <c r="E165" s="7"/>
      <c r="F165" s="7"/>
      <c r="G165" s="7"/>
    </row>
    <row r="166" ht="15.75" customHeight="1">
      <c r="A166" s="7"/>
      <c r="B166" s="7"/>
      <c r="C166" s="7"/>
      <c r="D166" s="7"/>
      <c r="E166" s="7"/>
      <c r="F166" s="7"/>
      <c r="G166" s="7"/>
    </row>
    <row r="167" ht="15.75" customHeight="1">
      <c r="A167" s="7"/>
      <c r="B167" s="7"/>
      <c r="C167" s="7"/>
      <c r="D167" s="7"/>
      <c r="E167" s="7"/>
      <c r="F167" s="7"/>
      <c r="G167" s="7"/>
    </row>
    <row r="168" ht="15.75" customHeight="1">
      <c r="A168" s="7"/>
      <c r="B168" s="7"/>
      <c r="C168" s="7"/>
      <c r="D168" s="7"/>
      <c r="E168" s="7"/>
      <c r="F168" s="7"/>
      <c r="G168" s="7"/>
    </row>
    <row r="169" ht="15.75" customHeight="1">
      <c r="A169" s="7"/>
      <c r="B169" s="7"/>
      <c r="C169" s="7"/>
      <c r="D169" s="7"/>
      <c r="E169" s="7"/>
      <c r="F169" s="7"/>
      <c r="G169" s="7"/>
    </row>
    <row r="170" ht="15.75" customHeight="1">
      <c r="A170" s="7"/>
      <c r="B170" s="7"/>
      <c r="C170" s="7"/>
      <c r="D170" s="7"/>
      <c r="E170" s="7"/>
      <c r="F170" s="7"/>
      <c r="G170" s="7"/>
    </row>
    <row r="171" ht="15.75" customHeight="1">
      <c r="A171" s="7"/>
      <c r="B171" s="7"/>
      <c r="C171" s="7"/>
      <c r="D171" s="7"/>
      <c r="E171" s="7"/>
      <c r="F171" s="7"/>
      <c r="G171" s="7"/>
    </row>
    <row r="172" ht="15.75" customHeight="1">
      <c r="A172" s="7"/>
      <c r="B172" s="7"/>
      <c r="C172" s="7"/>
      <c r="D172" s="7"/>
      <c r="E172" s="7"/>
      <c r="F172" s="7"/>
      <c r="G172" s="7"/>
    </row>
    <row r="173" ht="15.75" customHeight="1">
      <c r="A173" s="7"/>
      <c r="B173" s="7"/>
      <c r="C173" s="7"/>
      <c r="D173" s="7"/>
      <c r="E173" s="7"/>
      <c r="F173" s="7"/>
      <c r="G173" s="7"/>
    </row>
    <row r="174" ht="15.75" customHeight="1">
      <c r="A174" s="7"/>
      <c r="B174" s="7"/>
      <c r="C174" s="7"/>
      <c r="D174" s="7"/>
      <c r="E174" s="7"/>
      <c r="F174" s="7"/>
      <c r="G174" s="7"/>
    </row>
    <row r="175" ht="15.75" customHeight="1">
      <c r="A175" s="7"/>
      <c r="B175" s="7"/>
      <c r="C175" s="7"/>
      <c r="D175" s="7"/>
      <c r="E175" s="7"/>
      <c r="F175" s="7"/>
      <c r="G175" s="7"/>
    </row>
    <row r="176" ht="15.75" customHeight="1">
      <c r="A176" s="7"/>
      <c r="B176" s="7"/>
      <c r="C176" s="7"/>
      <c r="D176" s="7"/>
      <c r="E176" s="7"/>
      <c r="F176" s="7"/>
      <c r="G176" s="7"/>
    </row>
    <row r="177" ht="15.75" customHeight="1">
      <c r="A177" s="7"/>
      <c r="B177" s="7"/>
      <c r="C177" s="7"/>
      <c r="D177" s="7"/>
      <c r="E177" s="7"/>
      <c r="F177" s="7"/>
      <c r="G177" s="7"/>
    </row>
    <row r="178" ht="15.75" customHeight="1">
      <c r="A178" s="7"/>
      <c r="B178" s="7"/>
      <c r="C178" s="7"/>
      <c r="D178" s="7"/>
      <c r="E178" s="7"/>
      <c r="F178" s="7"/>
      <c r="G178" s="7"/>
    </row>
    <row r="179" ht="15.75" customHeight="1">
      <c r="A179" s="7"/>
      <c r="B179" s="7"/>
      <c r="C179" s="7"/>
      <c r="D179" s="7"/>
      <c r="E179" s="7"/>
      <c r="F179" s="7"/>
      <c r="G179" s="7"/>
    </row>
    <row r="180" ht="15.75" customHeight="1">
      <c r="A180" s="7"/>
      <c r="B180" s="7"/>
      <c r="C180" s="7"/>
      <c r="D180" s="7"/>
      <c r="E180" s="7"/>
      <c r="F180" s="7"/>
      <c r="G180" s="7"/>
    </row>
    <row r="181" ht="15.75" customHeight="1">
      <c r="A181" s="7"/>
      <c r="B181" s="7"/>
      <c r="C181" s="7"/>
      <c r="D181" s="7"/>
      <c r="E181" s="7"/>
      <c r="F181" s="7"/>
      <c r="G181" s="7"/>
    </row>
    <row r="182" ht="15.75" customHeight="1">
      <c r="A182" s="7"/>
      <c r="B182" s="7"/>
      <c r="C182" s="7"/>
      <c r="D182" s="7"/>
      <c r="E182" s="7"/>
      <c r="F182" s="7"/>
      <c r="G182" s="7"/>
    </row>
    <row r="183" ht="15.75" customHeight="1">
      <c r="A183" s="7"/>
      <c r="B183" s="7"/>
      <c r="C183" s="7"/>
      <c r="D183" s="7"/>
      <c r="E183" s="7"/>
      <c r="F183" s="7"/>
      <c r="G183" s="7"/>
    </row>
    <row r="184" ht="15.75" customHeight="1">
      <c r="A184" s="7"/>
      <c r="B184" s="7"/>
      <c r="C184" s="7"/>
      <c r="D184" s="7"/>
      <c r="E184" s="7"/>
      <c r="F184" s="7"/>
      <c r="G184" s="7"/>
    </row>
    <row r="185" ht="15.75" customHeight="1">
      <c r="A185" s="7"/>
      <c r="B185" s="7"/>
      <c r="C185" s="7"/>
      <c r="D185" s="7"/>
      <c r="E185" s="7"/>
      <c r="F185" s="7"/>
      <c r="G185" s="7"/>
    </row>
    <row r="186" ht="15.75" customHeight="1">
      <c r="A186" s="7"/>
      <c r="B186" s="7"/>
      <c r="C186" s="7"/>
      <c r="D186" s="7"/>
      <c r="E186" s="7"/>
      <c r="F186" s="7"/>
      <c r="G186" s="7"/>
    </row>
    <row r="187" ht="15.75" customHeight="1">
      <c r="A187" s="7"/>
      <c r="B187" s="7"/>
      <c r="C187" s="7"/>
      <c r="D187" s="7"/>
      <c r="E187" s="7"/>
      <c r="F187" s="7"/>
      <c r="G187" s="7"/>
    </row>
    <row r="188" ht="15.75" customHeight="1">
      <c r="A188" s="7"/>
      <c r="B188" s="7"/>
      <c r="C188" s="7"/>
      <c r="D188" s="7"/>
      <c r="E188" s="7"/>
      <c r="F188" s="7"/>
      <c r="G188" s="7"/>
    </row>
    <row r="189" ht="15.75" customHeight="1">
      <c r="A189" s="7"/>
      <c r="B189" s="7"/>
      <c r="C189" s="7"/>
      <c r="D189" s="7"/>
      <c r="E189" s="7"/>
      <c r="F189" s="7"/>
      <c r="G189" s="7"/>
    </row>
    <row r="190" ht="15.75" customHeight="1">
      <c r="A190" s="7"/>
      <c r="B190" s="7"/>
      <c r="C190" s="7"/>
      <c r="D190" s="7"/>
      <c r="E190" s="7"/>
      <c r="F190" s="7"/>
      <c r="G190" s="7"/>
    </row>
    <row r="191" ht="15.75" customHeight="1">
      <c r="A191" s="7"/>
      <c r="B191" s="7"/>
      <c r="C191" s="7"/>
      <c r="D191" s="7"/>
      <c r="E191" s="7"/>
      <c r="F191" s="7"/>
      <c r="G191" s="7"/>
    </row>
    <row r="192" ht="15.75" customHeight="1">
      <c r="A192" s="7"/>
      <c r="B192" s="7"/>
      <c r="C192" s="7"/>
      <c r="D192" s="7"/>
      <c r="E192" s="7"/>
      <c r="F192" s="7"/>
      <c r="G192" s="7"/>
    </row>
    <row r="193" ht="15.75" customHeight="1">
      <c r="A193" s="7"/>
      <c r="B193" s="7"/>
      <c r="C193" s="7"/>
      <c r="D193" s="7"/>
      <c r="E193" s="7"/>
      <c r="F193" s="7"/>
      <c r="G193" s="7"/>
    </row>
    <row r="194" ht="15.75" customHeight="1">
      <c r="A194" s="7"/>
      <c r="B194" s="7"/>
      <c r="C194" s="7"/>
      <c r="D194" s="7"/>
      <c r="E194" s="7"/>
      <c r="F194" s="7"/>
      <c r="G194" s="7"/>
    </row>
    <row r="195" ht="15.75" customHeight="1">
      <c r="A195" s="7"/>
      <c r="B195" s="7"/>
      <c r="C195" s="7"/>
      <c r="D195" s="7"/>
      <c r="E195" s="7"/>
      <c r="F195" s="7"/>
      <c r="G195" s="7"/>
    </row>
    <row r="196" ht="15.75" customHeight="1">
      <c r="A196" s="7"/>
      <c r="B196" s="7"/>
      <c r="C196" s="7"/>
      <c r="D196" s="7"/>
      <c r="E196" s="7"/>
      <c r="F196" s="7"/>
      <c r="G196" s="7"/>
    </row>
    <row r="197" ht="15.75" customHeight="1">
      <c r="A197" s="7"/>
      <c r="B197" s="7"/>
      <c r="C197" s="7"/>
      <c r="D197" s="7"/>
      <c r="E197" s="7"/>
      <c r="F197" s="7"/>
      <c r="G197" s="7"/>
    </row>
    <row r="198" ht="15.75" customHeight="1">
      <c r="A198" s="7"/>
      <c r="B198" s="7"/>
      <c r="C198" s="7"/>
      <c r="D198" s="7"/>
      <c r="E198" s="7"/>
      <c r="F198" s="7"/>
      <c r="G198" s="7"/>
    </row>
    <row r="199" ht="15.75" customHeight="1">
      <c r="A199" s="7"/>
      <c r="B199" s="7"/>
      <c r="C199" s="7"/>
      <c r="D199" s="7"/>
      <c r="E199" s="7"/>
      <c r="F199" s="7"/>
      <c r="G199" s="7"/>
    </row>
    <row r="200" ht="15.75" customHeight="1">
      <c r="A200" s="7"/>
      <c r="B200" s="7"/>
      <c r="C200" s="7"/>
      <c r="D200" s="7"/>
      <c r="E200" s="7"/>
      <c r="F200" s="7"/>
      <c r="G200" s="7"/>
    </row>
    <row r="201" ht="15.75" customHeight="1">
      <c r="A201" s="7"/>
      <c r="B201" s="7"/>
      <c r="C201" s="7"/>
      <c r="D201" s="7"/>
      <c r="E201" s="7"/>
      <c r="F201" s="7"/>
      <c r="G201" s="7"/>
    </row>
    <row r="202" ht="15.75" customHeight="1">
      <c r="A202" s="7"/>
      <c r="B202" s="7"/>
      <c r="C202" s="7"/>
      <c r="D202" s="7"/>
      <c r="E202" s="7"/>
      <c r="F202" s="7"/>
      <c r="G202" s="7"/>
    </row>
    <row r="203" ht="15.75" customHeight="1">
      <c r="A203" s="7"/>
      <c r="B203" s="7"/>
      <c r="C203" s="7"/>
      <c r="D203" s="7"/>
      <c r="E203" s="7"/>
      <c r="F203" s="7"/>
      <c r="G203" s="7"/>
    </row>
    <row r="204" ht="15.75" customHeight="1">
      <c r="A204" s="7"/>
      <c r="B204" s="7"/>
      <c r="C204" s="7"/>
      <c r="D204" s="7"/>
      <c r="E204" s="7"/>
      <c r="F204" s="7"/>
      <c r="G204" s="7"/>
    </row>
    <row r="205" ht="15.75" customHeight="1">
      <c r="A205" s="7"/>
      <c r="B205" s="7"/>
      <c r="C205" s="7"/>
      <c r="D205" s="7"/>
      <c r="E205" s="7"/>
      <c r="F205" s="7"/>
      <c r="G205" s="7"/>
    </row>
    <row r="206" ht="15.75" customHeight="1">
      <c r="A206" s="7"/>
      <c r="B206" s="7"/>
      <c r="C206" s="7"/>
      <c r="D206" s="7"/>
      <c r="E206" s="7"/>
      <c r="F206" s="7"/>
      <c r="G206" s="7"/>
    </row>
    <row r="207" ht="15.75" customHeight="1">
      <c r="A207" s="7"/>
      <c r="B207" s="7"/>
      <c r="C207" s="7"/>
      <c r="D207" s="7"/>
      <c r="E207" s="7"/>
      <c r="F207" s="7"/>
      <c r="G207" s="7"/>
    </row>
    <row r="208" ht="15.75" customHeight="1">
      <c r="A208" s="7"/>
      <c r="B208" s="7"/>
      <c r="C208" s="7"/>
      <c r="D208" s="7"/>
      <c r="E208" s="7"/>
      <c r="F208" s="7"/>
      <c r="G208" s="7"/>
    </row>
    <row r="209" ht="15.75" customHeight="1">
      <c r="A209" s="7"/>
      <c r="B209" s="7"/>
      <c r="C209" s="7"/>
      <c r="D209" s="7"/>
      <c r="E209" s="7"/>
      <c r="F209" s="7"/>
      <c r="G209" s="7"/>
    </row>
    <row r="210" ht="15.75" customHeight="1">
      <c r="A210" s="7"/>
      <c r="B210" s="7"/>
      <c r="C210" s="7"/>
      <c r="D210" s="7"/>
      <c r="E210" s="7"/>
      <c r="F210" s="7"/>
      <c r="G210" s="7"/>
    </row>
    <row r="211" ht="15.75" customHeight="1">
      <c r="A211" s="7"/>
      <c r="B211" s="7"/>
      <c r="C211" s="7"/>
      <c r="D211" s="7"/>
      <c r="E211" s="7"/>
      <c r="F211" s="7"/>
      <c r="G211" s="7"/>
    </row>
    <row r="212" ht="15.75" customHeight="1">
      <c r="A212" s="7"/>
      <c r="B212" s="7"/>
      <c r="C212" s="7"/>
      <c r="D212" s="7"/>
      <c r="E212" s="7"/>
      <c r="F212" s="7"/>
      <c r="G212" s="7"/>
    </row>
    <row r="213" ht="15.75" customHeight="1">
      <c r="A213" s="7"/>
      <c r="B213" s="7"/>
      <c r="C213" s="7"/>
      <c r="D213" s="7"/>
      <c r="E213" s="7"/>
      <c r="F213" s="7"/>
      <c r="G213" s="7"/>
    </row>
    <row r="214" ht="15.75" customHeight="1">
      <c r="A214" s="7"/>
      <c r="B214" s="7"/>
      <c r="C214" s="7"/>
      <c r="D214" s="7"/>
      <c r="E214" s="7"/>
      <c r="F214" s="7"/>
      <c r="G214" s="7"/>
    </row>
    <row r="215" ht="15.75" customHeight="1">
      <c r="A215" s="7"/>
      <c r="B215" s="7"/>
      <c r="C215" s="7"/>
      <c r="D215" s="7"/>
      <c r="E215" s="7"/>
      <c r="F215" s="7"/>
      <c r="G215" s="7"/>
    </row>
    <row r="216" ht="15.75" customHeight="1">
      <c r="A216" s="7"/>
      <c r="B216" s="7"/>
      <c r="C216" s="7"/>
      <c r="D216" s="7"/>
      <c r="E216" s="7"/>
      <c r="F216" s="7"/>
      <c r="G216" s="7"/>
    </row>
    <row r="217" ht="15.75" customHeight="1">
      <c r="A217" s="7"/>
      <c r="B217" s="7"/>
      <c r="C217" s="7"/>
      <c r="D217" s="7"/>
      <c r="E217" s="7"/>
      <c r="F217" s="7"/>
      <c r="G217" s="7"/>
    </row>
    <row r="218" ht="15.75" customHeight="1">
      <c r="A218" s="7"/>
      <c r="B218" s="7"/>
      <c r="C218" s="7"/>
      <c r="D218" s="7"/>
      <c r="E218" s="7"/>
      <c r="F218" s="7"/>
      <c r="G218" s="7"/>
    </row>
    <row r="219" ht="15.75" customHeight="1">
      <c r="A219" s="7"/>
      <c r="B219" s="7"/>
      <c r="C219" s="7"/>
      <c r="D219" s="7"/>
      <c r="E219" s="7"/>
      <c r="F219" s="7"/>
      <c r="G219" s="7"/>
    </row>
    <row r="220" ht="15.75" customHeight="1">
      <c r="A220" s="7"/>
      <c r="B220" s="7"/>
      <c r="C220" s="7"/>
      <c r="D220" s="7"/>
      <c r="E220" s="7"/>
      <c r="F220" s="7"/>
      <c r="G220" s="7"/>
    </row>
    <row r="221" ht="15.75" customHeight="1">
      <c r="A221" s="7"/>
      <c r="B221" s="7"/>
      <c r="C221" s="7"/>
      <c r="D221" s="7"/>
      <c r="E221" s="7"/>
      <c r="F221" s="7"/>
      <c r="G221" s="7"/>
    </row>
    <row r="222" ht="15.75" customHeight="1">
      <c r="A222" s="7"/>
      <c r="B222" s="7"/>
      <c r="C222" s="7"/>
      <c r="D222" s="7"/>
      <c r="E222" s="7"/>
      <c r="F222" s="7"/>
      <c r="G222" s="7"/>
    </row>
    <row r="223" ht="15.75" customHeight="1">
      <c r="A223" s="7"/>
      <c r="B223" s="7"/>
      <c r="C223" s="7"/>
      <c r="D223" s="7"/>
      <c r="E223" s="7"/>
      <c r="F223" s="7"/>
      <c r="G223" s="7"/>
    </row>
    <row r="224" ht="15.75" customHeight="1">
      <c r="A224" s="7"/>
      <c r="B224" s="7"/>
      <c r="C224" s="7"/>
      <c r="D224" s="7"/>
      <c r="E224" s="7"/>
      <c r="F224" s="7"/>
      <c r="G224" s="7"/>
    </row>
    <row r="225" ht="15.75" customHeight="1">
      <c r="A225" s="7"/>
      <c r="B225" s="7"/>
      <c r="C225" s="7"/>
      <c r="D225" s="7"/>
      <c r="E225" s="7"/>
      <c r="F225" s="7"/>
      <c r="G225" s="7"/>
    </row>
    <row r="226" ht="15.75" customHeight="1">
      <c r="A226" s="7"/>
      <c r="B226" s="7"/>
      <c r="C226" s="7"/>
      <c r="D226" s="7"/>
      <c r="E226" s="7"/>
      <c r="F226" s="7"/>
      <c r="G226" s="7"/>
    </row>
    <row r="227" ht="15.75" customHeight="1">
      <c r="A227" s="7"/>
      <c r="B227" s="7"/>
      <c r="C227" s="7"/>
      <c r="D227" s="7"/>
      <c r="E227" s="7"/>
      <c r="F227" s="7"/>
      <c r="G227" s="7"/>
    </row>
    <row r="228" ht="15.75" customHeight="1">
      <c r="A228" s="7"/>
      <c r="B228" s="7"/>
      <c r="C228" s="7"/>
      <c r="D228" s="7"/>
      <c r="E228" s="7"/>
      <c r="F228" s="7"/>
      <c r="G228" s="7"/>
    </row>
    <row r="229" ht="15.75" customHeight="1">
      <c r="A229" s="7"/>
      <c r="B229" s="7"/>
      <c r="C229" s="7"/>
      <c r="D229" s="7"/>
      <c r="E229" s="7"/>
      <c r="F229" s="7"/>
      <c r="G229" s="7"/>
    </row>
    <row r="230" ht="15.75" customHeight="1">
      <c r="A230" s="7"/>
      <c r="B230" s="7"/>
      <c r="C230" s="7"/>
      <c r="D230" s="7"/>
      <c r="E230" s="7"/>
      <c r="F230" s="7"/>
      <c r="G230" s="7"/>
    </row>
    <row r="231" ht="15.75" customHeight="1">
      <c r="A231" s="7"/>
      <c r="B231" s="7"/>
      <c r="C231" s="7"/>
      <c r="D231" s="7"/>
      <c r="E231" s="7"/>
      <c r="F231" s="7"/>
      <c r="G231" s="7"/>
    </row>
    <row r="232" ht="15.75" customHeight="1">
      <c r="A232" s="7"/>
      <c r="B232" s="7"/>
      <c r="C232" s="7"/>
      <c r="D232" s="7"/>
      <c r="E232" s="7"/>
      <c r="F232" s="7"/>
      <c r="G232" s="7"/>
    </row>
    <row r="233" ht="15.75" customHeight="1">
      <c r="A233" s="7"/>
      <c r="B233" s="7"/>
      <c r="C233" s="7"/>
      <c r="D233" s="7"/>
      <c r="E233" s="7"/>
      <c r="F233" s="7"/>
      <c r="G233" s="7"/>
    </row>
    <row r="234" ht="15.75" customHeight="1">
      <c r="A234" s="7"/>
      <c r="B234" s="7"/>
      <c r="C234" s="7"/>
      <c r="D234" s="7"/>
      <c r="E234" s="7"/>
      <c r="F234" s="7"/>
      <c r="G234" s="7"/>
    </row>
    <row r="235" ht="15.75" customHeight="1">
      <c r="A235" s="7"/>
      <c r="B235" s="7"/>
      <c r="C235" s="7"/>
      <c r="D235" s="7"/>
      <c r="E235" s="7"/>
      <c r="F235" s="7"/>
      <c r="G235" s="7"/>
    </row>
    <row r="236" ht="15.75" customHeight="1">
      <c r="A236" s="7"/>
      <c r="B236" s="7"/>
      <c r="C236" s="7"/>
      <c r="D236" s="7"/>
      <c r="E236" s="7"/>
      <c r="F236" s="7"/>
      <c r="G236" s="7"/>
    </row>
    <row r="237" ht="15.75" customHeight="1">
      <c r="A237" s="7"/>
      <c r="B237" s="7"/>
      <c r="C237" s="7"/>
      <c r="D237" s="7"/>
      <c r="E237" s="7"/>
      <c r="F237" s="7"/>
      <c r="G237" s="7"/>
    </row>
    <row r="238" ht="15.75" customHeight="1">
      <c r="A238" s="7"/>
      <c r="B238" s="7"/>
      <c r="C238" s="7"/>
      <c r="D238" s="7"/>
      <c r="E238" s="7"/>
      <c r="F238" s="7"/>
      <c r="G238" s="7"/>
    </row>
    <row r="239" ht="15.75" customHeight="1">
      <c r="A239" s="7"/>
      <c r="B239" s="7"/>
      <c r="C239" s="7"/>
      <c r="D239" s="7"/>
      <c r="E239" s="7"/>
      <c r="F239" s="7"/>
      <c r="G239" s="7"/>
    </row>
    <row r="240" ht="15.75" customHeight="1">
      <c r="A240" s="7"/>
      <c r="B240" s="7"/>
      <c r="C240" s="7"/>
      <c r="D240" s="7"/>
      <c r="E240" s="7"/>
      <c r="F240" s="7"/>
      <c r="G240" s="7"/>
    </row>
    <row r="241" ht="15.75" customHeight="1">
      <c r="A241" s="7"/>
      <c r="B241" s="7"/>
      <c r="C241" s="7"/>
      <c r="D241" s="7"/>
      <c r="E241" s="7"/>
      <c r="F241" s="7"/>
      <c r="G241" s="7"/>
    </row>
    <row r="242" ht="15.75" customHeight="1">
      <c r="A242" s="7"/>
      <c r="B242" s="7"/>
      <c r="C242" s="7"/>
      <c r="D242" s="7"/>
      <c r="E242" s="7"/>
      <c r="F242" s="7"/>
      <c r="G242" s="7"/>
    </row>
    <row r="243" ht="15.75" customHeight="1">
      <c r="A243" s="7"/>
      <c r="B243" s="7"/>
      <c r="C243" s="7"/>
      <c r="D243" s="7"/>
      <c r="E243" s="7"/>
      <c r="F243" s="7"/>
      <c r="G243" s="7"/>
    </row>
    <row r="244" ht="15.75" customHeight="1">
      <c r="A244" s="7"/>
      <c r="B244" s="7"/>
      <c r="C244" s="7"/>
      <c r="D244" s="7"/>
      <c r="E244" s="7"/>
      <c r="F244" s="7"/>
      <c r="G244" s="7"/>
    </row>
    <row r="245" ht="15.75" customHeight="1">
      <c r="A245" s="7"/>
      <c r="B245" s="7"/>
      <c r="C245" s="7"/>
      <c r="D245" s="7"/>
      <c r="E245" s="7"/>
      <c r="F245" s="7"/>
      <c r="G245" s="7"/>
    </row>
    <row r="246" ht="15.75" customHeight="1">
      <c r="A246" s="7"/>
      <c r="B246" s="7"/>
      <c r="C246" s="7"/>
      <c r="D246" s="7"/>
      <c r="E246" s="7"/>
      <c r="F246" s="7"/>
      <c r="G246" s="7"/>
    </row>
    <row r="247" ht="15.75" customHeight="1">
      <c r="A247" s="7"/>
      <c r="B247" s="7"/>
      <c r="C247" s="7"/>
      <c r="D247" s="7"/>
      <c r="E247" s="7"/>
      <c r="F247" s="7"/>
      <c r="G247" s="7"/>
    </row>
    <row r="248" ht="15.75" customHeight="1">
      <c r="A248" s="7"/>
      <c r="B248" s="7"/>
      <c r="C248" s="7"/>
      <c r="D248" s="7"/>
      <c r="E248" s="7"/>
      <c r="F248" s="7"/>
      <c r="G248" s="7"/>
    </row>
    <row r="249" ht="15.75" customHeight="1">
      <c r="A249" s="7"/>
      <c r="B249" s="7"/>
      <c r="C249" s="7"/>
      <c r="D249" s="7"/>
      <c r="E249" s="7"/>
      <c r="F249" s="7"/>
      <c r="G249" s="7"/>
    </row>
    <row r="250" ht="15.75" customHeight="1">
      <c r="A250" s="7"/>
      <c r="B250" s="7"/>
      <c r="C250" s="7"/>
      <c r="D250" s="7"/>
      <c r="E250" s="7"/>
      <c r="F250" s="7"/>
      <c r="G250" s="7"/>
    </row>
    <row r="251" ht="15.75" customHeight="1">
      <c r="A251" s="7"/>
      <c r="B251" s="7"/>
      <c r="C251" s="7"/>
      <c r="D251" s="7"/>
      <c r="E251" s="7"/>
      <c r="F251" s="7"/>
      <c r="G251" s="7"/>
    </row>
    <row r="252" ht="15.75" customHeight="1">
      <c r="A252" s="7"/>
      <c r="B252" s="7"/>
      <c r="C252" s="7"/>
      <c r="D252" s="7"/>
      <c r="E252" s="7"/>
      <c r="F252" s="7"/>
      <c r="G252" s="7"/>
    </row>
    <row r="253" ht="15.75" customHeight="1">
      <c r="A253" s="7"/>
      <c r="B253" s="7"/>
      <c r="C253" s="7"/>
      <c r="D253" s="7"/>
      <c r="E253" s="7"/>
      <c r="F253" s="7"/>
      <c r="G253" s="7"/>
    </row>
    <row r="254" ht="15.75" customHeight="1">
      <c r="A254" s="7"/>
      <c r="B254" s="7"/>
      <c r="C254" s="7"/>
      <c r="D254" s="7"/>
      <c r="E254" s="7"/>
      <c r="F254" s="7"/>
      <c r="G254" s="7"/>
    </row>
    <row r="255" ht="15.75" customHeight="1">
      <c r="A255" s="7"/>
      <c r="B255" s="7"/>
      <c r="C255" s="7"/>
      <c r="D255" s="7"/>
      <c r="E255" s="7"/>
      <c r="F255" s="7"/>
      <c r="G255" s="7"/>
    </row>
    <row r="256" ht="15.75" customHeight="1">
      <c r="A256" s="7"/>
      <c r="B256" s="7"/>
      <c r="C256" s="7"/>
      <c r="D256" s="7"/>
      <c r="E256" s="7"/>
      <c r="F256" s="7"/>
      <c r="G256" s="7"/>
    </row>
    <row r="257" ht="15.75" customHeight="1">
      <c r="A257" s="7"/>
      <c r="B257" s="7"/>
      <c r="C257" s="7"/>
      <c r="D257" s="7"/>
      <c r="E257" s="7"/>
      <c r="F257" s="7"/>
      <c r="G257" s="7"/>
    </row>
    <row r="258" ht="15.75" customHeight="1">
      <c r="A258" s="7"/>
      <c r="B258" s="7"/>
      <c r="C258" s="7"/>
      <c r="D258" s="7"/>
      <c r="E258" s="7"/>
      <c r="F258" s="7"/>
      <c r="G258" s="7"/>
    </row>
    <row r="259" ht="15.75" customHeight="1">
      <c r="A259" s="7"/>
      <c r="B259" s="7"/>
      <c r="C259" s="7"/>
      <c r="D259" s="7"/>
      <c r="E259" s="7"/>
      <c r="F259" s="7"/>
      <c r="G259" s="7"/>
    </row>
    <row r="260" ht="15.75" customHeight="1">
      <c r="A260" s="7"/>
      <c r="B260" s="7"/>
      <c r="C260" s="7"/>
      <c r="D260" s="7"/>
      <c r="E260" s="7"/>
      <c r="F260" s="7"/>
      <c r="G260" s="7"/>
    </row>
    <row r="261" ht="15.75" customHeight="1">
      <c r="A261" s="7"/>
      <c r="B261" s="7"/>
      <c r="C261" s="7"/>
      <c r="D261" s="7"/>
      <c r="E261" s="7"/>
      <c r="F261" s="7"/>
      <c r="G261" s="7"/>
    </row>
    <row r="262" ht="15.75" customHeight="1">
      <c r="A262" s="7"/>
      <c r="B262" s="7"/>
      <c r="C262" s="7"/>
      <c r="D262" s="7"/>
      <c r="E262" s="7"/>
      <c r="F262" s="7"/>
      <c r="G262" s="7"/>
    </row>
    <row r="263" ht="15.75" customHeight="1">
      <c r="A263" s="7"/>
      <c r="B263" s="7"/>
      <c r="C263" s="7"/>
      <c r="D263" s="7"/>
      <c r="E263" s="7"/>
      <c r="F263" s="7"/>
      <c r="G263" s="7"/>
    </row>
    <row r="264" ht="15.75" customHeight="1">
      <c r="A264" s="7"/>
      <c r="B264" s="7"/>
      <c r="C264" s="7"/>
      <c r="D264" s="7"/>
      <c r="E264" s="7"/>
      <c r="F264" s="7"/>
      <c r="G264" s="7"/>
    </row>
    <row r="265" ht="15.75" customHeight="1">
      <c r="A265" s="7"/>
      <c r="B265" s="7"/>
      <c r="C265" s="7"/>
      <c r="D265" s="7"/>
      <c r="E265" s="7"/>
      <c r="F265" s="7"/>
      <c r="G265" s="7"/>
    </row>
    <row r="266" ht="15.75" customHeight="1">
      <c r="A266" s="7"/>
      <c r="B266" s="7"/>
      <c r="C266" s="7"/>
      <c r="D266" s="7"/>
      <c r="E266" s="7"/>
      <c r="F266" s="7"/>
      <c r="G266" s="7"/>
    </row>
    <row r="267" ht="15.75" customHeight="1">
      <c r="A267" s="7"/>
      <c r="B267" s="7"/>
      <c r="C267" s="7"/>
      <c r="D267" s="7"/>
      <c r="E267" s="7"/>
      <c r="F267" s="7"/>
      <c r="G267" s="7"/>
    </row>
    <row r="268" ht="15.75" customHeight="1">
      <c r="A268" s="7"/>
      <c r="B268" s="7"/>
      <c r="C268" s="7"/>
      <c r="D268" s="7"/>
      <c r="E268" s="7"/>
      <c r="F268" s="7"/>
      <c r="G268" s="7"/>
    </row>
    <row r="269" ht="15.75" customHeight="1">
      <c r="A269" s="7"/>
      <c r="B269" s="7"/>
      <c r="C269" s="7"/>
      <c r="D269" s="7"/>
      <c r="E269" s="7"/>
      <c r="F269" s="7"/>
      <c r="G269" s="7"/>
    </row>
    <row r="270" ht="15.75" customHeight="1">
      <c r="A270" s="7"/>
      <c r="B270" s="7"/>
      <c r="C270" s="7"/>
      <c r="D270" s="7"/>
      <c r="E270" s="7"/>
      <c r="F270" s="7"/>
      <c r="G270" s="7"/>
    </row>
    <row r="271" ht="15.75" customHeight="1">
      <c r="A271" s="7"/>
      <c r="B271" s="7"/>
      <c r="C271" s="7"/>
      <c r="D271" s="7"/>
      <c r="E271" s="7"/>
      <c r="F271" s="7"/>
      <c r="G271" s="7"/>
    </row>
    <row r="272" ht="15.75" customHeight="1">
      <c r="A272" s="7"/>
      <c r="B272" s="7"/>
      <c r="C272" s="7"/>
      <c r="D272" s="7"/>
      <c r="E272" s="7"/>
      <c r="F272" s="7"/>
      <c r="G272" s="7"/>
    </row>
    <row r="273" ht="15.75" customHeight="1">
      <c r="A273" s="7"/>
      <c r="B273" s="7"/>
      <c r="C273" s="7"/>
      <c r="D273" s="7"/>
      <c r="E273" s="7"/>
      <c r="F273" s="7"/>
      <c r="G273" s="7"/>
    </row>
    <row r="274" ht="15.75" customHeight="1">
      <c r="A274" s="7"/>
      <c r="B274" s="7"/>
      <c r="C274" s="7"/>
      <c r="D274" s="7"/>
      <c r="E274" s="7"/>
      <c r="F274" s="7"/>
      <c r="G274" s="7"/>
    </row>
    <row r="275" ht="15.75" customHeight="1">
      <c r="A275" s="7"/>
      <c r="B275" s="7"/>
      <c r="C275" s="7"/>
      <c r="D275" s="7"/>
      <c r="E275" s="7"/>
      <c r="F275" s="7"/>
      <c r="G275" s="7"/>
    </row>
    <row r="276" ht="15.75" customHeight="1">
      <c r="A276" s="7"/>
      <c r="B276" s="7"/>
      <c r="C276" s="7"/>
      <c r="D276" s="7"/>
      <c r="E276" s="7"/>
      <c r="F276" s="7"/>
      <c r="G276" s="7"/>
    </row>
    <row r="277" ht="15.75" customHeight="1">
      <c r="A277" s="7"/>
      <c r="B277" s="7"/>
      <c r="C277" s="7"/>
      <c r="D277" s="7"/>
      <c r="E277" s="7"/>
      <c r="F277" s="7"/>
      <c r="G277" s="7"/>
    </row>
    <row r="278" ht="15.75" customHeight="1">
      <c r="A278" s="7"/>
      <c r="B278" s="7"/>
      <c r="C278" s="7"/>
      <c r="D278" s="7"/>
      <c r="E278" s="7"/>
      <c r="F278" s="7"/>
      <c r="G278" s="7"/>
    </row>
    <row r="279" ht="15.75" customHeight="1">
      <c r="A279" s="7"/>
      <c r="B279" s="7"/>
      <c r="C279" s="7"/>
      <c r="D279" s="7"/>
      <c r="E279" s="7"/>
      <c r="F279" s="7"/>
      <c r="G279" s="7"/>
    </row>
    <row r="280" ht="15.75" customHeight="1">
      <c r="A280" s="7"/>
      <c r="B280" s="7"/>
      <c r="C280" s="7"/>
      <c r="D280" s="7"/>
      <c r="E280" s="7"/>
      <c r="F280" s="7"/>
      <c r="G280" s="7"/>
    </row>
    <row r="281" ht="15.75" customHeight="1">
      <c r="A281" s="7"/>
      <c r="B281" s="7"/>
      <c r="C281" s="7"/>
      <c r="D281" s="7"/>
      <c r="E281" s="7"/>
      <c r="F281" s="7"/>
      <c r="G281" s="7"/>
    </row>
    <row r="282" ht="15.75" customHeight="1">
      <c r="A282" s="7"/>
      <c r="B282" s="7"/>
      <c r="C282" s="7"/>
      <c r="D282" s="7"/>
      <c r="E282" s="7"/>
      <c r="F282" s="7"/>
      <c r="G282" s="7"/>
    </row>
    <row r="283" ht="15.75" customHeight="1">
      <c r="A283" s="7"/>
      <c r="B283" s="7"/>
      <c r="C283" s="7"/>
      <c r="D283" s="7"/>
      <c r="E283" s="7"/>
      <c r="F283" s="7"/>
      <c r="G283" s="7"/>
    </row>
    <row r="284" ht="15.75" customHeight="1">
      <c r="A284" s="7"/>
      <c r="B284" s="7"/>
      <c r="C284" s="7"/>
      <c r="D284" s="7"/>
      <c r="E284" s="7"/>
      <c r="F284" s="7"/>
      <c r="G284" s="7"/>
    </row>
    <row r="285" ht="15.75" customHeight="1">
      <c r="A285" s="7"/>
      <c r="B285" s="7"/>
      <c r="C285" s="7"/>
      <c r="D285" s="7"/>
      <c r="E285" s="7"/>
      <c r="F285" s="7"/>
      <c r="G285" s="7"/>
    </row>
    <row r="286" ht="15.75" customHeight="1">
      <c r="A286" s="7"/>
      <c r="B286" s="7"/>
      <c r="C286" s="7"/>
      <c r="D286" s="7"/>
      <c r="E286" s="7"/>
      <c r="F286" s="7"/>
      <c r="G286" s="7"/>
    </row>
    <row r="287" ht="15.75" customHeight="1">
      <c r="A287" s="7"/>
      <c r="B287" s="7"/>
      <c r="C287" s="7"/>
      <c r="D287" s="7"/>
      <c r="E287" s="7"/>
      <c r="F287" s="7"/>
      <c r="G287" s="7"/>
    </row>
    <row r="288" ht="15.75" customHeight="1">
      <c r="A288" s="7"/>
      <c r="B288" s="7"/>
      <c r="C288" s="7"/>
      <c r="D288" s="7"/>
      <c r="E288" s="7"/>
      <c r="F288" s="7"/>
      <c r="G288" s="7"/>
    </row>
    <row r="289" ht="15.75" customHeight="1">
      <c r="A289" s="7"/>
      <c r="B289" s="7"/>
      <c r="C289" s="7"/>
      <c r="D289" s="7"/>
      <c r="E289" s="7"/>
      <c r="F289" s="7"/>
      <c r="G289" s="7"/>
    </row>
    <row r="290" ht="15.75" customHeight="1">
      <c r="A290" s="7"/>
      <c r="B290" s="7"/>
      <c r="C290" s="7"/>
      <c r="D290" s="7"/>
      <c r="E290" s="7"/>
      <c r="F290" s="7"/>
      <c r="G290" s="7"/>
    </row>
    <row r="291" ht="15.75" customHeight="1">
      <c r="A291" s="7"/>
      <c r="B291" s="7"/>
      <c r="C291" s="7"/>
      <c r="D291" s="7"/>
      <c r="E291" s="7"/>
      <c r="F291" s="7"/>
      <c r="G291" s="7"/>
    </row>
    <row r="292" ht="15.75" customHeight="1">
      <c r="A292" s="7"/>
      <c r="B292" s="7"/>
      <c r="C292" s="7"/>
      <c r="D292" s="7"/>
      <c r="E292" s="7"/>
      <c r="F292" s="7"/>
      <c r="G292" s="7"/>
    </row>
    <row r="293" ht="15.75" customHeight="1">
      <c r="A293" s="7"/>
      <c r="B293" s="7"/>
      <c r="C293" s="7"/>
      <c r="D293" s="7"/>
      <c r="E293" s="7"/>
      <c r="F293" s="7"/>
      <c r="G293" s="7"/>
    </row>
    <row r="294" ht="15.75" customHeight="1">
      <c r="A294" s="7"/>
      <c r="B294" s="7"/>
      <c r="C294" s="7"/>
      <c r="D294" s="7"/>
      <c r="E294" s="7"/>
      <c r="F294" s="7"/>
      <c r="G294" s="7"/>
    </row>
    <row r="295" ht="15.75" customHeight="1">
      <c r="A295" s="7"/>
      <c r="B295" s="7"/>
      <c r="C295" s="7"/>
      <c r="D295" s="7"/>
      <c r="E295" s="7"/>
      <c r="F295" s="7"/>
      <c r="G295" s="7"/>
    </row>
    <row r="296" ht="15.75" customHeight="1">
      <c r="A296" s="7"/>
      <c r="B296" s="7"/>
      <c r="C296" s="7"/>
      <c r="D296" s="7"/>
      <c r="E296" s="7"/>
      <c r="F296" s="7"/>
      <c r="G296" s="7"/>
    </row>
    <row r="297" ht="15.75" customHeight="1">
      <c r="A297" s="7"/>
      <c r="B297" s="7"/>
      <c r="C297" s="7"/>
      <c r="D297" s="7"/>
      <c r="E297" s="7"/>
      <c r="F297" s="7"/>
      <c r="G297" s="7"/>
    </row>
    <row r="298" ht="15.75" customHeight="1">
      <c r="A298" s="7"/>
      <c r="B298" s="7"/>
      <c r="C298" s="7"/>
      <c r="D298" s="7"/>
      <c r="E298" s="7"/>
      <c r="F298" s="7"/>
      <c r="G298" s="7"/>
    </row>
    <row r="299" ht="15.75" customHeight="1">
      <c r="A299" s="7"/>
      <c r="B299" s="7"/>
      <c r="C299" s="7"/>
      <c r="D299" s="7"/>
      <c r="E299" s="7"/>
      <c r="F299" s="7"/>
      <c r="G299" s="7"/>
    </row>
    <row r="300" ht="15.75" customHeight="1">
      <c r="A300" s="7"/>
      <c r="B300" s="7"/>
      <c r="C300" s="7"/>
      <c r="D300" s="7"/>
      <c r="E300" s="7"/>
      <c r="F300" s="7"/>
      <c r="G300" s="7"/>
    </row>
    <row r="301" ht="15.75" customHeight="1">
      <c r="A301" s="7"/>
      <c r="B301" s="7"/>
      <c r="C301" s="7"/>
      <c r="D301" s="7"/>
      <c r="E301" s="7"/>
      <c r="F301" s="7"/>
      <c r="G301" s="7"/>
    </row>
    <row r="302" ht="15.75" customHeight="1">
      <c r="A302" s="7"/>
      <c r="B302" s="7"/>
      <c r="C302" s="7"/>
      <c r="D302" s="7"/>
      <c r="E302" s="7"/>
      <c r="F302" s="7"/>
      <c r="G302" s="7"/>
    </row>
    <row r="303" ht="15.75" customHeight="1">
      <c r="A303" s="7"/>
      <c r="B303" s="7"/>
      <c r="C303" s="7"/>
      <c r="D303" s="7"/>
      <c r="E303" s="7"/>
      <c r="F303" s="7"/>
      <c r="G303" s="7"/>
    </row>
    <row r="304" ht="15.75" customHeight="1">
      <c r="A304" s="7"/>
      <c r="B304" s="7"/>
      <c r="C304" s="7"/>
      <c r="D304" s="7"/>
      <c r="E304" s="7"/>
      <c r="F304" s="7"/>
      <c r="G304" s="7"/>
    </row>
    <row r="305" ht="15.75" customHeight="1">
      <c r="A305" s="7"/>
      <c r="B305" s="7"/>
      <c r="C305" s="7"/>
      <c r="D305" s="7"/>
      <c r="E305" s="7"/>
      <c r="F305" s="7"/>
      <c r="G305" s="7"/>
    </row>
    <row r="306" ht="15.75" customHeight="1">
      <c r="A306" s="7"/>
      <c r="B306" s="7"/>
      <c r="C306" s="7"/>
      <c r="D306" s="7"/>
      <c r="E306" s="7"/>
      <c r="F306" s="7"/>
      <c r="G306" s="7"/>
    </row>
    <row r="307" ht="15.75" customHeight="1">
      <c r="A307" s="7"/>
      <c r="B307" s="7"/>
      <c r="C307" s="7"/>
      <c r="D307" s="7"/>
      <c r="E307" s="7"/>
      <c r="F307" s="7"/>
      <c r="G307" s="7"/>
    </row>
    <row r="308" ht="15.75" customHeight="1">
      <c r="A308" s="7"/>
      <c r="B308" s="7"/>
      <c r="C308" s="7"/>
      <c r="D308" s="7"/>
      <c r="E308" s="7"/>
      <c r="F308" s="7"/>
      <c r="G308" s="7"/>
    </row>
    <row r="309" ht="15.75" customHeight="1">
      <c r="A309" s="7"/>
      <c r="B309" s="7"/>
      <c r="C309" s="7"/>
      <c r="D309" s="7"/>
      <c r="E309" s="7"/>
      <c r="F309" s="7"/>
      <c r="G309" s="7"/>
    </row>
    <row r="310" ht="15.75" customHeight="1">
      <c r="A310" s="7"/>
      <c r="B310" s="7"/>
      <c r="C310" s="7"/>
      <c r="D310" s="7"/>
      <c r="E310" s="7"/>
      <c r="F310" s="7"/>
      <c r="G310" s="7"/>
    </row>
    <row r="311" ht="15.75" customHeight="1">
      <c r="A311" s="7"/>
      <c r="B311" s="7"/>
      <c r="C311" s="7"/>
      <c r="D311" s="7"/>
      <c r="E311" s="7"/>
      <c r="F311" s="7"/>
      <c r="G311" s="7"/>
    </row>
    <row r="312" ht="15.75" customHeight="1">
      <c r="A312" s="7"/>
      <c r="B312" s="7"/>
      <c r="C312" s="7"/>
      <c r="D312" s="7"/>
      <c r="E312" s="7"/>
      <c r="F312" s="7"/>
      <c r="G312" s="7"/>
    </row>
    <row r="313" ht="15.75" customHeight="1">
      <c r="A313" s="7"/>
      <c r="B313" s="7"/>
      <c r="C313" s="7"/>
      <c r="D313" s="7"/>
      <c r="E313" s="7"/>
      <c r="F313" s="7"/>
      <c r="G313" s="7"/>
    </row>
    <row r="314" ht="15.75" customHeight="1">
      <c r="A314" s="7"/>
      <c r="B314" s="7"/>
      <c r="C314" s="7"/>
      <c r="D314" s="7"/>
      <c r="E314" s="7"/>
      <c r="F314" s="7"/>
      <c r="G314" s="7"/>
    </row>
    <row r="315" ht="15.75" customHeight="1">
      <c r="A315" s="7"/>
      <c r="B315" s="7"/>
      <c r="C315" s="7"/>
      <c r="D315" s="7"/>
      <c r="E315" s="7"/>
      <c r="F315" s="7"/>
      <c r="G315" s="7"/>
    </row>
    <row r="316" ht="15.75" customHeight="1">
      <c r="A316" s="7"/>
      <c r="B316" s="7"/>
      <c r="C316" s="7"/>
      <c r="D316" s="7"/>
      <c r="E316" s="7"/>
      <c r="F316" s="7"/>
      <c r="G316" s="7"/>
    </row>
    <row r="317" ht="15.75" customHeight="1">
      <c r="A317" s="7"/>
      <c r="B317" s="7"/>
      <c r="C317" s="7"/>
      <c r="D317" s="7"/>
      <c r="E317" s="7"/>
      <c r="F317" s="7"/>
      <c r="G317" s="7"/>
    </row>
    <row r="318" ht="15.75" customHeight="1">
      <c r="A318" s="7"/>
      <c r="B318" s="7"/>
      <c r="C318" s="7"/>
      <c r="D318" s="7"/>
      <c r="E318" s="7"/>
      <c r="F318" s="7"/>
      <c r="G318" s="7"/>
    </row>
    <row r="319" ht="15.75" customHeight="1">
      <c r="A319" s="7"/>
      <c r="B319" s="7"/>
      <c r="C319" s="7"/>
      <c r="D319" s="7"/>
      <c r="E319" s="7"/>
      <c r="F319" s="7"/>
      <c r="G319" s="7"/>
    </row>
    <row r="320" ht="15.75" customHeight="1">
      <c r="A320" s="7"/>
      <c r="B320" s="7"/>
      <c r="C320" s="7"/>
      <c r="D320" s="7"/>
      <c r="E320" s="7"/>
      <c r="F320" s="7"/>
      <c r="G320" s="7"/>
    </row>
    <row r="321" ht="15.75" customHeight="1">
      <c r="A321" s="7"/>
      <c r="B321" s="7"/>
      <c r="C321" s="7"/>
      <c r="D321" s="7"/>
      <c r="E321" s="7"/>
      <c r="F321" s="7"/>
      <c r="G321" s="7"/>
    </row>
    <row r="322" ht="15.75" customHeight="1">
      <c r="A322" s="7"/>
      <c r="B322" s="7"/>
      <c r="C322" s="7"/>
      <c r="D322" s="7"/>
      <c r="E322" s="7"/>
      <c r="F322" s="7"/>
      <c r="G322" s="7"/>
    </row>
    <row r="323" ht="15.75" customHeight="1">
      <c r="A323" s="7"/>
      <c r="B323" s="7"/>
      <c r="C323" s="7"/>
      <c r="D323" s="7"/>
      <c r="E323" s="7"/>
      <c r="F323" s="7"/>
      <c r="G323" s="7"/>
    </row>
    <row r="324" ht="15.75" customHeight="1">
      <c r="A324" s="7"/>
      <c r="B324" s="7"/>
      <c r="C324" s="7"/>
      <c r="D324" s="7"/>
      <c r="E324" s="7"/>
      <c r="F324" s="7"/>
      <c r="G324" s="7"/>
    </row>
    <row r="325" ht="15.75" customHeight="1">
      <c r="A325" s="7"/>
      <c r="B325" s="7"/>
      <c r="C325" s="7"/>
      <c r="D325" s="7"/>
      <c r="E325" s="7"/>
      <c r="F325" s="7"/>
      <c r="G325" s="7"/>
    </row>
    <row r="326" ht="15.75" customHeight="1">
      <c r="A326" s="7"/>
      <c r="B326" s="7"/>
      <c r="C326" s="7"/>
      <c r="D326" s="7"/>
      <c r="E326" s="7"/>
      <c r="F326" s="7"/>
      <c r="G326" s="7"/>
    </row>
    <row r="327" ht="15.75" customHeight="1">
      <c r="A327" s="7"/>
      <c r="B327" s="7"/>
      <c r="C327" s="7"/>
      <c r="D327" s="7"/>
      <c r="E327" s="7"/>
      <c r="F327" s="7"/>
      <c r="G327" s="7"/>
    </row>
    <row r="328" ht="15.75" customHeight="1">
      <c r="A328" s="7"/>
      <c r="B328" s="7"/>
      <c r="C328" s="7"/>
      <c r="D328" s="7"/>
      <c r="E328" s="7"/>
      <c r="F328" s="7"/>
      <c r="G328" s="7"/>
    </row>
    <row r="329" ht="15.75" customHeight="1">
      <c r="A329" s="7"/>
      <c r="B329" s="7"/>
      <c r="C329" s="7"/>
      <c r="D329" s="7"/>
      <c r="E329" s="7"/>
      <c r="F329" s="7"/>
      <c r="G329" s="7"/>
    </row>
    <row r="330" ht="15.75" customHeight="1">
      <c r="A330" s="7"/>
      <c r="B330" s="7"/>
      <c r="C330" s="7"/>
      <c r="D330" s="7"/>
      <c r="E330" s="7"/>
      <c r="F330" s="7"/>
      <c r="G330" s="7"/>
    </row>
    <row r="331" ht="15.75" customHeight="1">
      <c r="A331" s="7"/>
      <c r="B331" s="7"/>
      <c r="C331" s="7"/>
      <c r="D331" s="7"/>
      <c r="E331" s="7"/>
      <c r="F331" s="7"/>
      <c r="G331" s="7"/>
    </row>
    <row r="332" ht="15.75" customHeight="1">
      <c r="A332" s="7"/>
      <c r="B332" s="7"/>
      <c r="C332" s="7"/>
      <c r="D332" s="7"/>
      <c r="E332" s="7"/>
      <c r="F332" s="7"/>
      <c r="G332" s="7"/>
    </row>
    <row r="333" ht="15.75" customHeight="1">
      <c r="A333" s="7"/>
      <c r="B333" s="7"/>
      <c r="C333" s="7"/>
      <c r="D333" s="7"/>
      <c r="E333" s="7"/>
      <c r="F333" s="7"/>
      <c r="G333" s="7"/>
    </row>
    <row r="334" ht="15.75" customHeight="1">
      <c r="A334" s="7"/>
      <c r="B334" s="7"/>
      <c r="C334" s="7"/>
      <c r="D334" s="7"/>
      <c r="E334" s="7"/>
      <c r="F334" s="7"/>
      <c r="G334" s="7"/>
    </row>
    <row r="335" ht="15.75" customHeight="1">
      <c r="A335" s="7"/>
      <c r="B335" s="7"/>
      <c r="C335" s="7"/>
      <c r="D335" s="7"/>
      <c r="E335" s="7"/>
      <c r="F335" s="7"/>
      <c r="G335" s="7"/>
    </row>
    <row r="336" ht="15.75" customHeight="1">
      <c r="A336" s="7"/>
      <c r="B336" s="7"/>
      <c r="C336" s="7"/>
      <c r="D336" s="7"/>
      <c r="E336" s="7"/>
      <c r="F336" s="7"/>
      <c r="G336" s="7"/>
    </row>
    <row r="337" ht="15.75" customHeight="1">
      <c r="A337" s="7"/>
      <c r="B337" s="7"/>
      <c r="C337" s="7"/>
      <c r="D337" s="7"/>
      <c r="E337" s="7"/>
      <c r="F337" s="7"/>
      <c r="G337" s="7"/>
    </row>
    <row r="338" ht="15.75" customHeight="1">
      <c r="A338" s="7"/>
      <c r="B338" s="7"/>
      <c r="C338" s="7"/>
      <c r="D338" s="7"/>
      <c r="E338" s="7"/>
      <c r="F338" s="7"/>
      <c r="G338" s="7"/>
    </row>
    <row r="339" ht="15.75" customHeight="1">
      <c r="A339" s="7"/>
      <c r="B339" s="7"/>
      <c r="C339" s="7"/>
      <c r="D339" s="7"/>
      <c r="E339" s="7"/>
      <c r="F339" s="7"/>
      <c r="G339" s="7"/>
    </row>
    <row r="340" ht="15.75" customHeight="1">
      <c r="A340" s="7"/>
      <c r="B340" s="7"/>
      <c r="C340" s="7"/>
      <c r="D340" s="7"/>
      <c r="E340" s="7"/>
      <c r="F340" s="7"/>
      <c r="G340" s="7"/>
    </row>
    <row r="341" ht="15.75" customHeight="1">
      <c r="A341" s="7"/>
      <c r="B341" s="7"/>
      <c r="C341" s="7"/>
      <c r="D341" s="7"/>
      <c r="E341" s="7"/>
      <c r="F341" s="7"/>
      <c r="G341" s="7"/>
    </row>
    <row r="342" ht="15.75" customHeight="1">
      <c r="A342" s="7"/>
      <c r="B342" s="7"/>
      <c r="C342" s="7"/>
      <c r="D342" s="7"/>
      <c r="E342" s="7"/>
      <c r="F342" s="7"/>
      <c r="G342" s="7"/>
    </row>
    <row r="343" ht="15.75" customHeight="1">
      <c r="A343" s="7"/>
      <c r="B343" s="7"/>
      <c r="C343" s="7"/>
      <c r="D343" s="7"/>
      <c r="E343" s="7"/>
      <c r="F343" s="7"/>
      <c r="G343" s="7"/>
    </row>
    <row r="344" ht="15.75" customHeight="1">
      <c r="A344" s="7"/>
      <c r="B344" s="7"/>
      <c r="C344" s="7"/>
      <c r="D344" s="7"/>
      <c r="E344" s="7"/>
      <c r="F344" s="7"/>
      <c r="G344" s="7"/>
    </row>
    <row r="345" ht="15.75" customHeight="1">
      <c r="A345" s="7"/>
      <c r="B345" s="7"/>
      <c r="C345" s="7"/>
      <c r="D345" s="7"/>
      <c r="E345" s="7"/>
      <c r="F345" s="7"/>
      <c r="G345" s="7"/>
    </row>
    <row r="346" ht="15.75" customHeight="1">
      <c r="A346" s="7"/>
      <c r="B346" s="7"/>
      <c r="C346" s="7"/>
      <c r="D346" s="7"/>
      <c r="E346" s="7"/>
      <c r="F346" s="7"/>
      <c r="G346" s="7"/>
    </row>
    <row r="347" ht="15.75" customHeight="1">
      <c r="A347" s="7"/>
      <c r="B347" s="7"/>
      <c r="C347" s="7"/>
      <c r="D347" s="7"/>
      <c r="E347" s="7"/>
      <c r="F347" s="7"/>
      <c r="G347" s="7"/>
    </row>
    <row r="348" ht="15.75" customHeight="1">
      <c r="A348" s="7"/>
      <c r="B348" s="7"/>
      <c r="C348" s="7"/>
      <c r="D348" s="7"/>
      <c r="E348" s="7"/>
      <c r="F348" s="7"/>
      <c r="G348" s="7"/>
    </row>
    <row r="349" ht="15.75" customHeight="1">
      <c r="A349" s="7"/>
      <c r="B349" s="7"/>
      <c r="C349" s="7"/>
      <c r="D349" s="7"/>
      <c r="E349" s="7"/>
      <c r="F349" s="7"/>
      <c r="G349" s="7"/>
    </row>
    <row r="350" ht="15.75" customHeight="1">
      <c r="A350" s="7"/>
      <c r="B350" s="7"/>
      <c r="C350" s="7"/>
      <c r="D350" s="7"/>
      <c r="E350" s="7"/>
      <c r="F350" s="7"/>
      <c r="G350" s="7"/>
    </row>
    <row r="351" ht="15.75" customHeight="1">
      <c r="A351" s="7"/>
      <c r="B351" s="7"/>
      <c r="C351" s="7"/>
      <c r="D351" s="7"/>
      <c r="E351" s="7"/>
      <c r="F351" s="7"/>
      <c r="G351" s="7"/>
    </row>
    <row r="352" ht="15.75" customHeight="1">
      <c r="A352" s="7"/>
      <c r="B352" s="7"/>
      <c r="C352" s="7"/>
      <c r="D352" s="7"/>
      <c r="E352" s="7"/>
      <c r="F352" s="7"/>
      <c r="G352" s="7"/>
    </row>
    <row r="353" ht="15.75" customHeight="1">
      <c r="A353" s="7"/>
      <c r="B353" s="7"/>
      <c r="C353" s="7"/>
      <c r="D353" s="7"/>
      <c r="E353" s="7"/>
      <c r="F353" s="7"/>
      <c r="G353" s="7"/>
    </row>
    <row r="354" ht="15.75" customHeight="1">
      <c r="A354" s="7"/>
      <c r="B354" s="7"/>
      <c r="C354" s="7"/>
      <c r="D354" s="7"/>
      <c r="E354" s="7"/>
      <c r="F354" s="7"/>
      <c r="G354" s="7"/>
    </row>
    <row r="355" ht="15.75" customHeight="1">
      <c r="A355" s="7"/>
      <c r="B355" s="7"/>
      <c r="C355" s="7"/>
      <c r="D355" s="7"/>
      <c r="E355" s="7"/>
      <c r="F355" s="7"/>
      <c r="G355" s="7"/>
    </row>
    <row r="356" ht="15.75" customHeight="1">
      <c r="A356" s="7"/>
      <c r="B356" s="7"/>
      <c r="C356" s="7"/>
      <c r="D356" s="7"/>
      <c r="E356" s="7"/>
      <c r="F356" s="7"/>
      <c r="G356" s="7"/>
    </row>
    <row r="357" ht="15.75" customHeight="1">
      <c r="A357" s="7"/>
      <c r="B357" s="7"/>
      <c r="C357" s="7"/>
      <c r="D357" s="7"/>
      <c r="E357" s="7"/>
      <c r="F357" s="7"/>
      <c r="G357" s="7"/>
    </row>
    <row r="358" ht="15.75" customHeight="1">
      <c r="A358" s="7"/>
      <c r="B358" s="7"/>
      <c r="C358" s="7"/>
      <c r="D358" s="7"/>
      <c r="E358" s="7"/>
      <c r="F358" s="7"/>
      <c r="G358" s="7"/>
    </row>
    <row r="359" ht="15.75" customHeight="1">
      <c r="A359" s="7"/>
      <c r="B359" s="7"/>
      <c r="C359" s="7"/>
      <c r="D359" s="7"/>
      <c r="E359" s="7"/>
      <c r="F359" s="7"/>
      <c r="G359" s="7"/>
    </row>
    <row r="360" ht="15.75" customHeight="1">
      <c r="A360" s="7"/>
      <c r="B360" s="7"/>
      <c r="C360" s="7"/>
      <c r="D360" s="7"/>
      <c r="E360" s="7"/>
      <c r="F360" s="7"/>
      <c r="G360" s="7"/>
    </row>
    <row r="361" ht="15.75" customHeight="1">
      <c r="A361" s="7"/>
      <c r="B361" s="7"/>
      <c r="C361" s="7"/>
      <c r="D361" s="7"/>
      <c r="E361" s="7"/>
      <c r="F361" s="7"/>
      <c r="G361" s="7"/>
    </row>
    <row r="362" ht="15.75" customHeight="1">
      <c r="A362" s="7"/>
      <c r="B362" s="7"/>
      <c r="C362" s="7"/>
      <c r="D362" s="7"/>
      <c r="E362" s="7"/>
      <c r="F362" s="7"/>
      <c r="G362" s="7"/>
    </row>
    <row r="363" ht="15.75" customHeight="1">
      <c r="A363" s="7"/>
      <c r="B363" s="7"/>
      <c r="C363" s="7"/>
      <c r="D363" s="7"/>
      <c r="E363" s="7"/>
      <c r="F363" s="7"/>
      <c r="G363" s="7"/>
    </row>
    <row r="364" ht="15.75" customHeight="1">
      <c r="A364" s="7"/>
      <c r="B364" s="7"/>
      <c r="C364" s="7"/>
      <c r="D364" s="7"/>
      <c r="E364" s="7"/>
      <c r="F364" s="7"/>
      <c r="G364" s="7"/>
    </row>
    <row r="365" ht="15.75" customHeight="1">
      <c r="A365" s="7"/>
      <c r="B365" s="7"/>
      <c r="C365" s="7"/>
      <c r="D365" s="7"/>
      <c r="E365" s="7"/>
      <c r="F365" s="7"/>
      <c r="G365" s="7"/>
    </row>
    <row r="366" ht="15.75" customHeight="1">
      <c r="A366" s="7"/>
      <c r="B366" s="7"/>
      <c r="C366" s="7"/>
      <c r="D366" s="7"/>
      <c r="E366" s="7"/>
      <c r="F366" s="7"/>
      <c r="G366" s="7"/>
    </row>
    <row r="367" ht="15.75" customHeight="1">
      <c r="A367" s="7"/>
      <c r="B367" s="7"/>
      <c r="C367" s="7"/>
      <c r="D367" s="7"/>
      <c r="E367" s="7"/>
      <c r="F367" s="7"/>
      <c r="G367" s="7"/>
    </row>
    <row r="368" ht="15.75" customHeight="1">
      <c r="A368" s="7"/>
      <c r="B368" s="7"/>
      <c r="C368" s="7"/>
      <c r="D368" s="7"/>
      <c r="E368" s="7"/>
      <c r="F368" s="7"/>
      <c r="G368" s="7"/>
    </row>
    <row r="369" ht="15.75" customHeight="1">
      <c r="A369" s="7"/>
      <c r="B369" s="7"/>
      <c r="C369" s="7"/>
      <c r="D369" s="7"/>
      <c r="E369" s="7"/>
      <c r="F369" s="7"/>
      <c r="G369" s="7"/>
    </row>
    <row r="370" ht="15.75" customHeight="1">
      <c r="A370" s="7"/>
      <c r="B370" s="7"/>
      <c r="C370" s="7"/>
      <c r="D370" s="7"/>
      <c r="E370" s="7"/>
      <c r="F370" s="7"/>
      <c r="G370" s="7"/>
    </row>
    <row r="371" ht="15.75" customHeight="1">
      <c r="A371" s="7"/>
      <c r="B371" s="7"/>
      <c r="C371" s="7"/>
      <c r="D371" s="7"/>
      <c r="E371" s="7"/>
      <c r="F371" s="7"/>
      <c r="G371" s="7"/>
    </row>
    <row r="372" ht="15.75" customHeight="1">
      <c r="A372" s="7"/>
      <c r="B372" s="7"/>
      <c r="C372" s="7"/>
      <c r="D372" s="7"/>
      <c r="E372" s="7"/>
      <c r="F372" s="7"/>
      <c r="G372" s="7"/>
    </row>
    <row r="373" ht="15.75" customHeight="1">
      <c r="A373" s="7"/>
      <c r="B373" s="7"/>
      <c r="C373" s="7"/>
      <c r="D373" s="7"/>
      <c r="E373" s="7"/>
      <c r="F373" s="7"/>
      <c r="G373" s="7"/>
    </row>
    <row r="374" ht="15.75" customHeight="1">
      <c r="A374" s="7"/>
      <c r="B374" s="7"/>
      <c r="C374" s="7"/>
      <c r="D374" s="7"/>
      <c r="E374" s="7"/>
      <c r="F374" s="7"/>
      <c r="G374" s="7"/>
    </row>
    <row r="375" ht="15.75" customHeight="1">
      <c r="A375" s="7"/>
      <c r="B375" s="7"/>
      <c r="C375" s="7"/>
      <c r="D375" s="7"/>
      <c r="E375" s="7"/>
      <c r="F375" s="7"/>
      <c r="G375" s="7"/>
    </row>
    <row r="376" ht="15.75" customHeight="1">
      <c r="A376" s="7"/>
      <c r="B376" s="7"/>
      <c r="C376" s="7"/>
      <c r="D376" s="7"/>
      <c r="E376" s="7"/>
      <c r="F376" s="7"/>
      <c r="G376" s="7"/>
    </row>
    <row r="377" ht="15.75" customHeight="1">
      <c r="A377" s="7"/>
      <c r="B377" s="7"/>
      <c r="C377" s="7"/>
      <c r="D377" s="7"/>
      <c r="E377" s="7"/>
      <c r="F377" s="7"/>
      <c r="G377" s="7"/>
    </row>
    <row r="378" ht="15.75" customHeight="1">
      <c r="A378" s="7"/>
      <c r="B378" s="7"/>
      <c r="C378" s="7"/>
      <c r="D378" s="7"/>
      <c r="E378" s="7"/>
      <c r="F378" s="7"/>
      <c r="G378" s="7"/>
    </row>
    <row r="379" ht="15.75" customHeight="1">
      <c r="A379" s="7"/>
      <c r="B379" s="7"/>
      <c r="C379" s="7"/>
      <c r="D379" s="7"/>
      <c r="E379" s="7"/>
      <c r="F379" s="7"/>
      <c r="G379" s="7"/>
    </row>
    <row r="380" ht="15.75" customHeight="1">
      <c r="A380" s="7"/>
      <c r="B380" s="7"/>
      <c r="C380" s="7"/>
      <c r="D380" s="7"/>
      <c r="E380" s="7"/>
      <c r="F380" s="7"/>
      <c r="G380" s="7"/>
    </row>
    <row r="381" ht="15.75" customHeight="1">
      <c r="A381" s="7"/>
      <c r="B381" s="7"/>
      <c r="C381" s="7"/>
      <c r="D381" s="7"/>
      <c r="E381" s="7"/>
      <c r="F381" s="7"/>
      <c r="G381" s="7"/>
    </row>
    <row r="382" ht="15.75" customHeight="1">
      <c r="A382" s="7"/>
      <c r="B382" s="7"/>
      <c r="C382" s="7"/>
      <c r="D382" s="7"/>
      <c r="E382" s="7"/>
      <c r="F382" s="7"/>
      <c r="G382" s="7"/>
    </row>
    <row r="383" ht="15.75" customHeight="1">
      <c r="A383" s="7"/>
      <c r="B383" s="7"/>
      <c r="C383" s="7"/>
      <c r="D383" s="7"/>
      <c r="E383" s="7"/>
      <c r="F383" s="7"/>
      <c r="G383" s="7"/>
    </row>
    <row r="384" ht="15.75" customHeight="1">
      <c r="A384" s="7"/>
      <c r="B384" s="7"/>
      <c r="C384" s="7"/>
      <c r="D384" s="7"/>
      <c r="E384" s="7"/>
      <c r="F384" s="7"/>
      <c r="G384" s="7"/>
    </row>
    <row r="385" ht="15.75" customHeight="1">
      <c r="A385" s="7"/>
      <c r="B385" s="7"/>
      <c r="C385" s="7"/>
      <c r="D385" s="7"/>
      <c r="E385" s="7"/>
      <c r="F385" s="7"/>
      <c r="G385" s="7"/>
    </row>
    <row r="386" ht="15.75" customHeight="1">
      <c r="A386" s="7"/>
      <c r="B386" s="7"/>
      <c r="C386" s="7"/>
      <c r="D386" s="7"/>
      <c r="E386" s="7"/>
      <c r="F386" s="7"/>
      <c r="G386" s="7"/>
    </row>
    <row r="387" ht="15.75" customHeight="1">
      <c r="A387" s="7"/>
      <c r="B387" s="7"/>
      <c r="C387" s="7"/>
      <c r="D387" s="7"/>
      <c r="E387" s="7"/>
      <c r="F387" s="7"/>
      <c r="G387" s="7"/>
    </row>
    <row r="388" ht="15.75" customHeight="1">
      <c r="A388" s="7"/>
      <c r="B388" s="7"/>
      <c r="C388" s="7"/>
      <c r="D388" s="7"/>
      <c r="E388" s="7"/>
      <c r="F388" s="7"/>
      <c r="G388" s="7"/>
    </row>
    <row r="389" ht="15.75" customHeight="1">
      <c r="A389" s="7"/>
      <c r="B389" s="7"/>
      <c r="C389" s="7"/>
      <c r="D389" s="7"/>
      <c r="E389" s="7"/>
      <c r="F389" s="7"/>
      <c r="G389" s="7"/>
    </row>
    <row r="390" ht="15.75" customHeight="1">
      <c r="A390" s="7"/>
      <c r="B390" s="7"/>
      <c r="C390" s="7"/>
      <c r="D390" s="7"/>
      <c r="E390" s="7"/>
      <c r="F390" s="7"/>
      <c r="G390" s="7"/>
    </row>
    <row r="391" ht="15.75" customHeight="1">
      <c r="A391" s="7"/>
      <c r="B391" s="7"/>
      <c r="C391" s="7"/>
      <c r="D391" s="7"/>
      <c r="E391" s="7"/>
      <c r="F391" s="7"/>
      <c r="G391" s="7"/>
    </row>
    <row r="392" ht="15.75" customHeight="1">
      <c r="A392" s="7"/>
      <c r="B392" s="7"/>
      <c r="C392" s="7"/>
      <c r="D392" s="7"/>
      <c r="E392" s="7"/>
      <c r="F392" s="7"/>
      <c r="G392" s="7"/>
    </row>
    <row r="393" ht="15.75" customHeight="1">
      <c r="A393" s="7"/>
      <c r="B393" s="7"/>
      <c r="C393" s="7"/>
      <c r="D393" s="7"/>
      <c r="E393" s="7"/>
      <c r="F393" s="7"/>
      <c r="G393" s="7"/>
    </row>
    <row r="394" ht="15.75" customHeight="1">
      <c r="A394" s="7"/>
      <c r="B394" s="7"/>
      <c r="C394" s="7"/>
      <c r="D394" s="7"/>
      <c r="E394" s="7"/>
      <c r="F394" s="7"/>
      <c r="G394" s="7"/>
    </row>
    <row r="395" ht="15.75" customHeight="1">
      <c r="A395" s="7"/>
      <c r="B395" s="7"/>
      <c r="C395" s="7"/>
      <c r="D395" s="7"/>
      <c r="E395" s="7"/>
      <c r="F395" s="7"/>
      <c r="G395" s="7"/>
    </row>
    <row r="396" ht="15.75" customHeight="1">
      <c r="A396" s="7"/>
      <c r="B396" s="7"/>
      <c r="C396" s="7"/>
      <c r="D396" s="7"/>
      <c r="E396" s="7"/>
      <c r="F396" s="7"/>
      <c r="G396" s="7"/>
    </row>
    <row r="397" ht="15.75" customHeight="1">
      <c r="A397" s="7"/>
      <c r="B397" s="7"/>
      <c r="C397" s="7"/>
      <c r="D397" s="7"/>
      <c r="E397" s="7"/>
      <c r="F397" s="7"/>
      <c r="G397" s="7"/>
    </row>
    <row r="398" ht="15.75" customHeight="1">
      <c r="A398" s="7"/>
      <c r="B398" s="7"/>
      <c r="C398" s="7"/>
      <c r="D398" s="7"/>
      <c r="E398" s="7"/>
      <c r="F398" s="7"/>
      <c r="G398" s="7"/>
    </row>
    <row r="399" ht="15.75" customHeight="1">
      <c r="A399" s="7"/>
      <c r="B399" s="7"/>
      <c r="C399" s="7"/>
      <c r="D399" s="7"/>
      <c r="E399" s="7"/>
      <c r="F399" s="7"/>
      <c r="G399" s="7"/>
    </row>
    <row r="400" ht="15.75" customHeight="1">
      <c r="A400" s="7"/>
      <c r="B400" s="7"/>
      <c r="C400" s="7"/>
      <c r="D400" s="7"/>
      <c r="E400" s="7"/>
      <c r="F400" s="7"/>
      <c r="G400" s="7"/>
    </row>
    <row r="401" ht="15.75" customHeight="1">
      <c r="A401" s="7"/>
      <c r="B401" s="7"/>
      <c r="C401" s="7"/>
      <c r="D401" s="7"/>
      <c r="E401" s="7"/>
      <c r="F401" s="7"/>
      <c r="G401" s="7"/>
    </row>
    <row r="402" ht="15.75" customHeight="1">
      <c r="A402" s="7"/>
      <c r="B402" s="7"/>
      <c r="C402" s="7"/>
      <c r="D402" s="7"/>
      <c r="E402" s="7"/>
      <c r="F402" s="7"/>
      <c r="G402" s="7"/>
    </row>
    <row r="403" ht="15.75" customHeight="1">
      <c r="A403" s="7"/>
      <c r="B403" s="7"/>
      <c r="C403" s="7"/>
      <c r="D403" s="7"/>
      <c r="E403" s="7"/>
      <c r="F403" s="7"/>
      <c r="G403" s="7"/>
    </row>
    <row r="404" ht="15.75" customHeight="1">
      <c r="A404" s="7"/>
      <c r="B404" s="7"/>
      <c r="C404" s="7"/>
      <c r="D404" s="7"/>
      <c r="E404" s="7"/>
      <c r="F404" s="7"/>
      <c r="G404" s="7"/>
    </row>
    <row r="405" ht="15.75" customHeight="1">
      <c r="A405" s="7"/>
      <c r="B405" s="7"/>
      <c r="C405" s="7"/>
      <c r="D405" s="7"/>
      <c r="E405" s="7"/>
      <c r="F405" s="7"/>
      <c r="G405" s="7"/>
    </row>
    <row r="406" ht="15.75" customHeight="1">
      <c r="A406" s="7"/>
      <c r="B406" s="7"/>
      <c r="C406" s="7"/>
      <c r="D406" s="7"/>
      <c r="E406" s="7"/>
      <c r="F406" s="7"/>
      <c r="G406" s="7"/>
    </row>
    <row r="407" ht="15.75" customHeight="1">
      <c r="A407" s="7"/>
      <c r="B407" s="7"/>
      <c r="C407" s="7"/>
      <c r="D407" s="7"/>
      <c r="E407" s="7"/>
      <c r="F407" s="7"/>
      <c r="G407" s="7"/>
    </row>
    <row r="408" ht="15.75" customHeight="1">
      <c r="A408" s="7"/>
      <c r="B408" s="7"/>
      <c r="C408" s="7"/>
      <c r="D408" s="7"/>
      <c r="E408" s="7"/>
      <c r="F408" s="7"/>
      <c r="G408" s="7"/>
    </row>
    <row r="409" ht="15.75" customHeight="1">
      <c r="A409" s="7"/>
      <c r="B409" s="7"/>
      <c r="C409" s="7"/>
      <c r="D409" s="7"/>
      <c r="E409" s="7"/>
      <c r="F409" s="7"/>
      <c r="G409" s="7"/>
    </row>
    <row r="410" ht="15.75" customHeight="1">
      <c r="A410" s="7"/>
      <c r="B410" s="7"/>
      <c r="C410" s="7"/>
      <c r="D410" s="7"/>
      <c r="E410" s="7"/>
      <c r="F410" s="7"/>
      <c r="G410" s="7"/>
    </row>
    <row r="411" ht="15.75" customHeight="1">
      <c r="A411" s="7"/>
      <c r="B411" s="7"/>
      <c r="C411" s="7"/>
      <c r="D411" s="7"/>
      <c r="E411" s="7"/>
      <c r="F411" s="7"/>
      <c r="G411" s="7"/>
    </row>
    <row r="412" ht="15.75" customHeight="1">
      <c r="A412" s="7"/>
      <c r="B412" s="7"/>
      <c r="C412" s="7"/>
      <c r="D412" s="7"/>
      <c r="E412" s="7"/>
      <c r="F412" s="7"/>
      <c r="G412" s="7"/>
    </row>
    <row r="413" ht="15.75" customHeight="1">
      <c r="A413" s="7"/>
      <c r="B413" s="7"/>
      <c r="C413" s="7"/>
      <c r="D413" s="7"/>
      <c r="E413" s="7"/>
      <c r="F413" s="7"/>
      <c r="G413" s="7"/>
    </row>
    <row r="414" ht="15.75" customHeight="1">
      <c r="A414" s="7"/>
      <c r="B414" s="7"/>
      <c r="C414" s="7"/>
      <c r="D414" s="7"/>
      <c r="E414" s="7"/>
      <c r="F414" s="7"/>
      <c r="G414" s="7"/>
    </row>
    <row r="415" ht="15.75" customHeight="1">
      <c r="A415" s="7"/>
      <c r="B415" s="7"/>
      <c r="C415" s="7"/>
      <c r="D415" s="7"/>
      <c r="E415" s="7"/>
      <c r="F415" s="7"/>
      <c r="G415" s="7"/>
    </row>
    <row r="416" ht="15.75" customHeight="1">
      <c r="A416" s="7"/>
      <c r="B416" s="7"/>
      <c r="C416" s="7"/>
      <c r="D416" s="7"/>
      <c r="E416" s="7"/>
      <c r="F416" s="7"/>
      <c r="G416" s="7"/>
    </row>
    <row r="417" ht="15.75" customHeight="1">
      <c r="A417" s="7"/>
      <c r="B417" s="7"/>
      <c r="C417" s="7"/>
      <c r="D417" s="7"/>
      <c r="E417" s="7"/>
      <c r="F417" s="7"/>
      <c r="G417" s="7"/>
    </row>
    <row r="418" ht="15.75" customHeight="1">
      <c r="A418" s="7"/>
      <c r="B418" s="7"/>
      <c r="C418" s="7"/>
      <c r="D418" s="7"/>
      <c r="E418" s="7"/>
      <c r="F418" s="7"/>
      <c r="G418" s="7"/>
    </row>
    <row r="419" ht="15.75" customHeight="1">
      <c r="A419" s="7"/>
      <c r="B419" s="7"/>
      <c r="C419" s="7"/>
      <c r="D419" s="7"/>
      <c r="E419" s="7"/>
      <c r="F419" s="7"/>
      <c r="G419" s="7"/>
    </row>
    <row r="420" ht="15.75" customHeight="1">
      <c r="A420" s="7"/>
      <c r="B420" s="7"/>
      <c r="C420" s="7"/>
      <c r="D420" s="7"/>
      <c r="E420" s="7"/>
      <c r="F420" s="7"/>
      <c r="G420" s="7"/>
    </row>
    <row r="421" ht="15.75" customHeight="1">
      <c r="A421" s="7"/>
      <c r="B421" s="7"/>
      <c r="C421" s="7"/>
      <c r="D421" s="7"/>
      <c r="E421" s="7"/>
      <c r="F421" s="7"/>
      <c r="G421" s="7"/>
    </row>
    <row r="422" ht="15.75" customHeight="1">
      <c r="A422" s="7"/>
      <c r="B422" s="7"/>
      <c r="C422" s="7"/>
      <c r="D422" s="7"/>
      <c r="E422" s="7"/>
      <c r="F422" s="7"/>
      <c r="G422" s="7"/>
    </row>
    <row r="423" ht="15.75" customHeight="1">
      <c r="A423" s="7"/>
      <c r="B423" s="7"/>
      <c r="C423" s="7"/>
      <c r="D423" s="7"/>
      <c r="E423" s="7"/>
      <c r="F423" s="7"/>
      <c r="G423" s="7"/>
    </row>
    <row r="424" ht="15.75" customHeight="1">
      <c r="A424" s="7"/>
      <c r="B424" s="7"/>
      <c r="C424" s="7"/>
      <c r="D424" s="7"/>
      <c r="E424" s="7"/>
      <c r="F424" s="7"/>
      <c r="G424" s="7"/>
    </row>
    <row r="425" ht="15.75" customHeight="1">
      <c r="A425" s="7"/>
      <c r="B425" s="7"/>
      <c r="C425" s="7"/>
      <c r="D425" s="7"/>
      <c r="E425" s="7"/>
      <c r="F425" s="7"/>
      <c r="G425" s="7"/>
    </row>
    <row r="426" ht="15.75" customHeight="1">
      <c r="A426" s="7"/>
      <c r="B426" s="7"/>
      <c r="C426" s="7"/>
      <c r="D426" s="7"/>
      <c r="E426" s="7"/>
      <c r="F426" s="7"/>
      <c r="G426" s="7"/>
    </row>
    <row r="427" ht="15.75" customHeight="1">
      <c r="A427" s="7"/>
      <c r="B427" s="7"/>
      <c r="C427" s="7"/>
      <c r="D427" s="7"/>
      <c r="E427" s="7"/>
      <c r="F427" s="7"/>
      <c r="G427" s="7"/>
    </row>
    <row r="428" ht="15.75" customHeight="1">
      <c r="A428" s="7"/>
      <c r="B428" s="7"/>
      <c r="C428" s="7"/>
      <c r="D428" s="7"/>
      <c r="E428" s="7"/>
      <c r="F428" s="7"/>
      <c r="G428" s="7"/>
    </row>
    <row r="429" ht="15.75" customHeight="1">
      <c r="A429" s="7"/>
      <c r="B429" s="7"/>
      <c r="C429" s="7"/>
      <c r="D429" s="7"/>
      <c r="E429" s="7"/>
      <c r="F429" s="7"/>
      <c r="G429" s="7"/>
    </row>
    <row r="430" ht="15.75" customHeight="1">
      <c r="A430" s="7"/>
      <c r="B430" s="7"/>
      <c r="C430" s="7"/>
      <c r="D430" s="7"/>
      <c r="E430" s="7"/>
      <c r="F430" s="7"/>
      <c r="G430" s="7"/>
    </row>
    <row r="431" ht="15.75" customHeight="1">
      <c r="A431" s="7"/>
      <c r="B431" s="7"/>
      <c r="C431" s="7"/>
      <c r="D431" s="7"/>
      <c r="E431" s="7"/>
      <c r="F431" s="7"/>
      <c r="G431" s="7"/>
    </row>
    <row r="432" ht="15.75" customHeight="1">
      <c r="A432" s="7"/>
      <c r="B432" s="7"/>
      <c r="C432" s="7"/>
      <c r="D432" s="7"/>
      <c r="E432" s="7"/>
      <c r="F432" s="7"/>
      <c r="G432" s="7"/>
    </row>
    <row r="433" ht="15.75" customHeight="1">
      <c r="A433" s="7"/>
      <c r="B433" s="7"/>
      <c r="C433" s="7"/>
      <c r="D433" s="7"/>
      <c r="E433" s="7"/>
      <c r="F433" s="7"/>
      <c r="G433" s="7"/>
    </row>
    <row r="434" ht="15.75" customHeight="1">
      <c r="A434" s="7"/>
      <c r="B434" s="7"/>
      <c r="C434" s="7"/>
      <c r="D434" s="7"/>
      <c r="E434" s="7"/>
      <c r="F434" s="7"/>
      <c r="G434" s="7"/>
    </row>
    <row r="435" ht="15.75" customHeight="1">
      <c r="A435" s="7"/>
      <c r="B435" s="7"/>
      <c r="C435" s="7"/>
      <c r="D435" s="7"/>
      <c r="E435" s="7"/>
      <c r="F435" s="7"/>
      <c r="G435" s="7"/>
    </row>
    <row r="436" ht="15.75" customHeight="1">
      <c r="A436" s="7"/>
      <c r="B436" s="7"/>
      <c r="C436" s="7"/>
      <c r="D436" s="7"/>
      <c r="E436" s="7"/>
      <c r="F436" s="7"/>
      <c r="G436" s="7"/>
    </row>
    <row r="437" ht="15.75" customHeight="1">
      <c r="A437" s="7"/>
      <c r="B437" s="7"/>
      <c r="C437" s="7"/>
      <c r="D437" s="7"/>
      <c r="E437" s="7"/>
      <c r="F437" s="7"/>
      <c r="G437" s="7"/>
    </row>
    <row r="438" ht="15.75" customHeight="1">
      <c r="A438" s="7"/>
      <c r="B438" s="7"/>
      <c r="C438" s="7"/>
      <c r="D438" s="7"/>
      <c r="E438" s="7"/>
      <c r="F438" s="7"/>
      <c r="G438" s="7"/>
    </row>
    <row r="439" ht="15.75" customHeight="1">
      <c r="A439" s="7"/>
      <c r="B439" s="7"/>
      <c r="C439" s="7"/>
      <c r="D439" s="7"/>
      <c r="E439" s="7"/>
      <c r="F439" s="7"/>
      <c r="G439" s="7"/>
    </row>
    <row r="440" ht="15.75" customHeight="1">
      <c r="A440" s="7"/>
      <c r="B440" s="7"/>
      <c r="C440" s="7"/>
      <c r="D440" s="7"/>
      <c r="E440" s="7"/>
      <c r="F440" s="7"/>
      <c r="G440" s="7"/>
    </row>
    <row r="441" ht="15.75" customHeight="1">
      <c r="A441" s="7"/>
      <c r="B441" s="7"/>
      <c r="C441" s="7"/>
      <c r="D441" s="7"/>
      <c r="E441" s="7"/>
      <c r="F441" s="7"/>
      <c r="G441" s="7"/>
    </row>
    <row r="442" ht="15.75" customHeight="1">
      <c r="A442" s="7"/>
      <c r="B442" s="7"/>
      <c r="C442" s="7"/>
      <c r="D442" s="7"/>
      <c r="E442" s="7"/>
      <c r="F442" s="7"/>
      <c r="G442" s="7"/>
    </row>
    <row r="443" ht="15.75" customHeight="1">
      <c r="A443" s="7"/>
      <c r="B443" s="7"/>
      <c r="C443" s="7"/>
      <c r="D443" s="7"/>
      <c r="E443" s="7"/>
      <c r="F443" s="7"/>
      <c r="G443" s="7"/>
    </row>
    <row r="444" ht="15.75" customHeight="1">
      <c r="A444" s="7"/>
      <c r="B444" s="7"/>
      <c r="C444" s="7"/>
      <c r="D444" s="7"/>
      <c r="E444" s="7"/>
      <c r="F444" s="7"/>
      <c r="G444" s="7"/>
    </row>
    <row r="445" ht="15.75" customHeight="1">
      <c r="A445" s="7"/>
      <c r="B445" s="7"/>
      <c r="C445" s="7"/>
      <c r="D445" s="7"/>
      <c r="E445" s="7"/>
      <c r="F445" s="7"/>
      <c r="G445" s="7"/>
    </row>
    <row r="446" ht="15.75" customHeight="1">
      <c r="A446" s="7"/>
      <c r="B446" s="7"/>
      <c r="C446" s="7"/>
      <c r="D446" s="7"/>
      <c r="E446" s="7"/>
      <c r="F446" s="7"/>
      <c r="G446" s="7"/>
    </row>
    <row r="447" ht="15.75" customHeight="1">
      <c r="A447" s="7"/>
      <c r="B447" s="7"/>
      <c r="C447" s="7"/>
      <c r="D447" s="7"/>
      <c r="E447" s="7"/>
      <c r="F447" s="7"/>
      <c r="G447" s="7"/>
    </row>
    <row r="448" ht="15.75" customHeight="1">
      <c r="A448" s="7"/>
      <c r="B448" s="7"/>
      <c r="C448" s="7"/>
      <c r="D448" s="7"/>
      <c r="E448" s="7"/>
      <c r="F448" s="7"/>
      <c r="G448" s="7"/>
    </row>
    <row r="449" ht="15.75" customHeight="1">
      <c r="A449" s="7"/>
      <c r="B449" s="7"/>
      <c r="C449" s="7"/>
      <c r="D449" s="7"/>
      <c r="E449" s="7"/>
      <c r="F449" s="7"/>
      <c r="G449" s="7"/>
    </row>
    <row r="450" ht="15.75" customHeight="1">
      <c r="A450" s="7"/>
      <c r="B450" s="7"/>
      <c r="C450" s="7"/>
      <c r="D450" s="7"/>
      <c r="E450" s="7"/>
      <c r="F450" s="7"/>
      <c r="G450" s="7"/>
    </row>
    <row r="451" ht="15.75" customHeight="1">
      <c r="A451" s="7"/>
      <c r="B451" s="7"/>
      <c r="C451" s="7"/>
      <c r="D451" s="7"/>
      <c r="E451" s="7"/>
      <c r="F451" s="7"/>
      <c r="G451" s="7"/>
    </row>
    <row r="452" ht="15.75" customHeight="1">
      <c r="A452" s="7"/>
      <c r="B452" s="7"/>
      <c r="C452" s="7"/>
      <c r="D452" s="7"/>
      <c r="E452" s="7"/>
      <c r="F452" s="7"/>
      <c r="G452" s="7"/>
    </row>
    <row r="453" ht="15.75" customHeight="1">
      <c r="A453" s="7"/>
      <c r="B453" s="7"/>
      <c r="C453" s="7"/>
      <c r="D453" s="7"/>
      <c r="E453" s="7"/>
      <c r="F453" s="7"/>
      <c r="G453" s="7"/>
    </row>
    <row r="454" ht="15.75" customHeight="1">
      <c r="A454" s="7"/>
      <c r="B454" s="7"/>
      <c r="C454" s="7"/>
      <c r="D454" s="7"/>
      <c r="E454" s="7"/>
      <c r="F454" s="7"/>
      <c r="G454" s="7"/>
    </row>
    <row r="455" ht="15.75" customHeight="1">
      <c r="A455" s="7"/>
      <c r="B455" s="7"/>
      <c r="C455" s="7"/>
      <c r="D455" s="7"/>
      <c r="E455" s="7"/>
      <c r="F455" s="7"/>
      <c r="G455" s="7"/>
    </row>
    <row r="456" ht="15.75" customHeight="1">
      <c r="A456" s="7"/>
      <c r="B456" s="7"/>
      <c r="C456" s="7"/>
      <c r="D456" s="7"/>
      <c r="E456" s="7"/>
      <c r="F456" s="7"/>
      <c r="G456" s="7"/>
    </row>
    <row r="457" ht="15.75" customHeight="1">
      <c r="A457" s="7"/>
      <c r="B457" s="7"/>
      <c r="C457" s="7"/>
      <c r="D457" s="7"/>
      <c r="E457" s="7"/>
      <c r="F457" s="7"/>
      <c r="G457" s="7"/>
    </row>
    <row r="458" ht="15.75" customHeight="1">
      <c r="A458" s="7"/>
      <c r="B458" s="7"/>
      <c r="C458" s="7"/>
      <c r="D458" s="7"/>
      <c r="E458" s="7"/>
      <c r="F458" s="7"/>
      <c r="G458" s="7"/>
    </row>
    <row r="459" ht="15.75" customHeight="1">
      <c r="A459" s="7"/>
      <c r="B459" s="7"/>
      <c r="C459" s="7"/>
      <c r="D459" s="7"/>
      <c r="E459" s="7"/>
      <c r="F459" s="7"/>
      <c r="G459" s="7"/>
    </row>
    <row r="460" ht="15.75" customHeight="1">
      <c r="A460" s="7"/>
      <c r="B460" s="7"/>
      <c r="C460" s="7"/>
      <c r="D460" s="7"/>
      <c r="E460" s="7"/>
      <c r="F460" s="7"/>
      <c r="G460" s="7"/>
    </row>
    <row r="461" ht="15.75" customHeight="1">
      <c r="A461" s="7"/>
      <c r="B461" s="7"/>
      <c r="C461" s="7"/>
      <c r="D461" s="7"/>
      <c r="E461" s="7"/>
      <c r="F461" s="7"/>
      <c r="G461" s="7"/>
    </row>
    <row r="462" ht="15.75" customHeight="1">
      <c r="A462" s="7"/>
      <c r="B462" s="7"/>
      <c r="C462" s="7"/>
      <c r="D462" s="7"/>
      <c r="E462" s="7"/>
      <c r="F462" s="7"/>
      <c r="G462" s="7"/>
    </row>
    <row r="463" ht="15.75" customHeight="1">
      <c r="A463" s="7"/>
      <c r="B463" s="7"/>
      <c r="C463" s="7"/>
      <c r="D463" s="7"/>
      <c r="E463" s="7"/>
      <c r="F463" s="7"/>
      <c r="G463" s="7"/>
    </row>
    <row r="464" ht="15.75" customHeight="1">
      <c r="A464" s="7"/>
      <c r="B464" s="7"/>
      <c r="C464" s="7"/>
      <c r="D464" s="7"/>
      <c r="E464" s="7"/>
      <c r="F464" s="7"/>
      <c r="G464" s="7"/>
    </row>
    <row r="465" ht="15.75" customHeight="1">
      <c r="A465" s="7"/>
      <c r="B465" s="7"/>
      <c r="C465" s="7"/>
      <c r="D465" s="7"/>
      <c r="E465" s="7"/>
      <c r="F465" s="7"/>
      <c r="G465" s="7"/>
    </row>
    <row r="466" ht="15.75" customHeight="1">
      <c r="A466" s="7"/>
      <c r="B466" s="7"/>
      <c r="C466" s="7"/>
      <c r="D466" s="7"/>
      <c r="E466" s="7"/>
      <c r="F466" s="7"/>
      <c r="G466" s="7"/>
    </row>
    <row r="467" ht="15.75" customHeight="1">
      <c r="A467" s="7"/>
      <c r="B467" s="7"/>
      <c r="C467" s="7"/>
      <c r="D467" s="7"/>
      <c r="E467" s="7"/>
      <c r="F467" s="7"/>
      <c r="G467" s="7"/>
    </row>
    <row r="468" ht="15.75" customHeight="1">
      <c r="A468" s="7"/>
      <c r="B468" s="7"/>
      <c r="C468" s="7"/>
      <c r="D468" s="7"/>
      <c r="E468" s="7"/>
      <c r="F468" s="7"/>
      <c r="G468" s="7"/>
    </row>
    <row r="469" ht="15.75" customHeight="1">
      <c r="A469" s="7"/>
      <c r="B469" s="7"/>
      <c r="C469" s="7"/>
      <c r="D469" s="7"/>
      <c r="E469" s="7"/>
      <c r="F469" s="7"/>
      <c r="G469" s="7"/>
    </row>
    <row r="470" ht="15.75" customHeight="1">
      <c r="A470" s="7"/>
      <c r="B470" s="7"/>
      <c r="C470" s="7"/>
      <c r="D470" s="7"/>
      <c r="E470" s="7"/>
      <c r="F470" s="7"/>
      <c r="G470" s="7"/>
    </row>
    <row r="471" ht="15.75" customHeight="1">
      <c r="A471" s="7"/>
      <c r="B471" s="7"/>
      <c r="C471" s="7"/>
      <c r="D471" s="7"/>
      <c r="E471" s="7"/>
      <c r="F471" s="7"/>
      <c r="G471" s="7"/>
    </row>
    <row r="472" ht="15.75" customHeight="1">
      <c r="A472" s="7"/>
      <c r="B472" s="7"/>
      <c r="C472" s="7"/>
      <c r="D472" s="7"/>
      <c r="E472" s="7"/>
      <c r="F472" s="7"/>
      <c r="G472" s="7"/>
    </row>
    <row r="473" ht="15.75" customHeight="1">
      <c r="A473" s="7"/>
      <c r="B473" s="7"/>
      <c r="C473" s="7"/>
      <c r="D473" s="7"/>
      <c r="E473" s="7"/>
      <c r="F473" s="7"/>
      <c r="G473" s="7"/>
    </row>
    <row r="474" ht="15.75" customHeight="1">
      <c r="A474" s="7"/>
      <c r="B474" s="7"/>
      <c r="C474" s="7"/>
      <c r="D474" s="7"/>
      <c r="E474" s="7"/>
      <c r="F474" s="7"/>
      <c r="G474" s="7"/>
    </row>
    <row r="475" ht="15.75" customHeight="1">
      <c r="A475" s="7"/>
      <c r="B475" s="7"/>
      <c r="C475" s="7"/>
      <c r="D475" s="7"/>
      <c r="E475" s="7"/>
      <c r="F475" s="7"/>
      <c r="G475" s="7"/>
    </row>
    <row r="476" ht="15.75" customHeight="1">
      <c r="A476" s="7"/>
      <c r="B476" s="7"/>
      <c r="C476" s="7"/>
      <c r="D476" s="7"/>
      <c r="E476" s="7"/>
      <c r="F476" s="7"/>
      <c r="G476" s="7"/>
    </row>
    <row r="477" ht="15.75" customHeight="1">
      <c r="A477" s="7"/>
      <c r="B477" s="7"/>
      <c r="C477" s="7"/>
      <c r="D477" s="7"/>
      <c r="E477" s="7"/>
      <c r="F477" s="7"/>
      <c r="G477" s="7"/>
    </row>
    <row r="478" ht="15.75" customHeight="1">
      <c r="A478" s="7"/>
      <c r="B478" s="7"/>
      <c r="C478" s="7"/>
      <c r="D478" s="7"/>
      <c r="E478" s="7"/>
      <c r="F478" s="7"/>
      <c r="G478" s="7"/>
    </row>
    <row r="479" ht="15.75" customHeight="1">
      <c r="A479" s="7"/>
      <c r="B479" s="7"/>
      <c r="C479" s="7"/>
      <c r="D479" s="7"/>
      <c r="E479" s="7"/>
      <c r="F479" s="7"/>
      <c r="G479" s="7"/>
    </row>
    <row r="480" ht="15.75" customHeight="1">
      <c r="A480" s="7"/>
      <c r="B480" s="7"/>
      <c r="C480" s="7"/>
      <c r="D480" s="7"/>
      <c r="E480" s="7"/>
      <c r="F480" s="7"/>
      <c r="G480" s="7"/>
    </row>
    <row r="481" ht="15.75" customHeight="1">
      <c r="A481" s="7"/>
      <c r="B481" s="7"/>
      <c r="C481" s="7"/>
      <c r="D481" s="7"/>
      <c r="E481" s="7"/>
      <c r="F481" s="7"/>
      <c r="G481" s="7"/>
    </row>
    <row r="482" ht="15.75" customHeight="1">
      <c r="A482" s="7"/>
      <c r="B482" s="7"/>
      <c r="C482" s="7"/>
      <c r="D482" s="7"/>
      <c r="E482" s="7"/>
      <c r="F482" s="7"/>
      <c r="G482" s="7"/>
    </row>
    <row r="483" ht="15.75" customHeight="1">
      <c r="A483" s="7"/>
      <c r="B483" s="7"/>
      <c r="C483" s="7"/>
      <c r="D483" s="7"/>
      <c r="E483" s="7"/>
      <c r="F483" s="7"/>
      <c r="G483" s="7"/>
    </row>
    <row r="484" ht="15.75" customHeight="1">
      <c r="A484" s="7"/>
      <c r="B484" s="7"/>
      <c r="C484" s="7"/>
      <c r="D484" s="7"/>
      <c r="E484" s="7"/>
      <c r="F484" s="7"/>
      <c r="G484" s="7"/>
    </row>
    <row r="485" ht="15.75" customHeight="1">
      <c r="A485" s="7"/>
      <c r="B485" s="7"/>
      <c r="C485" s="7"/>
      <c r="D485" s="7"/>
      <c r="E485" s="7"/>
      <c r="F485" s="7"/>
      <c r="G485" s="7"/>
    </row>
    <row r="486" ht="15.75" customHeight="1">
      <c r="A486" s="7"/>
      <c r="B486" s="7"/>
      <c r="C486" s="7"/>
      <c r="D486" s="7"/>
      <c r="E486" s="7"/>
      <c r="F486" s="7"/>
      <c r="G486" s="7"/>
    </row>
    <row r="487" ht="15.75" customHeight="1">
      <c r="A487" s="7"/>
      <c r="B487" s="7"/>
      <c r="C487" s="7"/>
      <c r="D487" s="7"/>
      <c r="E487" s="7"/>
      <c r="F487" s="7"/>
      <c r="G487" s="7"/>
    </row>
    <row r="488" ht="15.75" customHeight="1">
      <c r="A488" s="7"/>
      <c r="B488" s="7"/>
      <c r="C488" s="7"/>
      <c r="D488" s="7"/>
      <c r="E488" s="7"/>
      <c r="F488" s="7"/>
      <c r="G488" s="7"/>
    </row>
    <row r="489" ht="15.75" customHeight="1">
      <c r="A489" s="7"/>
      <c r="B489" s="7"/>
      <c r="C489" s="7"/>
      <c r="D489" s="7"/>
      <c r="E489" s="7"/>
      <c r="F489" s="7"/>
      <c r="G489" s="7"/>
    </row>
    <row r="490" ht="15.75" customHeight="1">
      <c r="A490" s="7"/>
      <c r="B490" s="7"/>
      <c r="C490" s="7"/>
      <c r="D490" s="7"/>
      <c r="E490" s="7"/>
      <c r="F490" s="7"/>
      <c r="G490" s="7"/>
    </row>
    <row r="491" ht="15.75" customHeight="1">
      <c r="A491" s="7"/>
      <c r="B491" s="7"/>
      <c r="C491" s="7"/>
      <c r="D491" s="7"/>
      <c r="E491" s="7"/>
      <c r="F491" s="7"/>
      <c r="G491" s="7"/>
    </row>
    <row r="492" ht="15.75" customHeight="1">
      <c r="A492" s="7"/>
      <c r="B492" s="7"/>
      <c r="C492" s="7"/>
      <c r="D492" s="7"/>
      <c r="E492" s="7"/>
      <c r="F492" s="7"/>
      <c r="G492" s="7"/>
    </row>
    <row r="493" ht="15.75" customHeight="1">
      <c r="A493" s="7"/>
      <c r="B493" s="7"/>
      <c r="C493" s="7"/>
      <c r="D493" s="7"/>
      <c r="E493" s="7"/>
      <c r="F493" s="7"/>
      <c r="G493" s="7"/>
    </row>
    <row r="494" ht="15.75" customHeight="1">
      <c r="A494" s="7"/>
      <c r="B494" s="7"/>
      <c r="C494" s="7"/>
      <c r="D494" s="7"/>
      <c r="E494" s="7"/>
      <c r="F494" s="7"/>
      <c r="G494" s="7"/>
    </row>
    <row r="495" ht="15.75" customHeight="1">
      <c r="A495" s="7"/>
      <c r="B495" s="7"/>
      <c r="C495" s="7"/>
      <c r="D495" s="7"/>
      <c r="E495" s="7"/>
      <c r="F495" s="7"/>
      <c r="G495" s="7"/>
    </row>
    <row r="496" ht="15.75" customHeight="1">
      <c r="A496" s="7"/>
      <c r="B496" s="7"/>
      <c r="C496" s="7"/>
      <c r="D496" s="7"/>
      <c r="E496" s="7"/>
      <c r="F496" s="7"/>
      <c r="G496" s="7"/>
    </row>
    <row r="497" ht="15.75" customHeight="1">
      <c r="A497" s="7"/>
      <c r="B497" s="7"/>
      <c r="C497" s="7"/>
      <c r="D497" s="7"/>
      <c r="E497" s="7"/>
      <c r="F497" s="7"/>
      <c r="G497" s="7"/>
    </row>
    <row r="498" ht="15.75" customHeight="1">
      <c r="A498" s="7"/>
      <c r="B498" s="7"/>
      <c r="C498" s="7"/>
      <c r="D498" s="7"/>
      <c r="E498" s="7"/>
      <c r="F498" s="7"/>
      <c r="G498" s="7"/>
    </row>
    <row r="499" ht="15.75" customHeight="1">
      <c r="A499" s="7"/>
      <c r="B499" s="7"/>
      <c r="C499" s="7"/>
      <c r="D499" s="7"/>
      <c r="E499" s="7"/>
      <c r="F499" s="7"/>
      <c r="G499" s="7"/>
    </row>
    <row r="500" ht="15.75" customHeight="1">
      <c r="A500" s="7"/>
      <c r="B500" s="7"/>
      <c r="C500" s="7"/>
      <c r="D500" s="7"/>
      <c r="E500" s="7"/>
      <c r="F500" s="7"/>
      <c r="G500" s="7"/>
    </row>
    <row r="501" ht="15.75" customHeight="1">
      <c r="A501" s="7"/>
      <c r="B501" s="7"/>
      <c r="C501" s="7"/>
      <c r="D501" s="7"/>
      <c r="E501" s="7"/>
      <c r="F501" s="7"/>
      <c r="G501" s="7"/>
    </row>
    <row r="502" ht="15.75" customHeight="1">
      <c r="A502" s="7"/>
      <c r="B502" s="7"/>
      <c r="C502" s="7"/>
      <c r="D502" s="7"/>
      <c r="E502" s="7"/>
      <c r="F502" s="7"/>
      <c r="G502" s="7"/>
    </row>
    <row r="503" ht="15.75" customHeight="1">
      <c r="A503" s="7"/>
      <c r="B503" s="7"/>
      <c r="C503" s="7"/>
      <c r="D503" s="7"/>
      <c r="E503" s="7"/>
      <c r="F503" s="7"/>
      <c r="G503" s="7"/>
    </row>
    <row r="504" ht="15.75" customHeight="1">
      <c r="A504" s="7"/>
      <c r="B504" s="7"/>
      <c r="C504" s="7"/>
      <c r="D504" s="7"/>
      <c r="E504" s="7"/>
      <c r="F504" s="7"/>
      <c r="G504" s="7"/>
    </row>
    <row r="505" ht="15.75" customHeight="1">
      <c r="A505" s="7"/>
      <c r="B505" s="7"/>
      <c r="C505" s="7"/>
      <c r="D505" s="7"/>
      <c r="E505" s="7"/>
      <c r="F505" s="7"/>
      <c r="G505" s="7"/>
    </row>
    <row r="506" ht="15.75" customHeight="1">
      <c r="A506" s="7"/>
      <c r="B506" s="7"/>
      <c r="C506" s="7"/>
      <c r="D506" s="7"/>
      <c r="E506" s="7"/>
      <c r="F506" s="7"/>
      <c r="G506" s="7"/>
    </row>
    <row r="507" ht="15.75" customHeight="1">
      <c r="A507" s="7"/>
      <c r="B507" s="7"/>
      <c r="C507" s="7"/>
      <c r="D507" s="7"/>
      <c r="E507" s="7"/>
      <c r="F507" s="7"/>
      <c r="G507" s="7"/>
    </row>
    <row r="508" ht="15.75" customHeight="1">
      <c r="A508" s="7"/>
      <c r="B508" s="7"/>
      <c r="C508" s="7"/>
      <c r="D508" s="7"/>
      <c r="E508" s="7"/>
      <c r="F508" s="7"/>
      <c r="G508" s="7"/>
    </row>
    <row r="509" ht="15.75" customHeight="1">
      <c r="A509" s="7"/>
      <c r="B509" s="7"/>
      <c r="C509" s="7"/>
      <c r="D509" s="7"/>
      <c r="E509" s="7"/>
      <c r="F509" s="7"/>
      <c r="G509" s="7"/>
    </row>
    <row r="510" ht="15.75" customHeight="1">
      <c r="A510" s="7"/>
      <c r="B510" s="7"/>
      <c r="C510" s="7"/>
      <c r="D510" s="7"/>
      <c r="E510" s="7"/>
      <c r="F510" s="7"/>
      <c r="G510" s="7"/>
    </row>
    <row r="511" ht="15.75" customHeight="1">
      <c r="A511" s="7"/>
      <c r="B511" s="7"/>
      <c r="C511" s="7"/>
      <c r="D511" s="7"/>
      <c r="E511" s="7"/>
      <c r="F511" s="7"/>
      <c r="G511" s="7"/>
    </row>
    <row r="512" ht="15.75" customHeight="1">
      <c r="A512" s="7"/>
      <c r="B512" s="7"/>
      <c r="C512" s="7"/>
      <c r="D512" s="7"/>
      <c r="E512" s="7"/>
      <c r="F512" s="7"/>
      <c r="G512" s="7"/>
    </row>
    <row r="513" ht="15.75" customHeight="1">
      <c r="A513" s="7"/>
      <c r="B513" s="7"/>
      <c r="C513" s="7"/>
      <c r="D513" s="7"/>
      <c r="E513" s="7"/>
      <c r="F513" s="7"/>
      <c r="G513" s="7"/>
    </row>
    <row r="514" ht="15.75" customHeight="1">
      <c r="A514" s="7"/>
      <c r="B514" s="7"/>
      <c r="C514" s="7"/>
      <c r="D514" s="7"/>
      <c r="E514" s="7"/>
      <c r="F514" s="7"/>
      <c r="G514" s="7"/>
    </row>
    <row r="515" ht="15.75" customHeight="1">
      <c r="A515" s="7"/>
      <c r="B515" s="7"/>
      <c r="C515" s="7"/>
      <c r="D515" s="7"/>
      <c r="E515" s="7"/>
      <c r="F515" s="7"/>
      <c r="G515" s="7"/>
    </row>
    <row r="516" ht="15.75" customHeight="1">
      <c r="A516" s="7"/>
      <c r="B516" s="7"/>
      <c r="C516" s="7"/>
      <c r="D516" s="7"/>
      <c r="E516" s="7"/>
      <c r="F516" s="7"/>
      <c r="G516" s="7"/>
    </row>
    <row r="517" ht="15.75" customHeight="1">
      <c r="A517" s="7"/>
      <c r="B517" s="7"/>
      <c r="C517" s="7"/>
      <c r="D517" s="7"/>
      <c r="E517" s="7"/>
      <c r="F517" s="7"/>
      <c r="G517" s="7"/>
    </row>
    <row r="518" ht="15.75" customHeight="1">
      <c r="A518" s="7"/>
      <c r="B518" s="7"/>
      <c r="C518" s="7"/>
      <c r="D518" s="7"/>
      <c r="E518" s="7"/>
      <c r="F518" s="7"/>
      <c r="G518" s="7"/>
    </row>
    <row r="519" ht="15.75" customHeight="1">
      <c r="A519" s="7"/>
      <c r="B519" s="7"/>
      <c r="C519" s="7"/>
      <c r="D519" s="7"/>
      <c r="E519" s="7"/>
      <c r="F519" s="7"/>
      <c r="G519" s="7"/>
    </row>
    <row r="520" ht="15.75" customHeight="1">
      <c r="A520" s="7"/>
      <c r="B520" s="7"/>
      <c r="C520" s="7"/>
      <c r="D520" s="7"/>
      <c r="E520" s="7"/>
      <c r="F520" s="7"/>
      <c r="G520" s="7"/>
    </row>
    <row r="521" ht="15.75" customHeight="1">
      <c r="A521" s="7"/>
      <c r="B521" s="7"/>
      <c r="C521" s="7"/>
      <c r="D521" s="7"/>
      <c r="E521" s="7"/>
      <c r="F521" s="7"/>
      <c r="G521" s="7"/>
    </row>
    <row r="522" ht="15.75" customHeight="1">
      <c r="A522" s="7"/>
      <c r="B522" s="7"/>
      <c r="C522" s="7"/>
      <c r="D522" s="7"/>
      <c r="E522" s="7"/>
      <c r="F522" s="7"/>
      <c r="G522" s="7"/>
    </row>
    <row r="523" ht="15.75" customHeight="1">
      <c r="A523" s="7"/>
      <c r="B523" s="7"/>
      <c r="C523" s="7"/>
      <c r="D523" s="7"/>
      <c r="E523" s="7"/>
      <c r="F523" s="7"/>
      <c r="G523" s="7"/>
    </row>
    <row r="524" ht="15.75" customHeight="1">
      <c r="A524" s="7"/>
      <c r="B524" s="7"/>
      <c r="C524" s="7"/>
      <c r="D524" s="7"/>
      <c r="E524" s="7"/>
      <c r="F524" s="7"/>
      <c r="G524" s="7"/>
    </row>
    <row r="525" ht="15.75" customHeight="1">
      <c r="A525" s="7"/>
      <c r="B525" s="7"/>
      <c r="C525" s="7"/>
      <c r="D525" s="7"/>
      <c r="E525" s="7"/>
      <c r="F525" s="7"/>
      <c r="G525" s="7"/>
    </row>
    <row r="526" ht="15.75" customHeight="1">
      <c r="A526" s="7"/>
      <c r="B526" s="7"/>
      <c r="C526" s="7"/>
      <c r="D526" s="7"/>
      <c r="E526" s="7"/>
      <c r="F526" s="7"/>
      <c r="G526" s="7"/>
    </row>
    <row r="527" ht="15.75" customHeight="1">
      <c r="A527" s="7"/>
      <c r="B527" s="7"/>
      <c r="C527" s="7"/>
      <c r="D527" s="7"/>
      <c r="E527" s="7"/>
      <c r="F527" s="7"/>
      <c r="G527" s="7"/>
    </row>
    <row r="528" ht="15.75" customHeight="1">
      <c r="A528" s="7"/>
      <c r="B528" s="7"/>
      <c r="C528" s="7"/>
      <c r="D528" s="7"/>
      <c r="E528" s="7"/>
      <c r="F528" s="7"/>
      <c r="G528" s="7"/>
    </row>
    <row r="529" ht="15.75" customHeight="1">
      <c r="A529" s="7"/>
      <c r="B529" s="7"/>
      <c r="C529" s="7"/>
      <c r="D529" s="7"/>
      <c r="E529" s="7"/>
      <c r="F529" s="7"/>
      <c r="G529" s="7"/>
    </row>
    <row r="530" ht="15.75" customHeight="1">
      <c r="A530" s="7"/>
      <c r="B530" s="7"/>
      <c r="C530" s="7"/>
      <c r="D530" s="7"/>
      <c r="E530" s="7"/>
      <c r="F530" s="7"/>
      <c r="G530" s="7"/>
    </row>
    <row r="531" ht="15.75" customHeight="1">
      <c r="A531" s="7"/>
      <c r="B531" s="7"/>
      <c r="C531" s="7"/>
      <c r="D531" s="7"/>
      <c r="E531" s="7"/>
      <c r="F531" s="7"/>
      <c r="G531" s="7"/>
    </row>
    <row r="532" ht="15.75" customHeight="1">
      <c r="A532" s="7"/>
      <c r="B532" s="7"/>
      <c r="C532" s="7"/>
      <c r="D532" s="7"/>
      <c r="E532" s="7"/>
      <c r="F532" s="7"/>
      <c r="G532" s="7"/>
    </row>
    <row r="533" ht="15.75" customHeight="1">
      <c r="A533" s="7"/>
      <c r="B533" s="7"/>
      <c r="C533" s="7"/>
      <c r="D533" s="7"/>
      <c r="E533" s="7"/>
      <c r="F533" s="7"/>
      <c r="G533" s="7"/>
    </row>
    <row r="534" ht="15.75" customHeight="1">
      <c r="A534" s="7"/>
      <c r="B534" s="7"/>
      <c r="C534" s="7"/>
      <c r="D534" s="7"/>
      <c r="E534" s="7"/>
      <c r="F534" s="7"/>
      <c r="G534" s="7"/>
    </row>
    <row r="535" ht="15.75" customHeight="1">
      <c r="A535" s="7"/>
      <c r="B535" s="7"/>
      <c r="C535" s="7"/>
      <c r="D535" s="7"/>
      <c r="E535" s="7"/>
      <c r="F535" s="7"/>
      <c r="G535" s="7"/>
    </row>
    <row r="536" ht="15.75" customHeight="1">
      <c r="A536" s="7"/>
      <c r="B536" s="7"/>
      <c r="C536" s="7"/>
      <c r="D536" s="7"/>
      <c r="E536" s="7"/>
      <c r="F536" s="7"/>
      <c r="G536" s="7"/>
    </row>
    <row r="537" ht="15.75" customHeight="1">
      <c r="A537" s="7"/>
      <c r="B537" s="7"/>
      <c r="C537" s="7"/>
      <c r="D537" s="7"/>
      <c r="E537" s="7"/>
      <c r="F537" s="7"/>
      <c r="G537" s="7"/>
    </row>
    <row r="538" ht="15.75" customHeight="1">
      <c r="A538" s="7"/>
      <c r="B538" s="7"/>
      <c r="C538" s="7"/>
      <c r="D538" s="7"/>
      <c r="E538" s="7"/>
      <c r="F538" s="7"/>
      <c r="G538" s="7"/>
    </row>
    <row r="539" ht="15.75" customHeight="1">
      <c r="A539" s="7"/>
      <c r="B539" s="7"/>
      <c r="C539" s="7"/>
      <c r="D539" s="7"/>
      <c r="E539" s="7"/>
      <c r="F539" s="7"/>
      <c r="G539" s="7"/>
    </row>
    <row r="540" ht="15.75" customHeight="1">
      <c r="A540" s="7"/>
      <c r="B540" s="7"/>
      <c r="C540" s="7"/>
      <c r="D540" s="7"/>
      <c r="E540" s="7"/>
      <c r="F540" s="7"/>
      <c r="G540" s="7"/>
    </row>
    <row r="541" ht="15.75" customHeight="1">
      <c r="A541" s="7"/>
      <c r="B541" s="7"/>
      <c r="C541" s="7"/>
      <c r="D541" s="7"/>
      <c r="E541" s="7"/>
      <c r="F541" s="7"/>
      <c r="G541" s="7"/>
    </row>
    <row r="542" ht="15.75" customHeight="1">
      <c r="A542" s="7"/>
      <c r="B542" s="7"/>
      <c r="C542" s="7"/>
      <c r="D542" s="7"/>
      <c r="E542" s="7"/>
      <c r="F542" s="7"/>
      <c r="G542" s="7"/>
    </row>
    <row r="543" ht="15.75" customHeight="1">
      <c r="A543" s="7"/>
      <c r="B543" s="7"/>
      <c r="C543" s="7"/>
      <c r="D543" s="7"/>
      <c r="E543" s="7"/>
      <c r="F543" s="7"/>
      <c r="G543" s="7"/>
    </row>
    <row r="544" ht="15.75" customHeight="1">
      <c r="A544" s="7"/>
      <c r="B544" s="7"/>
      <c r="C544" s="7"/>
      <c r="D544" s="7"/>
      <c r="E544" s="7"/>
      <c r="F544" s="7"/>
      <c r="G544" s="7"/>
    </row>
    <row r="545" ht="15.75" customHeight="1">
      <c r="A545" s="7"/>
      <c r="B545" s="7"/>
      <c r="C545" s="7"/>
      <c r="D545" s="7"/>
      <c r="E545" s="7"/>
      <c r="F545" s="7"/>
      <c r="G545" s="7"/>
    </row>
    <row r="546" ht="15.75" customHeight="1">
      <c r="A546" s="7"/>
      <c r="B546" s="7"/>
      <c r="C546" s="7"/>
      <c r="D546" s="7"/>
      <c r="E546" s="7"/>
      <c r="F546" s="7"/>
      <c r="G546" s="7"/>
    </row>
    <row r="547" ht="15.75" customHeight="1">
      <c r="A547" s="7"/>
      <c r="B547" s="7"/>
      <c r="C547" s="7"/>
      <c r="D547" s="7"/>
      <c r="E547" s="7"/>
      <c r="F547" s="7"/>
      <c r="G547" s="7"/>
    </row>
    <row r="548" ht="15.75" customHeight="1">
      <c r="A548" s="7"/>
      <c r="B548" s="7"/>
      <c r="C548" s="7"/>
      <c r="D548" s="7"/>
      <c r="E548" s="7"/>
      <c r="F548" s="7"/>
      <c r="G548" s="7"/>
    </row>
    <row r="549" ht="15.75" customHeight="1">
      <c r="A549" s="7"/>
      <c r="B549" s="7"/>
      <c r="C549" s="7"/>
      <c r="D549" s="7"/>
      <c r="E549" s="7"/>
      <c r="F549" s="7"/>
      <c r="G549" s="7"/>
    </row>
    <row r="550" ht="15.75" customHeight="1">
      <c r="A550" s="7"/>
      <c r="B550" s="7"/>
      <c r="C550" s="7"/>
      <c r="D550" s="7"/>
      <c r="E550" s="7"/>
      <c r="F550" s="7"/>
      <c r="G550" s="7"/>
    </row>
    <row r="551" ht="15.75" customHeight="1">
      <c r="A551" s="7"/>
      <c r="B551" s="7"/>
      <c r="C551" s="7"/>
      <c r="D551" s="7"/>
      <c r="E551" s="7"/>
      <c r="F551" s="7"/>
      <c r="G551" s="7"/>
    </row>
    <row r="552" ht="15.75" customHeight="1">
      <c r="A552" s="7"/>
      <c r="B552" s="7"/>
      <c r="C552" s="7"/>
      <c r="D552" s="7"/>
      <c r="E552" s="7"/>
      <c r="F552" s="7"/>
      <c r="G552" s="7"/>
    </row>
    <row r="553" ht="15.75" customHeight="1">
      <c r="A553" s="7"/>
      <c r="B553" s="7"/>
      <c r="C553" s="7"/>
      <c r="D553" s="7"/>
      <c r="E553" s="7"/>
      <c r="F553" s="7"/>
      <c r="G553" s="7"/>
    </row>
    <row r="554" ht="15.75" customHeight="1">
      <c r="A554" s="7"/>
      <c r="B554" s="7"/>
      <c r="C554" s="7"/>
      <c r="D554" s="7"/>
      <c r="E554" s="7"/>
      <c r="F554" s="7"/>
      <c r="G554" s="7"/>
    </row>
    <row r="555" ht="15.75" customHeight="1">
      <c r="A555" s="7"/>
      <c r="B555" s="7"/>
      <c r="C555" s="7"/>
      <c r="D555" s="7"/>
      <c r="E555" s="7"/>
      <c r="F555" s="7"/>
      <c r="G555" s="7"/>
    </row>
    <row r="556" ht="15.75" customHeight="1">
      <c r="A556" s="7"/>
      <c r="B556" s="7"/>
      <c r="C556" s="7"/>
      <c r="D556" s="7"/>
      <c r="E556" s="7"/>
      <c r="F556" s="7"/>
      <c r="G556" s="7"/>
    </row>
    <row r="557" ht="15.75" customHeight="1">
      <c r="A557" s="7"/>
      <c r="B557" s="7"/>
      <c r="C557" s="7"/>
      <c r="D557" s="7"/>
      <c r="E557" s="7"/>
      <c r="F557" s="7"/>
      <c r="G557" s="7"/>
    </row>
    <row r="558" ht="15.75" customHeight="1">
      <c r="A558" s="7"/>
      <c r="B558" s="7"/>
      <c r="C558" s="7"/>
      <c r="D558" s="7"/>
      <c r="E558" s="7"/>
      <c r="F558" s="7"/>
      <c r="G558" s="7"/>
    </row>
    <row r="559" ht="15.75" customHeight="1">
      <c r="A559" s="7"/>
      <c r="B559" s="7"/>
      <c r="C559" s="7"/>
      <c r="D559" s="7"/>
      <c r="E559" s="7"/>
      <c r="F559" s="7"/>
      <c r="G559" s="7"/>
    </row>
    <row r="560" ht="15.75" customHeight="1">
      <c r="A560" s="7"/>
      <c r="B560" s="7"/>
      <c r="C560" s="7"/>
      <c r="D560" s="7"/>
      <c r="E560" s="7"/>
      <c r="F560" s="7"/>
      <c r="G560" s="7"/>
    </row>
    <row r="561" ht="15.75" customHeight="1">
      <c r="A561" s="7"/>
      <c r="B561" s="7"/>
      <c r="C561" s="7"/>
      <c r="D561" s="7"/>
      <c r="E561" s="7"/>
      <c r="F561" s="7"/>
      <c r="G561" s="7"/>
    </row>
    <row r="562" ht="15.75" customHeight="1">
      <c r="A562" s="7"/>
      <c r="B562" s="7"/>
      <c r="C562" s="7"/>
      <c r="D562" s="7"/>
      <c r="E562" s="7"/>
      <c r="F562" s="7"/>
      <c r="G562" s="7"/>
    </row>
    <row r="563" ht="15.75" customHeight="1">
      <c r="A563" s="7"/>
      <c r="B563" s="7"/>
      <c r="C563" s="7"/>
      <c r="D563" s="7"/>
      <c r="E563" s="7"/>
      <c r="F563" s="7"/>
      <c r="G563" s="7"/>
    </row>
    <row r="564" ht="15.75" customHeight="1">
      <c r="A564" s="7"/>
      <c r="B564" s="7"/>
      <c r="C564" s="7"/>
      <c r="D564" s="7"/>
      <c r="E564" s="7"/>
      <c r="F564" s="7"/>
      <c r="G564" s="7"/>
    </row>
    <row r="565" ht="15.75" customHeight="1">
      <c r="A565" s="7"/>
      <c r="B565" s="7"/>
      <c r="C565" s="7"/>
      <c r="D565" s="7"/>
      <c r="E565" s="7"/>
      <c r="F565" s="7"/>
      <c r="G565" s="7"/>
    </row>
    <row r="566" ht="15.75" customHeight="1">
      <c r="A566" s="7"/>
      <c r="B566" s="7"/>
      <c r="C566" s="7"/>
      <c r="D566" s="7"/>
      <c r="E566" s="7"/>
      <c r="F566" s="7"/>
      <c r="G566" s="7"/>
    </row>
    <row r="567" ht="15.75" customHeight="1">
      <c r="A567" s="7"/>
      <c r="B567" s="7"/>
      <c r="C567" s="7"/>
      <c r="D567" s="7"/>
      <c r="E567" s="7"/>
      <c r="F567" s="7"/>
      <c r="G567" s="7"/>
    </row>
    <row r="568" ht="15.75" customHeight="1">
      <c r="A568" s="7"/>
      <c r="B568" s="7"/>
      <c r="C568" s="7"/>
      <c r="D568" s="7"/>
      <c r="E568" s="7"/>
      <c r="F568" s="7"/>
      <c r="G568" s="7"/>
    </row>
    <row r="569" ht="15.75" customHeight="1">
      <c r="A569" s="7"/>
      <c r="B569" s="7"/>
      <c r="C569" s="7"/>
      <c r="D569" s="7"/>
      <c r="E569" s="7"/>
      <c r="F569" s="7"/>
      <c r="G569" s="7"/>
    </row>
    <row r="570" ht="15.75" customHeight="1">
      <c r="A570" s="7"/>
      <c r="B570" s="7"/>
      <c r="C570" s="7"/>
      <c r="D570" s="7"/>
      <c r="E570" s="7"/>
      <c r="F570" s="7"/>
      <c r="G570" s="7"/>
    </row>
    <row r="571" ht="15.75" customHeight="1">
      <c r="A571" s="7"/>
      <c r="B571" s="7"/>
      <c r="C571" s="7"/>
      <c r="D571" s="7"/>
      <c r="E571" s="7"/>
      <c r="F571" s="7"/>
      <c r="G571" s="7"/>
    </row>
    <row r="572" ht="15.75" customHeight="1">
      <c r="A572" s="7"/>
      <c r="B572" s="7"/>
      <c r="C572" s="7"/>
      <c r="D572" s="7"/>
      <c r="E572" s="7"/>
      <c r="F572" s="7"/>
      <c r="G572" s="7"/>
    </row>
    <row r="573" ht="15.75" customHeight="1">
      <c r="A573" s="7"/>
      <c r="B573" s="7"/>
      <c r="C573" s="7"/>
      <c r="D573" s="7"/>
      <c r="E573" s="7"/>
      <c r="F573" s="7"/>
      <c r="G573" s="7"/>
    </row>
    <row r="574" ht="15.75" customHeight="1">
      <c r="A574" s="7"/>
      <c r="B574" s="7"/>
      <c r="C574" s="7"/>
      <c r="D574" s="7"/>
      <c r="E574" s="7"/>
      <c r="F574" s="7"/>
      <c r="G574" s="7"/>
    </row>
    <row r="575" ht="15.75" customHeight="1">
      <c r="A575" s="7"/>
      <c r="B575" s="7"/>
      <c r="C575" s="7"/>
      <c r="D575" s="7"/>
      <c r="E575" s="7"/>
      <c r="F575" s="7"/>
      <c r="G575" s="7"/>
    </row>
    <row r="576" ht="15.75" customHeight="1">
      <c r="A576" s="7"/>
      <c r="B576" s="7"/>
      <c r="C576" s="7"/>
      <c r="D576" s="7"/>
      <c r="E576" s="7"/>
      <c r="F576" s="7"/>
      <c r="G576" s="7"/>
    </row>
    <row r="577" ht="15.75" customHeight="1">
      <c r="A577" s="7"/>
      <c r="B577" s="7"/>
      <c r="C577" s="7"/>
      <c r="D577" s="7"/>
      <c r="E577" s="7"/>
      <c r="F577" s="7"/>
      <c r="G577" s="7"/>
    </row>
    <row r="578" ht="15.75" customHeight="1">
      <c r="A578" s="7"/>
      <c r="B578" s="7"/>
      <c r="C578" s="7"/>
      <c r="D578" s="7"/>
      <c r="E578" s="7"/>
      <c r="F578" s="7"/>
      <c r="G578" s="7"/>
    </row>
    <row r="579" ht="15.75" customHeight="1">
      <c r="A579" s="7"/>
      <c r="B579" s="7"/>
      <c r="C579" s="7"/>
      <c r="D579" s="7"/>
      <c r="E579" s="7"/>
      <c r="F579" s="7"/>
      <c r="G579" s="7"/>
    </row>
    <row r="580" ht="15.75" customHeight="1">
      <c r="A580" s="7"/>
      <c r="B580" s="7"/>
      <c r="C580" s="7"/>
      <c r="D580" s="7"/>
      <c r="E580" s="7"/>
      <c r="F580" s="7"/>
      <c r="G580" s="7"/>
    </row>
    <row r="581" ht="15.75" customHeight="1">
      <c r="A581" s="7"/>
      <c r="B581" s="7"/>
      <c r="C581" s="7"/>
      <c r="D581" s="7"/>
      <c r="E581" s="7"/>
      <c r="F581" s="7"/>
      <c r="G581" s="7"/>
    </row>
    <row r="582" ht="15.75" customHeight="1">
      <c r="A582" s="7"/>
      <c r="B582" s="7"/>
      <c r="C582" s="7"/>
      <c r="D582" s="7"/>
      <c r="E582" s="7"/>
      <c r="F582" s="7"/>
      <c r="G582" s="7"/>
    </row>
    <row r="583" ht="15.75" customHeight="1">
      <c r="A583" s="7"/>
      <c r="B583" s="7"/>
      <c r="C583" s="7"/>
      <c r="D583" s="7"/>
      <c r="E583" s="7"/>
      <c r="F583" s="7"/>
      <c r="G583" s="7"/>
    </row>
    <row r="584" ht="15.75" customHeight="1">
      <c r="A584" s="7"/>
      <c r="B584" s="7"/>
      <c r="C584" s="7"/>
      <c r="D584" s="7"/>
      <c r="E584" s="7"/>
      <c r="F584" s="7"/>
      <c r="G584" s="7"/>
    </row>
    <row r="585" ht="15.75" customHeight="1">
      <c r="A585" s="7"/>
      <c r="B585" s="7"/>
      <c r="C585" s="7"/>
      <c r="D585" s="7"/>
      <c r="E585" s="7"/>
      <c r="F585" s="7"/>
      <c r="G585" s="7"/>
    </row>
    <row r="586" ht="15.75" customHeight="1">
      <c r="A586" s="7"/>
      <c r="B586" s="7"/>
      <c r="C586" s="7"/>
      <c r="D586" s="7"/>
      <c r="E586" s="7"/>
      <c r="F586" s="7"/>
      <c r="G586" s="7"/>
    </row>
    <row r="587" ht="15.75" customHeight="1">
      <c r="A587" s="7"/>
      <c r="B587" s="7"/>
      <c r="C587" s="7"/>
      <c r="D587" s="7"/>
      <c r="E587" s="7"/>
      <c r="F587" s="7"/>
      <c r="G587" s="7"/>
    </row>
    <row r="588" ht="15.75" customHeight="1">
      <c r="A588" s="7"/>
      <c r="B588" s="7"/>
      <c r="C588" s="7"/>
      <c r="D588" s="7"/>
      <c r="E588" s="7"/>
      <c r="F588" s="7"/>
      <c r="G588" s="7"/>
    </row>
    <row r="589" ht="15.75" customHeight="1">
      <c r="A589" s="7"/>
      <c r="B589" s="7"/>
      <c r="C589" s="7"/>
      <c r="D589" s="7"/>
      <c r="E589" s="7"/>
      <c r="F589" s="7"/>
      <c r="G589" s="7"/>
    </row>
    <row r="590" ht="15.75" customHeight="1">
      <c r="A590" s="7"/>
      <c r="B590" s="7"/>
      <c r="C590" s="7"/>
      <c r="D590" s="7"/>
      <c r="E590" s="7"/>
      <c r="F590" s="7"/>
      <c r="G590" s="7"/>
    </row>
    <row r="591" ht="15.75" customHeight="1">
      <c r="A591" s="7"/>
      <c r="B591" s="7"/>
      <c r="C591" s="7"/>
      <c r="D591" s="7"/>
      <c r="E591" s="7"/>
      <c r="F591" s="7"/>
      <c r="G591" s="7"/>
    </row>
    <row r="592" ht="15.75" customHeight="1">
      <c r="A592" s="7"/>
      <c r="B592" s="7"/>
      <c r="C592" s="7"/>
      <c r="D592" s="7"/>
      <c r="E592" s="7"/>
      <c r="F592" s="7"/>
      <c r="G592" s="7"/>
    </row>
    <row r="593" ht="15.75" customHeight="1">
      <c r="A593" s="7"/>
      <c r="B593" s="7"/>
      <c r="C593" s="7"/>
      <c r="D593" s="7"/>
      <c r="E593" s="7"/>
      <c r="F593" s="7"/>
      <c r="G593" s="7"/>
    </row>
    <row r="594" ht="15.75" customHeight="1">
      <c r="A594" s="7"/>
      <c r="B594" s="7"/>
      <c r="C594" s="7"/>
      <c r="D594" s="7"/>
      <c r="E594" s="7"/>
      <c r="F594" s="7"/>
      <c r="G594" s="7"/>
    </row>
    <row r="595" ht="15.75" customHeight="1">
      <c r="A595" s="7"/>
      <c r="B595" s="7"/>
      <c r="C595" s="7"/>
      <c r="D595" s="7"/>
      <c r="E595" s="7"/>
      <c r="F595" s="7"/>
      <c r="G595" s="7"/>
    </row>
    <row r="596" ht="15.75" customHeight="1">
      <c r="A596" s="7"/>
      <c r="B596" s="7"/>
      <c r="C596" s="7"/>
      <c r="D596" s="7"/>
      <c r="E596" s="7"/>
      <c r="F596" s="7"/>
      <c r="G596" s="7"/>
    </row>
    <row r="597" ht="15.75" customHeight="1">
      <c r="A597" s="7"/>
      <c r="B597" s="7"/>
      <c r="C597" s="7"/>
      <c r="D597" s="7"/>
      <c r="E597" s="7"/>
      <c r="F597" s="7"/>
      <c r="G597" s="7"/>
    </row>
    <row r="598" ht="15.75" customHeight="1">
      <c r="A598" s="7"/>
      <c r="B598" s="7"/>
      <c r="C598" s="7"/>
      <c r="D598" s="7"/>
      <c r="E598" s="7"/>
      <c r="F598" s="7"/>
      <c r="G598" s="7"/>
    </row>
    <row r="599" ht="15.75" customHeight="1">
      <c r="A599" s="7"/>
      <c r="B599" s="7"/>
      <c r="C599" s="7"/>
      <c r="D599" s="7"/>
      <c r="E599" s="7"/>
      <c r="F599" s="7"/>
      <c r="G599" s="7"/>
    </row>
    <row r="600" ht="15.75" customHeight="1">
      <c r="A600" s="7"/>
      <c r="B600" s="7"/>
      <c r="C600" s="7"/>
      <c r="D600" s="7"/>
      <c r="E600" s="7"/>
      <c r="F600" s="7"/>
      <c r="G600" s="7"/>
    </row>
    <row r="601" ht="15.75" customHeight="1">
      <c r="A601" s="7"/>
      <c r="B601" s="7"/>
      <c r="C601" s="7"/>
      <c r="D601" s="7"/>
      <c r="E601" s="7"/>
      <c r="F601" s="7"/>
      <c r="G601" s="7"/>
    </row>
    <row r="602" ht="15.75" customHeight="1">
      <c r="A602" s="7"/>
      <c r="B602" s="7"/>
      <c r="C602" s="7"/>
      <c r="D602" s="7"/>
      <c r="E602" s="7"/>
      <c r="F602" s="7"/>
      <c r="G602" s="7"/>
    </row>
    <row r="603" ht="15.75" customHeight="1">
      <c r="A603" s="7"/>
      <c r="B603" s="7"/>
      <c r="C603" s="7"/>
      <c r="D603" s="7"/>
      <c r="E603" s="7"/>
      <c r="F603" s="7"/>
      <c r="G603" s="7"/>
    </row>
    <row r="604" ht="15.75" customHeight="1">
      <c r="A604" s="7"/>
      <c r="B604" s="7"/>
      <c r="C604" s="7"/>
      <c r="D604" s="7"/>
      <c r="E604" s="7"/>
      <c r="F604" s="7"/>
      <c r="G604" s="7"/>
    </row>
    <row r="605" ht="15.75" customHeight="1">
      <c r="A605" s="7"/>
      <c r="B605" s="7"/>
      <c r="C605" s="7"/>
      <c r="D605" s="7"/>
      <c r="E605" s="7"/>
      <c r="F605" s="7"/>
      <c r="G605" s="7"/>
    </row>
    <row r="606" ht="15.75" customHeight="1">
      <c r="A606" s="7"/>
      <c r="B606" s="7"/>
      <c r="C606" s="7"/>
      <c r="D606" s="7"/>
      <c r="E606" s="7"/>
      <c r="F606" s="7"/>
      <c r="G606" s="7"/>
    </row>
    <row r="607" ht="15.75" customHeight="1">
      <c r="A607" s="7"/>
      <c r="B607" s="7"/>
      <c r="C607" s="7"/>
      <c r="D607" s="7"/>
      <c r="E607" s="7"/>
      <c r="F607" s="7"/>
      <c r="G607" s="7"/>
    </row>
    <row r="608" ht="15.75" customHeight="1">
      <c r="A608" s="7"/>
      <c r="B608" s="7"/>
      <c r="C608" s="7"/>
      <c r="D608" s="7"/>
      <c r="E608" s="7"/>
      <c r="F608" s="7"/>
      <c r="G608" s="7"/>
    </row>
    <row r="609" ht="15.75" customHeight="1">
      <c r="A609" s="7"/>
      <c r="B609" s="7"/>
      <c r="C609" s="7"/>
      <c r="D609" s="7"/>
      <c r="E609" s="7"/>
      <c r="F609" s="7"/>
      <c r="G609" s="7"/>
    </row>
    <row r="610" ht="15.75" customHeight="1">
      <c r="A610" s="7"/>
      <c r="B610" s="7"/>
      <c r="C610" s="7"/>
      <c r="D610" s="7"/>
      <c r="E610" s="7"/>
      <c r="F610" s="7"/>
      <c r="G610" s="7"/>
    </row>
    <row r="611" ht="15.75" customHeight="1">
      <c r="A611" s="7"/>
      <c r="B611" s="7"/>
      <c r="C611" s="7"/>
      <c r="D611" s="7"/>
      <c r="E611" s="7"/>
      <c r="F611" s="7"/>
      <c r="G611" s="7"/>
    </row>
    <row r="612" ht="15.75" customHeight="1">
      <c r="A612" s="7"/>
      <c r="B612" s="7"/>
      <c r="C612" s="7"/>
      <c r="D612" s="7"/>
      <c r="E612" s="7"/>
      <c r="F612" s="7"/>
      <c r="G612" s="7"/>
    </row>
    <row r="613" ht="15.75" customHeight="1">
      <c r="A613" s="7"/>
      <c r="B613" s="7"/>
      <c r="C613" s="7"/>
      <c r="D613" s="7"/>
      <c r="E613" s="7"/>
      <c r="F613" s="7"/>
      <c r="G613" s="7"/>
    </row>
    <row r="614" ht="15.75" customHeight="1">
      <c r="A614" s="7"/>
      <c r="B614" s="7"/>
      <c r="C614" s="7"/>
      <c r="D614" s="7"/>
      <c r="E614" s="7"/>
      <c r="F614" s="7"/>
      <c r="G614" s="7"/>
    </row>
    <row r="615" ht="15.75" customHeight="1">
      <c r="A615" s="7"/>
      <c r="B615" s="7"/>
      <c r="C615" s="7"/>
      <c r="D615" s="7"/>
      <c r="E615" s="7"/>
      <c r="F615" s="7"/>
      <c r="G615" s="7"/>
    </row>
    <row r="616" ht="15.75" customHeight="1">
      <c r="A616" s="7"/>
      <c r="B616" s="7"/>
      <c r="C616" s="7"/>
      <c r="D616" s="7"/>
      <c r="E616" s="7"/>
      <c r="F616" s="7"/>
      <c r="G616" s="7"/>
    </row>
    <row r="617" ht="15.75" customHeight="1">
      <c r="A617" s="7"/>
      <c r="B617" s="7"/>
      <c r="C617" s="7"/>
      <c r="D617" s="7"/>
      <c r="E617" s="7"/>
      <c r="F617" s="7"/>
      <c r="G617" s="7"/>
    </row>
    <row r="618" ht="15.75" customHeight="1">
      <c r="A618" s="7"/>
      <c r="B618" s="7"/>
      <c r="C618" s="7"/>
      <c r="D618" s="7"/>
      <c r="E618" s="7"/>
      <c r="F618" s="7"/>
      <c r="G618" s="7"/>
    </row>
    <row r="619" ht="15.75" customHeight="1">
      <c r="A619" s="7"/>
      <c r="B619" s="7"/>
      <c r="C619" s="7"/>
      <c r="D619" s="7"/>
      <c r="E619" s="7"/>
      <c r="F619" s="7"/>
      <c r="G619" s="7"/>
    </row>
    <row r="620" ht="15.75" customHeight="1">
      <c r="A620" s="7"/>
      <c r="B620" s="7"/>
      <c r="C620" s="7"/>
      <c r="D620" s="7"/>
      <c r="E620" s="7"/>
      <c r="F620" s="7"/>
      <c r="G620" s="7"/>
    </row>
    <row r="621" ht="15.75" customHeight="1">
      <c r="A621" s="7"/>
      <c r="B621" s="7"/>
      <c r="C621" s="7"/>
      <c r="D621" s="7"/>
      <c r="E621" s="7"/>
      <c r="F621" s="7"/>
      <c r="G621" s="7"/>
    </row>
    <row r="622" ht="15.75" customHeight="1">
      <c r="A622" s="7"/>
      <c r="B622" s="7"/>
      <c r="C622" s="7"/>
      <c r="D622" s="7"/>
      <c r="E622" s="7"/>
      <c r="F622" s="7"/>
      <c r="G622" s="7"/>
    </row>
    <row r="623" ht="15.75" customHeight="1">
      <c r="A623" s="7"/>
      <c r="B623" s="7"/>
      <c r="C623" s="7"/>
      <c r="D623" s="7"/>
      <c r="E623" s="7"/>
      <c r="F623" s="7"/>
      <c r="G623" s="7"/>
    </row>
    <row r="624" ht="15.75" customHeight="1">
      <c r="A624" s="7"/>
      <c r="B624" s="7"/>
      <c r="C624" s="7"/>
      <c r="D624" s="7"/>
      <c r="E624" s="7"/>
      <c r="F624" s="7"/>
      <c r="G624" s="7"/>
    </row>
    <row r="625" ht="15.75" customHeight="1">
      <c r="A625" s="7"/>
      <c r="B625" s="7"/>
      <c r="C625" s="7"/>
      <c r="D625" s="7"/>
      <c r="E625" s="7"/>
      <c r="F625" s="7"/>
      <c r="G625" s="7"/>
    </row>
    <row r="626" ht="15.75" customHeight="1">
      <c r="A626" s="7"/>
      <c r="B626" s="7"/>
      <c r="C626" s="7"/>
      <c r="D626" s="7"/>
      <c r="E626" s="7"/>
      <c r="F626" s="7"/>
      <c r="G626" s="7"/>
    </row>
    <row r="627" ht="15.75" customHeight="1">
      <c r="A627" s="7"/>
      <c r="B627" s="7"/>
      <c r="C627" s="7"/>
      <c r="D627" s="7"/>
      <c r="E627" s="7"/>
      <c r="F627" s="7"/>
      <c r="G627" s="7"/>
    </row>
    <row r="628" ht="15.75" customHeight="1">
      <c r="A628" s="7"/>
      <c r="B628" s="7"/>
      <c r="C628" s="7"/>
      <c r="D628" s="7"/>
      <c r="E628" s="7"/>
      <c r="F628" s="7"/>
      <c r="G628" s="7"/>
    </row>
    <row r="629" ht="15.75" customHeight="1">
      <c r="A629" s="7"/>
      <c r="B629" s="7"/>
      <c r="C629" s="7"/>
      <c r="D629" s="7"/>
      <c r="E629" s="7"/>
      <c r="F629" s="7"/>
      <c r="G629" s="7"/>
    </row>
    <row r="630" ht="15.75" customHeight="1">
      <c r="A630" s="7"/>
      <c r="B630" s="7"/>
      <c r="C630" s="7"/>
      <c r="D630" s="7"/>
      <c r="E630" s="7"/>
      <c r="F630" s="7"/>
      <c r="G630" s="7"/>
    </row>
    <row r="631" ht="15.75" customHeight="1">
      <c r="A631" s="7"/>
      <c r="B631" s="7"/>
      <c r="C631" s="7"/>
      <c r="D631" s="7"/>
      <c r="E631" s="7"/>
      <c r="F631" s="7"/>
      <c r="G631" s="7"/>
    </row>
    <row r="632" ht="15.75" customHeight="1">
      <c r="A632" s="7"/>
      <c r="B632" s="7"/>
      <c r="C632" s="7"/>
      <c r="D632" s="7"/>
      <c r="E632" s="7"/>
      <c r="F632" s="7"/>
      <c r="G632" s="7"/>
    </row>
    <row r="633" ht="15.75" customHeight="1">
      <c r="A633" s="7"/>
      <c r="B633" s="7"/>
      <c r="C633" s="7"/>
      <c r="D633" s="7"/>
      <c r="E633" s="7"/>
      <c r="F633" s="7"/>
      <c r="G633" s="7"/>
    </row>
    <row r="634" ht="15.75" customHeight="1">
      <c r="A634" s="7"/>
      <c r="B634" s="7"/>
      <c r="C634" s="7"/>
      <c r="D634" s="7"/>
      <c r="E634" s="7"/>
      <c r="F634" s="7"/>
      <c r="G634" s="7"/>
    </row>
    <row r="635" ht="15.75" customHeight="1">
      <c r="A635" s="7"/>
      <c r="B635" s="7"/>
      <c r="C635" s="7"/>
      <c r="D635" s="7"/>
      <c r="E635" s="7"/>
      <c r="F635" s="7"/>
      <c r="G635" s="7"/>
    </row>
    <row r="636" ht="15.75" customHeight="1">
      <c r="A636" s="7"/>
      <c r="B636" s="7"/>
      <c r="C636" s="7"/>
      <c r="D636" s="7"/>
      <c r="E636" s="7"/>
      <c r="F636" s="7"/>
      <c r="G636" s="7"/>
    </row>
    <row r="637" ht="15.75" customHeight="1">
      <c r="A637" s="7"/>
      <c r="B637" s="7"/>
      <c r="C637" s="7"/>
      <c r="D637" s="7"/>
      <c r="E637" s="7"/>
      <c r="F637" s="7"/>
      <c r="G637" s="7"/>
    </row>
    <row r="638" ht="15.75" customHeight="1">
      <c r="A638" s="7"/>
      <c r="B638" s="7"/>
      <c r="C638" s="7"/>
      <c r="D638" s="7"/>
      <c r="E638" s="7"/>
      <c r="F638" s="7"/>
      <c r="G638" s="7"/>
    </row>
    <row r="639" ht="15.75" customHeight="1">
      <c r="A639" s="7"/>
      <c r="B639" s="7"/>
      <c r="C639" s="7"/>
      <c r="D639" s="7"/>
      <c r="E639" s="7"/>
      <c r="F639" s="7"/>
      <c r="G639" s="7"/>
    </row>
    <row r="640" ht="15.75" customHeight="1">
      <c r="A640" s="7"/>
      <c r="B640" s="7"/>
      <c r="C640" s="7"/>
      <c r="D640" s="7"/>
      <c r="E640" s="7"/>
      <c r="F640" s="7"/>
      <c r="G640" s="7"/>
    </row>
    <row r="641" ht="15.75" customHeight="1">
      <c r="A641" s="7"/>
      <c r="B641" s="7"/>
      <c r="C641" s="7"/>
      <c r="D641" s="7"/>
      <c r="E641" s="7"/>
      <c r="F641" s="7"/>
      <c r="G641" s="7"/>
    </row>
    <row r="642" ht="15.75" customHeight="1">
      <c r="A642" s="7"/>
      <c r="B642" s="7"/>
      <c r="C642" s="7"/>
      <c r="D642" s="7"/>
      <c r="E642" s="7"/>
      <c r="F642" s="7"/>
      <c r="G642" s="7"/>
    </row>
    <row r="643" ht="15.75" customHeight="1">
      <c r="A643" s="7"/>
      <c r="B643" s="7"/>
      <c r="C643" s="7"/>
      <c r="D643" s="7"/>
      <c r="E643" s="7"/>
      <c r="F643" s="7"/>
      <c r="G643" s="7"/>
    </row>
    <row r="644" ht="15.75" customHeight="1">
      <c r="A644" s="7"/>
      <c r="B644" s="7"/>
      <c r="C644" s="7"/>
      <c r="D644" s="7"/>
      <c r="E644" s="7"/>
      <c r="F644" s="7"/>
      <c r="G644" s="7"/>
    </row>
    <row r="645" ht="15.75" customHeight="1">
      <c r="A645" s="7"/>
      <c r="B645" s="7"/>
      <c r="C645" s="7"/>
      <c r="D645" s="7"/>
      <c r="E645" s="7"/>
      <c r="F645" s="7"/>
      <c r="G645" s="7"/>
    </row>
    <row r="646" ht="15.75" customHeight="1">
      <c r="A646" s="7"/>
      <c r="B646" s="7"/>
      <c r="C646" s="7"/>
      <c r="D646" s="7"/>
      <c r="E646" s="7"/>
      <c r="F646" s="7"/>
      <c r="G646" s="7"/>
    </row>
    <row r="647" ht="15.75" customHeight="1">
      <c r="A647" s="7"/>
      <c r="B647" s="7"/>
      <c r="C647" s="7"/>
      <c r="D647" s="7"/>
      <c r="E647" s="7"/>
      <c r="F647" s="7"/>
      <c r="G647" s="7"/>
    </row>
    <row r="648" ht="15.75" customHeight="1">
      <c r="A648" s="7"/>
      <c r="B648" s="7"/>
      <c r="C648" s="7"/>
      <c r="D648" s="7"/>
      <c r="E648" s="7"/>
      <c r="F648" s="7"/>
      <c r="G648" s="7"/>
    </row>
    <row r="649" ht="15.75" customHeight="1">
      <c r="A649" s="7"/>
      <c r="B649" s="7"/>
      <c r="C649" s="7"/>
      <c r="D649" s="7"/>
      <c r="E649" s="7"/>
      <c r="F649" s="7"/>
      <c r="G649" s="7"/>
    </row>
    <row r="650" ht="15.75" customHeight="1">
      <c r="A650" s="7"/>
      <c r="B650" s="7"/>
      <c r="C650" s="7"/>
      <c r="D650" s="7"/>
      <c r="E650" s="7"/>
      <c r="F650" s="7"/>
      <c r="G650" s="7"/>
    </row>
    <row r="651" ht="15.75" customHeight="1">
      <c r="A651" s="7"/>
      <c r="B651" s="7"/>
      <c r="C651" s="7"/>
      <c r="D651" s="7"/>
      <c r="E651" s="7"/>
      <c r="F651" s="7"/>
      <c r="G651" s="7"/>
    </row>
    <row r="652" ht="15.75" customHeight="1">
      <c r="A652" s="7"/>
      <c r="B652" s="7"/>
      <c r="C652" s="7"/>
      <c r="D652" s="7"/>
      <c r="E652" s="7"/>
      <c r="F652" s="7"/>
      <c r="G652" s="7"/>
    </row>
    <row r="653" ht="15.75" customHeight="1">
      <c r="A653" s="7"/>
      <c r="B653" s="7"/>
      <c r="C653" s="7"/>
      <c r="D653" s="7"/>
      <c r="E653" s="7"/>
      <c r="F653" s="7"/>
      <c r="G653" s="7"/>
    </row>
    <row r="654" ht="15.75" customHeight="1">
      <c r="A654" s="7"/>
      <c r="B654" s="7"/>
      <c r="C654" s="7"/>
      <c r="D654" s="7"/>
      <c r="E654" s="7"/>
      <c r="F654" s="7"/>
      <c r="G654" s="7"/>
    </row>
    <row r="655" ht="15.75" customHeight="1">
      <c r="A655" s="7"/>
      <c r="B655" s="7"/>
      <c r="C655" s="7"/>
      <c r="D655" s="7"/>
      <c r="E655" s="7"/>
      <c r="F655" s="7"/>
      <c r="G655" s="7"/>
    </row>
    <row r="656" ht="15.75" customHeight="1">
      <c r="A656" s="7"/>
      <c r="B656" s="7"/>
      <c r="C656" s="7"/>
      <c r="D656" s="7"/>
      <c r="E656" s="7"/>
      <c r="F656" s="7"/>
      <c r="G656" s="7"/>
    </row>
    <row r="657" ht="15.75" customHeight="1">
      <c r="A657" s="7"/>
      <c r="B657" s="7"/>
      <c r="C657" s="7"/>
      <c r="D657" s="7"/>
      <c r="E657" s="7"/>
      <c r="F657" s="7"/>
      <c r="G657" s="7"/>
    </row>
    <row r="658" ht="15.75" customHeight="1">
      <c r="A658" s="7"/>
      <c r="B658" s="7"/>
      <c r="C658" s="7"/>
      <c r="D658" s="7"/>
      <c r="E658" s="7"/>
      <c r="F658" s="7"/>
      <c r="G658" s="7"/>
    </row>
    <row r="659" ht="15.75" customHeight="1">
      <c r="A659" s="7"/>
      <c r="B659" s="7"/>
      <c r="C659" s="7"/>
      <c r="D659" s="7"/>
      <c r="E659" s="7"/>
      <c r="F659" s="7"/>
      <c r="G659" s="7"/>
    </row>
    <row r="660" ht="15.75" customHeight="1">
      <c r="A660" s="7"/>
      <c r="B660" s="7"/>
      <c r="C660" s="7"/>
      <c r="D660" s="7"/>
      <c r="E660" s="7"/>
      <c r="F660" s="7"/>
      <c r="G660" s="7"/>
    </row>
    <row r="661" ht="15.75" customHeight="1">
      <c r="A661" s="7"/>
      <c r="B661" s="7"/>
      <c r="C661" s="7"/>
      <c r="D661" s="7"/>
      <c r="E661" s="7"/>
      <c r="F661" s="7"/>
      <c r="G661" s="7"/>
    </row>
    <row r="662" ht="15.75" customHeight="1">
      <c r="A662" s="7"/>
      <c r="B662" s="7"/>
      <c r="C662" s="7"/>
      <c r="D662" s="7"/>
      <c r="E662" s="7"/>
      <c r="F662" s="7"/>
      <c r="G662" s="7"/>
    </row>
    <row r="663" ht="15.75" customHeight="1">
      <c r="A663" s="7"/>
      <c r="B663" s="7"/>
      <c r="C663" s="7"/>
      <c r="D663" s="7"/>
      <c r="E663" s="7"/>
      <c r="F663" s="7"/>
      <c r="G663" s="7"/>
    </row>
    <row r="664" ht="15.75" customHeight="1">
      <c r="A664" s="7"/>
      <c r="B664" s="7"/>
      <c r="C664" s="7"/>
      <c r="D664" s="7"/>
      <c r="E664" s="7"/>
      <c r="F664" s="7"/>
      <c r="G664" s="7"/>
    </row>
    <row r="665" ht="15.75" customHeight="1">
      <c r="A665" s="7"/>
      <c r="B665" s="7"/>
      <c r="C665" s="7"/>
      <c r="D665" s="7"/>
      <c r="E665" s="7"/>
      <c r="F665" s="7"/>
      <c r="G665" s="7"/>
    </row>
    <row r="666" ht="15.75" customHeight="1">
      <c r="A666" s="7"/>
      <c r="B666" s="7"/>
      <c r="C666" s="7"/>
      <c r="D666" s="7"/>
      <c r="E666" s="7"/>
      <c r="F666" s="7"/>
      <c r="G666" s="7"/>
    </row>
    <row r="667" ht="15.75" customHeight="1">
      <c r="A667" s="7"/>
      <c r="B667" s="7"/>
      <c r="C667" s="7"/>
      <c r="D667" s="7"/>
      <c r="E667" s="7"/>
      <c r="F667" s="7"/>
      <c r="G667" s="7"/>
    </row>
    <row r="668" ht="15.75" customHeight="1">
      <c r="A668" s="7"/>
      <c r="B668" s="7"/>
      <c r="C668" s="7"/>
      <c r="D668" s="7"/>
      <c r="E668" s="7"/>
      <c r="F668" s="7"/>
      <c r="G668" s="7"/>
    </row>
    <row r="669" ht="15.75" customHeight="1">
      <c r="A669" s="7"/>
      <c r="B669" s="7"/>
      <c r="C669" s="7"/>
      <c r="D669" s="7"/>
      <c r="E669" s="7"/>
      <c r="F669" s="7"/>
      <c r="G669" s="7"/>
    </row>
    <row r="670" ht="15.75" customHeight="1">
      <c r="A670" s="7"/>
      <c r="B670" s="7"/>
      <c r="C670" s="7"/>
      <c r="D670" s="7"/>
      <c r="E670" s="7"/>
      <c r="F670" s="7"/>
      <c r="G670" s="7"/>
    </row>
    <row r="671" ht="15.75" customHeight="1">
      <c r="A671" s="7"/>
      <c r="B671" s="7"/>
      <c r="C671" s="7"/>
      <c r="D671" s="7"/>
      <c r="E671" s="7"/>
      <c r="F671" s="7"/>
      <c r="G671" s="7"/>
    </row>
    <row r="672" ht="15.75" customHeight="1">
      <c r="A672" s="7"/>
      <c r="B672" s="7"/>
      <c r="C672" s="7"/>
      <c r="D672" s="7"/>
      <c r="E672" s="7"/>
      <c r="F672" s="7"/>
      <c r="G672" s="7"/>
    </row>
    <row r="673" ht="15.75" customHeight="1">
      <c r="A673" s="7"/>
      <c r="B673" s="7"/>
      <c r="C673" s="7"/>
      <c r="D673" s="7"/>
      <c r="E673" s="7"/>
      <c r="F673" s="7"/>
      <c r="G673" s="7"/>
    </row>
    <row r="674" ht="15.75" customHeight="1">
      <c r="A674" s="7"/>
      <c r="B674" s="7"/>
      <c r="C674" s="7"/>
      <c r="D674" s="7"/>
      <c r="E674" s="7"/>
      <c r="F674" s="7"/>
      <c r="G674" s="7"/>
    </row>
    <row r="675" ht="15.75" customHeight="1">
      <c r="A675" s="7"/>
      <c r="B675" s="7"/>
      <c r="C675" s="7"/>
      <c r="D675" s="7"/>
      <c r="E675" s="7"/>
      <c r="F675" s="7"/>
      <c r="G675" s="7"/>
    </row>
    <row r="676" ht="15.75" customHeight="1">
      <c r="A676" s="7"/>
      <c r="B676" s="7"/>
      <c r="C676" s="7"/>
      <c r="D676" s="7"/>
      <c r="E676" s="7"/>
      <c r="F676" s="7"/>
      <c r="G676" s="7"/>
    </row>
    <row r="677" ht="15.75" customHeight="1">
      <c r="A677" s="7"/>
      <c r="B677" s="7"/>
      <c r="C677" s="7"/>
      <c r="D677" s="7"/>
      <c r="E677" s="7"/>
      <c r="F677" s="7"/>
      <c r="G677" s="7"/>
    </row>
    <row r="678" ht="15.75" customHeight="1">
      <c r="A678" s="7"/>
      <c r="B678" s="7"/>
      <c r="C678" s="7"/>
      <c r="D678" s="7"/>
      <c r="E678" s="7"/>
      <c r="F678" s="7"/>
      <c r="G678" s="7"/>
    </row>
    <row r="679" ht="15.75" customHeight="1">
      <c r="A679" s="7"/>
      <c r="B679" s="7"/>
      <c r="C679" s="7"/>
      <c r="D679" s="7"/>
      <c r="E679" s="7"/>
      <c r="F679" s="7"/>
      <c r="G679" s="7"/>
    </row>
    <row r="680" ht="15.75" customHeight="1">
      <c r="A680" s="7"/>
      <c r="B680" s="7"/>
      <c r="C680" s="7"/>
      <c r="D680" s="7"/>
      <c r="E680" s="7"/>
      <c r="F680" s="7"/>
      <c r="G680" s="7"/>
    </row>
    <row r="681" ht="15.75" customHeight="1">
      <c r="A681" s="7"/>
      <c r="B681" s="7"/>
      <c r="C681" s="7"/>
      <c r="D681" s="7"/>
      <c r="E681" s="7"/>
      <c r="F681" s="7"/>
      <c r="G681" s="7"/>
    </row>
    <row r="682" ht="15.75" customHeight="1">
      <c r="A682" s="7"/>
      <c r="B682" s="7"/>
      <c r="C682" s="7"/>
      <c r="D682" s="7"/>
      <c r="E682" s="7"/>
      <c r="F682" s="7"/>
      <c r="G682" s="7"/>
    </row>
    <row r="683" ht="15.75" customHeight="1">
      <c r="A683" s="7"/>
      <c r="B683" s="7"/>
      <c r="C683" s="7"/>
      <c r="D683" s="7"/>
      <c r="E683" s="7"/>
      <c r="F683" s="7"/>
      <c r="G683" s="7"/>
    </row>
    <row r="684" ht="15.75" customHeight="1">
      <c r="A684" s="7"/>
      <c r="B684" s="7"/>
      <c r="C684" s="7"/>
      <c r="D684" s="7"/>
      <c r="E684" s="7"/>
      <c r="F684" s="7"/>
      <c r="G684" s="7"/>
    </row>
    <row r="685" ht="15.75" customHeight="1">
      <c r="A685" s="7"/>
      <c r="B685" s="7"/>
      <c r="C685" s="7"/>
      <c r="D685" s="7"/>
      <c r="E685" s="7"/>
      <c r="F685" s="7"/>
      <c r="G685" s="7"/>
    </row>
    <row r="686" ht="15.75" customHeight="1">
      <c r="A686" s="7"/>
      <c r="B686" s="7"/>
      <c r="C686" s="7"/>
      <c r="D686" s="7"/>
      <c r="E686" s="7"/>
      <c r="F686" s="7"/>
      <c r="G686" s="7"/>
    </row>
    <row r="687" ht="15.75" customHeight="1">
      <c r="A687" s="7"/>
      <c r="B687" s="7"/>
      <c r="C687" s="7"/>
      <c r="D687" s="7"/>
      <c r="E687" s="7"/>
      <c r="F687" s="7"/>
      <c r="G687" s="7"/>
    </row>
    <row r="688" ht="15.75" customHeight="1">
      <c r="A688" s="7"/>
      <c r="B688" s="7"/>
      <c r="C688" s="7"/>
      <c r="D688" s="7"/>
      <c r="E688" s="7"/>
      <c r="F688" s="7"/>
      <c r="G688" s="7"/>
    </row>
    <row r="689" ht="15.75" customHeight="1">
      <c r="A689" s="7"/>
      <c r="B689" s="7"/>
      <c r="C689" s="7"/>
      <c r="D689" s="7"/>
      <c r="E689" s="7"/>
      <c r="F689" s="7"/>
      <c r="G689" s="7"/>
    </row>
    <row r="690" ht="15.75" customHeight="1">
      <c r="A690" s="7"/>
      <c r="B690" s="7"/>
      <c r="C690" s="7"/>
      <c r="D690" s="7"/>
      <c r="E690" s="7"/>
      <c r="F690" s="7"/>
      <c r="G690" s="7"/>
    </row>
    <row r="691" ht="15.75" customHeight="1">
      <c r="A691" s="7"/>
      <c r="B691" s="7"/>
      <c r="C691" s="7"/>
      <c r="D691" s="7"/>
      <c r="E691" s="7"/>
      <c r="F691" s="7"/>
      <c r="G691" s="7"/>
    </row>
    <row r="692" ht="15.75" customHeight="1">
      <c r="A692" s="7"/>
      <c r="B692" s="7"/>
      <c r="C692" s="7"/>
      <c r="D692" s="7"/>
      <c r="E692" s="7"/>
      <c r="F692" s="7"/>
      <c r="G692" s="7"/>
    </row>
    <row r="693" ht="15.75" customHeight="1">
      <c r="A693" s="7"/>
      <c r="B693" s="7"/>
      <c r="C693" s="7"/>
      <c r="D693" s="7"/>
      <c r="E693" s="7"/>
      <c r="F693" s="7"/>
      <c r="G693" s="7"/>
    </row>
    <row r="694" ht="15.75" customHeight="1">
      <c r="A694" s="7"/>
      <c r="B694" s="7"/>
      <c r="C694" s="7"/>
      <c r="D694" s="7"/>
      <c r="E694" s="7"/>
      <c r="F694" s="7"/>
      <c r="G694" s="7"/>
    </row>
    <row r="695" ht="15.75" customHeight="1">
      <c r="A695" s="7"/>
      <c r="B695" s="7"/>
      <c r="C695" s="7"/>
      <c r="D695" s="7"/>
      <c r="E695" s="7"/>
      <c r="F695" s="7"/>
      <c r="G695" s="7"/>
    </row>
    <row r="696" ht="15.75" customHeight="1">
      <c r="A696" s="7"/>
      <c r="B696" s="7"/>
      <c r="C696" s="7"/>
      <c r="D696" s="7"/>
      <c r="E696" s="7"/>
      <c r="F696" s="7"/>
      <c r="G696" s="7"/>
    </row>
    <row r="697" ht="15.75" customHeight="1">
      <c r="A697" s="7"/>
      <c r="B697" s="7"/>
      <c r="C697" s="7"/>
      <c r="D697" s="7"/>
      <c r="E697" s="7"/>
      <c r="F697" s="7"/>
      <c r="G697" s="7"/>
    </row>
    <row r="698" ht="15.75" customHeight="1">
      <c r="A698" s="7"/>
      <c r="B698" s="7"/>
      <c r="C698" s="7"/>
      <c r="D698" s="7"/>
      <c r="E698" s="7"/>
      <c r="F698" s="7"/>
      <c r="G698" s="7"/>
    </row>
    <row r="699" ht="15.75" customHeight="1">
      <c r="A699" s="7"/>
      <c r="B699" s="7"/>
      <c r="C699" s="7"/>
      <c r="D699" s="7"/>
      <c r="E699" s="7"/>
      <c r="F699" s="7"/>
      <c r="G699" s="7"/>
    </row>
    <row r="700" ht="15.75" customHeight="1">
      <c r="A700" s="7"/>
      <c r="B700" s="7"/>
      <c r="C700" s="7"/>
      <c r="D700" s="7"/>
      <c r="E700" s="7"/>
      <c r="F700" s="7"/>
      <c r="G700" s="7"/>
    </row>
    <row r="701" ht="15.75" customHeight="1">
      <c r="A701" s="7"/>
      <c r="B701" s="7"/>
      <c r="C701" s="7"/>
      <c r="D701" s="7"/>
      <c r="E701" s="7"/>
      <c r="F701" s="7"/>
      <c r="G701" s="7"/>
    </row>
    <row r="702" ht="15.75" customHeight="1">
      <c r="A702" s="7"/>
      <c r="B702" s="7"/>
      <c r="C702" s="7"/>
      <c r="D702" s="7"/>
      <c r="E702" s="7"/>
      <c r="F702" s="7"/>
      <c r="G702" s="7"/>
    </row>
    <row r="703" ht="15.75" customHeight="1">
      <c r="A703" s="7"/>
      <c r="B703" s="7"/>
      <c r="C703" s="7"/>
      <c r="D703" s="7"/>
      <c r="E703" s="7"/>
      <c r="F703" s="7"/>
      <c r="G703" s="7"/>
    </row>
    <row r="704" ht="15.75" customHeight="1">
      <c r="A704" s="7"/>
      <c r="B704" s="7"/>
      <c r="C704" s="7"/>
      <c r="D704" s="7"/>
      <c r="E704" s="7"/>
      <c r="F704" s="7"/>
      <c r="G704" s="7"/>
    </row>
    <row r="705" ht="15.75" customHeight="1">
      <c r="A705" s="7"/>
      <c r="B705" s="7"/>
      <c r="C705" s="7"/>
      <c r="D705" s="7"/>
      <c r="E705" s="7"/>
      <c r="F705" s="7"/>
      <c r="G705" s="7"/>
    </row>
    <row r="706" ht="15.75" customHeight="1">
      <c r="A706" s="7"/>
      <c r="B706" s="7"/>
      <c r="C706" s="7"/>
      <c r="D706" s="7"/>
      <c r="E706" s="7"/>
      <c r="F706" s="7"/>
      <c r="G706" s="7"/>
    </row>
    <row r="707" ht="15.75" customHeight="1">
      <c r="A707" s="7"/>
      <c r="B707" s="7"/>
      <c r="C707" s="7"/>
      <c r="D707" s="7"/>
      <c r="E707" s="7"/>
      <c r="F707" s="7"/>
      <c r="G707" s="7"/>
    </row>
    <row r="708" ht="15.75" customHeight="1">
      <c r="A708" s="7"/>
      <c r="B708" s="7"/>
      <c r="C708" s="7"/>
      <c r="D708" s="7"/>
      <c r="E708" s="7"/>
      <c r="F708" s="7"/>
      <c r="G708" s="7"/>
    </row>
    <row r="709" ht="15.75" customHeight="1">
      <c r="A709" s="7"/>
      <c r="B709" s="7"/>
      <c r="C709" s="7"/>
      <c r="D709" s="7"/>
      <c r="E709" s="7"/>
      <c r="F709" s="7"/>
      <c r="G709" s="7"/>
    </row>
    <row r="710" ht="15.75" customHeight="1">
      <c r="A710" s="7"/>
      <c r="B710" s="7"/>
      <c r="C710" s="7"/>
      <c r="D710" s="7"/>
      <c r="E710" s="7"/>
      <c r="F710" s="7"/>
      <c r="G710" s="7"/>
    </row>
    <row r="711" ht="15.75" customHeight="1">
      <c r="A711" s="7"/>
      <c r="B711" s="7"/>
      <c r="C711" s="7"/>
      <c r="D711" s="7"/>
      <c r="E711" s="7"/>
      <c r="F711" s="7"/>
      <c r="G711" s="7"/>
    </row>
    <row r="712" ht="15.75" customHeight="1">
      <c r="A712" s="7"/>
      <c r="B712" s="7"/>
      <c r="C712" s="7"/>
      <c r="D712" s="7"/>
      <c r="E712" s="7"/>
      <c r="F712" s="7"/>
      <c r="G712" s="7"/>
    </row>
    <row r="713" ht="15.75" customHeight="1">
      <c r="A713" s="7"/>
      <c r="B713" s="7"/>
      <c r="C713" s="7"/>
      <c r="D713" s="7"/>
      <c r="E713" s="7"/>
      <c r="F713" s="7"/>
      <c r="G713" s="7"/>
    </row>
    <row r="714" ht="15.75" customHeight="1">
      <c r="A714" s="7"/>
      <c r="B714" s="7"/>
      <c r="C714" s="7"/>
      <c r="D714" s="7"/>
      <c r="E714" s="7"/>
      <c r="F714" s="7"/>
      <c r="G714" s="7"/>
    </row>
    <row r="715" ht="15.75" customHeight="1">
      <c r="A715" s="7"/>
      <c r="B715" s="7"/>
      <c r="C715" s="7"/>
      <c r="D715" s="7"/>
      <c r="E715" s="7"/>
      <c r="F715" s="7"/>
      <c r="G715" s="7"/>
    </row>
    <row r="716" ht="15.75" customHeight="1">
      <c r="A716" s="7"/>
      <c r="B716" s="7"/>
      <c r="C716" s="7"/>
      <c r="D716" s="7"/>
      <c r="E716" s="7"/>
      <c r="F716" s="7"/>
      <c r="G716" s="7"/>
    </row>
    <row r="717" ht="15.75" customHeight="1">
      <c r="A717" s="7"/>
      <c r="B717" s="7"/>
      <c r="C717" s="7"/>
      <c r="D717" s="7"/>
      <c r="E717" s="7"/>
      <c r="F717" s="7"/>
      <c r="G717" s="7"/>
    </row>
    <row r="718" ht="15.75" customHeight="1">
      <c r="A718" s="7"/>
      <c r="B718" s="7"/>
      <c r="C718" s="7"/>
      <c r="D718" s="7"/>
      <c r="E718" s="7"/>
      <c r="F718" s="7"/>
      <c r="G718" s="7"/>
    </row>
    <row r="719" ht="15.75" customHeight="1">
      <c r="A719" s="7"/>
      <c r="B719" s="7"/>
      <c r="C719" s="7"/>
      <c r="D719" s="7"/>
      <c r="E719" s="7"/>
      <c r="F719" s="7"/>
      <c r="G719" s="7"/>
    </row>
    <row r="720" ht="15.75" customHeight="1">
      <c r="A720" s="7"/>
      <c r="B720" s="7"/>
      <c r="C720" s="7"/>
      <c r="D720" s="7"/>
      <c r="E720" s="7"/>
      <c r="F720" s="7"/>
      <c r="G720" s="7"/>
    </row>
    <row r="721" ht="15.75" customHeight="1">
      <c r="A721" s="7"/>
      <c r="B721" s="7"/>
      <c r="C721" s="7"/>
      <c r="D721" s="7"/>
      <c r="E721" s="7"/>
      <c r="F721" s="7"/>
      <c r="G721" s="7"/>
    </row>
    <row r="722" ht="15.75" customHeight="1">
      <c r="A722" s="7"/>
      <c r="B722" s="7"/>
      <c r="C722" s="7"/>
      <c r="D722" s="7"/>
      <c r="E722" s="7"/>
      <c r="F722" s="7"/>
      <c r="G722" s="7"/>
    </row>
    <row r="723" ht="15.75" customHeight="1">
      <c r="A723" s="7"/>
      <c r="B723" s="7"/>
      <c r="C723" s="7"/>
      <c r="D723" s="7"/>
      <c r="E723" s="7"/>
      <c r="F723" s="7"/>
      <c r="G723" s="7"/>
    </row>
    <row r="724" ht="15.75" customHeight="1">
      <c r="A724" s="7"/>
      <c r="B724" s="7"/>
      <c r="C724" s="7"/>
      <c r="D724" s="7"/>
      <c r="E724" s="7"/>
      <c r="F724" s="7"/>
      <c r="G724" s="7"/>
    </row>
    <row r="725" ht="15.75" customHeight="1">
      <c r="A725" s="7"/>
      <c r="B725" s="7"/>
      <c r="C725" s="7"/>
      <c r="D725" s="7"/>
      <c r="E725" s="7"/>
      <c r="F725" s="7"/>
      <c r="G725" s="7"/>
    </row>
    <row r="726" ht="15.75" customHeight="1">
      <c r="A726" s="7"/>
      <c r="B726" s="7"/>
      <c r="C726" s="7"/>
      <c r="D726" s="7"/>
      <c r="E726" s="7"/>
      <c r="F726" s="7"/>
      <c r="G726" s="7"/>
    </row>
    <row r="727" ht="15.75" customHeight="1">
      <c r="A727" s="7"/>
      <c r="B727" s="7"/>
      <c r="C727" s="7"/>
      <c r="D727" s="7"/>
      <c r="E727" s="7"/>
      <c r="F727" s="7"/>
      <c r="G727" s="7"/>
    </row>
    <row r="728" ht="15.75" customHeight="1">
      <c r="A728" s="7"/>
      <c r="B728" s="7"/>
      <c r="C728" s="7"/>
      <c r="D728" s="7"/>
      <c r="E728" s="7"/>
      <c r="F728" s="7"/>
      <c r="G728" s="7"/>
    </row>
    <row r="729" ht="15.75" customHeight="1">
      <c r="A729" s="7"/>
      <c r="B729" s="7"/>
      <c r="C729" s="7"/>
      <c r="D729" s="7"/>
      <c r="E729" s="7"/>
      <c r="F729" s="7"/>
      <c r="G729" s="7"/>
    </row>
    <row r="730" ht="15.75" customHeight="1">
      <c r="A730" s="7"/>
      <c r="B730" s="7"/>
      <c r="C730" s="7"/>
      <c r="D730" s="7"/>
      <c r="E730" s="7"/>
      <c r="F730" s="7"/>
      <c r="G730" s="7"/>
    </row>
    <row r="731" ht="15.75" customHeight="1">
      <c r="A731" s="7"/>
      <c r="B731" s="7"/>
      <c r="C731" s="7"/>
      <c r="D731" s="7"/>
      <c r="E731" s="7"/>
      <c r="F731" s="7"/>
      <c r="G731" s="7"/>
    </row>
    <row r="732" ht="15.75" customHeight="1">
      <c r="A732" s="7"/>
      <c r="B732" s="7"/>
      <c r="C732" s="7"/>
      <c r="D732" s="7"/>
      <c r="E732" s="7"/>
      <c r="F732" s="7"/>
      <c r="G732" s="7"/>
    </row>
    <row r="733" ht="15.75" customHeight="1">
      <c r="A733" s="7"/>
      <c r="B733" s="7"/>
      <c r="C733" s="7"/>
      <c r="D733" s="7"/>
      <c r="E733" s="7"/>
      <c r="F733" s="7"/>
      <c r="G733" s="7"/>
    </row>
    <row r="734" ht="15.75" customHeight="1">
      <c r="A734" s="7"/>
      <c r="B734" s="7"/>
      <c r="C734" s="7"/>
      <c r="D734" s="7"/>
      <c r="E734" s="7"/>
      <c r="F734" s="7"/>
      <c r="G734" s="7"/>
    </row>
    <row r="735" ht="15.75" customHeight="1">
      <c r="A735" s="7"/>
      <c r="B735" s="7"/>
      <c r="C735" s="7"/>
      <c r="D735" s="7"/>
      <c r="E735" s="7"/>
      <c r="F735" s="7"/>
      <c r="G735" s="7"/>
    </row>
    <row r="736" ht="15.75" customHeight="1">
      <c r="A736" s="7"/>
      <c r="B736" s="7"/>
      <c r="C736" s="7"/>
      <c r="D736" s="7"/>
      <c r="E736" s="7"/>
      <c r="F736" s="7"/>
      <c r="G736" s="7"/>
    </row>
    <row r="737" ht="15.75" customHeight="1">
      <c r="A737" s="7"/>
      <c r="B737" s="7"/>
      <c r="C737" s="7"/>
      <c r="D737" s="7"/>
      <c r="E737" s="7"/>
      <c r="F737" s="7"/>
      <c r="G737" s="7"/>
    </row>
    <row r="738" ht="15.75" customHeight="1">
      <c r="A738" s="7"/>
      <c r="B738" s="7"/>
      <c r="C738" s="7"/>
      <c r="D738" s="7"/>
      <c r="E738" s="7"/>
      <c r="F738" s="7"/>
      <c r="G738" s="7"/>
    </row>
    <row r="739" ht="15.75" customHeight="1">
      <c r="A739" s="7"/>
      <c r="B739" s="7"/>
      <c r="C739" s="7"/>
      <c r="D739" s="7"/>
      <c r="E739" s="7"/>
      <c r="F739" s="7"/>
      <c r="G739" s="7"/>
    </row>
    <row r="740" ht="15.75" customHeight="1">
      <c r="A740" s="7"/>
      <c r="B740" s="7"/>
      <c r="C740" s="7"/>
      <c r="D740" s="7"/>
      <c r="E740" s="7"/>
      <c r="F740" s="7"/>
      <c r="G740" s="7"/>
    </row>
    <row r="741" ht="15.75" customHeight="1">
      <c r="A741" s="7"/>
      <c r="B741" s="7"/>
      <c r="C741" s="7"/>
      <c r="D741" s="7"/>
      <c r="E741" s="7"/>
      <c r="F741" s="7"/>
      <c r="G741" s="7"/>
    </row>
    <row r="742" ht="15.75" customHeight="1">
      <c r="A742" s="7"/>
      <c r="B742" s="7"/>
      <c r="C742" s="7"/>
      <c r="D742" s="7"/>
      <c r="E742" s="7"/>
      <c r="F742" s="7"/>
      <c r="G742" s="7"/>
    </row>
    <row r="743" ht="15.75" customHeight="1">
      <c r="A743" s="7"/>
      <c r="B743" s="7"/>
      <c r="C743" s="7"/>
      <c r="D743" s="7"/>
      <c r="E743" s="7"/>
      <c r="F743" s="7"/>
      <c r="G743" s="7"/>
    </row>
    <row r="744" ht="15.75" customHeight="1">
      <c r="A744" s="7"/>
      <c r="B744" s="7"/>
      <c r="C744" s="7"/>
      <c r="D744" s="7"/>
      <c r="E744" s="7"/>
      <c r="F744" s="7"/>
      <c r="G744" s="7"/>
    </row>
    <row r="745" ht="15.75" customHeight="1">
      <c r="A745" s="7"/>
      <c r="B745" s="7"/>
      <c r="C745" s="7"/>
      <c r="D745" s="7"/>
      <c r="E745" s="7"/>
      <c r="F745" s="7"/>
      <c r="G745" s="7"/>
    </row>
    <row r="746" ht="15.75" customHeight="1">
      <c r="A746" s="7"/>
      <c r="B746" s="7"/>
      <c r="C746" s="7"/>
      <c r="D746" s="7"/>
      <c r="E746" s="7"/>
      <c r="F746" s="7"/>
      <c r="G746" s="7"/>
    </row>
    <row r="747" ht="15.75" customHeight="1">
      <c r="A747" s="7"/>
      <c r="B747" s="7"/>
      <c r="C747" s="7"/>
      <c r="D747" s="7"/>
      <c r="E747" s="7"/>
      <c r="F747" s="7"/>
      <c r="G747" s="7"/>
    </row>
    <row r="748" ht="15.75" customHeight="1">
      <c r="A748" s="7"/>
      <c r="B748" s="7"/>
      <c r="C748" s="7"/>
      <c r="D748" s="7"/>
      <c r="E748" s="7"/>
      <c r="F748" s="7"/>
      <c r="G748" s="7"/>
    </row>
    <row r="749" ht="15.75" customHeight="1">
      <c r="A749" s="7"/>
      <c r="B749" s="7"/>
      <c r="C749" s="7"/>
      <c r="D749" s="7"/>
      <c r="E749" s="7"/>
      <c r="F749" s="7"/>
      <c r="G749" s="7"/>
    </row>
    <row r="750" ht="15.75" customHeight="1">
      <c r="A750" s="7"/>
      <c r="B750" s="7"/>
      <c r="C750" s="7"/>
      <c r="D750" s="7"/>
      <c r="E750" s="7"/>
      <c r="F750" s="7"/>
      <c r="G750" s="7"/>
    </row>
    <row r="751" ht="15.75" customHeight="1">
      <c r="A751" s="7"/>
      <c r="B751" s="7"/>
      <c r="C751" s="7"/>
      <c r="D751" s="7"/>
      <c r="E751" s="7"/>
      <c r="F751" s="7"/>
      <c r="G751" s="7"/>
    </row>
    <row r="752" ht="15.75" customHeight="1">
      <c r="A752" s="7"/>
      <c r="B752" s="7"/>
      <c r="C752" s="7"/>
      <c r="D752" s="7"/>
      <c r="E752" s="7"/>
      <c r="F752" s="7"/>
      <c r="G752" s="7"/>
    </row>
    <row r="753" ht="15.75" customHeight="1">
      <c r="A753" s="7"/>
      <c r="B753" s="7"/>
      <c r="C753" s="7"/>
      <c r="D753" s="7"/>
      <c r="E753" s="7"/>
      <c r="F753" s="7"/>
      <c r="G753" s="7"/>
    </row>
    <row r="754" ht="15.75" customHeight="1">
      <c r="A754" s="7"/>
      <c r="B754" s="7"/>
      <c r="C754" s="7"/>
      <c r="D754" s="7"/>
      <c r="E754" s="7"/>
      <c r="F754" s="7"/>
      <c r="G754" s="7"/>
    </row>
    <row r="755" ht="15.75" customHeight="1">
      <c r="A755" s="7"/>
      <c r="B755" s="7"/>
      <c r="C755" s="7"/>
      <c r="D755" s="7"/>
      <c r="E755" s="7"/>
      <c r="F755" s="7"/>
      <c r="G755" s="7"/>
    </row>
    <row r="756" ht="15.75" customHeight="1">
      <c r="A756" s="7"/>
      <c r="B756" s="7"/>
      <c r="C756" s="7"/>
      <c r="D756" s="7"/>
      <c r="E756" s="7"/>
      <c r="F756" s="7"/>
      <c r="G756" s="7"/>
    </row>
    <row r="757" ht="15.75" customHeight="1">
      <c r="A757" s="7"/>
      <c r="B757" s="7"/>
      <c r="C757" s="7"/>
      <c r="D757" s="7"/>
      <c r="E757" s="7"/>
      <c r="F757" s="7"/>
      <c r="G757" s="7"/>
    </row>
    <row r="758" ht="15.75" customHeight="1">
      <c r="A758" s="7"/>
      <c r="B758" s="7"/>
      <c r="C758" s="7"/>
      <c r="D758" s="7"/>
      <c r="E758" s="7"/>
      <c r="F758" s="7"/>
      <c r="G758" s="7"/>
    </row>
    <row r="759" ht="15.75" customHeight="1">
      <c r="A759" s="7"/>
      <c r="B759" s="7"/>
      <c r="C759" s="7"/>
      <c r="D759" s="7"/>
      <c r="E759" s="7"/>
      <c r="F759" s="7"/>
      <c r="G759" s="7"/>
    </row>
    <row r="760" ht="15.75" customHeight="1">
      <c r="A760" s="7"/>
      <c r="B760" s="7"/>
      <c r="C760" s="7"/>
      <c r="D760" s="7"/>
      <c r="E760" s="7"/>
      <c r="F760" s="7"/>
      <c r="G760" s="7"/>
    </row>
    <row r="761" ht="15.75" customHeight="1">
      <c r="A761" s="7"/>
      <c r="B761" s="7"/>
      <c r="C761" s="7"/>
      <c r="D761" s="7"/>
      <c r="E761" s="7"/>
      <c r="F761" s="7"/>
      <c r="G761" s="7"/>
    </row>
    <row r="762" ht="15.75" customHeight="1">
      <c r="A762" s="7"/>
      <c r="B762" s="7"/>
      <c r="C762" s="7"/>
      <c r="D762" s="7"/>
      <c r="E762" s="7"/>
      <c r="F762" s="7"/>
      <c r="G762" s="7"/>
    </row>
    <row r="763" ht="15.75" customHeight="1">
      <c r="A763" s="7"/>
      <c r="B763" s="7"/>
      <c r="C763" s="7"/>
      <c r="D763" s="7"/>
      <c r="E763" s="7"/>
      <c r="F763" s="7"/>
      <c r="G763" s="7"/>
    </row>
    <row r="764" ht="15.75" customHeight="1">
      <c r="A764" s="7"/>
      <c r="B764" s="7"/>
      <c r="C764" s="7"/>
      <c r="D764" s="7"/>
      <c r="E764" s="7"/>
      <c r="F764" s="7"/>
      <c r="G764" s="7"/>
    </row>
    <row r="765" ht="15.75" customHeight="1">
      <c r="A765" s="7"/>
      <c r="B765" s="7"/>
      <c r="C765" s="7"/>
      <c r="D765" s="7"/>
      <c r="E765" s="7"/>
      <c r="F765" s="7"/>
      <c r="G765" s="7"/>
    </row>
    <row r="766" ht="15.75" customHeight="1">
      <c r="A766" s="7"/>
      <c r="B766" s="7"/>
      <c r="C766" s="7"/>
      <c r="D766" s="7"/>
      <c r="E766" s="7"/>
      <c r="F766" s="7"/>
      <c r="G766" s="7"/>
    </row>
    <row r="767" ht="15.75" customHeight="1">
      <c r="A767" s="7"/>
      <c r="B767" s="7"/>
      <c r="C767" s="7"/>
      <c r="D767" s="7"/>
      <c r="E767" s="7"/>
      <c r="F767" s="7"/>
      <c r="G767" s="7"/>
    </row>
    <row r="768" ht="15.75" customHeight="1">
      <c r="A768" s="7"/>
      <c r="B768" s="7"/>
      <c r="C768" s="7"/>
      <c r="D768" s="7"/>
      <c r="E768" s="7"/>
      <c r="F768" s="7"/>
      <c r="G768" s="7"/>
    </row>
    <row r="769" ht="15.75" customHeight="1">
      <c r="A769" s="7"/>
      <c r="B769" s="7"/>
      <c r="C769" s="7"/>
      <c r="D769" s="7"/>
      <c r="E769" s="7"/>
      <c r="F769" s="7"/>
      <c r="G769" s="7"/>
    </row>
    <row r="770" ht="15.75" customHeight="1">
      <c r="A770" s="7"/>
      <c r="B770" s="7"/>
      <c r="C770" s="7"/>
      <c r="D770" s="7"/>
      <c r="E770" s="7"/>
      <c r="F770" s="7"/>
      <c r="G770" s="7"/>
    </row>
    <row r="771" ht="15.75" customHeight="1">
      <c r="A771" s="7"/>
      <c r="B771" s="7"/>
      <c r="C771" s="7"/>
      <c r="D771" s="7"/>
      <c r="E771" s="7"/>
      <c r="F771" s="7"/>
      <c r="G771" s="7"/>
    </row>
    <row r="772" ht="15.75" customHeight="1">
      <c r="A772" s="7"/>
      <c r="B772" s="7"/>
      <c r="C772" s="7"/>
      <c r="D772" s="7"/>
      <c r="E772" s="7"/>
      <c r="F772" s="7"/>
      <c r="G772" s="7"/>
    </row>
    <row r="773" ht="15.75" customHeight="1">
      <c r="A773" s="7"/>
      <c r="B773" s="7"/>
      <c r="C773" s="7"/>
      <c r="D773" s="7"/>
      <c r="E773" s="7"/>
      <c r="F773" s="7"/>
      <c r="G773" s="7"/>
    </row>
    <row r="774" ht="15.75" customHeight="1">
      <c r="A774" s="7"/>
      <c r="B774" s="7"/>
      <c r="C774" s="7"/>
      <c r="D774" s="7"/>
      <c r="E774" s="7"/>
      <c r="F774" s="7"/>
      <c r="G774" s="7"/>
    </row>
    <row r="775" ht="15.75" customHeight="1">
      <c r="A775" s="7"/>
      <c r="B775" s="7"/>
      <c r="C775" s="7"/>
      <c r="D775" s="7"/>
      <c r="E775" s="7"/>
      <c r="F775" s="7"/>
      <c r="G775" s="7"/>
    </row>
    <row r="776" ht="15.75" customHeight="1">
      <c r="A776" s="7"/>
      <c r="B776" s="7"/>
      <c r="C776" s="7"/>
      <c r="D776" s="7"/>
      <c r="E776" s="7"/>
      <c r="F776" s="7"/>
      <c r="G776" s="7"/>
    </row>
    <row r="777" ht="15.75" customHeight="1">
      <c r="A777" s="7"/>
      <c r="B777" s="7"/>
      <c r="C777" s="7"/>
      <c r="D777" s="7"/>
      <c r="E777" s="7"/>
      <c r="F777" s="7"/>
      <c r="G777" s="7"/>
    </row>
    <row r="778" ht="15.75" customHeight="1">
      <c r="A778" s="7"/>
      <c r="B778" s="7"/>
      <c r="C778" s="7"/>
      <c r="D778" s="7"/>
      <c r="E778" s="7"/>
      <c r="F778" s="7"/>
      <c r="G778" s="7"/>
    </row>
    <row r="779" ht="15.75" customHeight="1">
      <c r="A779" s="7"/>
      <c r="B779" s="7"/>
      <c r="C779" s="7"/>
      <c r="D779" s="7"/>
      <c r="E779" s="7"/>
      <c r="F779" s="7"/>
      <c r="G779" s="7"/>
    </row>
    <row r="780" ht="15.75" customHeight="1">
      <c r="A780" s="7"/>
      <c r="B780" s="7"/>
      <c r="C780" s="7"/>
      <c r="D780" s="7"/>
      <c r="E780" s="7"/>
      <c r="F780" s="7"/>
      <c r="G780" s="7"/>
    </row>
    <row r="781" ht="15.75" customHeight="1">
      <c r="A781" s="7"/>
      <c r="B781" s="7"/>
      <c r="C781" s="7"/>
      <c r="D781" s="7"/>
      <c r="E781" s="7"/>
      <c r="F781" s="7"/>
      <c r="G781" s="7"/>
    </row>
    <row r="782" ht="15.75" customHeight="1">
      <c r="A782" s="7"/>
      <c r="B782" s="7"/>
      <c r="C782" s="7"/>
      <c r="D782" s="7"/>
      <c r="E782" s="7"/>
      <c r="F782" s="7"/>
      <c r="G782" s="7"/>
    </row>
    <row r="783" ht="15.75" customHeight="1">
      <c r="A783" s="7"/>
      <c r="B783" s="7"/>
      <c r="C783" s="7"/>
      <c r="D783" s="7"/>
      <c r="E783" s="7"/>
      <c r="F783" s="7"/>
      <c r="G783" s="7"/>
    </row>
    <row r="784" ht="15.75" customHeight="1">
      <c r="A784" s="7"/>
      <c r="B784" s="7"/>
      <c r="C784" s="7"/>
      <c r="D784" s="7"/>
      <c r="E784" s="7"/>
      <c r="F784" s="7"/>
      <c r="G784" s="7"/>
    </row>
    <row r="785" ht="15.75" customHeight="1">
      <c r="A785" s="7"/>
      <c r="B785" s="7"/>
      <c r="C785" s="7"/>
      <c r="D785" s="7"/>
      <c r="E785" s="7"/>
      <c r="F785" s="7"/>
      <c r="G785" s="7"/>
    </row>
    <row r="786" ht="15.75" customHeight="1">
      <c r="A786" s="7"/>
      <c r="B786" s="7"/>
      <c r="C786" s="7"/>
      <c r="D786" s="7"/>
      <c r="E786" s="7"/>
      <c r="F786" s="7"/>
      <c r="G786" s="7"/>
    </row>
    <row r="787" ht="15.75" customHeight="1">
      <c r="A787" s="7"/>
      <c r="B787" s="7"/>
      <c r="C787" s="7"/>
      <c r="D787" s="7"/>
      <c r="E787" s="7"/>
      <c r="F787" s="7"/>
      <c r="G787" s="7"/>
    </row>
    <row r="788" ht="15.75" customHeight="1">
      <c r="A788" s="7"/>
      <c r="B788" s="7"/>
      <c r="C788" s="7"/>
      <c r="D788" s="7"/>
      <c r="E788" s="7"/>
      <c r="F788" s="7"/>
      <c r="G788" s="7"/>
    </row>
    <row r="789" ht="15.75" customHeight="1">
      <c r="A789" s="7"/>
      <c r="B789" s="7"/>
      <c r="C789" s="7"/>
      <c r="D789" s="7"/>
      <c r="E789" s="7"/>
      <c r="F789" s="7"/>
      <c r="G789" s="7"/>
    </row>
    <row r="790" ht="15.75" customHeight="1">
      <c r="A790" s="7"/>
      <c r="B790" s="7"/>
      <c r="C790" s="7"/>
      <c r="D790" s="7"/>
      <c r="E790" s="7"/>
      <c r="F790" s="7"/>
      <c r="G790" s="7"/>
    </row>
    <row r="791" ht="15.75" customHeight="1">
      <c r="A791" s="7"/>
      <c r="B791" s="7"/>
      <c r="C791" s="7"/>
      <c r="D791" s="7"/>
      <c r="E791" s="7"/>
      <c r="F791" s="7"/>
      <c r="G791" s="7"/>
    </row>
    <row r="792" ht="15.75" customHeight="1">
      <c r="A792" s="7"/>
      <c r="B792" s="7"/>
      <c r="C792" s="7"/>
      <c r="D792" s="7"/>
      <c r="E792" s="7"/>
      <c r="F792" s="7"/>
      <c r="G792" s="7"/>
    </row>
    <row r="793" ht="15.75" customHeight="1">
      <c r="A793" s="7"/>
      <c r="B793" s="7"/>
      <c r="C793" s="7"/>
      <c r="D793" s="7"/>
      <c r="E793" s="7"/>
      <c r="F793" s="7"/>
      <c r="G793" s="7"/>
    </row>
    <row r="794" ht="15.75" customHeight="1">
      <c r="A794" s="7"/>
      <c r="B794" s="7"/>
      <c r="C794" s="7"/>
      <c r="D794" s="7"/>
      <c r="E794" s="7"/>
      <c r="F794" s="7"/>
      <c r="G794" s="7"/>
    </row>
    <row r="795" ht="15.75" customHeight="1">
      <c r="A795" s="7"/>
      <c r="B795" s="7"/>
      <c r="C795" s="7"/>
      <c r="D795" s="7"/>
      <c r="E795" s="7"/>
      <c r="F795" s="7"/>
      <c r="G795" s="7"/>
    </row>
    <row r="796" ht="15.75" customHeight="1">
      <c r="A796" s="7"/>
      <c r="B796" s="7"/>
      <c r="C796" s="7"/>
      <c r="D796" s="7"/>
      <c r="E796" s="7"/>
      <c r="F796" s="7"/>
      <c r="G796" s="7"/>
    </row>
    <row r="797" ht="15.75" customHeight="1">
      <c r="A797" s="7"/>
      <c r="B797" s="7"/>
      <c r="C797" s="7"/>
      <c r="D797" s="7"/>
      <c r="E797" s="7"/>
      <c r="F797" s="7"/>
      <c r="G797" s="7"/>
    </row>
    <row r="798" ht="15.75" customHeight="1">
      <c r="A798" s="7"/>
      <c r="B798" s="7"/>
      <c r="C798" s="7"/>
      <c r="D798" s="7"/>
      <c r="E798" s="7"/>
      <c r="F798" s="7"/>
      <c r="G798" s="7"/>
    </row>
    <row r="799" ht="15.75" customHeight="1">
      <c r="A799" s="7"/>
      <c r="B799" s="7"/>
      <c r="C799" s="7"/>
      <c r="D799" s="7"/>
      <c r="E799" s="7"/>
      <c r="F799" s="7"/>
      <c r="G799" s="7"/>
    </row>
    <row r="800" ht="15.75" customHeight="1">
      <c r="A800" s="7"/>
      <c r="B800" s="7"/>
      <c r="C800" s="7"/>
      <c r="D800" s="7"/>
      <c r="E800" s="7"/>
      <c r="F800" s="7"/>
      <c r="G800" s="7"/>
    </row>
    <row r="801" ht="15.75" customHeight="1">
      <c r="A801" s="7"/>
      <c r="B801" s="7"/>
      <c r="C801" s="7"/>
      <c r="D801" s="7"/>
      <c r="E801" s="7"/>
      <c r="F801" s="7"/>
      <c r="G801" s="7"/>
    </row>
    <row r="802" ht="15.75" customHeight="1">
      <c r="A802" s="7"/>
      <c r="B802" s="7"/>
      <c r="C802" s="7"/>
      <c r="D802" s="7"/>
      <c r="E802" s="7"/>
      <c r="F802" s="7"/>
      <c r="G802" s="7"/>
    </row>
    <row r="803" ht="15.75" customHeight="1">
      <c r="A803" s="7"/>
      <c r="B803" s="7"/>
      <c r="C803" s="7"/>
      <c r="D803" s="7"/>
      <c r="E803" s="7"/>
      <c r="F803" s="7"/>
      <c r="G803" s="7"/>
    </row>
    <row r="804" ht="15.75" customHeight="1">
      <c r="A804" s="7"/>
      <c r="B804" s="7"/>
      <c r="C804" s="7"/>
      <c r="D804" s="7"/>
      <c r="E804" s="7"/>
      <c r="F804" s="7"/>
      <c r="G804" s="7"/>
    </row>
    <row r="805" ht="15.75" customHeight="1">
      <c r="A805" s="7"/>
      <c r="B805" s="7"/>
      <c r="C805" s="7"/>
      <c r="D805" s="7"/>
      <c r="E805" s="7"/>
      <c r="F805" s="7"/>
      <c r="G805" s="7"/>
    </row>
    <row r="806" ht="15.75" customHeight="1">
      <c r="A806" s="7"/>
      <c r="B806" s="7"/>
      <c r="C806" s="7"/>
      <c r="D806" s="7"/>
      <c r="E806" s="7"/>
      <c r="F806" s="7"/>
      <c r="G806" s="7"/>
    </row>
    <row r="807" ht="15.75" customHeight="1">
      <c r="A807" s="7"/>
      <c r="B807" s="7"/>
      <c r="C807" s="7"/>
      <c r="D807" s="7"/>
      <c r="E807" s="7"/>
      <c r="F807" s="7"/>
      <c r="G807" s="7"/>
    </row>
    <row r="808" ht="15.75" customHeight="1">
      <c r="A808" s="7"/>
      <c r="B808" s="7"/>
      <c r="C808" s="7"/>
      <c r="D808" s="7"/>
      <c r="E808" s="7"/>
      <c r="F808" s="7"/>
      <c r="G808" s="7"/>
    </row>
    <row r="809" ht="15.75" customHeight="1">
      <c r="A809" s="7"/>
      <c r="B809" s="7"/>
      <c r="C809" s="7"/>
      <c r="D809" s="7"/>
      <c r="E809" s="7"/>
      <c r="F809" s="7"/>
      <c r="G809" s="7"/>
    </row>
    <row r="810" ht="15.75" customHeight="1">
      <c r="A810" s="7"/>
      <c r="B810" s="7"/>
      <c r="C810" s="7"/>
      <c r="D810" s="7"/>
      <c r="E810" s="7"/>
      <c r="F810" s="7"/>
      <c r="G810" s="7"/>
    </row>
    <row r="811" ht="15.75" customHeight="1">
      <c r="A811" s="7"/>
      <c r="B811" s="7"/>
      <c r="C811" s="7"/>
      <c r="D811" s="7"/>
      <c r="E811" s="7"/>
      <c r="F811" s="7"/>
      <c r="G811" s="7"/>
    </row>
    <row r="812" ht="15.75" customHeight="1">
      <c r="A812" s="7"/>
      <c r="B812" s="7"/>
      <c r="C812" s="7"/>
      <c r="D812" s="7"/>
      <c r="E812" s="7"/>
      <c r="F812" s="7"/>
      <c r="G812" s="7"/>
    </row>
    <row r="813" ht="15.75" customHeight="1">
      <c r="A813" s="7"/>
      <c r="B813" s="7"/>
      <c r="C813" s="7"/>
      <c r="D813" s="7"/>
      <c r="E813" s="7"/>
      <c r="F813" s="7"/>
      <c r="G813" s="7"/>
    </row>
    <row r="814" ht="15.75" customHeight="1">
      <c r="A814" s="7"/>
      <c r="B814" s="7"/>
      <c r="C814" s="7"/>
      <c r="D814" s="7"/>
      <c r="E814" s="7"/>
      <c r="F814" s="7"/>
      <c r="G814" s="7"/>
    </row>
    <row r="815" ht="15.75" customHeight="1">
      <c r="A815" s="7"/>
      <c r="B815" s="7"/>
      <c r="C815" s="7"/>
      <c r="D815" s="7"/>
      <c r="E815" s="7"/>
      <c r="F815" s="7"/>
      <c r="G815" s="7"/>
    </row>
    <row r="816" ht="15.75" customHeight="1">
      <c r="A816" s="7"/>
      <c r="B816" s="7"/>
      <c r="C816" s="7"/>
      <c r="D816" s="7"/>
      <c r="E816" s="7"/>
      <c r="F816" s="7"/>
      <c r="G816" s="7"/>
    </row>
    <row r="817" ht="15.75" customHeight="1">
      <c r="A817" s="7"/>
      <c r="B817" s="7"/>
      <c r="C817" s="7"/>
      <c r="D817" s="7"/>
      <c r="E817" s="7"/>
      <c r="F817" s="7"/>
      <c r="G817" s="7"/>
    </row>
    <row r="818" ht="15.75" customHeight="1">
      <c r="A818" s="7"/>
      <c r="B818" s="7"/>
      <c r="C818" s="7"/>
      <c r="D818" s="7"/>
      <c r="E818" s="7"/>
      <c r="F818" s="7"/>
      <c r="G818" s="7"/>
    </row>
    <row r="819" ht="15.75" customHeight="1">
      <c r="A819" s="7"/>
      <c r="B819" s="7"/>
      <c r="C819" s="7"/>
      <c r="D819" s="7"/>
      <c r="E819" s="7"/>
      <c r="F819" s="7"/>
      <c r="G819" s="7"/>
    </row>
    <row r="820" ht="15.75" customHeight="1">
      <c r="A820" s="7"/>
      <c r="B820" s="7"/>
      <c r="C820" s="7"/>
      <c r="D820" s="7"/>
      <c r="E820" s="7"/>
      <c r="F820" s="7"/>
      <c r="G820" s="7"/>
    </row>
    <row r="821" ht="15.75" customHeight="1">
      <c r="A821" s="7"/>
      <c r="B821" s="7"/>
      <c r="C821" s="7"/>
      <c r="D821" s="7"/>
      <c r="E821" s="7"/>
      <c r="F821" s="7"/>
      <c r="G821" s="7"/>
    </row>
    <row r="822" ht="15.75" customHeight="1">
      <c r="A822" s="7"/>
      <c r="B822" s="7"/>
      <c r="C822" s="7"/>
      <c r="D822" s="7"/>
      <c r="E822" s="7"/>
      <c r="F822" s="7"/>
      <c r="G822" s="7"/>
    </row>
    <row r="823" ht="15.75" customHeight="1">
      <c r="A823" s="7"/>
      <c r="B823" s="7"/>
      <c r="C823" s="7"/>
      <c r="D823" s="7"/>
      <c r="E823" s="7"/>
      <c r="F823" s="7"/>
      <c r="G823" s="7"/>
    </row>
    <row r="824" ht="15.75" customHeight="1">
      <c r="A824" s="7"/>
      <c r="B824" s="7"/>
      <c r="C824" s="7"/>
      <c r="D824" s="7"/>
      <c r="E824" s="7"/>
      <c r="F824" s="7"/>
      <c r="G824" s="7"/>
    </row>
    <row r="825" ht="15.75" customHeight="1">
      <c r="A825" s="7"/>
      <c r="B825" s="7"/>
      <c r="C825" s="7"/>
      <c r="D825" s="7"/>
      <c r="E825" s="7"/>
      <c r="F825" s="7"/>
      <c r="G825" s="7"/>
    </row>
    <row r="826" ht="15.75" customHeight="1">
      <c r="A826" s="7"/>
      <c r="B826" s="7"/>
      <c r="C826" s="7"/>
      <c r="D826" s="7"/>
      <c r="E826" s="7"/>
      <c r="F826" s="7"/>
      <c r="G826" s="7"/>
    </row>
    <row r="827" ht="15.75" customHeight="1">
      <c r="A827" s="7"/>
      <c r="B827" s="7"/>
      <c r="C827" s="7"/>
      <c r="D827" s="7"/>
      <c r="E827" s="7"/>
      <c r="F827" s="7"/>
      <c r="G827" s="7"/>
    </row>
    <row r="828" ht="15.75" customHeight="1">
      <c r="A828" s="7"/>
      <c r="B828" s="7"/>
      <c r="C828" s="7"/>
      <c r="D828" s="7"/>
      <c r="E828" s="7"/>
      <c r="F828" s="7"/>
      <c r="G828" s="7"/>
    </row>
    <row r="829" ht="15.75" customHeight="1">
      <c r="A829" s="7"/>
      <c r="B829" s="7"/>
      <c r="C829" s="7"/>
      <c r="D829" s="7"/>
      <c r="E829" s="7"/>
      <c r="F829" s="7"/>
      <c r="G829" s="7"/>
    </row>
    <row r="830" ht="15.75" customHeight="1">
      <c r="A830" s="7"/>
      <c r="B830" s="7"/>
      <c r="C830" s="7"/>
      <c r="D830" s="7"/>
      <c r="E830" s="7"/>
      <c r="F830" s="7"/>
      <c r="G830" s="7"/>
    </row>
    <row r="831" ht="15.75" customHeight="1">
      <c r="A831" s="7"/>
      <c r="B831" s="7"/>
      <c r="C831" s="7"/>
      <c r="D831" s="7"/>
      <c r="E831" s="7"/>
      <c r="F831" s="7"/>
      <c r="G831" s="7"/>
    </row>
    <row r="832" ht="15.75" customHeight="1">
      <c r="A832" s="7"/>
      <c r="B832" s="7"/>
      <c r="C832" s="7"/>
      <c r="D832" s="7"/>
      <c r="E832" s="7"/>
      <c r="F832" s="7"/>
      <c r="G832" s="7"/>
    </row>
    <row r="833" ht="15.75" customHeight="1">
      <c r="A833" s="7"/>
      <c r="B833" s="7"/>
      <c r="C833" s="7"/>
      <c r="D833" s="7"/>
      <c r="E833" s="7"/>
      <c r="F833" s="7"/>
      <c r="G833" s="7"/>
    </row>
    <row r="834" ht="15.75" customHeight="1">
      <c r="A834" s="7"/>
      <c r="B834" s="7"/>
      <c r="C834" s="7"/>
      <c r="D834" s="7"/>
      <c r="E834" s="7"/>
      <c r="F834" s="7"/>
      <c r="G834" s="7"/>
    </row>
    <row r="835" ht="15.75" customHeight="1">
      <c r="A835" s="7"/>
      <c r="B835" s="7"/>
      <c r="C835" s="7"/>
      <c r="D835" s="7"/>
      <c r="E835" s="7"/>
      <c r="F835" s="7"/>
      <c r="G835" s="7"/>
    </row>
    <row r="836" ht="15.75" customHeight="1">
      <c r="A836" s="7"/>
      <c r="B836" s="7"/>
      <c r="C836" s="7"/>
      <c r="D836" s="7"/>
      <c r="E836" s="7"/>
      <c r="F836" s="7"/>
      <c r="G836" s="7"/>
    </row>
    <row r="837" ht="15.75" customHeight="1">
      <c r="A837" s="7"/>
      <c r="B837" s="7"/>
      <c r="C837" s="7"/>
      <c r="D837" s="7"/>
      <c r="E837" s="7"/>
      <c r="F837" s="7"/>
      <c r="G837" s="7"/>
    </row>
    <row r="838" ht="15.75" customHeight="1">
      <c r="A838" s="7"/>
      <c r="B838" s="7"/>
      <c r="C838" s="7"/>
      <c r="D838" s="7"/>
      <c r="E838" s="7"/>
      <c r="F838" s="7"/>
      <c r="G838" s="7"/>
    </row>
    <row r="839" ht="15.75" customHeight="1">
      <c r="A839" s="7"/>
      <c r="B839" s="7"/>
      <c r="C839" s="7"/>
      <c r="D839" s="7"/>
      <c r="E839" s="7"/>
      <c r="F839" s="7"/>
      <c r="G839" s="7"/>
    </row>
    <row r="840" ht="15.75" customHeight="1">
      <c r="A840" s="7"/>
      <c r="B840" s="7"/>
      <c r="C840" s="7"/>
      <c r="D840" s="7"/>
      <c r="E840" s="7"/>
      <c r="F840" s="7"/>
      <c r="G840" s="7"/>
    </row>
    <row r="841" ht="15.75" customHeight="1">
      <c r="A841" s="7"/>
      <c r="B841" s="7"/>
      <c r="C841" s="7"/>
      <c r="D841" s="7"/>
      <c r="E841" s="7"/>
      <c r="F841" s="7"/>
      <c r="G841" s="7"/>
    </row>
    <row r="842" ht="15.75" customHeight="1">
      <c r="A842" s="7"/>
      <c r="B842" s="7"/>
      <c r="C842" s="7"/>
      <c r="D842" s="7"/>
      <c r="E842" s="7"/>
      <c r="F842" s="7"/>
      <c r="G842" s="7"/>
    </row>
    <row r="843" ht="15.75" customHeight="1">
      <c r="A843" s="7"/>
      <c r="B843" s="7"/>
      <c r="C843" s="7"/>
      <c r="D843" s="7"/>
      <c r="E843" s="7"/>
      <c r="F843" s="7"/>
      <c r="G843" s="7"/>
    </row>
    <row r="844" ht="15.75" customHeight="1">
      <c r="A844" s="7"/>
      <c r="B844" s="7"/>
      <c r="C844" s="7"/>
      <c r="D844" s="7"/>
      <c r="E844" s="7"/>
      <c r="F844" s="7"/>
      <c r="G844" s="7"/>
    </row>
    <row r="845" ht="15.75" customHeight="1">
      <c r="A845" s="7"/>
      <c r="B845" s="7"/>
      <c r="C845" s="7"/>
      <c r="D845" s="7"/>
      <c r="E845" s="7"/>
      <c r="F845" s="7"/>
      <c r="G845" s="7"/>
    </row>
    <row r="846" ht="15.75" customHeight="1">
      <c r="A846" s="7"/>
      <c r="B846" s="7"/>
      <c r="C846" s="7"/>
      <c r="D846" s="7"/>
      <c r="E846" s="7"/>
      <c r="F846" s="7"/>
      <c r="G846" s="7"/>
    </row>
    <row r="847" ht="15.75" customHeight="1">
      <c r="A847" s="7"/>
      <c r="B847" s="7"/>
      <c r="C847" s="7"/>
      <c r="D847" s="7"/>
      <c r="E847" s="7"/>
      <c r="F847" s="7"/>
      <c r="G847" s="7"/>
    </row>
    <row r="848" ht="15.75" customHeight="1">
      <c r="A848" s="7"/>
      <c r="B848" s="7"/>
      <c r="C848" s="7"/>
      <c r="D848" s="7"/>
      <c r="E848" s="7"/>
      <c r="F848" s="7"/>
      <c r="G848" s="7"/>
    </row>
    <row r="849" ht="15.75" customHeight="1">
      <c r="A849" s="7"/>
      <c r="B849" s="7"/>
      <c r="C849" s="7"/>
      <c r="D849" s="7"/>
      <c r="E849" s="7"/>
      <c r="F849" s="7"/>
      <c r="G849" s="7"/>
    </row>
    <row r="850" ht="15.75" customHeight="1">
      <c r="A850" s="7"/>
      <c r="B850" s="7"/>
      <c r="C850" s="7"/>
      <c r="D850" s="7"/>
      <c r="E850" s="7"/>
      <c r="F850" s="7"/>
      <c r="G850" s="7"/>
    </row>
    <row r="851" ht="15.75" customHeight="1">
      <c r="A851" s="7"/>
      <c r="B851" s="7"/>
      <c r="C851" s="7"/>
      <c r="D851" s="7"/>
      <c r="E851" s="7"/>
      <c r="F851" s="7"/>
      <c r="G851" s="7"/>
    </row>
    <row r="852" ht="15.75" customHeight="1">
      <c r="A852" s="7"/>
      <c r="B852" s="7"/>
      <c r="C852" s="7"/>
      <c r="D852" s="7"/>
      <c r="E852" s="7"/>
      <c r="F852" s="7"/>
      <c r="G852" s="7"/>
    </row>
    <row r="853" ht="15.75" customHeight="1">
      <c r="A853" s="7"/>
      <c r="B853" s="7"/>
      <c r="C853" s="7"/>
      <c r="D853" s="7"/>
      <c r="E853" s="7"/>
      <c r="F853" s="7"/>
      <c r="G853" s="7"/>
    </row>
    <row r="854" ht="15.75" customHeight="1">
      <c r="A854" s="7"/>
      <c r="B854" s="7"/>
      <c r="C854" s="7"/>
      <c r="D854" s="7"/>
      <c r="E854" s="7"/>
      <c r="F854" s="7"/>
      <c r="G854" s="7"/>
    </row>
    <row r="855" ht="15.75" customHeight="1">
      <c r="A855" s="7"/>
      <c r="B855" s="7"/>
      <c r="C855" s="7"/>
      <c r="D855" s="7"/>
      <c r="E855" s="7"/>
      <c r="F855" s="7"/>
      <c r="G855" s="7"/>
    </row>
    <row r="856" ht="15.75" customHeight="1">
      <c r="A856" s="7"/>
      <c r="B856" s="7"/>
      <c r="C856" s="7"/>
      <c r="D856" s="7"/>
      <c r="E856" s="7"/>
      <c r="F856" s="7"/>
      <c r="G856" s="7"/>
    </row>
    <row r="857" ht="15.75" customHeight="1">
      <c r="A857" s="7"/>
      <c r="B857" s="7"/>
      <c r="C857" s="7"/>
      <c r="D857" s="7"/>
      <c r="E857" s="7"/>
      <c r="F857" s="7"/>
      <c r="G857" s="7"/>
    </row>
    <row r="858" ht="15.75" customHeight="1">
      <c r="A858" s="7"/>
      <c r="B858" s="7"/>
      <c r="C858" s="7"/>
      <c r="D858" s="7"/>
      <c r="E858" s="7"/>
      <c r="F858" s="7"/>
      <c r="G858" s="7"/>
    </row>
    <row r="859" ht="15.75" customHeight="1">
      <c r="A859" s="7"/>
      <c r="B859" s="7"/>
      <c r="C859" s="7"/>
      <c r="D859" s="7"/>
      <c r="E859" s="7"/>
      <c r="F859" s="7"/>
      <c r="G859" s="7"/>
    </row>
    <row r="860" ht="15.75" customHeight="1">
      <c r="A860" s="7"/>
      <c r="B860" s="7"/>
      <c r="C860" s="7"/>
      <c r="D860" s="7"/>
      <c r="E860" s="7"/>
      <c r="F860" s="7"/>
      <c r="G860" s="7"/>
    </row>
    <row r="861" ht="15.75" customHeight="1">
      <c r="A861" s="7"/>
      <c r="B861" s="7"/>
      <c r="C861" s="7"/>
      <c r="D861" s="7"/>
      <c r="E861" s="7"/>
      <c r="F861" s="7"/>
      <c r="G861" s="7"/>
    </row>
    <row r="862" ht="15.75" customHeight="1">
      <c r="A862" s="7"/>
      <c r="B862" s="7"/>
      <c r="C862" s="7"/>
      <c r="D862" s="7"/>
      <c r="E862" s="7"/>
      <c r="F862" s="7"/>
      <c r="G862" s="7"/>
    </row>
    <row r="863" ht="15.75" customHeight="1">
      <c r="A863" s="7"/>
      <c r="B863" s="7"/>
      <c r="C863" s="7"/>
      <c r="D863" s="7"/>
      <c r="E863" s="7"/>
      <c r="F863" s="7"/>
      <c r="G863" s="7"/>
    </row>
    <row r="864" ht="15.75" customHeight="1">
      <c r="A864" s="7"/>
      <c r="B864" s="7"/>
      <c r="C864" s="7"/>
      <c r="D864" s="7"/>
      <c r="E864" s="7"/>
      <c r="F864" s="7"/>
      <c r="G864" s="7"/>
    </row>
    <row r="865" ht="15.75" customHeight="1">
      <c r="A865" s="7"/>
      <c r="B865" s="7"/>
      <c r="C865" s="7"/>
      <c r="D865" s="7"/>
      <c r="E865" s="7"/>
      <c r="F865" s="7"/>
      <c r="G865" s="7"/>
    </row>
    <row r="866" ht="15.75" customHeight="1">
      <c r="A866" s="7"/>
      <c r="B866" s="7"/>
      <c r="C866" s="7"/>
      <c r="D866" s="7"/>
      <c r="E866" s="7"/>
      <c r="F866" s="7"/>
      <c r="G866" s="7"/>
    </row>
    <row r="867" ht="15.75" customHeight="1">
      <c r="A867" s="7"/>
      <c r="B867" s="7"/>
      <c r="C867" s="7"/>
      <c r="D867" s="7"/>
      <c r="E867" s="7"/>
      <c r="F867" s="7"/>
      <c r="G867" s="7"/>
    </row>
    <row r="868" ht="15.75" customHeight="1">
      <c r="A868" s="7"/>
      <c r="B868" s="7"/>
      <c r="C868" s="7"/>
      <c r="D868" s="7"/>
      <c r="E868" s="7"/>
      <c r="F868" s="7"/>
      <c r="G868" s="7"/>
    </row>
    <row r="869" ht="15.75" customHeight="1">
      <c r="A869" s="7"/>
      <c r="B869" s="7"/>
      <c r="C869" s="7"/>
      <c r="D869" s="7"/>
      <c r="E869" s="7"/>
      <c r="F869" s="7"/>
      <c r="G869" s="7"/>
    </row>
    <row r="870" ht="15.75" customHeight="1">
      <c r="A870" s="7"/>
      <c r="B870" s="7"/>
      <c r="C870" s="7"/>
      <c r="D870" s="7"/>
      <c r="E870" s="7"/>
      <c r="F870" s="7"/>
      <c r="G870" s="7"/>
    </row>
    <row r="871" ht="15.75" customHeight="1">
      <c r="A871" s="7"/>
      <c r="B871" s="7"/>
      <c r="C871" s="7"/>
      <c r="D871" s="7"/>
      <c r="E871" s="7"/>
      <c r="F871" s="7"/>
      <c r="G871" s="7"/>
    </row>
    <row r="872" ht="15.75" customHeight="1">
      <c r="A872" s="7"/>
      <c r="B872" s="7"/>
      <c r="C872" s="7"/>
      <c r="D872" s="7"/>
      <c r="E872" s="7"/>
      <c r="F872" s="7"/>
      <c r="G872" s="7"/>
    </row>
    <row r="873" ht="15.75" customHeight="1">
      <c r="A873" s="7"/>
      <c r="B873" s="7"/>
      <c r="C873" s="7"/>
      <c r="D873" s="7"/>
      <c r="E873" s="7"/>
      <c r="F873" s="7"/>
      <c r="G873" s="7"/>
    </row>
    <row r="874" ht="15.75" customHeight="1">
      <c r="A874" s="7"/>
      <c r="B874" s="7"/>
      <c r="C874" s="7"/>
      <c r="D874" s="7"/>
      <c r="E874" s="7"/>
      <c r="F874" s="7"/>
      <c r="G874" s="7"/>
    </row>
    <row r="875" ht="15.75" customHeight="1">
      <c r="A875" s="7"/>
      <c r="B875" s="7"/>
      <c r="C875" s="7"/>
      <c r="D875" s="7"/>
      <c r="E875" s="7"/>
      <c r="F875" s="7"/>
      <c r="G875" s="7"/>
    </row>
    <row r="876" ht="15.75" customHeight="1">
      <c r="A876" s="7"/>
      <c r="B876" s="7"/>
      <c r="C876" s="7"/>
      <c r="D876" s="7"/>
      <c r="E876" s="7"/>
      <c r="F876" s="7"/>
      <c r="G876" s="7"/>
    </row>
    <row r="877" ht="15.75" customHeight="1">
      <c r="A877" s="7"/>
      <c r="B877" s="7"/>
      <c r="C877" s="7"/>
      <c r="D877" s="7"/>
      <c r="E877" s="7"/>
      <c r="F877" s="7"/>
      <c r="G877" s="7"/>
    </row>
    <row r="878" ht="15.75" customHeight="1">
      <c r="A878" s="7"/>
      <c r="B878" s="7"/>
      <c r="C878" s="7"/>
      <c r="D878" s="7"/>
      <c r="E878" s="7"/>
      <c r="F878" s="7"/>
      <c r="G878" s="7"/>
    </row>
    <row r="879" ht="15.75" customHeight="1">
      <c r="A879" s="7"/>
      <c r="B879" s="7"/>
      <c r="C879" s="7"/>
      <c r="D879" s="7"/>
      <c r="E879" s="7"/>
      <c r="F879" s="7"/>
      <c r="G879" s="7"/>
    </row>
    <row r="880" ht="15.75" customHeight="1">
      <c r="A880" s="7"/>
      <c r="B880" s="7"/>
      <c r="C880" s="7"/>
      <c r="D880" s="7"/>
      <c r="E880" s="7"/>
      <c r="F880" s="7"/>
      <c r="G880" s="7"/>
    </row>
    <row r="881" ht="15.75" customHeight="1">
      <c r="A881" s="7"/>
      <c r="B881" s="7"/>
      <c r="C881" s="7"/>
      <c r="D881" s="7"/>
      <c r="E881" s="7"/>
      <c r="F881" s="7"/>
      <c r="G881" s="7"/>
    </row>
    <row r="882" ht="15.75" customHeight="1">
      <c r="A882" s="7"/>
      <c r="B882" s="7"/>
      <c r="C882" s="7"/>
      <c r="D882" s="7"/>
      <c r="E882" s="7"/>
      <c r="F882" s="7"/>
      <c r="G882" s="7"/>
    </row>
    <row r="883" ht="15.75" customHeight="1">
      <c r="A883" s="7"/>
      <c r="B883" s="7"/>
      <c r="C883" s="7"/>
      <c r="D883" s="7"/>
      <c r="E883" s="7"/>
      <c r="F883" s="7"/>
      <c r="G883" s="7"/>
    </row>
    <row r="884" ht="15.75" customHeight="1">
      <c r="A884" s="7"/>
      <c r="B884" s="7"/>
      <c r="C884" s="7"/>
      <c r="D884" s="7"/>
      <c r="E884" s="7"/>
      <c r="F884" s="7"/>
      <c r="G884" s="7"/>
    </row>
    <row r="885" ht="15.75" customHeight="1">
      <c r="A885" s="7"/>
      <c r="B885" s="7"/>
      <c r="C885" s="7"/>
      <c r="D885" s="7"/>
      <c r="E885" s="7"/>
      <c r="F885" s="7"/>
      <c r="G885" s="7"/>
    </row>
    <row r="886" ht="15.75" customHeight="1">
      <c r="A886" s="7"/>
      <c r="B886" s="7"/>
      <c r="C886" s="7"/>
      <c r="D886" s="7"/>
      <c r="E886" s="7"/>
      <c r="F886" s="7"/>
      <c r="G886" s="7"/>
    </row>
    <row r="887" ht="15.75" customHeight="1">
      <c r="A887" s="7"/>
      <c r="B887" s="7"/>
      <c r="C887" s="7"/>
      <c r="D887" s="7"/>
      <c r="E887" s="7"/>
      <c r="F887" s="7"/>
      <c r="G887" s="7"/>
    </row>
    <row r="888" ht="15.75" customHeight="1">
      <c r="A888" s="7"/>
      <c r="B888" s="7"/>
      <c r="C888" s="7"/>
      <c r="D888" s="7"/>
      <c r="E888" s="7"/>
      <c r="F888" s="7"/>
      <c r="G888" s="7"/>
    </row>
    <row r="889" ht="15.75" customHeight="1">
      <c r="A889" s="7"/>
      <c r="B889" s="7"/>
      <c r="C889" s="7"/>
      <c r="D889" s="7"/>
      <c r="E889" s="7"/>
      <c r="F889" s="7"/>
      <c r="G889" s="7"/>
    </row>
    <row r="890" ht="15.75" customHeight="1">
      <c r="A890" s="7"/>
      <c r="B890" s="7"/>
      <c r="C890" s="7"/>
      <c r="D890" s="7"/>
      <c r="E890" s="7"/>
      <c r="F890" s="7"/>
      <c r="G890" s="7"/>
    </row>
    <row r="891" ht="15.75" customHeight="1">
      <c r="A891" s="7"/>
      <c r="B891" s="7"/>
      <c r="C891" s="7"/>
      <c r="D891" s="7"/>
      <c r="E891" s="7"/>
      <c r="F891" s="7"/>
      <c r="G891" s="7"/>
    </row>
    <row r="892" ht="15.75" customHeight="1">
      <c r="A892" s="7"/>
      <c r="B892" s="7"/>
      <c r="C892" s="7"/>
      <c r="D892" s="7"/>
      <c r="E892" s="7"/>
      <c r="F892" s="7"/>
      <c r="G892" s="7"/>
    </row>
    <row r="893" ht="15.75" customHeight="1">
      <c r="A893" s="7"/>
      <c r="B893" s="7"/>
      <c r="C893" s="7"/>
      <c r="D893" s="7"/>
      <c r="E893" s="7"/>
      <c r="F893" s="7"/>
      <c r="G893" s="7"/>
    </row>
    <row r="894" ht="15.75" customHeight="1">
      <c r="A894" s="7"/>
      <c r="B894" s="7"/>
      <c r="C894" s="7"/>
      <c r="D894" s="7"/>
      <c r="E894" s="7"/>
      <c r="F894" s="7"/>
      <c r="G894" s="7"/>
    </row>
    <row r="895" ht="15.75" customHeight="1">
      <c r="A895" s="7"/>
      <c r="B895" s="7"/>
      <c r="C895" s="7"/>
      <c r="D895" s="7"/>
      <c r="E895" s="7"/>
      <c r="F895" s="7"/>
      <c r="G895" s="7"/>
    </row>
    <row r="896" ht="15.75" customHeight="1">
      <c r="A896" s="7"/>
      <c r="B896" s="7"/>
      <c r="C896" s="7"/>
      <c r="D896" s="7"/>
      <c r="E896" s="7"/>
      <c r="F896" s="7"/>
      <c r="G896" s="7"/>
    </row>
    <row r="897" ht="15.75" customHeight="1">
      <c r="A897" s="7"/>
      <c r="B897" s="7"/>
      <c r="C897" s="7"/>
      <c r="D897" s="7"/>
      <c r="E897" s="7"/>
      <c r="F897" s="7"/>
      <c r="G897" s="7"/>
    </row>
    <row r="898" ht="15.75" customHeight="1">
      <c r="A898" s="7"/>
      <c r="B898" s="7"/>
      <c r="C898" s="7"/>
      <c r="D898" s="7"/>
      <c r="E898" s="7"/>
      <c r="F898" s="7"/>
      <c r="G898" s="7"/>
    </row>
    <row r="899" ht="15.75" customHeight="1">
      <c r="A899" s="7"/>
      <c r="B899" s="7"/>
      <c r="C899" s="7"/>
      <c r="D899" s="7"/>
      <c r="E899" s="7"/>
      <c r="F899" s="7"/>
      <c r="G899" s="7"/>
    </row>
    <row r="900" ht="15.75" customHeight="1">
      <c r="A900" s="7"/>
      <c r="B900" s="7"/>
      <c r="C900" s="7"/>
      <c r="D900" s="7"/>
      <c r="E900" s="7"/>
      <c r="F900" s="7"/>
      <c r="G900" s="7"/>
    </row>
    <row r="901" ht="15.75" customHeight="1">
      <c r="A901" s="7"/>
      <c r="B901" s="7"/>
      <c r="C901" s="7"/>
      <c r="D901" s="7"/>
      <c r="E901" s="7"/>
      <c r="F901" s="7"/>
      <c r="G901" s="7"/>
    </row>
    <row r="902" ht="15.75" customHeight="1">
      <c r="A902" s="7"/>
      <c r="B902" s="7"/>
      <c r="C902" s="7"/>
      <c r="D902" s="7"/>
      <c r="E902" s="7"/>
      <c r="F902" s="7"/>
      <c r="G902" s="7"/>
    </row>
    <row r="903" ht="15.75" customHeight="1">
      <c r="A903" s="7"/>
      <c r="B903" s="7"/>
      <c r="C903" s="7"/>
      <c r="D903" s="7"/>
      <c r="E903" s="7"/>
      <c r="F903" s="7"/>
      <c r="G903" s="7"/>
    </row>
    <row r="904" ht="15.75" customHeight="1">
      <c r="A904" s="7"/>
      <c r="B904" s="7"/>
      <c r="C904" s="7"/>
      <c r="D904" s="7"/>
      <c r="E904" s="7"/>
      <c r="F904" s="7"/>
      <c r="G904" s="7"/>
    </row>
    <row r="905" ht="15.75" customHeight="1">
      <c r="A905" s="7"/>
      <c r="B905" s="7"/>
      <c r="C905" s="7"/>
      <c r="D905" s="7"/>
      <c r="E905" s="7"/>
      <c r="F905" s="7"/>
      <c r="G905" s="7"/>
    </row>
    <row r="906" ht="15.75" customHeight="1">
      <c r="A906" s="7"/>
      <c r="B906" s="7"/>
      <c r="C906" s="7"/>
      <c r="D906" s="7"/>
      <c r="E906" s="7"/>
      <c r="F906" s="7"/>
      <c r="G906" s="7"/>
    </row>
    <row r="907" ht="15.75" customHeight="1">
      <c r="A907" s="7"/>
      <c r="B907" s="7"/>
      <c r="C907" s="7"/>
      <c r="D907" s="7"/>
      <c r="E907" s="7"/>
      <c r="F907" s="7"/>
      <c r="G907" s="7"/>
    </row>
    <row r="908" ht="15.75" customHeight="1">
      <c r="A908" s="7"/>
      <c r="B908" s="7"/>
      <c r="C908" s="7"/>
      <c r="D908" s="7"/>
      <c r="E908" s="7"/>
      <c r="F908" s="7"/>
      <c r="G908" s="7"/>
    </row>
    <row r="909" ht="15.75" customHeight="1">
      <c r="A909" s="7"/>
      <c r="B909" s="7"/>
      <c r="C909" s="7"/>
      <c r="D909" s="7"/>
      <c r="E909" s="7"/>
      <c r="F909" s="7"/>
      <c r="G909" s="7"/>
    </row>
    <row r="910" ht="15.75" customHeight="1">
      <c r="A910" s="7"/>
      <c r="B910" s="7"/>
      <c r="C910" s="7"/>
      <c r="D910" s="7"/>
      <c r="E910" s="7"/>
      <c r="F910" s="7"/>
      <c r="G910" s="7"/>
    </row>
    <row r="911" ht="15.75" customHeight="1">
      <c r="A911" s="7"/>
      <c r="B911" s="7"/>
      <c r="C911" s="7"/>
      <c r="D911" s="7"/>
      <c r="E911" s="7"/>
      <c r="F911" s="7"/>
      <c r="G911" s="7"/>
    </row>
    <row r="912" ht="15.75" customHeight="1">
      <c r="A912" s="7"/>
      <c r="B912" s="7"/>
      <c r="C912" s="7"/>
      <c r="D912" s="7"/>
      <c r="E912" s="7"/>
      <c r="F912" s="7"/>
      <c r="G912" s="7"/>
    </row>
    <row r="913" ht="15.75" customHeight="1">
      <c r="A913" s="7"/>
      <c r="B913" s="7"/>
      <c r="C913" s="7"/>
      <c r="D913" s="7"/>
      <c r="E913" s="7"/>
      <c r="F913" s="7"/>
      <c r="G913" s="7"/>
    </row>
    <row r="914" ht="15.75" customHeight="1">
      <c r="A914" s="7"/>
      <c r="B914" s="7"/>
      <c r="C914" s="7"/>
      <c r="D914" s="7"/>
      <c r="E914" s="7"/>
      <c r="F914" s="7"/>
      <c r="G914" s="7"/>
    </row>
    <row r="915" ht="15.75" customHeight="1">
      <c r="A915" s="7"/>
      <c r="B915" s="7"/>
      <c r="C915" s="7"/>
      <c r="D915" s="7"/>
      <c r="E915" s="7"/>
      <c r="F915" s="7"/>
      <c r="G915" s="7"/>
    </row>
    <row r="916" ht="15.75" customHeight="1">
      <c r="A916" s="7"/>
      <c r="B916" s="7"/>
      <c r="C916" s="7"/>
      <c r="D916" s="7"/>
      <c r="E916" s="7"/>
      <c r="F916" s="7"/>
      <c r="G916" s="7"/>
    </row>
    <row r="917" ht="15.75" customHeight="1">
      <c r="A917" s="7"/>
      <c r="B917" s="7"/>
      <c r="C917" s="7"/>
      <c r="D917" s="7"/>
      <c r="E917" s="7"/>
      <c r="F917" s="7"/>
      <c r="G917" s="7"/>
    </row>
    <row r="918" ht="15.75" customHeight="1">
      <c r="A918" s="7"/>
      <c r="B918" s="7"/>
      <c r="C918" s="7"/>
      <c r="D918" s="7"/>
      <c r="E918" s="7"/>
      <c r="F918" s="7"/>
      <c r="G918" s="7"/>
    </row>
    <row r="919" ht="15.75" customHeight="1">
      <c r="A919" s="7"/>
      <c r="B919" s="7"/>
      <c r="C919" s="7"/>
      <c r="D919" s="7"/>
      <c r="E919" s="7"/>
      <c r="F919" s="7"/>
      <c r="G919" s="7"/>
    </row>
    <row r="920" ht="15.75" customHeight="1">
      <c r="A920" s="7"/>
      <c r="B920" s="7"/>
      <c r="C920" s="7"/>
      <c r="D920" s="7"/>
      <c r="E920" s="7"/>
      <c r="F920" s="7"/>
      <c r="G920" s="7"/>
    </row>
    <row r="921" ht="15.75" customHeight="1">
      <c r="A921" s="7"/>
      <c r="B921" s="7"/>
      <c r="C921" s="7"/>
      <c r="D921" s="7"/>
      <c r="E921" s="7"/>
      <c r="F921" s="7"/>
      <c r="G921" s="7"/>
    </row>
    <row r="922" ht="15.75" customHeight="1">
      <c r="A922" s="7"/>
      <c r="B922" s="7"/>
      <c r="C922" s="7"/>
      <c r="D922" s="7"/>
      <c r="E922" s="7"/>
      <c r="F922" s="7"/>
      <c r="G922" s="7"/>
    </row>
    <row r="923" ht="15.75" customHeight="1">
      <c r="A923" s="7"/>
      <c r="B923" s="7"/>
      <c r="C923" s="7"/>
      <c r="D923" s="7"/>
      <c r="E923" s="7"/>
      <c r="F923" s="7"/>
      <c r="G923" s="7"/>
    </row>
    <row r="924" ht="15.75" customHeight="1">
      <c r="A924" s="7"/>
      <c r="B924" s="7"/>
      <c r="C924" s="7"/>
      <c r="D924" s="7"/>
      <c r="E924" s="7"/>
      <c r="F924" s="7"/>
      <c r="G924" s="7"/>
    </row>
    <row r="925" ht="15.75" customHeight="1">
      <c r="A925" s="7"/>
      <c r="B925" s="7"/>
      <c r="C925" s="7"/>
      <c r="D925" s="7"/>
      <c r="E925" s="7"/>
      <c r="F925" s="7"/>
      <c r="G925" s="7"/>
    </row>
    <row r="926" ht="15.75" customHeight="1">
      <c r="A926" s="7"/>
      <c r="B926" s="7"/>
      <c r="C926" s="7"/>
      <c r="D926" s="7"/>
      <c r="E926" s="7"/>
      <c r="F926" s="7"/>
      <c r="G926" s="7"/>
    </row>
    <row r="927" ht="15.75" customHeight="1">
      <c r="A927" s="7"/>
      <c r="B927" s="7"/>
      <c r="C927" s="7"/>
      <c r="D927" s="7"/>
      <c r="E927" s="7"/>
      <c r="F927" s="7"/>
      <c r="G927" s="7"/>
    </row>
    <row r="928" ht="15.75" customHeight="1">
      <c r="A928" s="7"/>
      <c r="B928" s="7"/>
      <c r="C928" s="7"/>
      <c r="D928" s="7"/>
      <c r="E928" s="7"/>
      <c r="F928" s="7"/>
      <c r="G928" s="7"/>
    </row>
    <row r="929" ht="15.75" customHeight="1">
      <c r="A929" s="7"/>
      <c r="B929" s="7"/>
      <c r="C929" s="7"/>
      <c r="D929" s="7"/>
      <c r="E929" s="7"/>
      <c r="F929" s="7"/>
      <c r="G929" s="7"/>
    </row>
    <row r="930" ht="15.75" customHeight="1">
      <c r="A930" s="7"/>
      <c r="B930" s="7"/>
      <c r="C930" s="7"/>
      <c r="D930" s="7"/>
      <c r="E930" s="7"/>
      <c r="F930" s="7"/>
      <c r="G930" s="7"/>
    </row>
    <row r="931" ht="15.75" customHeight="1">
      <c r="A931" s="7"/>
      <c r="B931" s="7"/>
      <c r="C931" s="7"/>
      <c r="D931" s="7"/>
      <c r="E931" s="7"/>
      <c r="F931" s="7"/>
      <c r="G931" s="7"/>
    </row>
    <row r="932" ht="15.75" customHeight="1">
      <c r="A932" s="7"/>
      <c r="B932" s="7"/>
      <c r="C932" s="7"/>
      <c r="D932" s="7"/>
      <c r="E932" s="7"/>
      <c r="F932" s="7"/>
      <c r="G932" s="7"/>
    </row>
    <row r="933" ht="15.75" customHeight="1">
      <c r="A933" s="7"/>
      <c r="B933" s="7"/>
      <c r="C933" s="7"/>
      <c r="D933" s="7"/>
      <c r="E933" s="7"/>
      <c r="F933" s="7"/>
      <c r="G933" s="7"/>
    </row>
    <row r="934" ht="15.75" customHeight="1">
      <c r="A934" s="7"/>
      <c r="B934" s="7"/>
      <c r="C934" s="7"/>
      <c r="D934" s="7"/>
      <c r="E934" s="7"/>
      <c r="F934" s="7"/>
      <c r="G934" s="7"/>
    </row>
    <row r="935" ht="15.75" customHeight="1">
      <c r="A935" s="7"/>
      <c r="B935" s="7"/>
      <c r="C935" s="7"/>
      <c r="D935" s="7"/>
      <c r="E935" s="7"/>
      <c r="F935" s="7"/>
      <c r="G935" s="7"/>
    </row>
    <row r="936" ht="15.75" customHeight="1">
      <c r="A936" s="7"/>
      <c r="B936" s="7"/>
      <c r="C936" s="7"/>
      <c r="D936" s="7"/>
      <c r="E936" s="7"/>
      <c r="F936" s="7"/>
      <c r="G936" s="7"/>
    </row>
    <row r="937" ht="15.75" customHeight="1">
      <c r="A937" s="7"/>
      <c r="B937" s="7"/>
      <c r="C937" s="7"/>
      <c r="D937" s="7"/>
      <c r="E937" s="7"/>
      <c r="F937" s="7"/>
      <c r="G937" s="7"/>
    </row>
    <row r="938" ht="15.75" customHeight="1">
      <c r="A938" s="7"/>
      <c r="B938" s="7"/>
      <c r="C938" s="7"/>
      <c r="D938" s="7"/>
      <c r="E938" s="7"/>
      <c r="F938" s="7"/>
      <c r="G938" s="7"/>
    </row>
    <row r="939" ht="15.75" customHeight="1">
      <c r="A939" s="7"/>
      <c r="B939" s="7"/>
      <c r="C939" s="7"/>
      <c r="D939" s="7"/>
      <c r="E939" s="7"/>
      <c r="F939" s="7"/>
      <c r="G939" s="7"/>
    </row>
    <row r="940" ht="15.75" customHeight="1">
      <c r="A940" s="7"/>
      <c r="B940" s="7"/>
      <c r="C940" s="7"/>
      <c r="D940" s="7"/>
      <c r="E940" s="7"/>
      <c r="F940" s="7"/>
      <c r="G940" s="7"/>
    </row>
    <row r="941" ht="15.75" customHeight="1">
      <c r="A941" s="7"/>
      <c r="B941" s="7"/>
      <c r="C941" s="7"/>
      <c r="D941" s="7"/>
      <c r="E941" s="7"/>
      <c r="F941" s="7"/>
      <c r="G941" s="7"/>
    </row>
    <row r="942" ht="15.75" customHeight="1">
      <c r="A942" s="7"/>
      <c r="B942" s="7"/>
      <c r="C942" s="7"/>
      <c r="D942" s="7"/>
      <c r="E942" s="7"/>
      <c r="F942" s="7"/>
      <c r="G942" s="7"/>
    </row>
    <row r="943" ht="15.75" customHeight="1">
      <c r="A943" s="7"/>
      <c r="B943" s="7"/>
      <c r="C943" s="7"/>
      <c r="D943" s="7"/>
      <c r="E943" s="7"/>
      <c r="F943" s="7"/>
      <c r="G943" s="7"/>
    </row>
    <row r="944" ht="15.75" customHeight="1">
      <c r="A944" s="7"/>
      <c r="B944" s="7"/>
      <c r="C944" s="7"/>
      <c r="D944" s="7"/>
      <c r="E944" s="7"/>
      <c r="F944" s="7"/>
      <c r="G944" s="7"/>
    </row>
    <row r="945" ht="15.75" customHeight="1">
      <c r="A945" s="7"/>
      <c r="B945" s="7"/>
      <c r="C945" s="7"/>
      <c r="D945" s="7"/>
      <c r="E945" s="7"/>
      <c r="F945" s="7"/>
      <c r="G945" s="7"/>
    </row>
    <row r="946" ht="15.75" customHeight="1">
      <c r="A946" s="7"/>
      <c r="B946" s="7"/>
      <c r="C946" s="7"/>
      <c r="D946" s="7"/>
      <c r="E946" s="7"/>
      <c r="F946" s="7"/>
      <c r="G946" s="7"/>
    </row>
    <row r="947" ht="15.75" customHeight="1">
      <c r="A947" s="7"/>
      <c r="B947" s="7"/>
      <c r="C947" s="7"/>
      <c r="D947" s="7"/>
      <c r="E947" s="7"/>
      <c r="F947" s="7"/>
      <c r="G947" s="7"/>
    </row>
    <row r="948" ht="15.75" customHeight="1">
      <c r="A948" s="7"/>
      <c r="B948" s="7"/>
      <c r="C948" s="7"/>
      <c r="D948" s="7"/>
      <c r="E948" s="7"/>
      <c r="F948" s="7"/>
      <c r="G948" s="7"/>
    </row>
    <row r="949" ht="15.75" customHeight="1">
      <c r="A949" s="7"/>
      <c r="B949" s="7"/>
      <c r="C949" s="7"/>
      <c r="D949" s="7"/>
      <c r="E949" s="7"/>
      <c r="F949" s="7"/>
      <c r="G949" s="7"/>
    </row>
    <row r="950" ht="15.75" customHeight="1">
      <c r="A950" s="7"/>
      <c r="B950" s="7"/>
      <c r="C950" s="7"/>
      <c r="D950" s="7"/>
      <c r="E950" s="7"/>
      <c r="F950" s="7"/>
      <c r="G950" s="7"/>
    </row>
    <row r="951" ht="15.75" customHeight="1">
      <c r="A951" s="7"/>
      <c r="B951" s="7"/>
      <c r="C951" s="7"/>
      <c r="D951" s="7"/>
      <c r="E951" s="7"/>
      <c r="F951" s="7"/>
      <c r="G951" s="7"/>
    </row>
    <row r="952" ht="15.75" customHeight="1">
      <c r="A952" s="7"/>
      <c r="B952" s="7"/>
      <c r="C952" s="7"/>
      <c r="D952" s="7"/>
      <c r="E952" s="7"/>
      <c r="F952" s="7"/>
      <c r="G952" s="7"/>
    </row>
    <row r="953" ht="15.75" customHeight="1">
      <c r="A953" s="7"/>
      <c r="B953" s="7"/>
      <c r="C953" s="7"/>
      <c r="D953" s="7"/>
      <c r="E953" s="7"/>
      <c r="F953" s="7"/>
      <c r="G953" s="7"/>
    </row>
    <row r="954" ht="15.75" customHeight="1">
      <c r="A954" s="7"/>
      <c r="B954" s="7"/>
      <c r="C954" s="7"/>
      <c r="D954" s="7"/>
      <c r="E954" s="7"/>
      <c r="F954" s="7"/>
      <c r="G954" s="7"/>
    </row>
    <row r="955" ht="15.75" customHeight="1">
      <c r="A955" s="7"/>
      <c r="B955" s="7"/>
      <c r="C955" s="7"/>
      <c r="D955" s="7"/>
      <c r="E955" s="7"/>
      <c r="F955" s="7"/>
      <c r="G955" s="7"/>
    </row>
    <row r="956" ht="15.75" customHeight="1">
      <c r="A956" s="7"/>
      <c r="B956" s="7"/>
      <c r="C956" s="7"/>
      <c r="D956" s="7"/>
      <c r="E956" s="7"/>
      <c r="F956" s="7"/>
      <c r="G956" s="7"/>
    </row>
    <row r="957" ht="15.75" customHeight="1">
      <c r="A957" s="7"/>
      <c r="B957" s="7"/>
      <c r="C957" s="7"/>
      <c r="D957" s="7"/>
      <c r="E957" s="7"/>
      <c r="F957" s="7"/>
      <c r="G957" s="7"/>
    </row>
    <row r="958" ht="15.75" customHeight="1">
      <c r="A958" s="7"/>
      <c r="B958" s="7"/>
      <c r="C958" s="7"/>
      <c r="D958" s="7"/>
      <c r="E958" s="7"/>
      <c r="F958" s="7"/>
      <c r="G958" s="7"/>
    </row>
    <row r="959" ht="15.75" customHeight="1">
      <c r="A959" s="7"/>
      <c r="B959" s="7"/>
      <c r="C959" s="7"/>
      <c r="D959" s="7"/>
      <c r="E959" s="7"/>
      <c r="F959" s="7"/>
      <c r="G959" s="7"/>
    </row>
    <row r="960" ht="15.75" customHeight="1">
      <c r="A960" s="7"/>
      <c r="B960" s="7"/>
      <c r="C960" s="7"/>
      <c r="D960" s="7"/>
      <c r="E960" s="7"/>
      <c r="F960" s="7"/>
      <c r="G960" s="7"/>
    </row>
    <row r="961" ht="15.75" customHeight="1">
      <c r="A961" s="7"/>
      <c r="B961" s="7"/>
      <c r="C961" s="7"/>
      <c r="D961" s="7"/>
      <c r="E961" s="7"/>
      <c r="F961" s="7"/>
      <c r="G961" s="7"/>
    </row>
    <row r="962" ht="15.75" customHeight="1">
      <c r="A962" s="7"/>
      <c r="B962" s="7"/>
      <c r="C962" s="7"/>
      <c r="D962" s="7"/>
      <c r="E962" s="7"/>
      <c r="F962" s="7"/>
      <c r="G962" s="7"/>
    </row>
    <row r="963" ht="15.75" customHeight="1">
      <c r="A963" s="7"/>
      <c r="B963" s="7"/>
      <c r="C963" s="7"/>
      <c r="D963" s="7"/>
      <c r="E963" s="7"/>
      <c r="F963" s="7"/>
      <c r="G963" s="7"/>
    </row>
    <row r="964" ht="15.75" customHeight="1">
      <c r="A964" s="7"/>
      <c r="B964" s="7"/>
      <c r="C964" s="7"/>
      <c r="D964" s="7"/>
      <c r="E964" s="7"/>
      <c r="F964" s="7"/>
      <c r="G964" s="7"/>
    </row>
    <row r="965" ht="15.75" customHeight="1">
      <c r="A965" s="7"/>
      <c r="B965" s="7"/>
      <c r="C965" s="7"/>
      <c r="D965" s="7"/>
      <c r="E965" s="7"/>
      <c r="F965" s="7"/>
      <c r="G965" s="7"/>
    </row>
    <row r="966" ht="15.75" customHeight="1">
      <c r="A966" s="7"/>
      <c r="B966" s="7"/>
      <c r="C966" s="7"/>
      <c r="D966" s="7"/>
      <c r="E966" s="7"/>
      <c r="F966" s="7"/>
      <c r="G966" s="7"/>
    </row>
    <row r="967" ht="15.75" customHeight="1">
      <c r="A967" s="7"/>
      <c r="B967" s="7"/>
      <c r="C967" s="7"/>
      <c r="D967" s="7"/>
      <c r="E967" s="7"/>
      <c r="F967" s="7"/>
      <c r="G967" s="7"/>
    </row>
    <row r="968" ht="15.75" customHeight="1">
      <c r="A968" s="7"/>
      <c r="B968" s="7"/>
      <c r="C968" s="7"/>
      <c r="D968" s="7"/>
      <c r="E968" s="7"/>
      <c r="F968" s="7"/>
      <c r="G968" s="7"/>
    </row>
    <row r="969" ht="15.75" customHeight="1">
      <c r="A969" s="7"/>
      <c r="B969" s="7"/>
      <c r="C969" s="7"/>
      <c r="D969" s="7"/>
      <c r="E969" s="7"/>
      <c r="F969" s="7"/>
      <c r="G969" s="7"/>
    </row>
    <row r="970" ht="15.75" customHeight="1">
      <c r="A970" s="7"/>
      <c r="B970" s="7"/>
      <c r="C970" s="7"/>
      <c r="D970" s="7"/>
      <c r="E970" s="7"/>
      <c r="F970" s="7"/>
      <c r="G970" s="7"/>
    </row>
    <row r="971" ht="15.75" customHeight="1">
      <c r="A971" s="7"/>
      <c r="B971" s="7"/>
      <c r="C971" s="7"/>
      <c r="D971" s="7"/>
      <c r="E971" s="7"/>
      <c r="F971" s="7"/>
      <c r="G971" s="7"/>
    </row>
    <row r="972" ht="15.75" customHeight="1">
      <c r="A972" s="7"/>
      <c r="B972" s="7"/>
      <c r="C972" s="7"/>
      <c r="D972" s="7"/>
      <c r="E972" s="7"/>
      <c r="F972" s="7"/>
      <c r="G972" s="7"/>
    </row>
    <row r="973" ht="15.75" customHeight="1">
      <c r="A973" s="7"/>
      <c r="B973" s="7"/>
      <c r="C973" s="7"/>
      <c r="D973" s="7"/>
      <c r="E973" s="7"/>
      <c r="F973" s="7"/>
      <c r="G973" s="7"/>
    </row>
    <row r="974" ht="15.75" customHeight="1">
      <c r="A974" s="7"/>
      <c r="B974" s="7"/>
      <c r="C974" s="7"/>
      <c r="D974" s="7"/>
      <c r="E974" s="7"/>
      <c r="F974" s="7"/>
      <c r="G974" s="7"/>
    </row>
    <row r="975" ht="15.75" customHeight="1">
      <c r="A975" s="7"/>
      <c r="B975" s="7"/>
      <c r="C975" s="7"/>
      <c r="D975" s="7"/>
      <c r="E975" s="7"/>
      <c r="F975" s="7"/>
      <c r="G975" s="7"/>
    </row>
    <row r="976" ht="15.75" customHeight="1">
      <c r="A976" s="7"/>
      <c r="B976" s="7"/>
      <c r="C976" s="7"/>
      <c r="D976" s="7"/>
      <c r="E976" s="7"/>
      <c r="F976" s="7"/>
      <c r="G976" s="7"/>
    </row>
    <row r="977" ht="15.75" customHeight="1">
      <c r="A977" s="7"/>
      <c r="B977" s="7"/>
      <c r="C977" s="7"/>
      <c r="D977" s="7"/>
      <c r="E977" s="7"/>
      <c r="F977" s="7"/>
      <c r="G977" s="7"/>
    </row>
    <row r="978" ht="15.75" customHeight="1">
      <c r="A978" s="7"/>
      <c r="B978" s="7"/>
      <c r="C978" s="7"/>
      <c r="D978" s="7"/>
      <c r="E978" s="7"/>
      <c r="F978" s="7"/>
      <c r="G978" s="7"/>
    </row>
    <row r="979" ht="15.75" customHeight="1">
      <c r="A979" s="7"/>
      <c r="B979" s="7"/>
      <c r="C979" s="7"/>
      <c r="D979" s="7"/>
      <c r="E979" s="7"/>
      <c r="F979" s="7"/>
      <c r="G979" s="7"/>
    </row>
    <row r="980" ht="15.75" customHeight="1">
      <c r="A980" s="7"/>
      <c r="B980" s="7"/>
      <c r="C980" s="7"/>
      <c r="D980" s="7"/>
      <c r="E980" s="7"/>
      <c r="F980" s="7"/>
      <c r="G980" s="7"/>
    </row>
    <row r="981" ht="15.75" customHeight="1">
      <c r="A981" s="7"/>
      <c r="B981" s="7"/>
      <c r="C981" s="7"/>
      <c r="D981" s="7"/>
      <c r="E981" s="7"/>
      <c r="F981" s="7"/>
      <c r="G981" s="7"/>
    </row>
    <row r="982" ht="15.75" customHeight="1">
      <c r="A982" s="7"/>
      <c r="B982" s="7"/>
      <c r="C982" s="7"/>
      <c r="D982" s="7"/>
      <c r="E982" s="7"/>
      <c r="F982" s="7"/>
      <c r="G982" s="7"/>
    </row>
    <row r="983" ht="15.75" customHeight="1">
      <c r="A983" s="7"/>
      <c r="B983" s="7"/>
      <c r="C983" s="7"/>
      <c r="D983" s="7"/>
      <c r="E983" s="7"/>
      <c r="F983" s="7"/>
      <c r="G983" s="7"/>
    </row>
    <row r="984" ht="15.75" customHeight="1">
      <c r="A984" s="7"/>
      <c r="B984" s="7"/>
      <c r="C984" s="7"/>
      <c r="D984" s="7"/>
      <c r="E984" s="7"/>
      <c r="F984" s="7"/>
      <c r="G984" s="7"/>
    </row>
    <row r="985" ht="15.75" customHeight="1">
      <c r="A985" s="7"/>
      <c r="B985" s="7"/>
      <c r="C985" s="7"/>
      <c r="D985" s="7"/>
      <c r="E985" s="7"/>
      <c r="F985" s="7"/>
      <c r="G985" s="7"/>
    </row>
    <row r="986" ht="15.75" customHeight="1">
      <c r="A986" s="7"/>
      <c r="B986" s="7"/>
      <c r="C986" s="7"/>
      <c r="D986" s="7"/>
      <c r="E986" s="7"/>
      <c r="F986" s="7"/>
      <c r="G986" s="7"/>
    </row>
    <row r="987" ht="15.75" customHeight="1">
      <c r="A987" s="7"/>
      <c r="B987" s="7"/>
      <c r="C987" s="7"/>
      <c r="D987" s="7"/>
      <c r="E987" s="7"/>
      <c r="F987" s="7"/>
      <c r="G987" s="7"/>
    </row>
    <row r="988" ht="15.75" customHeight="1">
      <c r="A988" s="7"/>
      <c r="B988" s="7"/>
      <c r="C988" s="7"/>
      <c r="D988" s="7"/>
      <c r="E988" s="7"/>
      <c r="F988" s="7"/>
      <c r="G988" s="7"/>
    </row>
    <row r="989" ht="15.75" customHeight="1">
      <c r="A989" s="7"/>
      <c r="B989" s="7"/>
      <c r="C989" s="7"/>
      <c r="D989" s="7"/>
      <c r="E989" s="7"/>
      <c r="F989" s="7"/>
      <c r="G989" s="7"/>
    </row>
    <row r="990" ht="15.75" customHeight="1">
      <c r="A990" s="7"/>
      <c r="B990" s="7"/>
      <c r="C990" s="7"/>
      <c r="D990" s="7"/>
      <c r="E990" s="7"/>
      <c r="F990" s="7"/>
      <c r="G990" s="7"/>
    </row>
    <row r="991" ht="15.75" customHeight="1">
      <c r="A991" s="7"/>
      <c r="B991" s="7"/>
      <c r="C991" s="7"/>
      <c r="D991" s="7"/>
      <c r="E991" s="7"/>
      <c r="F991" s="7"/>
      <c r="G991" s="7"/>
    </row>
    <row r="992" ht="15.75" customHeight="1">
      <c r="A992" s="7"/>
      <c r="B992" s="7"/>
      <c r="C992" s="7"/>
      <c r="D992" s="7"/>
      <c r="E992" s="7"/>
      <c r="F992" s="7"/>
      <c r="G992" s="7"/>
    </row>
    <row r="993" ht="15.75" customHeight="1">
      <c r="A993" s="7"/>
      <c r="B993" s="7"/>
      <c r="C993" s="7"/>
      <c r="D993" s="7"/>
      <c r="E993" s="7"/>
      <c r="F993" s="7"/>
      <c r="G993" s="7"/>
    </row>
    <row r="994" ht="15.75" customHeight="1">
      <c r="A994" s="7"/>
      <c r="B994" s="7"/>
      <c r="C994" s="7"/>
      <c r="D994" s="7"/>
      <c r="E994" s="7"/>
      <c r="F994" s="7"/>
      <c r="G994" s="7"/>
    </row>
    <row r="995" ht="15.75" customHeight="1">
      <c r="A995" s="7"/>
      <c r="B995" s="7"/>
      <c r="C995" s="7"/>
      <c r="D995" s="7"/>
      <c r="E995" s="7"/>
      <c r="F995" s="7"/>
      <c r="G995" s="7"/>
    </row>
    <row r="996" ht="15.75" customHeight="1">
      <c r="A996" s="7"/>
      <c r="B996" s="7"/>
      <c r="C996" s="7"/>
      <c r="D996" s="7"/>
      <c r="E996" s="7"/>
      <c r="F996" s="7"/>
      <c r="G996" s="7"/>
    </row>
    <row r="997" ht="15.75" customHeight="1">
      <c r="A997" s="7"/>
      <c r="B997" s="7"/>
      <c r="C997" s="7"/>
      <c r="D997" s="7"/>
      <c r="E997" s="7"/>
      <c r="F997" s="7"/>
      <c r="G997" s="7"/>
    </row>
    <row r="998" ht="15.75" customHeight="1">
      <c r="A998" s="7"/>
      <c r="B998" s="7"/>
      <c r="C998" s="7"/>
      <c r="D998" s="7"/>
      <c r="E998" s="7"/>
      <c r="F998" s="7"/>
      <c r="G998" s="7"/>
    </row>
    <row r="999" ht="15.75" customHeight="1">
      <c r="A999" s="7"/>
      <c r="B999" s="7"/>
      <c r="C999" s="7"/>
      <c r="D999" s="7"/>
      <c r="E999" s="7"/>
      <c r="F999" s="7"/>
      <c r="G999" s="7"/>
    </row>
  </sheetData>
  <mergeCells count="13">
    <mergeCell ref="G1:Q1"/>
    <mergeCell ref="A3:A19"/>
    <mergeCell ref="A20:A34"/>
    <mergeCell ref="A35:A41"/>
    <mergeCell ref="A42:A53"/>
    <mergeCell ref="A54:A58"/>
    <mergeCell ref="R1:W1"/>
    <mergeCell ref="Y1:AE1"/>
    <mergeCell ref="AF1:AL1"/>
    <mergeCell ref="AM1:AS1"/>
    <mergeCell ref="AT1:AV1"/>
    <mergeCell ref="AW1:AY1"/>
    <mergeCell ref="AZ1:BC1"/>
  </mergeCell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cols>
    <col customWidth="1" min="3" max="3" width="19.13"/>
    <col customWidth="1" min="4" max="4" width="16.75"/>
    <col customWidth="1" min="5" max="5" width="15.63"/>
    <col customWidth="1" min="7" max="8" width="35.13"/>
    <col customWidth="1" min="9" max="9" width="21.63"/>
    <col customWidth="1" min="10" max="10" width="22.38"/>
    <col customWidth="1" min="11" max="11" width="23.13"/>
    <col customWidth="1" min="12" max="12" width="22.38"/>
    <col customWidth="1" min="13" max="15" width="24.25"/>
    <col customWidth="1" min="16" max="16" width="25.25"/>
    <col customWidth="1" min="18" max="18" width="14.75"/>
    <col customWidth="1" min="19" max="19" width="18.13"/>
    <col customWidth="1" min="20" max="20" width="18.38"/>
    <col customWidth="1" min="21" max="21" width="23.38"/>
    <col customWidth="1" min="22" max="22" width="20.25"/>
    <col customWidth="1" min="23" max="23" width="24.13"/>
    <col customWidth="1" min="24" max="24" width="33.13"/>
    <col customWidth="1" min="25" max="25" width="17.63"/>
    <col customWidth="1" min="26" max="26" width="24.63"/>
    <col customWidth="1" min="27" max="27" width="25.13"/>
    <col customWidth="1" min="28" max="29" width="25.63"/>
    <col customWidth="1" min="30" max="30" width="22.38"/>
    <col customWidth="1" min="31" max="31" width="28.63"/>
    <col customWidth="1" min="32" max="32" width="14.38"/>
    <col customWidth="1" min="33" max="33" width="22.38"/>
    <col customWidth="1" min="34" max="34" width="21.13"/>
    <col customWidth="1" min="35" max="35" width="22.88"/>
    <col customWidth="1" min="36" max="36" width="23.25"/>
    <col customWidth="1" min="37" max="37" width="20.88"/>
    <col customWidth="1" min="38" max="38" width="25.38"/>
    <col customWidth="1" min="39" max="39" width="16.75"/>
    <col customWidth="1" min="40" max="40" width="27.25"/>
    <col customWidth="1" min="41" max="41" width="26.38"/>
    <col customWidth="1" min="42" max="42" width="23.63"/>
    <col customWidth="1" min="43" max="43" width="29.88"/>
    <col customWidth="1" min="44" max="44" width="22.38"/>
    <col customWidth="1" min="45" max="45" width="26.88"/>
    <col customWidth="1" min="46" max="46" width="14.75"/>
    <col customWidth="1" min="47" max="47" width="25.25"/>
    <col customWidth="1" min="48" max="48" width="25.38"/>
    <col customWidth="1" min="49" max="49" width="13.75"/>
    <col customWidth="1" min="50" max="50" width="25.75"/>
    <col customWidth="1" min="51" max="51" width="24.13"/>
    <col customWidth="1" min="52" max="52" width="34.5"/>
    <col customWidth="1" min="53" max="54" width="36.88"/>
    <col customWidth="1" min="55" max="55" width="20.75"/>
  </cols>
  <sheetData>
    <row r="1" ht="27.0" customHeight="1">
      <c r="A1" s="109" t="s">
        <v>0</v>
      </c>
      <c r="B1" s="110" t="s">
        <v>405</v>
      </c>
      <c r="C1" s="111" t="s">
        <v>406</v>
      </c>
      <c r="D1" s="112" t="s">
        <v>3</v>
      </c>
      <c r="E1" s="112" t="s">
        <v>4</v>
      </c>
      <c r="F1" s="112" t="s">
        <v>8</v>
      </c>
      <c r="G1" s="30" t="s">
        <v>407</v>
      </c>
      <c r="H1" s="31"/>
      <c r="I1" s="31"/>
      <c r="J1" s="31"/>
      <c r="K1" s="31"/>
      <c r="L1" s="31"/>
      <c r="M1" s="31"/>
      <c r="N1" s="31"/>
      <c r="O1" s="31"/>
      <c r="P1" s="31"/>
      <c r="Q1" s="32"/>
      <c r="R1" s="33" t="s">
        <v>408</v>
      </c>
      <c r="S1" s="34"/>
      <c r="T1" s="34"/>
      <c r="U1" s="34"/>
      <c r="V1" s="34"/>
      <c r="W1" s="35"/>
      <c r="X1" s="36" t="s">
        <v>409</v>
      </c>
      <c r="Y1" s="33" t="s">
        <v>410</v>
      </c>
      <c r="Z1" s="34"/>
      <c r="AA1" s="34"/>
      <c r="AB1" s="34"/>
      <c r="AC1" s="34"/>
      <c r="AD1" s="34"/>
      <c r="AE1" s="35"/>
      <c r="AF1" s="37" t="s">
        <v>411</v>
      </c>
      <c r="AG1" s="38"/>
      <c r="AH1" s="38"/>
      <c r="AI1" s="38"/>
      <c r="AJ1" s="38"/>
      <c r="AK1" s="38"/>
      <c r="AL1" s="39"/>
      <c r="AM1" s="40" t="s">
        <v>412</v>
      </c>
      <c r="AN1" s="38"/>
      <c r="AO1" s="38"/>
      <c r="AP1" s="38"/>
      <c r="AQ1" s="38"/>
      <c r="AR1" s="38"/>
      <c r="AS1" s="39"/>
      <c r="AT1" s="37" t="s">
        <v>413</v>
      </c>
      <c r="AU1" s="38"/>
      <c r="AV1" s="39"/>
      <c r="AW1" s="37" t="s">
        <v>414</v>
      </c>
      <c r="AX1" s="38"/>
      <c r="AY1" s="39"/>
      <c r="AZ1" s="41" t="s">
        <v>415</v>
      </c>
      <c r="BA1" s="42"/>
      <c r="BB1" s="42"/>
      <c r="BC1" s="43"/>
    </row>
    <row r="2" ht="31.5" customHeight="1">
      <c r="A2" s="119"/>
      <c r="B2" s="25"/>
      <c r="C2" s="25"/>
      <c r="D2" s="7"/>
      <c r="E2" s="7"/>
      <c r="F2" s="7"/>
      <c r="G2" s="46" t="s">
        <v>416</v>
      </c>
      <c r="H2" s="47" t="s">
        <v>417</v>
      </c>
      <c r="I2" s="48" t="s">
        <v>418</v>
      </c>
      <c r="J2" s="48" t="s">
        <v>419</v>
      </c>
      <c r="K2" s="49" t="s">
        <v>420</v>
      </c>
      <c r="L2" s="45" t="s">
        <v>421</v>
      </c>
      <c r="M2" s="50" t="s">
        <v>619</v>
      </c>
      <c r="N2" s="51" t="s">
        <v>620</v>
      </c>
      <c r="O2" s="52" t="s">
        <v>424</v>
      </c>
      <c r="P2" s="53" t="s">
        <v>621</v>
      </c>
      <c r="Q2" s="54" t="s">
        <v>426</v>
      </c>
      <c r="R2" s="55" t="s">
        <v>427</v>
      </c>
      <c r="S2" s="52" t="s">
        <v>428</v>
      </c>
      <c r="T2" s="52" t="s">
        <v>429</v>
      </c>
      <c r="U2" s="56" t="s">
        <v>430</v>
      </c>
      <c r="V2" s="45" t="s">
        <v>431</v>
      </c>
      <c r="W2" s="57" t="s">
        <v>432</v>
      </c>
      <c r="X2" s="58" t="s">
        <v>433</v>
      </c>
      <c r="Y2" s="55" t="s">
        <v>434</v>
      </c>
      <c r="Z2" s="59" t="s">
        <v>435</v>
      </c>
      <c r="AA2" s="52" t="s">
        <v>436</v>
      </c>
      <c r="AB2" s="56" t="s">
        <v>437</v>
      </c>
      <c r="AC2" s="49" t="s">
        <v>438</v>
      </c>
      <c r="AD2" s="49" t="s">
        <v>439</v>
      </c>
      <c r="AE2" s="60" t="s">
        <v>440</v>
      </c>
      <c r="AF2" s="55" t="s">
        <v>441</v>
      </c>
      <c r="AG2" s="59" t="s">
        <v>442</v>
      </c>
      <c r="AH2" s="52" t="s">
        <v>443</v>
      </c>
      <c r="AI2" s="56" t="s">
        <v>444</v>
      </c>
      <c r="AJ2" s="45" t="s">
        <v>445</v>
      </c>
      <c r="AK2" s="45" t="s">
        <v>446</v>
      </c>
      <c r="AL2" s="61" t="s">
        <v>447</v>
      </c>
      <c r="AM2" s="55" t="s">
        <v>448</v>
      </c>
      <c r="AN2" s="52" t="s">
        <v>449</v>
      </c>
      <c r="AO2" s="52" t="s">
        <v>450</v>
      </c>
      <c r="AP2" s="56" t="s">
        <v>451</v>
      </c>
      <c r="AQ2" s="45" t="s">
        <v>452</v>
      </c>
      <c r="AR2" s="45" t="s">
        <v>453</v>
      </c>
      <c r="AS2" s="61" t="s">
        <v>454</v>
      </c>
      <c r="AT2" s="55" t="s">
        <v>455</v>
      </c>
      <c r="AU2" s="52" t="s">
        <v>456</v>
      </c>
      <c r="AV2" s="61" t="s">
        <v>457</v>
      </c>
      <c r="AW2" s="55" t="s">
        <v>458</v>
      </c>
      <c r="AX2" s="52" t="s">
        <v>459</v>
      </c>
      <c r="AY2" s="61" t="s">
        <v>460</v>
      </c>
      <c r="AZ2" s="62" t="s">
        <v>461</v>
      </c>
      <c r="BA2" s="63" t="s">
        <v>622</v>
      </c>
      <c r="BB2" s="64" t="s">
        <v>623</v>
      </c>
      <c r="BC2" s="65" t="s">
        <v>624</v>
      </c>
    </row>
    <row r="3" ht="15.75" customHeight="1">
      <c r="A3" s="66" t="s">
        <v>13</v>
      </c>
      <c r="B3" s="68" t="s">
        <v>14</v>
      </c>
      <c r="C3" s="68" t="s">
        <v>91</v>
      </c>
      <c r="D3" s="9" t="s">
        <v>473</v>
      </c>
      <c r="E3" s="9" t="s">
        <v>93</v>
      </c>
      <c r="F3" s="9" t="s">
        <v>51</v>
      </c>
      <c r="G3" s="9" t="s">
        <v>625</v>
      </c>
      <c r="H3" s="9">
        <v>4.0</v>
      </c>
      <c r="I3" s="9"/>
      <c r="J3" s="9"/>
      <c r="K3" s="9"/>
      <c r="L3" s="9">
        <v>180.0</v>
      </c>
      <c r="M3" s="9">
        <f t="shared" ref="M3:M62" si="1">if(P3&lt;500,0,P3/H3)</f>
        <v>0</v>
      </c>
      <c r="N3" s="9">
        <f t="shared" ref="N3:N62" si="2">0.04*P3</f>
        <v>0</v>
      </c>
      <c r="O3" s="9">
        <v>1.0</v>
      </c>
      <c r="P3" s="11">
        <f t="shared" ref="P3:P62" si="3">(I3*O3)+(J3*Q3)</f>
        <v>0</v>
      </c>
      <c r="Q3" s="69">
        <v>8.0</v>
      </c>
      <c r="R3" s="75">
        <v>11.0</v>
      </c>
      <c r="S3" s="9">
        <v>12.0</v>
      </c>
      <c r="T3" s="9">
        <v>400.0</v>
      </c>
      <c r="U3" s="9">
        <f t="shared" ref="U3:U62" si="4">S3*T3*Q3</f>
        <v>38400</v>
      </c>
      <c r="V3" s="9">
        <f t="shared" ref="V3:V62" si="5">S3*(1+R3%)</f>
        <v>13.32</v>
      </c>
      <c r="W3" s="11">
        <f t="shared" ref="W3:W62" si="6">V3*T3</f>
        <v>5328</v>
      </c>
      <c r="X3" s="72">
        <f t="shared" ref="X3:X62" si="7">(W3*Q3)-U3</f>
        <v>4224</v>
      </c>
      <c r="Y3" s="75">
        <v>30.0</v>
      </c>
      <c r="Z3" s="9">
        <v>450.0</v>
      </c>
      <c r="AA3" s="69">
        <v>1.3</v>
      </c>
      <c r="AB3" s="9">
        <f t="shared" ref="AB3:AB62" si="8">AA3*Z3</f>
        <v>585</v>
      </c>
      <c r="AC3" s="9">
        <f t="shared" ref="AC3:AC62" si="9">Z3*(1-Y3%)</f>
        <v>315</v>
      </c>
      <c r="AD3" s="9">
        <f t="shared" ref="AD3:AD62" si="10">AB3-(AC3*AA3)</f>
        <v>175.5</v>
      </c>
      <c r="AE3" s="73">
        <f t="shared" ref="AE3:AE62" si="11">AD3*Q3</f>
        <v>1404</v>
      </c>
      <c r="AF3" s="75">
        <v>20.0</v>
      </c>
      <c r="AG3" s="79">
        <v>1200.0</v>
      </c>
      <c r="AH3" s="74">
        <v>0.6</v>
      </c>
      <c r="AI3" s="9">
        <f t="shared" ref="AI3:AI62" si="12">AH3*AG3</f>
        <v>720</v>
      </c>
      <c r="AJ3" s="9">
        <f t="shared" ref="AJ3:AJ62" si="13">AG3*(1-AF3%)</f>
        <v>960</v>
      </c>
      <c r="AK3" s="9">
        <f t="shared" ref="AK3:AK62" si="14">AI3-(AJ3*AH3)</f>
        <v>144</v>
      </c>
      <c r="AL3" s="11">
        <f t="shared" ref="AL3:AL62" si="15">AK3*Q3</f>
        <v>1152</v>
      </c>
      <c r="AM3" s="75">
        <v>35.0</v>
      </c>
      <c r="AN3" s="74">
        <v>2.5</v>
      </c>
      <c r="AO3" s="74">
        <v>22.0</v>
      </c>
      <c r="AP3" s="9">
        <f t="shared" ref="AP3:AP62" si="16">AO3*AN3</f>
        <v>55</v>
      </c>
      <c r="AQ3" s="9">
        <f t="shared" ref="AQ3:AQ62" si="17">AN3*(1-AM3%)</f>
        <v>1.625</v>
      </c>
      <c r="AR3" s="9">
        <f t="shared" ref="AR3:AR62" si="18">AP3-(AQ3*AO3)</f>
        <v>19.25</v>
      </c>
      <c r="AS3" s="11">
        <f t="shared" ref="AS3:AS62" si="19">AR3*Q3</f>
        <v>154</v>
      </c>
      <c r="AT3" s="76">
        <v>0.0</v>
      </c>
      <c r="AU3" s="74">
        <v>20000.0</v>
      </c>
      <c r="AV3" s="11">
        <f t="shared" ref="AV3:AV62" si="20">AU3-(AU3*(1-AT3%))</f>
        <v>0</v>
      </c>
      <c r="AW3" s="76">
        <v>0.0</v>
      </c>
      <c r="AX3" s="74">
        <v>4500.0</v>
      </c>
      <c r="AY3" s="11">
        <f t="shared" ref="AY3:AY62" si="21">AX3-(AX3*(1-AW3%))</f>
        <v>0</v>
      </c>
      <c r="AZ3" s="75">
        <f t="shared" ref="AZ3:AZ62" si="22">(AY3+AV3+AS3+AL3+AE3+X3)-(L3*O3)-M3-N3</f>
        <v>6754</v>
      </c>
      <c r="BA3" s="120" t="str">
        <f t="shared" ref="BA3:BA62" si="23">IF(P3&gt;0,AZ3/P3,"The DAT is free")</f>
        <v>The DAT is free</v>
      </c>
      <c r="BB3" s="11">
        <f t="shared" ref="BB3:BB62" si="24">if(AZ3&gt;0,P3/AZ3,"Payback period not applicable: the investment does not recover its cost under current conditions.")</f>
        <v>0</v>
      </c>
      <c r="BC3" s="11" t="str">
        <f t="shared" ref="BC3:BC62" si="25">IF(BB3&lt;6, "YES", "NO")</f>
        <v>YES</v>
      </c>
    </row>
    <row r="4" ht="15.75" customHeight="1">
      <c r="A4" s="12"/>
      <c r="B4" s="7" t="s">
        <v>14</v>
      </c>
      <c r="C4" s="7" t="s">
        <v>91</v>
      </c>
      <c r="D4" s="7" t="s">
        <v>476</v>
      </c>
      <c r="E4" s="7" t="s">
        <v>93</v>
      </c>
      <c r="F4" s="7" t="s">
        <v>51</v>
      </c>
      <c r="G4" s="7" t="s">
        <v>626</v>
      </c>
      <c r="H4" s="116">
        <v>4.0</v>
      </c>
      <c r="I4" s="7"/>
      <c r="J4" s="7"/>
      <c r="K4" s="7"/>
      <c r="L4" s="7">
        <v>340.0</v>
      </c>
      <c r="M4" s="9">
        <f t="shared" si="1"/>
        <v>0</v>
      </c>
      <c r="N4" s="9">
        <f t="shared" si="2"/>
        <v>0</v>
      </c>
      <c r="O4" s="116">
        <v>1.0</v>
      </c>
      <c r="P4" s="11">
        <f t="shared" si="3"/>
        <v>0</v>
      </c>
      <c r="Q4" s="118">
        <v>8.0</v>
      </c>
      <c r="R4" s="84">
        <v>11.0</v>
      </c>
      <c r="S4" s="116">
        <v>12.0</v>
      </c>
      <c r="T4" s="116">
        <v>400.0</v>
      </c>
      <c r="U4" s="116">
        <f t="shared" si="4"/>
        <v>38400</v>
      </c>
      <c r="V4" s="116">
        <f t="shared" si="5"/>
        <v>13.32</v>
      </c>
      <c r="W4" s="117">
        <f t="shared" si="6"/>
        <v>5328</v>
      </c>
      <c r="X4" s="118">
        <f t="shared" si="7"/>
        <v>4224</v>
      </c>
      <c r="Y4" s="84">
        <v>30.0</v>
      </c>
      <c r="Z4" s="116">
        <v>450.0</v>
      </c>
      <c r="AA4" s="79">
        <v>1.3</v>
      </c>
      <c r="AB4" s="116">
        <f t="shared" si="8"/>
        <v>585</v>
      </c>
      <c r="AC4" s="116">
        <f t="shared" si="9"/>
        <v>315</v>
      </c>
      <c r="AD4" s="116">
        <f t="shared" si="10"/>
        <v>175.5</v>
      </c>
      <c r="AE4" s="117">
        <f t="shared" si="11"/>
        <v>1404</v>
      </c>
      <c r="AF4" s="121">
        <v>20.0</v>
      </c>
      <c r="AG4" s="79">
        <v>1200.0</v>
      </c>
      <c r="AH4" s="116">
        <v>0.6</v>
      </c>
      <c r="AI4" s="116">
        <f t="shared" si="12"/>
        <v>720</v>
      </c>
      <c r="AJ4" s="116">
        <f t="shared" si="13"/>
        <v>960</v>
      </c>
      <c r="AK4" s="116">
        <f t="shared" si="14"/>
        <v>144</v>
      </c>
      <c r="AL4" s="117">
        <f t="shared" si="15"/>
        <v>1152</v>
      </c>
      <c r="AM4" s="84">
        <v>35.0</v>
      </c>
      <c r="AN4" s="116">
        <v>2.5</v>
      </c>
      <c r="AO4" s="116">
        <v>22.0</v>
      </c>
      <c r="AP4" s="116">
        <f t="shared" si="16"/>
        <v>55</v>
      </c>
      <c r="AQ4" s="116">
        <f t="shared" si="17"/>
        <v>1.625</v>
      </c>
      <c r="AR4" s="116">
        <f t="shared" si="18"/>
        <v>19.25</v>
      </c>
      <c r="AS4" s="117">
        <f t="shared" si="19"/>
        <v>154</v>
      </c>
      <c r="AT4" s="82">
        <v>0.0</v>
      </c>
      <c r="AU4" s="116">
        <v>20000.0</v>
      </c>
      <c r="AV4" s="117">
        <f t="shared" si="20"/>
        <v>0</v>
      </c>
      <c r="AW4" s="82">
        <v>0.0</v>
      </c>
      <c r="AX4" s="116">
        <v>4500.0</v>
      </c>
      <c r="AY4" s="117">
        <f t="shared" si="21"/>
        <v>0</v>
      </c>
      <c r="AZ4" s="75">
        <f t="shared" si="22"/>
        <v>6594</v>
      </c>
      <c r="BA4" s="120" t="str">
        <f t="shared" si="23"/>
        <v>The DAT is free</v>
      </c>
      <c r="BB4" s="11">
        <f t="shared" si="24"/>
        <v>0</v>
      </c>
      <c r="BC4" s="11" t="str">
        <f t="shared" si="25"/>
        <v>YES</v>
      </c>
    </row>
    <row r="5" ht="15.75" customHeight="1">
      <c r="A5" s="12"/>
      <c r="B5" s="25" t="s">
        <v>14</v>
      </c>
      <c r="C5" s="25" t="s">
        <v>91</v>
      </c>
      <c r="D5" s="7" t="s">
        <v>97</v>
      </c>
      <c r="E5" s="7" t="s">
        <v>98</v>
      </c>
      <c r="F5" s="7" t="s">
        <v>51</v>
      </c>
      <c r="G5" s="7" t="s">
        <v>480</v>
      </c>
      <c r="H5" s="116">
        <v>4.0</v>
      </c>
      <c r="I5" s="7"/>
      <c r="J5" s="7"/>
      <c r="K5" s="7">
        <v>20.0</v>
      </c>
      <c r="L5" s="7">
        <f>K5*12</f>
        <v>240</v>
      </c>
      <c r="M5" s="9">
        <f t="shared" si="1"/>
        <v>0</v>
      </c>
      <c r="N5" s="9">
        <f t="shared" si="2"/>
        <v>0</v>
      </c>
      <c r="O5" s="7">
        <v>1.0</v>
      </c>
      <c r="P5" s="11">
        <f t="shared" si="3"/>
        <v>0</v>
      </c>
      <c r="Q5" s="118">
        <v>8.0</v>
      </c>
      <c r="R5" s="84">
        <v>11.0</v>
      </c>
      <c r="S5" s="116">
        <v>12.0</v>
      </c>
      <c r="T5" s="116">
        <v>400.0</v>
      </c>
      <c r="U5" s="7">
        <f t="shared" si="4"/>
        <v>38400</v>
      </c>
      <c r="V5" s="7">
        <f t="shared" si="5"/>
        <v>13.32</v>
      </c>
      <c r="W5" s="14">
        <f t="shared" si="6"/>
        <v>5328</v>
      </c>
      <c r="X5" s="94">
        <f t="shared" si="7"/>
        <v>4224</v>
      </c>
      <c r="Y5" s="84">
        <v>30.0</v>
      </c>
      <c r="Z5" s="116">
        <v>450.0</v>
      </c>
      <c r="AA5" s="79">
        <v>1.3</v>
      </c>
      <c r="AB5" s="7">
        <f t="shared" si="8"/>
        <v>585</v>
      </c>
      <c r="AC5" s="7">
        <f t="shared" si="9"/>
        <v>315</v>
      </c>
      <c r="AD5" s="7">
        <f t="shared" si="10"/>
        <v>175.5</v>
      </c>
      <c r="AE5" s="83">
        <f t="shared" si="11"/>
        <v>1404</v>
      </c>
      <c r="AF5" s="84">
        <v>20.0</v>
      </c>
      <c r="AG5" s="79">
        <v>1200.0</v>
      </c>
      <c r="AH5" s="116">
        <v>0.6</v>
      </c>
      <c r="AI5" s="7">
        <f t="shared" si="12"/>
        <v>720</v>
      </c>
      <c r="AJ5" s="7">
        <f t="shared" si="13"/>
        <v>960</v>
      </c>
      <c r="AK5" s="7">
        <f t="shared" si="14"/>
        <v>144</v>
      </c>
      <c r="AL5" s="14">
        <f t="shared" si="15"/>
        <v>1152</v>
      </c>
      <c r="AM5" s="84">
        <v>35.0</v>
      </c>
      <c r="AN5" s="116">
        <v>2.5</v>
      </c>
      <c r="AO5" s="116">
        <v>22.0</v>
      </c>
      <c r="AP5" s="7">
        <f t="shared" si="16"/>
        <v>55</v>
      </c>
      <c r="AQ5" s="7">
        <f t="shared" si="17"/>
        <v>1.625</v>
      </c>
      <c r="AR5" s="7">
        <f t="shared" si="18"/>
        <v>19.25</v>
      </c>
      <c r="AS5" s="14">
        <f t="shared" si="19"/>
        <v>154</v>
      </c>
      <c r="AT5" s="82">
        <v>0.0</v>
      </c>
      <c r="AU5" s="116">
        <v>20000.0</v>
      </c>
      <c r="AV5" s="14">
        <f t="shared" si="20"/>
        <v>0</v>
      </c>
      <c r="AW5" s="82">
        <v>0.0</v>
      </c>
      <c r="AX5" s="116">
        <v>4500.0</v>
      </c>
      <c r="AY5" s="14">
        <f t="shared" si="21"/>
        <v>0</v>
      </c>
      <c r="AZ5" s="75">
        <f t="shared" si="22"/>
        <v>6694</v>
      </c>
      <c r="BA5" s="120" t="str">
        <f t="shared" si="23"/>
        <v>The DAT is free</v>
      </c>
      <c r="BB5" s="11">
        <f t="shared" si="24"/>
        <v>0</v>
      </c>
      <c r="BC5" s="11" t="str">
        <f t="shared" si="25"/>
        <v>YES</v>
      </c>
    </row>
    <row r="6" ht="15.75" customHeight="1">
      <c r="A6" s="12"/>
      <c r="B6" s="25" t="s">
        <v>14</v>
      </c>
      <c r="C6" s="25" t="s">
        <v>91</v>
      </c>
      <c r="D6" s="7" t="s">
        <v>108</v>
      </c>
      <c r="E6" s="7" t="s">
        <v>109</v>
      </c>
      <c r="F6" s="7" t="s">
        <v>51</v>
      </c>
      <c r="G6" s="7" t="s">
        <v>580</v>
      </c>
      <c r="H6" s="116">
        <v>4.0</v>
      </c>
      <c r="I6" s="7">
        <v>3300.0</v>
      </c>
      <c r="J6" s="7"/>
      <c r="K6" s="78"/>
      <c r="L6" s="7"/>
      <c r="M6" s="9">
        <f t="shared" si="1"/>
        <v>825</v>
      </c>
      <c r="N6" s="9">
        <f t="shared" si="2"/>
        <v>132</v>
      </c>
      <c r="O6" s="7">
        <v>1.0</v>
      </c>
      <c r="P6" s="11">
        <f t="shared" si="3"/>
        <v>3300</v>
      </c>
      <c r="Q6" s="118">
        <v>8.0</v>
      </c>
      <c r="R6" s="84">
        <v>11.0</v>
      </c>
      <c r="S6" s="116">
        <v>12.0</v>
      </c>
      <c r="T6" s="116">
        <v>400.0</v>
      </c>
      <c r="U6" s="7">
        <f t="shared" si="4"/>
        <v>38400</v>
      </c>
      <c r="V6" s="7">
        <f t="shared" si="5"/>
        <v>13.32</v>
      </c>
      <c r="W6" s="14">
        <f t="shared" si="6"/>
        <v>5328</v>
      </c>
      <c r="X6" s="94">
        <f t="shared" si="7"/>
        <v>4224</v>
      </c>
      <c r="Y6" s="84">
        <v>30.0</v>
      </c>
      <c r="Z6" s="116">
        <v>450.0</v>
      </c>
      <c r="AA6" s="79">
        <v>1.3</v>
      </c>
      <c r="AB6" s="7">
        <f t="shared" si="8"/>
        <v>585</v>
      </c>
      <c r="AC6" s="7">
        <f t="shared" si="9"/>
        <v>315</v>
      </c>
      <c r="AD6" s="7">
        <f t="shared" si="10"/>
        <v>175.5</v>
      </c>
      <c r="AE6" s="83">
        <f t="shared" si="11"/>
        <v>1404</v>
      </c>
      <c r="AF6" s="84">
        <v>20.0</v>
      </c>
      <c r="AG6" s="79">
        <v>1200.0</v>
      </c>
      <c r="AH6" s="116">
        <v>0.6</v>
      </c>
      <c r="AI6" s="7">
        <f t="shared" si="12"/>
        <v>720</v>
      </c>
      <c r="AJ6" s="7">
        <f t="shared" si="13"/>
        <v>960</v>
      </c>
      <c r="AK6" s="7">
        <f t="shared" si="14"/>
        <v>144</v>
      </c>
      <c r="AL6" s="14">
        <f t="shared" si="15"/>
        <v>1152</v>
      </c>
      <c r="AM6" s="84">
        <v>35.0</v>
      </c>
      <c r="AN6" s="116">
        <v>2.5</v>
      </c>
      <c r="AO6" s="116">
        <v>22.0</v>
      </c>
      <c r="AP6" s="7">
        <f t="shared" si="16"/>
        <v>55</v>
      </c>
      <c r="AQ6" s="7">
        <f t="shared" si="17"/>
        <v>1.625</v>
      </c>
      <c r="AR6" s="7">
        <f t="shared" si="18"/>
        <v>19.25</v>
      </c>
      <c r="AS6" s="14">
        <f t="shared" si="19"/>
        <v>154</v>
      </c>
      <c r="AT6" s="82">
        <v>0.0</v>
      </c>
      <c r="AU6" s="116">
        <v>20000.0</v>
      </c>
      <c r="AV6" s="14">
        <f t="shared" si="20"/>
        <v>0</v>
      </c>
      <c r="AW6" s="82">
        <v>0.0</v>
      </c>
      <c r="AX6" s="116">
        <v>4500.0</v>
      </c>
      <c r="AY6" s="14">
        <f t="shared" si="21"/>
        <v>0</v>
      </c>
      <c r="AZ6" s="75">
        <f t="shared" si="22"/>
        <v>5977</v>
      </c>
      <c r="BA6" s="120">
        <f t="shared" si="23"/>
        <v>1.811212121</v>
      </c>
      <c r="BB6" s="11">
        <f t="shared" si="24"/>
        <v>0.5521164464</v>
      </c>
      <c r="BC6" s="11" t="str">
        <f t="shared" si="25"/>
        <v>YES</v>
      </c>
    </row>
    <row r="7" ht="15.75" customHeight="1">
      <c r="A7" s="12"/>
      <c r="B7" s="25" t="s">
        <v>14</v>
      </c>
      <c r="C7" s="25" t="s">
        <v>91</v>
      </c>
      <c r="D7" s="7" t="s">
        <v>113</v>
      </c>
      <c r="E7" s="7" t="s">
        <v>109</v>
      </c>
      <c r="F7" s="7" t="s">
        <v>51</v>
      </c>
      <c r="G7" s="7" t="s">
        <v>496</v>
      </c>
      <c r="H7" s="116">
        <v>4.0</v>
      </c>
      <c r="I7" s="7">
        <v>6300.0</v>
      </c>
      <c r="J7" s="7"/>
      <c r="L7" s="7"/>
      <c r="M7" s="9">
        <f t="shared" si="1"/>
        <v>1575</v>
      </c>
      <c r="N7" s="9">
        <f t="shared" si="2"/>
        <v>252</v>
      </c>
      <c r="O7" s="7">
        <v>1.0</v>
      </c>
      <c r="P7" s="11">
        <f t="shared" si="3"/>
        <v>6300</v>
      </c>
      <c r="Q7" s="118">
        <v>8.0</v>
      </c>
      <c r="R7" s="84">
        <v>11.0</v>
      </c>
      <c r="S7" s="116">
        <v>12.0</v>
      </c>
      <c r="T7" s="116">
        <v>400.0</v>
      </c>
      <c r="U7" s="7">
        <f t="shared" si="4"/>
        <v>38400</v>
      </c>
      <c r="V7" s="7">
        <f t="shared" si="5"/>
        <v>13.32</v>
      </c>
      <c r="W7" s="14">
        <f t="shared" si="6"/>
        <v>5328</v>
      </c>
      <c r="X7" s="94">
        <f t="shared" si="7"/>
        <v>4224</v>
      </c>
      <c r="Y7" s="84">
        <v>30.0</v>
      </c>
      <c r="Z7" s="116">
        <v>450.0</v>
      </c>
      <c r="AA7" s="79">
        <v>1.3</v>
      </c>
      <c r="AB7" s="7">
        <f t="shared" si="8"/>
        <v>585</v>
      </c>
      <c r="AC7" s="7">
        <f t="shared" si="9"/>
        <v>315</v>
      </c>
      <c r="AD7" s="7">
        <f t="shared" si="10"/>
        <v>175.5</v>
      </c>
      <c r="AE7" s="83">
        <f t="shared" si="11"/>
        <v>1404</v>
      </c>
      <c r="AF7" s="84">
        <v>20.0</v>
      </c>
      <c r="AG7" s="79">
        <v>1200.0</v>
      </c>
      <c r="AH7" s="116">
        <v>0.6</v>
      </c>
      <c r="AI7" s="7">
        <f t="shared" si="12"/>
        <v>720</v>
      </c>
      <c r="AJ7" s="7">
        <f t="shared" si="13"/>
        <v>960</v>
      </c>
      <c r="AK7" s="7">
        <f t="shared" si="14"/>
        <v>144</v>
      </c>
      <c r="AL7" s="14">
        <f t="shared" si="15"/>
        <v>1152</v>
      </c>
      <c r="AM7" s="84">
        <v>35.0</v>
      </c>
      <c r="AN7" s="116">
        <v>2.5</v>
      </c>
      <c r="AO7" s="116">
        <v>22.0</v>
      </c>
      <c r="AP7" s="7">
        <f t="shared" si="16"/>
        <v>55</v>
      </c>
      <c r="AQ7" s="7">
        <f t="shared" si="17"/>
        <v>1.625</v>
      </c>
      <c r="AR7" s="7">
        <f t="shared" si="18"/>
        <v>19.25</v>
      </c>
      <c r="AS7" s="14">
        <f t="shared" si="19"/>
        <v>154</v>
      </c>
      <c r="AT7" s="82">
        <v>0.0</v>
      </c>
      <c r="AU7" s="116">
        <v>20000.0</v>
      </c>
      <c r="AV7" s="14">
        <f t="shared" si="20"/>
        <v>0</v>
      </c>
      <c r="AW7" s="82">
        <v>0.0</v>
      </c>
      <c r="AX7" s="116">
        <v>4500.0</v>
      </c>
      <c r="AY7" s="14">
        <f t="shared" si="21"/>
        <v>0</v>
      </c>
      <c r="AZ7" s="75">
        <f t="shared" si="22"/>
        <v>5107</v>
      </c>
      <c r="BA7" s="120">
        <f t="shared" si="23"/>
        <v>0.8106349206</v>
      </c>
      <c r="BB7" s="11">
        <f t="shared" si="24"/>
        <v>1.23360094</v>
      </c>
      <c r="BC7" s="11" t="str">
        <f t="shared" si="25"/>
        <v>YES</v>
      </c>
    </row>
    <row r="8" ht="15.75" customHeight="1">
      <c r="A8" s="12"/>
      <c r="B8" s="25" t="s">
        <v>36</v>
      </c>
      <c r="C8" s="25" t="s">
        <v>627</v>
      </c>
      <c r="D8" s="7" t="s">
        <v>38</v>
      </c>
      <c r="E8" s="7" t="s">
        <v>628</v>
      </c>
      <c r="F8" s="7" t="s">
        <v>43</v>
      </c>
      <c r="G8" s="7" t="s">
        <v>44</v>
      </c>
      <c r="H8" s="116">
        <v>4.0</v>
      </c>
      <c r="I8" s="7">
        <v>0.0</v>
      </c>
      <c r="J8" s="7"/>
      <c r="L8" s="7"/>
      <c r="M8" s="9">
        <f t="shared" si="1"/>
        <v>0</v>
      </c>
      <c r="N8" s="9">
        <f t="shared" si="2"/>
        <v>0</v>
      </c>
      <c r="O8" s="7">
        <v>1.0</v>
      </c>
      <c r="P8" s="11">
        <f t="shared" si="3"/>
        <v>0</v>
      </c>
      <c r="Q8" s="118">
        <v>8.0</v>
      </c>
      <c r="R8" s="84">
        <v>11.0</v>
      </c>
      <c r="S8" s="116">
        <v>12.0</v>
      </c>
      <c r="T8" s="116">
        <v>400.0</v>
      </c>
      <c r="U8" s="7">
        <f t="shared" si="4"/>
        <v>38400</v>
      </c>
      <c r="V8" s="7">
        <f t="shared" si="5"/>
        <v>13.32</v>
      </c>
      <c r="W8" s="14">
        <f t="shared" si="6"/>
        <v>5328</v>
      </c>
      <c r="X8" s="94">
        <f t="shared" si="7"/>
        <v>4224</v>
      </c>
      <c r="Y8" s="84">
        <v>30.0</v>
      </c>
      <c r="Z8" s="116">
        <v>450.0</v>
      </c>
      <c r="AA8" s="79">
        <v>1.3</v>
      </c>
      <c r="AB8" s="7">
        <f t="shared" si="8"/>
        <v>585</v>
      </c>
      <c r="AC8" s="7">
        <f t="shared" si="9"/>
        <v>315</v>
      </c>
      <c r="AD8" s="7">
        <f t="shared" si="10"/>
        <v>175.5</v>
      </c>
      <c r="AE8" s="83">
        <f t="shared" si="11"/>
        <v>1404</v>
      </c>
      <c r="AF8" s="84">
        <v>20.0</v>
      </c>
      <c r="AG8" s="79">
        <v>1200.0</v>
      </c>
      <c r="AH8" s="116">
        <v>0.6</v>
      </c>
      <c r="AI8" s="7">
        <f t="shared" si="12"/>
        <v>720</v>
      </c>
      <c r="AJ8" s="7">
        <f t="shared" si="13"/>
        <v>960</v>
      </c>
      <c r="AK8" s="7">
        <f t="shared" si="14"/>
        <v>144</v>
      </c>
      <c r="AL8" s="14">
        <f t="shared" si="15"/>
        <v>1152</v>
      </c>
      <c r="AM8" s="84">
        <v>35.0</v>
      </c>
      <c r="AN8" s="116">
        <v>2.5</v>
      </c>
      <c r="AO8" s="116">
        <v>22.0</v>
      </c>
      <c r="AP8" s="7">
        <f t="shared" si="16"/>
        <v>55</v>
      </c>
      <c r="AQ8" s="7">
        <f t="shared" si="17"/>
        <v>1.625</v>
      </c>
      <c r="AR8" s="7">
        <f t="shared" si="18"/>
        <v>19.25</v>
      </c>
      <c r="AS8" s="14">
        <f t="shared" si="19"/>
        <v>154</v>
      </c>
      <c r="AT8" s="82">
        <v>0.0</v>
      </c>
      <c r="AU8" s="116">
        <v>20000.0</v>
      </c>
      <c r="AV8" s="14">
        <f t="shared" si="20"/>
        <v>0</v>
      </c>
      <c r="AW8" s="82">
        <v>0.0</v>
      </c>
      <c r="AX8" s="116">
        <v>4500.0</v>
      </c>
      <c r="AY8" s="14">
        <f t="shared" si="21"/>
        <v>0</v>
      </c>
      <c r="AZ8" s="75">
        <f t="shared" si="22"/>
        <v>6934</v>
      </c>
      <c r="BA8" s="120" t="str">
        <f t="shared" si="23"/>
        <v>The DAT is free</v>
      </c>
      <c r="BB8" s="11">
        <f t="shared" si="24"/>
        <v>0</v>
      </c>
      <c r="BC8" s="11" t="str">
        <f t="shared" si="25"/>
        <v>YES</v>
      </c>
    </row>
    <row r="9" ht="15.75" customHeight="1">
      <c r="A9" s="12"/>
      <c r="B9" s="25" t="s">
        <v>36</v>
      </c>
      <c r="C9" s="25" t="s">
        <v>91</v>
      </c>
      <c r="D9" s="7" t="s">
        <v>46</v>
      </c>
      <c r="E9" s="7" t="s">
        <v>47</v>
      </c>
      <c r="F9" s="7" t="s">
        <v>51</v>
      </c>
      <c r="G9" s="7" t="s">
        <v>52</v>
      </c>
      <c r="H9" s="116">
        <v>4.0</v>
      </c>
      <c r="I9" s="7">
        <v>4900.0</v>
      </c>
      <c r="J9" s="7"/>
      <c r="K9" s="7">
        <v>150.0</v>
      </c>
      <c r="L9" s="7">
        <f t="shared" ref="L9:L10" si="26">K9*12</f>
        <v>1800</v>
      </c>
      <c r="M9" s="9">
        <f t="shared" si="1"/>
        <v>1225</v>
      </c>
      <c r="N9" s="9">
        <f t="shared" si="2"/>
        <v>196</v>
      </c>
      <c r="O9" s="7">
        <v>1.0</v>
      </c>
      <c r="P9" s="11">
        <f t="shared" si="3"/>
        <v>4900</v>
      </c>
      <c r="Q9" s="118">
        <v>8.0</v>
      </c>
      <c r="R9" s="84">
        <v>11.0</v>
      </c>
      <c r="S9" s="116">
        <v>12.0</v>
      </c>
      <c r="T9" s="116">
        <v>400.0</v>
      </c>
      <c r="U9" s="7">
        <f t="shared" si="4"/>
        <v>38400</v>
      </c>
      <c r="V9" s="7">
        <f t="shared" si="5"/>
        <v>13.32</v>
      </c>
      <c r="W9" s="14">
        <f t="shared" si="6"/>
        <v>5328</v>
      </c>
      <c r="X9" s="94">
        <f t="shared" si="7"/>
        <v>4224</v>
      </c>
      <c r="Y9" s="84">
        <v>30.0</v>
      </c>
      <c r="Z9" s="116">
        <v>450.0</v>
      </c>
      <c r="AA9" s="79">
        <v>1.3</v>
      </c>
      <c r="AB9" s="7">
        <f t="shared" si="8"/>
        <v>585</v>
      </c>
      <c r="AC9" s="7">
        <f t="shared" si="9"/>
        <v>315</v>
      </c>
      <c r="AD9" s="7">
        <f t="shared" si="10"/>
        <v>175.5</v>
      </c>
      <c r="AE9" s="83">
        <f t="shared" si="11"/>
        <v>1404</v>
      </c>
      <c r="AF9" s="84">
        <v>20.0</v>
      </c>
      <c r="AG9" s="79">
        <v>1200.0</v>
      </c>
      <c r="AH9" s="116">
        <v>0.6</v>
      </c>
      <c r="AI9" s="7">
        <f t="shared" si="12"/>
        <v>720</v>
      </c>
      <c r="AJ9" s="7">
        <f t="shared" si="13"/>
        <v>960</v>
      </c>
      <c r="AK9" s="7">
        <f t="shared" si="14"/>
        <v>144</v>
      </c>
      <c r="AL9" s="14">
        <f t="shared" si="15"/>
        <v>1152</v>
      </c>
      <c r="AM9" s="84">
        <v>35.0</v>
      </c>
      <c r="AN9" s="116">
        <v>2.5</v>
      </c>
      <c r="AO9" s="116">
        <v>22.0</v>
      </c>
      <c r="AP9" s="7">
        <f t="shared" si="16"/>
        <v>55</v>
      </c>
      <c r="AQ9" s="7">
        <f t="shared" si="17"/>
        <v>1.625</v>
      </c>
      <c r="AR9" s="7">
        <f t="shared" si="18"/>
        <v>19.25</v>
      </c>
      <c r="AS9" s="14">
        <f t="shared" si="19"/>
        <v>154</v>
      </c>
      <c r="AT9" s="82">
        <v>0.0</v>
      </c>
      <c r="AU9" s="116">
        <v>20000.0</v>
      </c>
      <c r="AV9" s="14">
        <f t="shared" si="20"/>
        <v>0</v>
      </c>
      <c r="AW9" s="82">
        <v>0.0</v>
      </c>
      <c r="AX9" s="116">
        <v>4500.0</v>
      </c>
      <c r="AY9" s="14">
        <f t="shared" si="21"/>
        <v>0</v>
      </c>
      <c r="AZ9" s="75">
        <f t="shared" si="22"/>
        <v>3713</v>
      </c>
      <c r="BA9" s="120">
        <f t="shared" si="23"/>
        <v>0.757755102</v>
      </c>
      <c r="BB9" s="11">
        <f t="shared" si="24"/>
        <v>1.319687584</v>
      </c>
      <c r="BC9" s="11" t="str">
        <f t="shared" si="25"/>
        <v>YES</v>
      </c>
    </row>
    <row r="10" ht="15.75" customHeight="1">
      <c r="A10" s="12"/>
      <c r="B10" s="25" t="s">
        <v>36</v>
      </c>
      <c r="C10" s="25" t="s">
        <v>91</v>
      </c>
      <c r="D10" s="7" t="s">
        <v>53</v>
      </c>
      <c r="E10" s="7" t="s">
        <v>54</v>
      </c>
      <c r="F10" s="7" t="s">
        <v>51</v>
      </c>
      <c r="G10" s="7" t="s">
        <v>485</v>
      </c>
      <c r="H10" s="116">
        <v>4.0</v>
      </c>
      <c r="I10" s="7"/>
      <c r="J10" s="7"/>
      <c r="K10" s="7">
        <v>30.0</v>
      </c>
      <c r="L10" s="7">
        <f t="shared" si="26"/>
        <v>360</v>
      </c>
      <c r="M10" s="9">
        <f t="shared" si="1"/>
        <v>0</v>
      </c>
      <c r="N10" s="9">
        <f t="shared" si="2"/>
        <v>0</v>
      </c>
      <c r="O10" s="7">
        <v>1.0</v>
      </c>
      <c r="P10" s="11">
        <f t="shared" si="3"/>
        <v>0</v>
      </c>
      <c r="Q10" s="118">
        <v>8.0</v>
      </c>
      <c r="R10" s="84">
        <v>11.0</v>
      </c>
      <c r="S10" s="116">
        <v>12.0</v>
      </c>
      <c r="T10" s="116">
        <v>400.0</v>
      </c>
      <c r="U10" s="7">
        <f t="shared" si="4"/>
        <v>38400</v>
      </c>
      <c r="V10" s="7">
        <f t="shared" si="5"/>
        <v>13.32</v>
      </c>
      <c r="W10" s="14">
        <f t="shared" si="6"/>
        <v>5328</v>
      </c>
      <c r="X10" s="94">
        <f t="shared" si="7"/>
        <v>4224</v>
      </c>
      <c r="Y10" s="84">
        <v>30.0</v>
      </c>
      <c r="Z10" s="116">
        <v>450.0</v>
      </c>
      <c r="AA10" s="79">
        <v>1.3</v>
      </c>
      <c r="AB10" s="7">
        <f t="shared" si="8"/>
        <v>585</v>
      </c>
      <c r="AC10" s="7">
        <f t="shared" si="9"/>
        <v>315</v>
      </c>
      <c r="AD10" s="7">
        <f t="shared" si="10"/>
        <v>175.5</v>
      </c>
      <c r="AE10" s="83">
        <f t="shared" si="11"/>
        <v>1404</v>
      </c>
      <c r="AF10" s="84">
        <v>20.0</v>
      </c>
      <c r="AG10" s="79">
        <v>1200.0</v>
      </c>
      <c r="AH10" s="116">
        <v>0.6</v>
      </c>
      <c r="AI10" s="7">
        <f t="shared" si="12"/>
        <v>720</v>
      </c>
      <c r="AJ10" s="7">
        <f t="shared" si="13"/>
        <v>960</v>
      </c>
      <c r="AK10" s="7">
        <f t="shared" si="14"/>
        <v>144</v>
      </c>
      <c r="AL10" s="14">
        <f t="shared" si="15"/>
        <v>1152</v>
      </c>
      <c r="AM10" s="84">
        <v>35.0</v>
      </c>
      <c r="AN10" s="116">
        <v>2.5</v>
      </c>
      <c r="AO10" s="116">
        <v>22.0</v>
      </c>
      <c r="AP10" s="7">
        <f t="shared" si="16"/>
        <v>55</v>
      </c>
      <c r="AQ10" s="7">
        <f t="shared" si="17"/>
        <v>1.625</v>
      </c>
      <c r="AR10" s="7">
        <f t="shared" si="18"/>
        <v>19.25</v>
      </c>
      <c r="AS10" s="14">
        <f t="shared" si="19"/>
        <v>154</v>
      </c>
      <c r="AT10" s="82">
        <v>0.0</v>
      </c>
      <c r="AU10" s="116">
        <v>20000.0</v>
      </c>
      <c r="AV10" s="14">
        <f t="shared" si="20"/>
        <v>0</v>
      </c>
      <c r="AW10" s="82">
        <v>0.0</v>
      </c>
      <c r="AX10" s="116">
        <v>4500.0</v>
      </c>
      <c r="AY10" s="14">
        <f t="shared" si="21"/>
        <v>0</v>
      </c>
      <c r="AZ10" s="75">
        <f t="shared" si="22"/>
        <v>6574</v>
      </c>
      <c r="BA10" s="120" t="str">
        <f t="shared" si="23"/>
        <v>The DAT is free</v>
      </c>
      <c r="BB10" s="11">
        <f t="shared" si="24"/>
        <v>0</v>
      </c>
      <c r="BC10" s="11" t="str">
        <f t="shared" si="25"/>
        <v>YES</v>
      </c>
    </row>
    <row r="11" ht="15.75" customHeight="1">
      <c r="A11" s="12"/>
      <c r="B11" s="25" t="s">
        <v>36</v>
      </c>
      <c r="C11" s="25" t="s">
        <v>91</v>
      </c>
      <c r="D11" s="7" t="s">
        <v>486</v>
      </c>
      <c r="E11" s="7" t="s">
        <v>60</v>
      </c>
      <c r="F11" s="7" t="s">
        <v>51</v>
      </c>
      <c r="G11" s="7" t="s">
        <v>487</v>
      </c>
      <c r="H11" s="116">
        <v>4.0</v>
      </c>
      <c r="I11" s="7"/>
      <c r="J11" s="7"/>
      <c r="L11" s="7">
        <v>250.0</v>
      </c>
      <c r="M11" s="9">
        <f t="shared" si="1"/>
        <v>0</v>
      </c>
      <c r="N11" s="9">
        <f t="shared" si="2"/>
        <v>0</v>
      </c>
      <c r="O11" s="7">
        <v>1.0</v>
      </c>
      <c r="P11" s="11">
        <f t="shared" si="3"/>
        <v>0</v>
      </c>
      <c r="Q11" s="118">
        <v>8.0</v>
      </c>
      <c r="R11" s="84">
        <v>11.0</v>
      </c>
      <c r="S11" s="116">
        <v>12.0</v>
      </c>
      <c r="T11" s="116">
        <v>400.0</v>
      </c>
      <c r="U11" s="7">
        <f t="shared" si="4"/>
        <v>38400</v>
      </c>
      <c r="V11" s="7">
        <f t="shared" si="5"/>
        <v>13.32</v>
      </c>
      <c r="W11" s="14">
        <f t="shared" si="6"/>
        <v>5328</v>
      </c>
      <c r="X11" s="94">
        <f t="shared" si="7"/>
        <v>4224</v>
      </c>
      <c r="Y11" s="84">
        <v>30.0</v>
      </c>
      <c r="Z11" s="116">
        <v>450.0</v>
      </c>
      <c r="AA11" s="79">
        <v>1.3</v>
      </c>
      <c r="AB11" s="7">
        <f t="shared" si="8"/>
        <v>585</v>
      </c>
      <c r="AC11" s="7">
        <f t="shared" si="9"/>
        <v>315</v>
      </c>
      <c r="AD11" s="7">
        <f t="shared" si="10"/>
        <v>175.5</v>
      </c>
      <c r="AE11" s="83">
        <f t="shared" si="11"/>
        <v>1404</v>
      </c>
      <c r="AF11" s="84">
        <v>20.0</v>
      </c>
      <c r="AG11" s="79">
        <v>1200.0</v>
      </c>
      <c r="AH11" s="116">
        <v>0.6</v>
      </c>
      <c r="AI11" s="7">
        <f t="shared" si="12"/>
        <v>720</v>
      </c>
      <c r="AJ11" s="7">
        <f t="shared" si="13"/>
        <v>960</v>
      </c>
      <c r="AK11" s="7">
        <f t="shared" si="14"/>
        <v>144</v>
      </c>
      <c r="AL11" s="14">
        <f t="shared" si="15"/>
        <v>1152</v>
      </c>
      <c r="AM11" s="84">
        <v>35.0</v>
      </c>
      <c r="AN11" s="116">
        <v>2.5</v>
      </c>
      <c r="AO11" s="116">
        <v>22.0</v>
      </c>
      <c r="AP11" s="7">
        <f t="shared" si="16"/>
        <v>55</v>
      </c>
      <c r="AQ11" s="7">
        <f t="shared" si="17"/>
        <v>1.625</v>
      </c>
      <c r="AR11" s="7">
        <f t="shared" si="18"/>
        <v>19.25</v>
      </c>
      <c r="AS11" s="14">
        <f t="shared" si="19"/>
        <v>154</v>
      </c>
      <c r="AT11" s="82">
        <v>0.0</v>
      </c>
      <c r="AU11" s="116">
        <v>20000.0</v>
      </c>
      <c r="AV11" s="14">
        <f t="shared" si="20"/>
        <v>0</v>
      </c>
      <c r="AW11" s="82">
        <v>0.0</v>
      </c>
      <c r="AX11" s="116">
        <v>4500.0</v>
      </c>
      <c r="AY11" s="14">
        <f t="shared" si="21"/>
        <v>0</v>
      </c>
      <c r="AZ11" s="75">
        <f t="shared" si="22"/>
        <v>6684</v>
      </c>
      <c r="BA11" s="120" t="str">
        <f t="shared" si="23"/>
        <v>The DAT is free</v>
      </c>
      <c r="BB11" s="11">
        <f t="shared" si="24"/>
        <v>0</v>
      </c>
      <c r="BC11" s="11" t="str">
        <f t="shared" si="25"/>
        <v>YES</v>
      </c>
    </row>
    <row r="12" ht="15.75" customHeight="1">
      <c r="A12" s="12"/>
      <c r="B12" s="25" t="s">
        <v>36</v>
      </c>
      <c r="C12" s="25" t="s">
        <v>91</v>
      </c>
      <c r="D12" s="7" t="s">
        <v>629</v>
      </c>
      <c r="E12" s="7"/>
      <c r="F12" s="7" t="s">
        <v>51</v>
      </c>
      <c r="G12" s="7" t="s">
        <v>490</v>
      </c>
      <c r="H12" s="116">
        <v>4.0</v>
      </c>
      <c r="I12" s="7"/>
      <c r="J12" s="7"/>
      <c r="L12" s="7">
        <v>950.0</v>
      </c>
      <c r="M12" s="9">
        <f t="shared" si="1"/>
        <v>0</v>
      </c>
      <c r="N12" s="9">
        <f t="shared" si="2"/>
        <v>0</v>
      </c>
      <c r="O12" s="7">
        <v>1.0</v>
      </c>
      <c r="P12" s="11">
        <f t="shared" si="3"/>
        <v>0</v>
      </c>
      <c r="Q12" s="118">
        <v>8.0</v>
      </c>
      <c r="R12" s="84">
        <v>11.0</v>
      </c>
      <c r="S12" s="116">
        <v>12.0</v>
      </c>
      <c r="T12" s="116">
        <v>400.0</v>
      </c>
      <c r="U12" s="7">
        <f t="shared" si="4"/>
        <v>38400</v>
      </c>
      <c r="V12" s="7">
        <f t="shared" si="5"/>
        <v>13.32</v>
      </c>
      <c r="W12" s="14">
        <f t="shared" si="6"/>
        <v>5328</v>
      </c>
      <c r="X12" s="94">
        <f t="shared" si="7"/>
        <v>4224</v>
      </c>
      <c r="Y12" s="84">
        <v>30.0</v>
      </c>
      <c r="Z12" s="116">
        <v>450.0</v>
      </c>
      <c r="AA12" s="79">
        <v>1.3</v>
      </c>
      <c r="AB12" s="7">
        <f t="shared" si="8"/>
        <v>585</v>
      </c>
      <c r="AC12" s="7">
        <f t="shared" si="9"/>
        <v>315</v>
      </c>
      <c r="AD12" s="7">
        <f t="shared" si="10"/>
        <v>175.5</v>
      </c>
      <c r="AE12" s="83">
        <f t="shared" si="11"/>
        <v>1404</v>
      </c>
      <c r="AF12" s="82">
        <v>0.0</v>
      </c>
      <c r="AG12" s="79">
        <v>1200.0</v>
      </c>
      <c r="AH12" s="116">
        <v>0.6</v>
      </c>
      <c r="AI12" s="7">
        <f t="shared" si="12"/>
        <v>720</v>
      </c>
      <c r="AJ12" s="7">
        <f t="shared" si="13"/>
        <v>1200</v>
      </c>
      <c r="AK12" s="7">
        <f t="shared" si="14"/>
        <v>0</v>
      </c>
      <c r="AL12" s="14">
        <f t="shared" si="15"/>
        <v>0</v>
      </c>
      <c r="AM12" s="84">
        <v>35.0</v>
      </c>
      <c r="AN12" s="116">
        <v>2.5</v>
      </c>
      <c r="AO12" s="116">
        <v>22.0</v>
      </c>
      <c r="AP12" s="7">
        <f t="shared" si="16"/>
        <v>55</v>
      </c>
      <c r="AQ12" s="7">
        <f t="shared" si="17"/>
        <v>1.625</v>
      </c>
      <c r="AR12" s="7">
        <f t="shared" si="18"/>
        <v>19.25</v>
      </c>
      <c r="AS12" s="14">
        <f t="shared" si="19"/>
        <v>154</v>
      </c>
      <c r="AT12" s="82">
        <v>0.0</v>
      </c>
      <c r="AU12" s="116">
        <v>20000.0</v>
      </c>
      <c r="AV12" s="14">
        <f t="shared" si="20"/>
        <v>0</v>
      </c>
      <c r="AW12" s="82">
        <v>0.0</v>
      </c>
      <c r="AX12" s="116">
        <v>4500.0</v>
      </c>
      <c r="AY12" s="14">
        <f t="shared" si="21"/>
        <v>0</v>
      </c>
      <c r="AZ12" s="75">
        <f t="shared" si="22"/>
        <v>4832</v>
      </c>
      <c r="BA12" s="120" t="str">
        <f t="shared" si="23"/>
        <v>The DAT is free</v>
      </c>
      <c r="BB12" s="11">
        <f t="shared" si="24"/>
        <v>0</v>
      </c>
      <c r="BC12" s="11" t="str">
        <f t="shared" si="25"/>
        <v>YES</v>
      </c>
    </row>
    <row r="13" ht="15.75" customHeight="1">
      <c r="A13" s="12"/>
      <c r="B13" s="25" t="s">
        <v>36</v>
      </c>
      <c r="C13" s="25" t="s">
        <v>91</v>
      </c>
      <c r="D13" s="7" t="s">
        <v>491</v>
      </c>
      <c r="E13" s="7" t="s">
        <v>72</v>
      </c>
      <c r="F13" s="7" t="s">
        <v>51</v>
      </c>
      <c r="G13" s="7" t="s">
        <v>492</v>
      </c>
      <c r="H13" s="116">
        <v>4.0</v>
      </c>
      <c r="I13" s="7"/>
      <c r="J13" s="7"/>
      <c r="L13" s="7">
        <v>60.0</v>
      </c>
      <c r="M13" s="9">
        <f t="shared" si="1"/>
        <v>0</v>
      </c>
      <c r="N13" s="9">
        <f t="shared" si="2"/>
        <v>0</v>
      </c>
      <c r="O13" s="7">
        <v>1.0</v>
      </c>
      <c r="P13" s="11">
        <f t="shared" si="3"/>
        <v>0</v>
      </c>
      <c r="Q13" s="118">
        <v>8.0</v>
      </c>
      <c r="R13" s="84">
        <v>11.0</v>
      </c>
      <c r="S13" s="116">
        <v>12.0</v>
      </c>
      <c r="T13" s="116">
        <v>400.0</v>
      </c>
      <c r="U13" s="7">
        <f t="shared" si="4"/>
        <v>38400</v>
      </c>
      <c r="V13" s="7">
        <f t="shared" si="5"/>
        <v>13.32</v>
      </c>
      <c r="W13" s="14">
        <f t="shared" si="6"/>
        <v>5328</v>
      </c>
      <c r="X13" s="94">
        <f t="shared" si="7"/>
        <v>4224</v>
      </c>
      <c r="Y13" s="80">
        <v>0.0</v>
      </c>
      <c r="Z13" s="116">
        <v>450.0</v>
      </c>
      <c r="AA13" s="79">
        <v>1.3</v>
      </c>
      <c r="AB13" s="7">
        <f t="shared" si="8"/>
        <v>585</v>
      </c>
      <c r="AC13" s="7">
        <f t="shared" si="9"/>
        <v>450</v>
      </c>
      <c r="AD13" s="7">
        <f t="shared" si="10"/>
        <v>0</v>
      </c>
      <c r="AE13" s="83">
        <f t="shared" si="11"/>
        <v>0</v>
      </c>
      <c r="AF13" s="80">
        <v>25.0</v>
      </c>
      <c r="AG13" s="79">
        <v>1200.0</v>
      </c>
      <c r="AH13" s="116">
        <v>0.6</v>
      </c>
      <c r="AI13" s="7">
        <f t="shared" si="12"/>
        <v>720</v>
      </c>
      <c r="AJ13" s="7">
        <f t="shared" si="13"/>
        <v>900</v>
      </c>
      <c r="AK13" s="7">
        <f t="shared" si="14"/>
        <v>180</v>
      </c>
      <c r="AL13" s="14">
        <f t="shared" si="15"/>
        <v>1440</v>
      </c>
      <c r="AM13" s="80">
        <v>0.0</v>
      </c>
      <c r="AN13" s="116">
        <v>2.5</v>
      </c>
      <c r="AO13" s="116">
        <v>22.0</v>
      </c>
      <c r="AP13" s="7">
        <f t="shared" si="16"/>
        <v>55</v>
      </c>
      <c r="AQ13" s="7">
        <f t="shared" si="17"/>
        <v>2.5</v>
      </c>
      <c r="AR13" s="7">
        <f t="shared" si="18"/>
        <v>0</v>
      </c>
      <c r="AS13" s="14">
        <f t="shared" si="19"/>
        <v>0</v>
      </c>
      <c r="AT13" s="82">
        <v>0.0</v>
      </c>
      <c r="AU13" s="116">
        <v>20000.0</v>
      </c>
      <c r="AV13" s="14">
        <f t="shared" si="20"/>
        <v>0</v>
      </c>
      <c r="AW13" s="82">
        <v>0.0</v>
      </c>
      <c r="AX13" s="116">
        <v>4500.0</v>
      </c>
      <c r="AY13" s="14">
        <f t="shared" si="21"/>
        <v>0</v>
      </c>
      <c r="AZ13" s="75">
        <f t="shared" si="22"/>
        <v>5604</v>
      </c>
      <c r="BA13" s="120" t="str">
        <f t="shared" si="23"/>
        <v>The DAT is free</v>
      </c>
      <c r="BB13" s="11">
        <f t="shared" si="24"/>
        <v>0</v>
      </c>
      <c r="BC13" s="11" t="str">
        <f t="shared" si="25"/>
        <v>YES</v>
      </c>
    </row>
    <row r="14" ht="15.75" customHeight="1">
      <c r="A14" s="12"/>
      <c r="B14" s="25" t="s">
        <v>503</v>
      </c>
      <c r="C14" s="25" t="s">
        <v>91</v>
      </c>
      <c r="D14" s="7" t="s">
        <v>630</v>
      </c>
      <c r="E14" s="7" t="s">
        <v>80</v>
      </c>
      <c r="F14" s="7" t="s">
        <v>51</v>
      </c>
      <c r="G14" s="7" t="s">
        <v>493</v>
      </c>
      <c r="H14" s="116">
        <v>4.0</v>
      </c>
      <c r="I14" s="7"/>
      <c r="J14" s="7">
        <v>6.0</v>
      </c>
      <c r="L14" s="7"/>
      <c r="M14" s="9">
        <f t="shared" si="1"/>
        <v>0</v>
      </c>
      <c r="N14" s="9">
        <f t="shared" si="2"/>
        <v>1.92</v>
      </c>
      <c r="O14" s="7">
        <v>1.0</v>
      </c>
      <c r="P14" s="11">
        <f t="shared" si="3"/>
        <v>48</v>
      </c>
      <c r="Q14" s="118">
        <v>8.0</v>
      </c>
      <c r="R14" s="84">
        <v>11.0</v>
      </c>
      <c r="S14" s="116">
        <v>12.0</v>
      </c>
      <c r="T14" s="116">
        <v>400.0</v>
      </c>
      <c r="U14" s="7">
        <f t="shared" si="4"/>
        <v>38400</v>
      </c>
      <c r="V14" s="7">
        <f t="shared" si="5"/>
        <v>13.32</v>
      </c>
      <c r="W14" s="14">
        <f t="shared" si="6"/>
        <v>5328</v>
      </c>
      <c r="X14" s="94">
        <f t="shared" si="7"/>
        <v>4224</v>
      </c>
      <c r="Y14" s="84">
        <v>30.0</v>
      </c>
      <c r="Z14" s="116">
        <v>450.0</v>
      </c>
      <c r="AA14" s="79">
        <v>1.3</v>
      </c>
      <c r="AB14" s="7">
        <f t="shared" si="8"/>
        <v>585</v>
      </c>
      <c r="AC14" s="7">
        <f t="shared" si="9"/>
        <v>315</v>
      </c>
      <c r="AD14" s="7">
        <f t="shared" si="10"/>
        <v>175.5</v>
      </c>
      <c r="AE14" s="83">
        <f t="shared" si="11"/>
        <v>1404</v>
      </c>
      <c r="AF14" s="82">
        <v>0.0</v>
      </c>
      <c r="AG14" s="79">
        <v>1200.0</v>
      </c>
      <c r="AH14" s="116">
        <v>0.6</v>
      </c>
      <c r="AI14" s="7">
        <f t="shared" si="12"/>
        <v>720</v>
      </c>
      <c r="AJ14" s="7">
        <f t="shared" si="13"/>
        <v>1200</v>
      </c>
      <c r="AK14" s="7">
        <f t="shared" si="14"/>
        <v>0</v>
      </c>
      <c r="AL14" s="14">
        <f t="shared" si="15"/>
        <v>0</v>
      </c>
      <c r="AM14" s="84">
        <v>35.0</v>
      </c>
      <c r="AN14" s="116">
        <v>2.5</v>
      </c>
      <c r="AO14" s="116">
        <v>22.0</v>
      </c>
      <c r="AP14" s="7">
        <f t="shared" si="16"/>
        <v>55</v>
      </c>
      <c r="AQ14" s="7">
        <f t="shared" si="17"/>
        <v>1.625</v>
      </c>
      <c r="AR14" s="7">
        <f t="shared" si="18"/>
        <v>19.25</v>
      </c>
      <c r="AS14" s="14">
        <f t="shared" si="19"/>
        <v>154</v>
      </c>
      <c r="AT14" s="82">
        <v>0.0</v>
      </c>
      <c r="AU14" s="116">
        <v>20000.0</v>
      </c>
      <c r="AV14" s="14">
        <f t="shared" si="20"/>
        <v>0</v>
      </c>
      <c r="AW14" s="82">
        <v>0.0</v>
      </c>
      <c r="AX14" s="116">
        <v>4500.0</v>
      </c>
      <c r="AY14" s="14">
        <f t="shared" si="21"/>
        <v>0</v>
      </c>
      <c r="AZ14" s="75">
        <f t="shared" si="22"/>
        <v>5780.08</v>
      </c>
      <c r="BA14" s="120">
        <f t="shared" si="23"/>
        <v>120.4183333</v>
      </c>
      <c r="BB14" s="11">
        <f t="shared" si="24"/>
        <v>0.00830438333</v>
      </c>
      <c r="BC14" s="11" t="str">
        <f t="shared" si="25"/>
        <v>YES</v>
      </c>
    </row>
    <row r="15" ht="15.75" customHeight="1">
      <c r="A15" s="12"/>
      <c r="B15" s="25" t="s">
        <v>14</v>
      </c>
      <c r="C15" s="25" t="s">
        <v>15</v>
      </c>
      <c r="D15" s="7" t="s">
        <v>124</v>
      </c>
      <c r="E15" s="7" t="s">
        <v>125</v>
      </c>
      <c r="F15" s="7" t="s">
        <v>51</v>
      </c>
      <c r="G15" s="7" t="s">
        <v>128</v>
      </c>
      <c r="H15" s="116">
        <v>4.0</v>
      </c>
      <c r="I15" s="7"/>
      <c r="J15" s="7"/>
      <c r="L15" s="7">
        <v>400.0</v>
      </c>
      <c r="M15" s="9">
        <f t="shared" si="1"/>
        <v>0</v>
      </c>
      <c r="N15" s="9">
        <f t="shared" si="2"/>
        <v>0</v>
      </c>
      <c r="O15" s="7">
        <v>1.0</v>
      </c>
      <c r="P15" s="11">
        <f t="shared" si="3"/>
        <v>0</v>
      </c>
      <c r="Q15" s="118">
        <v>8.0</v>
      </c>
      <c r="R15" s="84">
        <v>11.0</v>
      </c>
      <c r="S15" s="116">
        <v>12.0</v>
      </c>
      <c r="T15" s="116">
        <v>400.0</v>
      </c>
      <c r="U15" s="7">
        <f t="shared" si="4"/>
        <v>38400</v>
      </c>
      <c r="V15" s="7">
        <f t="shared" si="5"/>
        <v>13.32</v>
      </c>
      <c r="W15" s="14">
        <f t="shared" si="6"/>
        <v>5328</v>
      </c>
      <c r="X15" s="94">
        <f t="shared" si="7"/>
        <v>4224</v>
      </c>
      <c r="Y15" s="82">
        <v>0.0</v>
      </c>
      <c r="Z15" s="116">
        <v>450.0</v>
      </c>
      <c r="AA15" s="79">
        <v>1.3</v>
      </c>
      <c r="AB15" s="7">
        <f t="shared" si="8"/>
        <v>585</v>
      </c>
      <c r="AC15" s="7">
        <f t="shared" si="9"/>
        <v>450</v>
      </c>
      <c r="AD15" s="7">
        <f t="shared" si="10"/>
        <v>0</v>
      </c>
      <c r="AE15" s="83">
        <f t="shared" si="11"/>
        <v>0</v>
      </c>
      <c r="AF15" s="84">
        <v>25.0</v>
      </c>
      <c r="AG15" s="79">
        <v>1200.0</v>
      </c>
      <c r="AH15" s="116">
        <v>0.6</v>
      </c>
      <c r="AI15" s="7">
        <f t="shared" si="12"/>
        <v>720</v>
      </c>
      <c r="AJ15" s="7">
        <f t="shared" si="13"/>
        <v>900</v>
      </c>
      <c r="AK15" s="7">
        <f t="shared" si="14"/>
        <v>180</v>
      </c>
      <c r="AL15" s="14">
        <f t="shared" si="15"/>
        <v>1440</v>
      </c>
      <c r="AM15" s="82">
        <v>0.0</v>
      </c>
      <c r="AN15" s="116">
        <v>2.5</v>
      </c>
      <c r="AO15" s="116">
        <v>22.0</v>
      </c>
      <c r="AP15" s="7">
        <f t="shared" si="16"/>
        <v>55</v>
      </c>
      <c r="AQ15" s="7">
        <f t="shared" si="17"/>
        <v>2.5</v>
      </c>
      <c r="AR15" s="7">
        <f t="shared" si="18"/>
        <v>0</v>
      </c>
      <c r="AS15" s="14">
        <f t="shared" si="19"/>
        <v>0</v>
      </c>
      <c r="AT15" s="82">
        <v>0.0</v>
      </c>
      <c r="AU15" s="116">
        <v>20000.0</v>
      </c>
      <c r="AV15" s="14">
        <f t="shared" si="20"/>
        <v>0</v>
      </c>
      <c r="AW15" s="82">
        <v>0.0</v>
      </c>
      <c r="AX15" s="116">
        <v>4500.0</v>
      </c>
      <c r="AY15" s="14">
        <f t="shared" si="21"/>
        <v>0</v>
      </c>
      <c r="AZ15" s="75">
        <f t="shared" si="22"/>
        <v>5264</v>
      </c>
      <c r="BA15" s="120" t="str">
        <f t="shared" si="23"/>
        <v>The DAT is free</v>
      </c>
      <c r="BB15" s="11">
        <f t="shared" si="24"/>
        <v>0</v>
      </c>
      <c r="BC15" s="11" t="str">
        <f t="shared" si="25"/>
        <v>YES</v>
      </c>
    </row>
    <row r="16" ht="15.75" customHeight="1">
      <c r="A16" s="12"/>
      <c r="B16" s="25" t="s">
        <v>14</v>
      </c>
      <c r="C16" s="25" t="s">
        <v>15</v>
      </c>
      <c r="D16" s="7" t="s">
        <v>85</v>
      </c>
      <c r="E16" s="7" t="s">
        <v>86</v>
      </c>
      <c r="F16" s="7" t="s">
        <v>89</v>
      </c>
      <c r="G16" s="7" t="s">
        <v>472</v>
      </c>
      <c r="H16" s="116">
        <v>4.0</v>
      </c>
      <c r="I16" s="7">
        <v>200.0</v>
      </c>
      <c r="J16" s="7"/>
      <c r="L16" s="7"/>
      <c r="M16" s="9">
        <f t="shared" si="1"/>
        <v>0</v>
      </c>
      <c r="N16" s="9">
        <f t="shared" si="2"/>
        <v>8</v>
      </c>
      <c r="O16" s="7">
        <v>1.0</v>
      </c>
      <c r="P16" s="11">
        <f t="shared" si="3"/>
        <v>200</v>
      </c>
      <c r="Q16" s="118">
        <v>8.0</v>
      </c>
      <c r="R16" s="84">
        <v>11.0</v>
      </c>
      <c r="S16" s="116">
        <v>12.0</v>
      </c>
      <c r="T16" s="116">
        <v>400.0</v>
      </c>
      <c r="U16" s="7">
        <f t="shared" si="4"/>
        <v>38400</v>
      </c>
      <c r="V16" s="7">
        <f t="shared" si="5"/>
        <v>13.32</v>
      </c>
      <c r="W16" s="14">
        <f t="shared" si="6"/>
        <v>5328</v>
      </c>
      <c r="X16" s="94">
        <f t="shared" si="7"/>
        <v>4224</v>
      </c>
      <c r="Y16" s="82">
        <v>0.0</v>
      </c>
      <c r="Z16" s="116">
        <v>450.0</v>
      </c>
      <c r="AA16" s="79">
        <v>1.3</v>
      </c>
      <c r="AB16" s="7">
        <f t="shared" si="8"/>
        <v>585</v>
      </c>
      <c r="AC16" s="7">
        <f t="shared" si="9"/>
        <v>450</v>
      </c>
      <c r="AD16" s="7">
        <f t="shared" si="10"/>
        <v>0</v>
      </c>
      <c r="AE16" s="83">
        <f t="shared" si="11"/>
        <v>0</v>
      </c>
      <c r="AF16" s="84">
        <v>25.0</v>
      </c>
      <c r="AG16" s="79">
        <v>1200.0</v>
      </c>
      <c r="AH16" s="116">
        <v>0.6</v>
      </c>
      <c r="AI16" s="7">
        <f t="shared" si="12"/>
        <v>720</v>
      </c>
      <c r="AJ16" s="7">
        <f t="shared" si="13"/>
        <v>900</v>
      </c>
      <c r="AK16" s="7">
        <f t="shared" si="14"/>
        <v>180</v>
      </c>
      <c r="AL16" s="14">
        <f t="shared" si="15"/>
        <v>1440</v>
      </c>
      <c r="AM16" s="82">
        <v>0.0</v>
      </c>
      <c r="AN16" s="116">
        <v>2.5</v>
      </c>
      <c r="AO16" s="116">
        <v>22.0</v>
      </c>
      <c r="AP16" s="7">
        <f t="shared" si="16"/>
        <v>55</v>
      </c>
      <c r="AQ16" s="7">
        <f t="shared" si="17"/>
        <v>2.5</v>
      </c>
      <c r="AR16" s="7">
        <f t="shared" si="18"/>
        <v>0</v>
      </c>
      <c r="AS16" s="14">
        <f t="shared" si="19"/>
        <v>0</v>
      </c>
      <c r="AT16" s="82">
        <v>0.0</v>
      </c>
      <c r="AU16" s="116">
        <v>20000.0</v>
      </c>
      <c r="AV16" s="14">
        <f t="shared" si="20"/>
        <v>0</v>
      </c>
      <c r="AW16" s="82">
        <v>0.0</v>
      </c>
      <c r="AX16" s="116">
        <v>4500.0</v>
      </c>
      <c r="AY16" s="14">
        <f t="shared" si="21"/>
        <v>0</v>
      </c>
      <c r="AZ16" s="75">
        <f t="shared" si="22"/>
        <v>5656</v>
      </c>
      <c r="BA16" s="120">
        <f t="shared" si="23"/>
        <v>28.28</v>
      </c>
      <c r="BB16" s="11">
        <f t="shared" si="24"/>
        <v>0.03536067893</v>
      </c>
      <c r="BC16" s="11" t="str">
        <f t="shared" si="25"/>
        <v>YES</v>
      </c>
    </row>
    <row r="17" ht="15.75" customHeight="1">
      <c r="A17" s="12"/>
      <c r="B17" s="25" t="s">
        <v>14</v>
      </c>
      <c r="C17" s="25" t="s">
        <v>15</v>
      </c>
      <c r="D17" s="7" t="s">
        <v>16</v>
      </c>
      <c r="E17" s="7" t="s">
        <v>17</v>
      </c>
      <c r="F17" s="7"/>
      <c r="G17" s="7" t="s">
        <v>631</v>
      </c>
      <c r="H17" s="116">
        <v>4.0</v>
      </c>
      <c r="I17" s="7"/>
      <c r="J17" s="7"/>
      <c r="L17" s="7">
        <v>700.0</v>
      </c>
      <c r="M17" s="9">
        <f t="shared" si="1"/>
        <v>0</v>
      </c>
      <c r="N17" s="9">
        <f t="shared" si="2"/>
        <v>0</v>
      </c>
      <c r="O17" s="7">
        <v>1.0</v>
      </c>
      <c r="P17" s="11">
        <f t="shared" si="3"/>
        <v>0</v>
      </c>
      <c r="Q17" s="118">
        <v>8.0</v>
      </c>
      <c r="R17" s="84">
        <v>11.0</v>
      </c>
      <c r="S17" s="116">
        <v>12.0</v>
      </c>
      <c r="T17" s="116">
        <v>400.0</v>
      </c>
      <c r="U17" s="7">
        <f t="shared" si="4"/>
        <v>38400</v>
      </c>
      <c r="V17" s="7">
        <f t="shared" si="5"/>
        <v>13.32</v>
      </c>
      <c r="W17" s="14">
        <f t="shared" si="6"/>
        <v>5328</v>
      </c>
      <c r="X17" s="94">
        <f t="shared" si="7"/>
        <v>4224</v>
      </c>
      <c r="Y17" s="82">
        <v>0.0</v>
      </c>
      <c r="Z17" s="116">
        <v>450.0</v>
      </c>
      <c r="AA17" s="79">
        <v>1.3</v>
      </c>
      <c r="AB17" s="7">
        <f t="shared" si="8"/>
        <v>585</v>
      </c>
      <c r="AC17" s="7">
        <f t="shared" si="9"/>
        <v>450</v>
      </c>
      <c r="AD17" s="7">
        <f t="shared" si="10"/>
        <v>0</v>
      </c>
      <c r="AE17" s="83">
        <f t="shared" si="11"/>
        <v>0</v>
      </c>
      <c r="AF17" s="84">
        <v>25.0</v>
      </c>
      <c r="AG17" s="79">
        <v>1200.0</v>
      </c>
      <c r="AH17" s="116">
        <v>0.6</v>
      </c>
      <c r="AI17" s="7">
        <f t="shared" si="12"/>
        <v>720</v>
      </c>
      <c r="AJ17" s="7">
        <f t="shared" si="13"/>
        <v>900</v>
      </c>
      <c r="AK17" s="7">
        <f t="shared" si="14"/>
        <v>180</v>
      </c>
      <c r="AL17" s="14">
        <f t="shared" si="15"/>
        <v>1440</v>
      </c>
      <c r="AM17" s="82">
        <v>0.0</v>
      </c>
      <c r="AN17" s="116">
        <v>2.5</v>
      </c>
      <c r="AO17" s="116">
        <v>22.0</v>
      </c>
      <c r="AP17" s="7">
        <f t="shared" si="16"/>
        <v>55</v>
      </c>
      <c r="AQ17" s="7">
        <f t="shared" si="17"/>
        <v>2.5</v>
      </c>
      <c r="AR17" s="7">
        <f t="shared" si="18"/>
        <v>0</v>
      </c>
      <c r="AS17" s="14">
        <f t="shared" si="19"/>
        <v>0</v>
      </c>
      <c r="AT17" s="82">
        <v>0.0</v>
      </c>
      <c r="AU17" s="116">
        <v>20000.0</v>
      </c>
      <c r="AV17" s="14">
        <f t="shared" si="20"/>
        <v>0</v>
      </c>
      <c r="AW17" s="82">
        <v>0.0</v>
      </c>
      <c r="AX17" s="116">
        <v>4500.0</v>
      </c>
      <c r="AY17" s="14">
        <f t="shared" si="21"/>
        <v>0</v>
      </c>
      <c r="AZ17" s="75">
        <f t="shared" si="22"/>
        <v>4964</v>
      </c>
      <c r="BA17" s="120" t="str">
        <f t="shared" si="23"/>
        <v>The DAT is free</v>
      </c>
      <c r="BB17" s="11">
        <f t="shared" si="24"/>
        <v>0</v>
      </c>
      <c r="BC17" s="11" t="str">
        <f t="shared" si="25"/>
        <v>YES</v>
      </c>
    </row>
    <row r="18" ht="15.75" customHeight="1">
      <c r="A18" s="12"/>
      <c r="B18" s="25" t="s">
        <v>14</v>
      </c>
      <c r="C18" s="25" t="s">
        <v>627</v>
      </c>
      <c r="D18" s="7" t="s">
        <v>31</v>
      </c>
      <c r="E18" s="7" t="s">
        <v>468</v>
      </c>
      <c r="F18" s="7" t="s">
        <v>34</v>
      </c>
      <c r="G18" s="7" t="s">
        <v>490</v>
      </c>
      <c r="H18" s="116">
        <v>4.0</v>
      </c>
      <c r="I18" s="7"/>
      <c r="J18" s="7"/>
      <c r="L18" s="7">
        <v>950.0</v>
      </c>
      <c r="M18" s="9">
        <f t="shared" si="1"/>
        <v>0</v>
      </c>
      <c r="N18" s="9">
        <f t="shared" si="2"/>
        <v>0</v>
      </c>
      <c r="O18" s="7">
        <v>1.0</v>
      </c>
      <c r="P18" s="11">
        <f t="shared" si="3"/>
        <v>0</v>
      </c>
      <c r="Q18" s="118">
        <v>8.0</v>
      </c>
      <c r="R18" s="84">
        <v>11.0</v>
      </c>
      <c r="S18" s="116">
        <v>12.0</v>
      </c>
      <c r="T18" s="116">
        <v>400.0</v>
      </c>
      <c r="U18" s="7">
        <f t="shared" si="4"/>
        <v>38400</v>
      </c>
      <c r="V18" s="7">
        <f t="shared" si="5"/>
        <v>13.32</v>
      </c>
      <c r="W18" s="14">
        <f t="shared" si="6"/>
        <v>5328</v>
      </c>
      <c r="X18" s="94">
        <f t="shared" si="7"/>
        <v>4224</v>
      </c>
      <c r="Y18" s="84">
        <v>30.0</v>
      </c>
      <c r="Z18" s="116">
        <v>450.0</v>
      </c>
      <c r="AA18" s="79">
        <v>1.3</v>
      </c>
      <c r="AB18" s="7">
        <f t="shared" si="8"/>
        <v>585</v>
      </c>
      <c r="AC18" s="7">
        <f t="shared" si="9"/>
        <v>315</v>
      </c>
      <c r="AD18" s="7">
        <f t="shared" si="10"/>
        <v>175.5</v>
      </c>
      <c r="AE18" s="83">
        <f t="shared" si="11"/>
        <v>1404</v>
      </c>
      <c r="AF18" s="84">
        <v>25.0</v>
      </c>
      <c r="AG18" s="79">
        <v>1200.0</v>
      </c>
      <c r="AH18" s="116">
        <v>0.6</v>
      </c>
      <c r="AI18" s="7">
        <f t="shared" si="12"/>
        <v>720</v>
      </c>
      <c r="AJ18" s="7">
        <f t="shared" si="13"/>
        <v>900</v>
      </c>
      <c r="AK18" s="7">
        <f t="shared" si="14"/>
        <v>180</v>
      </c>
      <c r="AL18" s="14">
        <f t="shared" si="15"/>
        <v>1440</v>
      </c>
      <c r="AM18" s="84">
        <v>35.0</v>
      </c>
      <c r="AN18" s="116">
        <v>2.5</v>
      </c>
      <c r="AO18" s="116">
        <v>22.0</v>
      </c>
      <c r="AP18" s="7">
        <f t="shared" si="16"/>
        <v>55</v>
      </c>
      <c r="AQ18" s="7">
        <f t="shared" si="17"/>
        <v>1.625</v>
      </c>
      <c r="AR18" s="7">
        <f t="shared" si="18"/>
        <v>19.25</v>
      </c>
      <c r="AS18" s="14">
        <f t="shared" si="19"/>
        <v>154</v>
      </c>
      <c r="AT18" s="82">
        <v>0.0</v>
      </c>
      <c r="AU18" s="116">
        <v>20000.0</v>
      </c>
      <c r="AV18" s="14">
        <f t="shared" si="20"/>
        <v>0</v>
      </c>
      <c r="AW18" s="82">
        <v>0.0</v>
      </c>
      <c r="AX18" s="116">
        <v>4500.0</v>
      </c>
      <c r="AY18" s="14">
        <f t="shared" si="21"/>
        <v>0</v>
      </c>
      <c r="AZ18" s="75">
        <f t="shared" si="22"/>
        <v>6272</v>
      </c>
      <c r="BA18" s="120" t="str">
        <f t="shared" si="23"/>
        <v>The DAT is free</v>
      </c>
      <c r="BB18" s="11">
        <f t="shared" si="24"/>
        <v>0</v>
      </c>
      <c r="BC18" s="11" t="str">
        <f t="shared" si="25"/>
        <v>YES</v>
      </c>
    </row>
    <row r="19" ht="15.75" customHeight="1">
      <c r="A19" s="12"/>
      <c r="B19" s="25" t="s">
        <v>14</v>
      </c>
      <c r="C19" s="25" t="s">
        <v>15</v>
      </c>
      <c r="D19" s="7" t="s">
        <v>29</v>
      </c>
      <c r="E19" s="7" t="s">
        <v>632</v>
      </c>
      <c r="F19" s="7" t="s">
        <v>26</v>
      </c>
      <c r="G19" s="7" t="s">
        <v>27</v>
      </c>
      <c r="H19" s="116">
        <v>4.0</v>
      </c>
      <c r="I19" s="7"/>
      <c r="J19" s="7"/>
      <c r="K19" s="7">
        <v>25.0</v>
      </c>
      <c r="L19" s="7">
        <f>K19*12</f>
        <v>300</v>
      </c>
      <c r="M19" s="9">
        <f t="shared" si="1"/>
        <v>0</v>
      </c>
      <c r="N19" s="9">
        <f t="shared" si="2"/>
        <v>0</v>
      </c>
      <c r="O19" s="7">
        <v>1.0</v>
      </c>
      <c r="P19" s="11">
        <f t="shared" si="3"/>
        <v>0</v>
      </c>
      <c r="Q19" s="118">
        <v>8.0</v>
      </c>
      <c r="R19" s="84">
        <v>11.0</v>
      </c>
      <c r="S19" s="116">
        <v>12.0</v>
      </c>
      <c r="T19" s="116">
        <v>400.0</v>
      </c>
      <c r="U19" s="7">
        <f t="shared" si="4"/>
        <v>38400</v>
      </c>
      <c r="V19" s="7">
        <f t="shared" si="5"/>
        <v>13.32</v>
      </c>
      <c r="W19" s="14">
        <f t="shared" si="6"/>
        <v>5328</v>
      </c>
      <c r="X19" s="94">
        <f t="shared" si="7"/>
        <v>4224</v>
      </c>
      <c r="Y19" s="82">
        <v>0.0</v>
      </c>
      <c r="Z19" s="116">
        <v>450.0</v>
      </c>
      <c r="AA19" s="79">
        <v>1.3</v>
      </c>
      <c r="AB19" s="7">
        <f t="shared" si="8"/>
        <v>585</v>
      </c>
      <c r="AC19" s="7">
        <f t="shared" si="9"/>
        <v>450</v>
      </c>
      <c r="AD19" s="7">
        <f t="shared" si="10"/>
        <v>0</v>
      </c>
      <c r="AE19" s="83">
        <f t="shared" si="11"/>
        <v>0</v>
      </c>
      <c r="AF19" s="84">
        <v>25.0</v>
      </c>
      <c r="AG19" s="79">
        <v>1200.0</v>
      </c>
      <c r="AH19" s="116">
        <v>0.6</v>
      </c>
      <c r="AI19" s="7">
        <f t="shared" si="12"/>
        <v>720</v>
      </c>
      <c r="AJ19" s="7">
        <f t="shared" si="13"/>
        <v>900</v>
      </c>
      <c r="AK19" s="7">
        <f t="shared" si="14"/>
        <v>180</v>
      </c>
      <c r="AL19" s="14">
        <f t="shared" si="15"/>
        <v>1440</v>
      </c>
      <c r="AM19" s="82">
        <v>0.0</v>
      </c>
      <c r="AN19" s="116">
        <v>2.5</v>
      </c>
      <c r="AO19" s="116">
        <v>22.0</v>
      </c>
      <c r="AP19" s="7">
        <f t="shared" si="16"/>
        <v>55</v>
      </c>
      <c r="AQ19" s="7">
        <f t="shared" si="17"/>
        <v>2.5</v>
      </c>
      <c r="AR19" s="7">
        <f t="shared" si="18"/>
        <v>0</v>
      </c>
      <c r="AS19" s="14">
        <f t="shared" si="19"/>
        <v>0</v>
      </c>
      <c r="AT19" s="82">
        <v>0.0</v>
      </c>
      <c r="AU19" s="116">
        <v>20000.0</v>
      </c>
      <c r="AV19" s="14">
        <f t="shared" si="20"/>
        <v>0</v>
      </c>
      <c r="AW19" s="82">
        <v>0.0</v>
      </c>
      <c r="AX19" s="116">
        <v>4500.0</v>
      </c>
      <c r="AY19" s="14">
        <f t="shared" si="21"/>
        <v>0</v>
      </c>
      <c r="AZ19" s="75">
        <f t="shared" si="22"/>
        <v>5364</v>
      </c>
      <c r="BA19" s="120" t="str">
        <f t="shared" si="23"/>
        <v>The DAT is free</v>
      </c>
      <c r="BB19" s="11">
        <f t="shared" si="24"/>
        <v>0</v>
      </c>
      <c r="BC19" s="11" t="str">
        <f t="shared" si="25"/>
        <v>YES</v>
      </c>
    </row>
    <row r="20" ht="15.75" customHeight="1">
      <c r="A20" s="12"/>
      <c r="B20" s="25" t="s">
        <v>14</v>
      </c>
      <c r="C20" s="25" t="s">
        <v>627</v>
      </c>
      <c r="D20" s="7" t="s">
        <v>130</v>
      </c>
      <c r="E20" s="7" t="s">
        <v>130</v>
      </c>
      <c r="F20" s="7" t="s">
        <v>51</v>
      </c>
      <c r="G20" s="7" t="s">
        <v>494</v>
      </c>
      <c r="H20" s="116">
        <v>4.0</v>
      </c>
      <c r="I20" s="7"/>
      <c r="J20" s="7"/>
      <c r="L20" s="7">
        <v>500.0</v>
      </c>
      <c r="M20" s="9">
        <f t="shared" si="1"/>
        <v>0</v>
      </c>
      <c r="N20" s="9">
        <f t="shared" si="2"/>
        <v>0</v>
      </c>
      <c r="O20" s="7">
        <v>1.0</v>
      </c>
      <c r="P20" s="11">
        <f t="shared" si="3"/>
        <v>0</v>
      </c>
      <c r="Q20" s="118">
        <v>8.0</v>
      </c>
      <c r="R20" s="84">
        <v>11.0</v>
      </c>
      <c r="S20" s="116">
        <v>12.0</v>
      </c>
      <c r="T20" s="116">
        <v>400.0</v>
      </c>
      <c r="U20" s="7">
        <f t="shared" si="4"/>
        <v>38400</v>
      </c>
      <c r="V20" s="7">
        <f t="shared" si="5"/>
        <v>13.32</v>
      </c>
      <c r="W20" s="14">
        <f t="shared" si="6"/>
        <v>5328</v>
      </c>
      <c r="X20" s="94">
        <f t="shared" si="7"/>
        <v>4224</v>
      </c>
      <c r="Y20" s="84">
        <v>30.0</v>
      </c>
      <c r="Z20" s="116">
        <v>450.0</v>
      </c>
      <c r="AA20" s="79">
        <v>1.3</v>
      </c>
      <c r="AB20" s="7">
        <f t="shared" si="8"/>
        <v>585</v>
      </c>
      <c r="AC20" s="7">
        <f t="shared" si="9"/>
        <v>315</v>
      </c>
      <c r="AD20" s="7">
        <f t="shared" si="10"/>
        <v>175.5</v>
      </c>
      <c r="AE20" s="83">
        <f t="shared" si="11"/>
        <v>1404</v>
      </c>
      <c r="AF20" s="84">
        <v>25.0</v>
      </c>
      <c r="AG20" s="79">
        <v>1200.0</v>
      </c>
      <c r="AH20" s="116">
        <v>0.6</v>
      </c>
      <c r="AI20" s="7">
        <f t="shared" si="12"/>
        <v>720</v>
      </c>
      <c r="AJ20" s="7">
        <f t="shared" si="13"/>
        <v>900</v>
      </c>
      <c r="AK20" s="7">
        <f t="shared" si="14"/>
        <v>180</v>
      </c>
      <c r="AL20" s="14">
        <f t="shared" si="15"/>
        <v>1440</v>
      </c>
      <c r="AM20" s="81">
        <v>35.0</v>
      </c>
      <c r="AN20" s="116">
        <v>2.5</v>
      </c>
      <c r="AO20" s="116">
        <v>22.0</v>
      </c>
      <c r="AP20" s="7">
        <f t="shared" si="16"/>
        <v>55</v>
      </c>
      <c r="AQ20" s="7">
        <f t="shared" si="17"/>
        <v>1.625</v>
      </c>
      <c r="AR20" s="7">
        <f t="shared" si="18"/>
        <v>19.25</v>
      </c>
      <c r="AS20" s="14">
        <f t="shared" si="19"/>
        <v>154</v>
      </c>
      <c r="AT20" s="82">
        <v>0.0</v>
      </c>
      <c r="AU20" s="116">
        <v>20000.0</v>
      </c>
      <c r="AV20" s="14">
        <f t="shared" si="20"/>
        <v>0</v>
      </c>
      <c r="AW20" s="82">
        <v>0.0</v>
      </c>
      <c r="AX20" s="116">
        <v>4500.0</v>
      </c>
      <c r="AY20" s="14">
        <f t="shared" si="21"/>
        <v>0</v>
      </c>
      <c r="AZ20" s="75">
        <f t="shared" si="22"/>
        <v>6722</v>
      </c>
      <c r="BA20" s="120" t="str">
        <f t="shared" si="23"/>
        <v>The DAT is free</v>
      </c>
      <c r="BB20" s="11">
        <f t="shared" si="24"/>
        <v>0</v>
      </c>
      <c r="BC20" s="11" t="str">
        <f t="shared" si="25"/>
        <v>YES</v>
      </c>
    </row>
    <row r="21" ht="15.75" customHeight="1">
      <c r="A21" s="12"/>
      <c r="B21" s="25" t="s">
        <v>14</v>
      </c>
      <c r="C21" s="25" t="s">
        <v>627</v>
      </c>
      <c r="D21" s="7" t="s">
        <v>135</v>
      </c>
      <c r="E21" s="7" t="s">
        <v>136</v>
      </c>
      <c r="F21" s="7" t="s">
        <v>51</v>
      </c>
      <c r="G21" s="7" t="s">
        <v>139</v>
      </c>
      <c r="H21" s="116">
        <v>4.0</v>
      </c>
      <c r="I21" s="7"/>
      <c r="J21" s="7"/>
      <c r="L21" s="7">
        <v>1000.0</v>
      </c>
      <c r="M21" s="9">
        <f t="shared" si="1"/>
        <v>0</v>
      </c>
      <c r="N21" s="9">
        <f t="shared" si="2"/>
        <v>0</v>
      </c>
      <c r="O21" s="7">
        <v>1.0</v>
      </c>
      <c r="P21" s="11">
        <f t="shared" si="3"/>
        <v>0</v>
      </c>
      <c r="Q21" s="118">
        <v>8.0</v>
      </c>
      <c r="R21" s="84">
        <v>11.0</v>
      </c>
      <c r="S21" s="7">
        <v>12.0</v>
      </c>
      <c r="T21" s="116">
        <v>400.0</v>
      </c>
      <c r="U21" s="7">
        <f t="shared" si="4"/>
        <v>38400</v>
      </c>
      <c r="V21" s="7">
        <f t="shared" si="5"/>
        <v>13.32</v>
      </c>
      <c r="W21" s="14">
        <f t="shared" si="6"/>
        <v>5328</v>
      </c>
      <c r="X21" s="94">
        <f t="shared" si="7"/>
        <v>4224</v>
      </c>
      <c r="Y21" s="84">
        <v>30.0</v>
      </c>
      <c r="Z21" s="116">
        <v>450.0</v>
      </c>
      <c r="AA21" s="79">
        <v>1.3</v>
      </c>
      <c r="AB21" s="7">
        <f t="shared" si="8"/>
        <v>585</v>
      </c>
      <c r="AC21" s="7">
        <f t="shared" si="9"/>
        <v>315</v>
      </c>
      <c r="AD21" s="7">
        <f t="shared" si="10"/>
        <v>175.5</v>
      </c>
      <c r="AE21" s="83">
        <f t="shared" si="11"/>
        <v>1404</v>
      </c>
      <c r="AF21" s="84">
        <v>25.0</v>
      </c>
      <c r="AG21" s="79">
        <v>1200.0</v>
      </c>
      <c r="AH21" s="116">
        <v>0.6</v>
      </c>
      <c r="AI21" s="7">
        <f t="shared" si="12"/>
        <v>720</v>
      </c>
      <c r="AJ21" s="7">
        <f t="shared" si="13"/>
        <v>900</v>
      </c>
      <c r="AK21" s="7">
        <f t="shared" si="14"/>
        <v>180</v>
      </c>
      <c r="AL21" s="14">
        <f t="shared" si="15"/>
        <v>1440</v>
      </c>
      <c r="AM21" s="81">
        <v>35.0</v>
      </c>
      <c r="AN21" s="116">
        <v>2.5</v>
      </c>
      <c r="AO21" s="116">
        <v>22.0</v>
      </c>
      <c r="AP21" s="7">
        <f t="shared" si="16"/>
        <v>55</v>
      </c>
      <c r="AQ21" s="7">
        <f t="shared" si="17"/>
        <v>1.625</v>
      </c>
      <c r="AR21" s="7">
        <f t="shared" si="18"/>
        <v>19.25</v>
      </c>
      <c r="AS21" s="14">
        <f t="shared" si="19"/>
        <v>154</v>
      </c>
      <c r="AT21" s="82">
        <v>0.0</v>
      </c>
      <c r="AU21" s="116">
        <v>20000.0</v>
      </c>
      <c r="AV21" s="14">
        <f t="shared" si="20"/>
        <v>0</v>
      </c>
      <c r="AW21" s="82">
        <v>0.0</v>
      </c>
      <c r="AX21" s="116">
        <v>4500.0</v>
      </c>
      <c r="AY21" s="14">
        <f t="shared" si="21"/>
        <v>0</v>
      </c>
      <c r="AZ21" s="75">
        <f t="shared" si="22"/>
        <v>6222</v>
      </c>
      <c r="BA21" s="120" t="str">
        <f t="shared" si="23"/>
        <v>The DAT is free</v>
      </c>
      <c r="BB21" s="11">
        <f t="shared" si="24"/>
        <v>0</v>
      </c>
      <c r="BC21" s="11" t="str">
        <f t="shared" si="25"/>
        <v>YES</v>
      </c>
    </row>
    <row r="22" ht="15.75" customHeight="1">
      <c r="A22" s="18"/>
      <c r="B22" s="86" t="s">
        <v>14</v>
      </c>
      <c r="C22" s="86" t="s">
        <v>15</v>
      </c>
      <c r="D22" s="19" t="s">
        <v>22</v>
      </c>
      <c r="E22" s="19" t="s">
        <v>23</v>
      </c>
      <c r="F22" s="19" t="s">
        <v>26</v>
      </c>
      <c r="G22" s="19" t="s">
        <v>633</v>
      </c>
      <c r="H22" s="19">
        <v>4.0</v>
      </c>
      <c r="I22" s="19"/>
      <c r="J22" s="19"/>
      <c r="K22" s="19">
        <v>25.0</v>
      </c>
      <c r="L22" s="19">
        <f>K22*12</f>
        <v>300</v>
      </c>
      <c r="M22" s="9">
        <f t="shared" si="1"/>
        <v>0</v>
      </c>
      <c r="N22" s="9">
        <f t="shared" si="2"/>
        <v>0</v>
      </c>
      <c r="O22" s="19">
        <v>1.0</v>
      </c>
      <c r="P22" s="11">
        <f t="shared" si="3"/>
        <v>0</v>
      </c>
      <c r="Q22" s="118">
        <v>8.0</v>
      </c>
      <c r="R22" s="88">
        <v>11.0</v>
      </c>
      <c r="S22" s="19">
        <v>12.0</v>
      </c>
      <c r="T22" s="19">
        <v>400.0</v>
      </c>
      <c r="U22" s="19">
        <f t="shared" si="4"/>
        <v>38400</v>
      </c>
      <c r="V22" s="19">
        <f t="shared" si="5"/>
        <v>13.32</v>
      </c>
      <c r="W22" s="21">
        <f t="shared" si="6"/>
        <v>5328</v>
      </c>
      <c r="X22" s="89">
        <f t="shared" si="7"/>
        <v>4224</v>
      </c>
      <c r="Y22" s="92">
        <v>0.0</v>
      </c>
      <c r="Z22" s="19">
        <v>450.0</v>
      </c>
      <c r="AA22" s="79">
        <v>1.3</v>
      </c>
      <c r="AB22" s="19">
        <f t="shared" si="8"/>
        <v>585</v>
      </c>
      <c r="AC22" s="19">
        <f t="shared" si="9"/>
        <v>450</v>
      </c>
      <c r="AD22" s="19">
        <f t="shared" si="10"/>
        <v>0</v>
      </c>
      <c r="AE22" s="91">
        <f t="shared" si="11"/>
        <v>0</v>
      </c>
      <c r="AF22" s="88">
        <v>25.0</v>
      </c>
      <c r="AG22" s="87">
        <v>1200.0</v>
      </c>
      <c r="AH22" s="93">
        <v>0.6</v>
      </c>
      <c r="AI22" s="19">
        <f t="shared" si="12"/>
        <v>720</v>
      </c>
      <c r="AJ22" s="19">
        <f t="shared" si="13"/>
        <v>900</v>
      </c>
      <c r="AK22" s="19">
        <f t="shared" si="14"/>
        <v>180</v>
      </c>
      <c r="AL22" s="21">
        <f t="shared" si="15"/>
        <v>1440</v>
      </c>
      <c r="AM22" s="122">
        <v>0.0</v>
      </c>
      <c r="AN22" s="93">
        <v>2.5</v>
      </c>
      <c r="AO22" s="93">
        <v>22.0</v>
      </c>
      <c r="AP22" s="19">
        <f t="shared" si="16"/>
        <v>55</v>
      </c>
      <c r="AQ22" s="19">
        <f t="shared" si="17"/>
        <v>2.5</v>
      </c>
      <c r="AR22" s="19">
        <f t="shared" si="18"/>
        <v>0</v>
      </c>
      <c r="AS22" s="21">
        <f t="shared" si="19"/>
        <v>0</v>
      </c>
      <c r="AT22" s="92">
        <v>0.0</v>
      </c>
      <c r="AU22" s="123">
        <v>20000.0</v>
      </c>
      <c r="AV22" s="21">
        <f t="shared" si="20"/>
        <v>0</v>
      </c>
      <c r="AW22" s="92">
        <v>0.0</v>
      </c>
      <c r="AX22" s="93">
        <v>4500.0</v>
      </c>
      <c r="AY22" s="21">
        <f t="shared" si="21"/>
        <v>0</v>
      </c>
      <c r="AZ22" s="75">
        <f t="shared" si="22"/>
        <v>5364</v>
      </c>
      <c r="BA22" s="120" t="str">
        <f t="shared" si="23"/>
        <v>The DAT is free</v>
      </c>
      <c r="BB22" s="11">
        <f t="shared" si="24"/>
        <v>0</v>
      </c>
      <c r="BC22" s="11" t="str">
        <f t="shared" si="25"/>
        <v>YES</v>
      </c>
    </row>
    <row r="23" ht="15.75" customHeight="1">
      <c r="A23" s="66" t="s">
        <v>140</v>
      </c>
      <c r="B23" s="68" t="s">
        <v>14</v>
      </c>
      <c r="C23" s="68" t="s">
        <v>509</v>
      </c>
      <c r="D23" s="9" t="s">
        <v>142</v>
      </c>
      <c r="E23" s="9" t="s">
        <v>143</v>
      </c>
      <c r="F23" s="9" t="s">
        <v>51</v>
      </c>
      <c r="G23" s="9" t="s">
        <v>498</v>
      </c>
      <c r="H23" s="9">
        <v>4.0</v>
      </c>
      <c r="I23" s="9">
        <v>6290.0</v>
      </c>
      <c r="J23" s="9"/>
      <c r="K23" s="9"/>
      <c r="L23" s="9"/>
      <c r="M23" s="9">
        <f t="shared" si="1"/>
        <v>1572.5</v>
      </c>
      <c r="N23" s="9">
        <f t="shared" si="2"/>
        <v>251.6</v>
      </c>
      <c r="O23" s="9">
        <v>1.0</v>
      </c>
      <c r="P23" s="11">
        <f t="shared" si="3"/>
        <v>6290</v>
      </c>
      <c r="Q23" s="69">
        <v>8.0</v>
      </c>
      <c r="R23" s="75">
        <v>19.0</v>
      </c>
      <c r="S23" s="9">
        <v>12.0</v>
      </c>
      <c r="T23" s="9">
        <v>400.0</v>
      </c>
      <c r="U23" s="9">
        <f t="shared" si="4"/>
        <v>38400</v>
      </c>
      <c r="V23" s="9">
        <f t="shared" si="5"/>
        <v>14.28</v>
      </c>
      <c r="W23" s="11">
        <f t="shared" si="6"/>
        <v>5712</v>
      </c>
      <c r="X23" s="72">
        <f t="shared" si="7"/>
        <v>7296</v>
      </c>
      <c r="Y23" s="75">
        <v>13.0</v>
      </c>
      <c r="Z23" s="9">
        <v>450.0</v>
      </c>
      <c r="AA23" s="69">
        <v>1.3</v>
      </c>
      <c r="AB23" s="9">
        <f t="shared" si="8"/>
        <v>585</v>
      </c>
      <c r="AC23" s="9">
        <f t="shared" si="9"/>
        <v>391.5</v>
      </c>
      <c r="AD23" s="9">
        <f t="shared" si="10"/>
        <v>76.05</v>
      </c>
      <c r="AE23" s="73">
        <f t="shared" si="11"/>
        <v>608.4</v>
      </c>
      <c r="AF23" s="71">
        <v>34.5</v>
      </c>
      <c r="AG23" s="79">
        <v>1200.0</v>
      </c>
      <c r="AH23" s="9">
        <v>0.6</v>
      </c>
      <c r="AI23" s="9">
        <f t="shared" si="12"/>
        <v>720</v>
      </c>
      <c r="AJ23" s="9">
        <f t="shared" si="13"/>
        <v>786</v>
      </c>
      <c r="AK23" s="9">
        <f t="shared" si="14"/>
        <v>248.4</v>
      </c>
      <c r="AL23" s="11">
        <f t="shared" si="15"/>
        <v>1987.2</v>
      </c>
      <c r="AM23" s="75">
        <v>4.0</v>
      </c>
      <c r="AN23" s="9">
        <v>2.5</v>
      </c>
      <c r="AO23" s="9">
        <v>22.0</v>
      </c>
      <c r="AP23" s="9">
        <f t="shared" si="16"/>
        <v>55</v>
      </c>
      <c r="AQ23" s="9">
        <f t="shared" si="17"/>
        <v>2.4</v>
      </c>
      <c r="AR23" s="9">
        <f t="shared" si="18"/>
        <v>2.2</v>
      </c>
      <c r="AS23" s="11">
        <f t="shared" si="19"/>
        <v>17.6</v>
      </c>
      <c r="AT23" s="71">
        <v>6.5</v>
      </c>
      <c r="AU23" s="116">
        <v>20000.0</v>
      </c>
      <c r="AV23" s="11">
        <f t="shared" si="20"/>
        <v>1300</v>
      </c>
      <c r="AW23" s="75">
        <v>26.0</v>
      </c>
      <c r="AX23" s="9">
        <v>4500.0</v>
      </c>
      <c r="AY23" s="11">
        <f t="shared" si="21"/>
        <v>1170</v>
      </c>
      <c r="AZ23" s="75">
        <f t="shared" si="22"/>
        <v>10555.1</v>
      </c>
      <c r="BA23" s="120">
        <f t="shared" si="23"/>
        <v>1.678076312</v>
      </c>
      <c r="BB23" s="11">
        <f t="shared" si="24"/>
        <v>0.5959204555</v>
      </c>
      <c r="BC23" s="11" t="str">
        <f t="shared" si="25"/>
        <v>YES</v>
      </c>
    </row>
    <row r="24" ht="15.75" customHeight="1">
      <c r="A24" s="12"/>
      <c r="B24" s="25" t="s">
        <v>14</v>
      </c>
      <c r="C24" s="25" t="s">
        <v>509</v>
      </c>
      <c r="D24" s="7" t="s">
        <v>147</v>
      </c>
      <c r="E24" s="7" t="s">
        <v>148</v>
      </c>
      <c r="F24" s="7" t="s">
        <v>51</v>
      </c>
      <c r="G24" s="7" t="s">
        <v>499</v>
      </c>
      <c r="H24" s="7">
        <v>4.0</v>
      </c>
      <c r="I24" s="7">
        <v>5100.0</v>
      </c>
      <c r="J24" s="7"/>
      <c r="L24" s="7"/>
      <c r="M24" s="9">
        <f t="shared" si="1"/>
        <v>1275</v>
      </c>
      <c r="N24" s="9">
        <f t="shared" si="2"/>
        <v>204</v>
      </c>
      <c r="O24" s="7">
        <v>1.0</v>
      </c>
      <c r="P24" s="11">
        <f t="shared" si="3"/>
        <v>5100</v>
      </c>
      <c r="Q24" s="79">
        <v>8.0</v>
      </c>
      <c r="R24" s="84">
        <v>19.0</v>
      </c>
      <c r="S24" s="7">
        <v>12.0</v>
      </c>
      <c r="T24" s="7">
        <v>400.0</v>
      </c>
      <c r="U24" s="7">
        <f t="shared" si="4"/>
        <v>38400</v>
      </c>
      <c r="V24" s="7">
        <f t="shared" si="5"/>
        <v>14.28</v>
      </c>
      <c r="W24" s="14">
        <f t="shared" si="6"/>
        <v>5712</v>
      </c>
      <c r="X24" s="94">
        <f t="shared" si="7"/>
        <v>7296</v>
      </c>
      <c r="Y24" s="84">
        <v>13.0</v>
      </c>
      <c r="Z24" s="7">
        <v>450.0</v>
      </c>
      <c r="AA24" s="79">
        <v>1.3</v>
      </c>
      <c r="AB24" s="7">
        <f t="shared" si="8"/>
        <v>585</v>
      </c>
      <c r="AC24" s="7">
        <f t="shared" si="9"/>
        <v>391.5</v>
      </c>
      <c r="AD24" s="7">
        <f t="shared" si="10"/>
        <v>76.05</v>
      </c>
      <c r="AE24" s="83">
        <f t="shared" si="11"/>
        <v>608.4</v>
      </c>
      <c r="AF24" s="80">
        <v>34.5</v>
      </c>
      <c r="AG24" s="79">
        <v>1200.0</v>
      </c>
      <c r="AH24" s="7">
        <v>0.6</v>
      </c>
      <c r="AI24" s="7">
        <f t="shared" si="12"/>
        <v>720</v>
      </c>
      <c r="AJ24" s="7">
        <f t="shared" si="13"/>
        <v>786</v>
      </c>
      <c r="AK24" s="7">
        <f t="shared" si="14"/>
        <v>248.4</v>
      </c>
      <c r="AL24" s="14">
        <f t="shared" si="15"/>
        <v>1987.2</v>
      </c>
      <c r="AM24" s="84">
        <v>4.0</v>
      </c>
      <c r="AN24" s="7">
        <v>2.5</v>
      </c>
      <c r="AO24" s="7">
        <v>22.0</v>
      </c>
      <c r="AP24" s="7">
        <f t="shared" si="16"/>
        <v>55</v>
      </c>
      <c r="AQ24" s="7">
        <f t="shared" si="17"/>
        <v>2.4</v>
      </c>
      <c r="AR24" s="7">
        <f t="shared" si="18"/>
        <v>2.2</v>
      </c>
      <c r="AS24" s="14">
        <f t="shared" si="19"/>
        <v>17.6</v>
      </c>
      <c r="AT24" s="80">
        <v>6.5</v>
      </c>
      <c r="AU24" s="116">
        <v>20000.0</v>
      </c>
      <c r="AV24" s="14">
        <f t="shared" si="20"/>
        <v>1300</v>
      </c>
      <c r="AW24" s="84">
        <v>26.0</v>
      </c>
      <c r="AX24" s="7">
        <v>4500.0</v>
      </c>
      <c r="AY24" s="14">
        <f t="shared" si="21"/>
        <v>1170</v>
      </c>
      <c r="AZ24" s="75">
        <f t="shared" si="22"/>
        <v>10900.2</v>
      </c>
      <c r="BA24" s="120">
        <f t="shared" si="23"/>
        <v>2.137294118</v>
      </c>
      <c r="BB24" s="11">
        <f t="shared" si="24"/>
        <v>0.4678813233</v>
      </c>
      <c r="BC24" s="11" t="str">
        <f t="shared" si="25"/>
        <v>YES</v>
      </c>
    </row>
    <row r="25" ht="15.75" customHeight="1">
      <c r="A25" s="12"/>
      <c r="B25" s="25" t="s">
        <v>14</v>
      </c>
      <c r="C25" s="25" t="s">
        <v>610</v>
      </c>
      <c r="D25" s="7" t="s">
        <v>160</v>
      </c>
      <c r="E25" s="7" t="s">
        <v>161</v>
      </c>
      <c r="F25" s="7" t="s">
        <v>51</v>
      </c>
      <c r="G25" s="7" t="s">
        <v>502</v>
      </c>
      <c r="H25" s="7">
        <v>4.0</v>
      </c>
      <c r="I25" s="7">
        <v>1500.0</v>
      </c>
      <c r="J25" s="7"/>
      <c r="L25" s="7"/>
      <c r="M25" s="9">
        <f t="shared" si="1"/>
        <v>375</v>
      </c>
      <c r="N25" s="9">
        <f t="shared" si="2"/>
        <v>60</v>
      </c>
      <c r="O25" s="7">
        <v>1.0</v>
      </c>
      <c r="P25" s="11">
        <f t="shared" si="3"/>
        <v>1500</v>
      </c>
      <c r="Q25" s="79">
        <v>8.0</v>
      </c>
      <c r="R25" s="84">
        <v>19.0</v>
      </c>
      <c r="S25" s="7">
        <v>12.0</v>
      </c>
      <c r="T25" s="7">
        <v>400.0</v>
      </c>
      <c r="U25" s="7">
        <f t="shared" si="4"/>
        <v>38400</v>
      </c>
      <c r="V25" s="7">
        <f t="shared" si="5"/>
        <v>14.28</v>
      </c>
      <c r="W25" s="14">
        <f t="shared" si="6"/>
        <v>5712</v>
      </c>
      <c r="X25" s="94">
        <f t="shared" si="7"/>
        <v>7296</v>
      </c>
      <c r="Y25" s="84">
        <v>13.0</v>
      </c>
      <c r="Z25" s="7">
        <v>450.0</v>
      </c>
      <c r="AA25" s="79">
        <v>1.3</v>
      </c>
      <c r="AB25" s="7">
        <f t="shared" si="8"/>
        <v>585</v>
      </c>
      <c r="AC25" s="7">
        <f t="shared" si="9"/>
        <v>391.5</v>
      </c>
      <c r="AD25" s="7">
        <f t="shared" si="10"/>
        <v>76.05</v>
      </c>
      <c r="AE25" s="83">
        <f t="shared" si="11"/>
        <v>608.4</v>
      </c>
      <c r="AF25" s="80">
        <v>34.5</v>
      </c>
      <c r="AG25" s="79">
        <v>1200.0</v>
      </c>
      <c r="AH25" s="7">
        <v>0.6</v>
      </c>
      <c r="AI25" s="7">
        <f t="shared" si="12"/>
        <v>720</v>
      </c>
      <c r="AJ25" s="7">
        <f t="shared" si="13"/>
        <v>786</v>
      </c>
      <c r="AK25" s="7">
        <f t="shared" si="14"/>
        <v>248.4</v>
      </c>
      <c r="AL25" s="14">
        <f t="shared" si="15"/>
        <v>1987.2</v>
      </c>
      <c r="AM25" s="84">
        <v>4.0</v>
      </c>
      <c r="AN25" s="7">
        <v>2.5</v>
      </c>
      <c r="AO25" s="7">
        <v>22.0</v>
      </c>
      <c r="AP25" s="7">
        <f t="shared" si="16"/>
        <v>55</v>
      </c>
      <c r="AQ25" s="7">
        <f t="shared" si="17"/>
        <v>2.4</v>
      </c>
      <c r="AR25" s="7">
        <f t="shared" si="18"/>
        <v>2.2</v>
      </c>
      <c r="AS25" s="14">
        <f t="shared" si="19"/>
        <v>17.6</v>
      </c>
      <c r="AT25" s="80">
        <v>6.5</v>
      </c>
      <c r="AU25" s="116">
        <v>20000.0</v>
      </c>
      <c r="AV25" s="14">
        <f t="shared" si="20"/>
        <v>1300</v>
      </c>
      <c r="AW25" s="84">
        <v>26.0</v>
      </c>
      <c r="AX25" s="7">
        <v>4500.0</v>
      </c>
      <c r="AY25" s="14">
        <f t="shared" si="21"/>
        <v>1170</v>
      </c>
      <c r="AZ25" s="75">
        <f t="shared" si="22"/>
        <v>11944.2</v>
      </c>
      <c r="BA25" s="120">
        <f t="shared" si="23"/>
        <v>7.9628</v>
      </c>
      <c r="BB25" s="11">
        <f t="shared" si="24"/>
        <v>0.1255839654</v>
      </c>
      <c r="BC25" s="11" t="str">
        <f t="shared" si="25"/>
        <v>YES</v>
      </c>
    </row>
    <row r="26" ht="15.75" customHeight="1">
      <c r="A26" s="12"/>
      <c r="B26" s="25" t="s">
        <v>14</v>
      </c>
      <c r="C26" s="25" t="s">
        <v>506</v>
      </c>
      <c r="D26" s="7" t="s">
        <v>166</v>
      </c>
      <c r="E26" s="7" t="s">
        <v>167</v>
      </c>
      <c r="F26" s="7" t="s">
        <v>51</v>
      </c>
      <c r="G26" s="7" t="s">
        <v>508</v>
      </c>
      <c r="H26" s="7">
        <v>4.0</v>
      </c>
      <c r="I26" s="7">
        <v>1100.0</v>
      </c>
      <c r="J26" s="7"/>
      <c r="L26" s="7"/>
      <c r="M26" s="9">
        <f t="shared" si="1"/>
        <v>275</v>
      </c>
      <c r="N26" s="9">
        <f t="shared" si="2"/>
        <v>44</v>
      </c>
      <c r="O26" s="7">
        <v>1.0</v>
      </c>
      <c r="P26" s="11">
        <f t="shared" si="3"/>
        <v>1100</v>
      </c>
      <c r="Q26" s="79">
        <v>8.0</v>
      </c>
      <c r="R26" s="84">
        <v>19.0</v>
      </c>
      <c r="S26" s="7">
        <v>12.0</v>
      </c>
      <c r="T26" s="7">
        <v>400.0</v>
      </c>
      <c r="U26" s="7">
        <f t="shared" si="4"/>
        <v>38400</v>
      </c>
      <c r="V26" s="7">
        <f t="shared" si="5"/>
        <v>14.28</v>
      </c>
      <c r="W26" s="14">
        <f t="shared" si="6"/>
        <v>5712</v>
      </c>
      <c r="X26" s="94">
        <f t="shared" si="7"/>
        <v>7296</v>
      </c>
      <c r="Y26" s="84">
        <v>13.0</v>
      </c>
      <c r="Z26" s="7">
        <v>450.0</v>
      </c>
      <c r="AA26" s="79">
        <v>1.3</v>
      </c>
      <c r="AB26" s="7">
        <f t="shared" si="8"/>
        <v>585</v>
      </c>
      <c r="AC26" s="7">
        <f t="shared" si="9"/>
        <v>391.5</v>
      </c>
      <c r="AD26" s="7">
        <f t="shared" si="10"/>
        <v>76.05</v>
      </c>
      <c r="AE26" s="83">
        <f t="shared" si="11"/>
        <v>608.4</v>
      </c>
      <c r="AF26" s="80">
        <v>34.5</v>
      </c>
      <c r="AG26" s="79">
        <v>1200.0</v>
      </c>
      <c r="AH26" s="7">
        <v>0.6</v>
      </c>
      <c r="AI26" s="7">
        <f t="shared" si="12"/>
        <v>720</v>
      </c>
      <c r="AJ26" s="7">
        <f t="shared" si="13"/>
        <v>786</v>
      </c>
      <c r="AK26" s="7">
        <f t="shared" si="14"/>
        <v>248.4</v>
      </c>
      <c r="AL26" s="14">
        <f t="shared" si="15"/>
        <v>1987.2</v>
      </c>
      <c r="AM26" s="84">
        <v>4.0</v>
      </c>
      <c r="AN26" s="7">
        <v>2.5</v>
      </c>
      <c r="AO26" s="7">
        <v>22.0</v>
      </c>
      <c r="AP26" s="7">
        <f t="shared" si="16"/>
        <v>55</v>
      </c>
      <c r="AQ26" s="7">
        <f t="shared" si="17"/>
        <v>2.4</v>
      </c>
      <c r="AR26" s="7">
        <f t="shared" si="18"/>
        <v>2.2</v>
      </c>
      <c r="AS26" s="14">
        <f t="shared" si="19"/>
        <v>17.6</v>
      </c>
      <c r="AT26" s="80">
        <v>6.5</v>
      </c>
      <c r="AU26" s="116">
        <v>20000.0</v>
      </c>
      <c r="AV26" s="14">
        <f t="shared" si="20"/>
        <v>1300</v>
      </c>
      <c r="AW26" s="84">
        <v>26.0</v>
      </c>
      <c r="AX26" s="7">
        <v>4500.0</v>
      </c>
      <c r="AY26" s="14">
        <f t="shared" si="21"/>
        <v>1170</v>
      </c>
      <c r="AZ26" s="75">
        <f t="shared" si="22"/>
        <v>12060.2</v>
      </c>
      <c r="BA26" s="120">
        <f t="shared" si="23"/>
        <v>10.96381818</v>
      </c>
      <c r="BB26" s="11">
        <f t="shared" si="24"/>
        <v>0.09120910101</v>
      </c>
      <c r="BC26" s="11" t="str">
        <f t="shared" si="25"/>
        <v>YES</v>
      </c>
    </row>
    <row r="27" ht="15.75" customHeight="1">
      <c r="A27" s="12"/>
      <c r="B27" s="25" t="s">
        <v>14</v>
      </c>
      <c r="C27" s="25" t="s">
        <v>509</v>
      </c>
      <c r="D27" s="7" t="s">
        <v>182</v>
      </c>
      <c r="E27" s="7" t="s">
        <v>585</v>
      </c>
      <c r="F27" s="7" t="s">
        <v>51</v>
      </c>
      <c r="G27" s="7" t="s">
        <v>510</v>
      </c>
      <c r="H27" s="7">
        <v>4.0</v>
      </c>
      <c r="I27" s="7">
        <v>4320.0</v>
      </c>
      <c r="J27" s="7"/>
      <c r="L27" s="7"/>
      <c r="M27" s="9">
        <f t="shared" si="1"/>
        <v>1080</v>
      </c>
      <c r="N27" s="9">
        <f t="shared" si="2"/>
        <v>172.8</v>
      </c>
      <c r="O27" s="7">
        <v>1.0</v>
      </c>
      <c r="P27" s="11">
        <f t="shared" si="3"/>
        <v>4320</v>
      </c>
      <c r="Q27" s="79">
        <v>8.0</v>
      </c>
      <c r="R27" s="84">
        <v>19.0</v>
      </c>
      <c r="S27" s="7">
        <v>12.0</v>
      </c>
      <c r="T27" s="7">
        <v>400.0</v>
      </c>
      <c r="U27" s="7">
        <f t="shared" si="4"/>
        <v>38400</v>
      </c>
      <c r="V27" s="7">
        <f t="shared" si="5"/>
        <v>14.28</v>
      </c>
      <c r="W27" s="14">
        <f t="shared" si="6"/>
        <v>5712</v>
      </c>
      <c r="X27" s="94">
        <f t="shared" si="7"/>
        <v>7296</v>
      </c>
      <c r="Y27" s="84">
        <v>13.0</v>
      </c>
      <c r="Z27" s="7">
        <v>450.0</v>
      </c>
      <c r="AA27" s="79">
        <v>1.3</v>
      </c>
      <c r="AB27" s="7">
        <f t="shared" si="8"/>
        <v>585</v>
      </c>
      <c r="AC27" s="7">
        <f t="shared" si="9"/>
        <v>391.5</v>
      </c>
      <c r="AD27" s="7">
        <f t="shared" si="10"/>
        <v>76.05</v>
      </c>
      <c r="AE27" s="83">
        <f t="shared" si="11"/>
        <v>608.4</v>
      </c>
      <c r="AF27" s="80">
        <v>34.5</v>
      </c>
      <c r="AG27" s="79">
        <v>1200.0</v>
      </c>
      <c r="AH27" s="7">
        <v>0.6</v>
      </c>
      <c r="AI27" s="7">
        <f t="shared" si="12"/>
        <v>720</v>
      </c>
      <c r="AJ27" s="7">
        <f t="shared" si="13"/>
        <v>786</v>
      </c>
      <c r="AK27" s="7">
        <f t="shared" si="14"/>
        <v>248.4</v>
      </c>
      <c r="AL27" s="14">
        <f t="shared" si="15"/>
        <v>1987.2</v>
      </c>
      <c r="AM27" s="84">
        <v>4.0</v>
      </c>
      <c r="AN27" s="7">
        <v>2.5</v>
      </c>
      <c r="AO27" s="7">
        <v>22.0</v>
      </c>
      <c r="AP27" s="7">
        <f t="shared" si="16"/>
        <v>55</v>
      </c>
      <c r="AQ27" s="7">
        <f t="shared" si="17"/>
        <v>2.4</v>
      </c>
      <c r="AR27" s="7">
        <f t="shared" si="18"/>
        <v>2.2</v>
      </c>
      <c r="AS27" s="14">
        <f t="shared" si="19"/>
        <v>17.6</v>
      </c>
      <c r="AT27" s="80">
        <v>6.5</v>
      </c>
      <c r="AU27" s="116">
        <v>20000.0</v>
      </c>
      <c r="AV27" s="14">
        <f t="shared" si="20"/>
        <v>1300</v>
      </c>
      <c r="AW27" s="84">
        <v>26.0</v>
      </c>
      <c r="AX27" s="7">
        <v>4500.0</v>
      </c>
      <c r="AY27" s="14">
        <f t="shared" si="21"/>
        <v>1170</v>
      </c>
      <c r="AZ27" s="75">
        <f t="shared" si="22"/>
        <v>11126.4</v>
      </c>
      <c r="BA27" s="120">
        <f t="shared" si="23"/>
        <v>2.575555556</v>
      </c>
      <c r="BB27" s="11">
        <f t="shared" si="24"/>
        <v>0.3882657463</v>
      </c>
      <c r="BC27" s="11" t="str">
        <f t="shared" si="25"/>
        <v>YES</v>
      </c>
    </row>
    <row r="28" ht="15.75" customHeight="1">
      <c r="A28" s="12"/>
      <c r="B28" s="25" t="s">
        <v>14</v>
      </c>
      <c r="C28" s="25" t="s">
        <v>141</v>
      </c>
      <c r="D28" s="7" t="s">
        <v>198</v>
      </c>
      <c r="E28" s="7" t="s">
        <v>611</v>
      </c>
      <c r="F28" s="7" t="s">
        <v>51</v>
      </c>
      <c r="G28" s="7" t="s">
        <v>517</v>
      </c>
      <c r="H28" s="7">
        <v>4.0</v>
      </c>
      <c r="I28" s="7">
        <v>7000.0</v>
      </c>
      <c r="J28" s="7"/>
      <c r="L28" s="7"/>
      <c r="M28" s="9">
        <f t="shared" si="1"/>
        <v>1750</v>
      </c>
      <c r="N28" s="9">
        <f t="shared" si="2"/>
        <v>280</v>
      </c>
      <c r="O28" s="7">
        <v>1.0</v>
      </c>
      <c r="P28" s="11">
        <f t="shared" si="3"/>
        <v>7000</v>
      </c>
      <c r="Q28" s="79">
        <v>8.0</v>
      </c>
      <c r="R28" s="84">
        <v>19.0</v>
      </c>
      <c r="S28" s="7">
        <v>12.0</v>
      </c>
      <c r="T28" s="7">
        <v>400.0</v>
      </c>
      <c r="U28" s="7">
        <f t="shared" si="4"/>
        <v>38400</v>
      </c>
      <c r="V28" s="7">
        <f t="shared" si="5"/>
        <v>14.28</v>
      </c>
      <c r="W28" s="14">
        <f t="shared" si="6"/>
        <v>5712</v>
      </c>
      <c r="X28" s="94">
        <f t="shared" si="7"/>
        <v>7296</v>
      </c>
      <c r="Y28" s="84">
        <v>13.0</v>
      </c>
      <c r="Z28" s="7">
        <v>450.0</v>
      </c>
      <c r="AA28" s="79">
        <v>1.3</v>
      </c>
      <c r="AB28" s="7">
        <f t="shared" si="8"/>
        <v>585</v>
      </c>
      <c r="AC28" s="7">
        <f t="shared" si="9"/>
        <v>391.5</v>
      </c>
      <c r="AD28" s="7">
        <f t="shared" si="10"/>
        <v>76.05</v>
      </c>
      <c r="AE28" s="83">
        <f t="shared" si="11"/>
        <v>608.4</v>
      </c>
      <c r="AF28" s="80">
        <v>34.5</v>
      </c>
      <c r="AG28" s="79">
        <v>1200.0</v>
      </c>
      <c r="AH28" s="7">
        <v>0.6</v>
      </c>
      <c r="AI28" s="7">
        <f t="shared" si="12"/>
        <v>720</v>
      </c>
      <c r="AJ28" s="7">
        <f t="shared" si="13"/>
        <v>786</v>
      </c>
      <c r="AK28" s="7">
        <f t="shared" si="14"/>
        <v>248.4</v>
      </c>
      <c r="AL28" s="14">
        <f t="shared" si="15"/>
        <v>1987.2</v>
      </c>
      <c r="AM28" s="84">
        <v>4.0</v>
      </c>
      <c r="AN28" s="7">
        <v>2.5</v>
      </c>
      <c r="AO28" s="7">
        <v>22.0</v>
      </c>
      <c r="AP28" s="7">
        <f t="shared" si="16"/>
        <v>55</v>
      </c>
      <c r="AQ28" s="7">
        <f t="shared" si="17"/>
        <v>2.4</v>
      </c>
      <c r="AR28" s="7">
        <f t="shared" si="18"/>
        <v>2.2</v>
      </c>
      <c r="AS28" s="14">
        <f t="shared" si="19"/>
        <v>17.6</v>
      </c>
      <c r="AT28" s="80">
        <v>6.5</v>
      </c>
      <c r="AU28" s="116">
        <v>20000.0</v>
      </c>
      <c r="AV28" s="14">
        <f t="shared" si="20"/>
        <v>1300</v>
      </c>
      <c r="AW28" s="84">
        <v>26.0</v>
      </c>
      <c r="AX28" s="7">
        <v>4500.0</v>
      </c>
      <c r="AY28" s="14">
        <f t="shared" si="21"/>
        <v>1170</v>
      </c>
      <c r="AZ28" s="75">
        <f t="shared" si="22"/>
        <v>10349.2</v>
      </c>
      <c r="BA28" s="120">
        <f t="shared" si="23"/>
        <v>1.478457143</v>
      </c>
      <c r="BB28" s="11">
        <f t="shared" si="24"/>
        <v>0.6763807831</v>
      </c>
      <c r="BC28" s="11" t="str">
        <f t="shared" si="25"/>
        <v>YES</v>
      </c>
    </row>
    <row r="29" ht="15.75" customHeight="1">
      <c r="A29" s="12"/>
      <c r="B29" s="25" t="s">
        <v>14</v>
      </c>
      <c r="C29" s="25" t="s">
        <v>141</v>
      </c>
      <c r="D29" s="7" t="s">
        <v>201</v>
      </c>
      <c r="E29" s="7" t="s">
        <v>516</v>
      </c>
      <c r="F29" s="7" t="s">
        <v>51</v>
      </c>
      <c r="G29" s="7" t="s">
        <v>584</v>
      </c>
      <c r="H29" s="7">
        <v>4.0</v>
      </c>
      <c r="I29" s="7">
        <v>10000.0</v>
      </c>
      <c r="J29" s="7"/>
      <c r="L29" s="7"/>
      <c r="M29" s="9">
        <f t="shared" si="1"/>
        <v>2500</v>
      </c>
      <c r="N29" s="9">
        <f t="shared" si="2"/>
        <v>400</v>
      </c>
      <c r="O29" s="7">
        <v>1.0</v>
      </c>
      <c r="P29" s="11">
        <f t="shared" si="3"/>
        <v>10000</v>
      </c>
      <c r="Q29" s="79">
        <v>8.0</v>
      </c>
      <c r="R29" s="84">
        <v>19.0</v>
      </c>
      <c r="S29" s="7">
        <v>12.0</v>
      </c>
      <c r="T29" s="7">
        <v>400.0</v>
      </c>
      <c r="U29" s="7">
        <f t="shared" si="4"/>
        <v>38400</v>
      </c>
      <c r="V29" s="7">
        <f t="shared" si="5"/>
        <v>14.28</v>
      </c>
      <c r="W29" s="14">
        <f t="shared" si="6"/>
        <v>5712</v>
      </c>
      <c r="X29" s="94">
        <f t="shared" si="7"/>
        <v>7296</v>
      </c>
      <c r="Y29" s="84">
        <v>13.0</v>
      </c>
      <c r="Z29" s="7">
        <v>450.0</v>
      </c>
      <c r="AA29" s="79">
        <v>1.3</v>
      </c>
      <c r="AB29" s="7">
        <f t="shared" si="8"/>
        <v>585</v>
      </c>
      <c r="AC29" s="7">
        <f t="shared" si="9"/>
        <v>391.5</v>
      </c>
      <c r="AD29" s="7">
        <f t="shared" si="10"/>
        <v>76.05</v>
      </c>
      <c r="AE29" s="83">
        <f t="shared" si="11"/>
        <v>608.4</v>
      </c>
      <c r="AF29" s="80">
        <v>34.5</v>
      </c>
      <c r="AG29" s="79">
        <v>1200.0</v>
      </c>
      <c r="AH29" s="7">
        <v>0.6</v>
      </c>
      <c r="AI29" s="7">
        <f t="shared" si="12"/>
        <v>720</v>
      </c>
      <c r="AJ29" s="7">
        <f t="shared" si="13"/>
        <v>786</v>
      </c>
      <c r="AK29" s="7">
        <f t="shared" si="14"/>
        <v>248.4</v>
      </c>
      <c r="AL29" s="14">
        <f t="shared" si="15"/>
        <v>1987.2</v>
      </c>
      <c r="AM29" s="84">
        <v>4.0</v>
      </c>
      <c r="AN29" s="7">
        <v>2.5</v>
      </c>
      <c r="AO29" s="7">
        <v>22.0</v>
      </c>
      <c r="AP29" s="7">
        <f t="shared" si="16"/>
        <v>55</v>
      </c>
      <c r="AQ29" s="7">
        <f t="shared" si="17"/>
        <v>2.4</v>
      </c>
      <c r="AR29" s="7">
        <f t="shared" si="18"/>
        <v>2.2</v>
      </c>
      <c r="AS29" s="14">
        <f t="shared" si="19"/>
        <v>17.6</v>
      </c>
      <c r="AT29" s="80">
        <v>6.5</v>
      </c>
      <c r="AU29" s="116">
        <v>20000.0</v>
      </c>
      <c r="AV29" s="14">
        <f t="shared" si="20"/>
        <v>1300</v>
      </c>
      <c r="AW29" s="84">
        <v>26.0</v>
      </c>
      <c r="AX29" s="7">
        <v>4500.0</v>
      </c>
      <c r="AY29" s="14">
        <f t="shared" si="21"/>
        <v>1170</v>
      </c>
      <c r="AZ29" s="75">
        <f t="shared" si="22"/>
        <v>9479.2</v>
      </c>
      <c r="BA29" s="120">
        <f t="shared" si="23"/>
        <v>0.94792</v>
      </c>
      <c r="BB29" s="11">
        <f t="shared" si="24"/>
        <v>1.054941345</v>
      </c>
      <c r="BC29" s="11" t="str">
        <f t="shared" si="25"/>
        <v>YES</v>
      </c>
    </row>
    <row r="30" ht="15.75" customHeight="1">
      <c r="A30" s="12"/>
      <c r="B30" s="25" t="s">
        <v>14</v>
      </c>
      <c r="C30" s="25" t="s">
        <v>586</v>
      </c>
      <c r="D30" s="7" t="s">
        <v>587</v>
      </c>
      <c r="E30" s="7" t="s">
        <v>513</v>
      </c>
      <c r="F30" s="7" t="s">
        <v>51</v>
      </c>
      <c r="G30" s="7" t="s">
        <v>514</v>
      </c>
      <c r="H30" s="7">
        <v>4.0</v>
      </c>
      <c r="I30" s="7">
        <v>20000.0</v>
      </c>
      <c r="J30" s="7"/>
      <c r="L30" s="7"/>
      <c r="M30" s="9">
        <f t="shared" si="1"/>
        <v>5000</v>
      </c>
      <c r="N30" s="9">
        <f t="shared" si="2"/>
        <v>800</v>
      </c>
      <c r="O30" s="7">
        <v>1.0</v>
      </c>
      <c r="P30" s="11">
        <f t="shared" si="3"/>
        <v>20000</v>
      </c>
      <c r="Q30" s="79">
        <v>8.0</v>
      </c>
      <c r="R30" s="84">
        <v>19.0</v>
      </c>
      <c r="S30" s="7">
        <v>12.0</v>
      </c>
      <c r="T30" s="7">
        <v>400.0</v>
      </c>
      <c r="U30" s="7">
        <f t="shared" si="4"/>
        <v>38400</v>
      </c>
      <c r="V30" s="7">
        <f t="shared" si="5"/>
        <v>14.28</v>
      </c>
      <c r="W30" s="14">
        <f t="shared" si="6"/>
        <v>5712</v>
      </c>
      <c r="X30" s="94">
        <f t="shared" si="7"/>
        <v>7296</v>
      </c>
      <c r="Y30" s="84">
        <v>13.0</v>
      </c>
      <c r="Z30" s="7">
        <v>450.0</v>
      </c>
      <c r="AA30" s="79">
        <v>1.3</v>
      </c>
      <c r="AB30" s="7">
        <f t="shared" si="8"/>
        <v>585</v>
      </c>
      <c r="AC30" s="7">
        <f t="shared" si="9"/>
        <v>391.5</v>
      </c>
      <c r="AD30" s="7">
        <f t="shared" si="10"/>
        <v>76.05</v>
      </c>
      <c r="AE30" s="83">
        <f t="shared" si="11"/>
        <v>608.4</v>
      </c>
      <c r="AF30" s="80">
        <v>34.5</v>
      </c>
      <c r="AG30" s="79">
        <v>1200.0</v>
      </c>
      <c r="AH30" s="7">
        <v>0.6</v>
      </c>
      <c r="AI30" s="7">
        <f t="shared" si="12"/>
        <v>720</v>
      </c>
      <c r="AJ30" s="7">
        <f t="shared" si="13"/>
        <v>786</v>
      </c>
      <c r="AK30" s="7">
        <f t="shared" si="14"/>
        <v>248.4</v>
      </c>
      <c r="AL30" s="14">
        <f t="shared" si="15"/>
        <v>1987.2</v>
      </c>
      <c r="AM30" s="84">
        <v>4.0</v>
      </c>
      <c r="AN30" s="7">
        <v>2.5</v>
      </c>
      <c r="AO30" s="7">
        <v>22.0</v>
      </c>
      <c r="AP30" s="7">
        <f t="shared" si="16"/>
        <v>55</v>
      </c>
      <c r="AQ30" s="7">
        <f t="shared" si="17"/>
        <v>2.4</v>
      </c>
      <c r="AR30" s="7">
        <f t="shared" si="18"/>
        <v>2.2</v>
      </c>
      <c r="AS30" s="14">
        <f t="shared" si="19"/>
        <v>17.6</v>
      </c>
      <c r="AT30" s="80">
        <v>6.5</v>
      </c>
      <c r="AU30" s="116">
        <v>20000.0</v>
      </c>
      <c r="AV30" s="14">
        <f t="shared" si="20"/>
        <v>1300</v>
      </c>
      <c r="AW30" s="84">
        <v>26.0</v>
      </c>
      <c r="AX30" s="7">
        <v>4500.0</v>
      </c>
      <c r="AY30" s="14">
        <f t="shared" si="21"/>
        <v>1170</v>
      </c>
      <c r="AZ30" s="75">
        <f t="shared" si="22"/>
        <v>6579.2</v>
      </c>
      <c r="BA30" s="120">
        <f t="shared" si="23"/>
        <v>0.32896</v>
      </c>
      <c r="BB30" s="11">
        <f t="shared" si="24"/>
        <v>3.039883268</v>
      </c>
      <c r="BC30" s="11" t="str">
        <f t="shared" si="25"/>
        <v>YES</v>
      </c>
    </row>
    <row r="31" ht="15.75" customHeight="1">
      <c r="A31" s="12"/>
      <c r="B31" s="25" t="s">
        <v>503</v>
      </c>
      <c r="C31" s="25" t="s">
        <v>610</v>
      </c>
      <c r="D31" s="7" t="s">
        <v>171</v>
      </c>
      <c r="E31" s="7" t="s">
        <v>172</v>
      </c>
      <c r="F31" s="7" t="s">
        <v>51</v>
      </c>
      <c r="G31" s="7" t="s">
        <v>634</v>
      </c>
      <c r="H31" s="7">
        <v>4.0</v>
      </c>
      <c r="I31" s="7">
        <v>12500.0</v>
      </c>
      <c r="J31" s="7"/>
      <c r="L31" s="7"/>
      <c r="M31" s="9">
        <f t="shared" si="1"/>
        <v>3125</v>
      </c>
      <c r="N31" s="9">
        <f t="shared" si="2"/>
        <v>500</v>
      </c>
      <c r="O31" s="7">
        <v>1.0</v>
      </c>
      <c r="P31" s="11">
        <f t="shared" si="3"/>
        <v>12500</v>
      </c>
      <c r="Q31" s="79">
        <v>8.0</v>
      </c>
      <c r="R31" s="84">
        <v>19.0</v>
      </c>
      <c r="S31" s="7">
        <v>12.0</v>
      </c>
      <c r="T31" s="7">
        <v>400.0</v>
      </c>
      <c r="U31" s="7">
        <f t="shared" si="4"/>
        <v>38400</v>
      </c>
      <c r="V31" s="7">
        <f t="shared" si="5"/>
        <v>14.28</v>
      </c>
      <c r="W31" s="14">
        <f t="shared" si="6"/>
        <v>5712</v>
      </c>
      <c r="X31" s="94">
        <f t="shared" si="7"/>
        <v>7296</v>
      </c>
      <c r="Y31" s="84">
        <v>13.0</v>
      </c>
      <c r="Z31" s="7">
        <v>450.0</v>
      </c>
      <c r="AA31" s="79">
        <v>1.3</v>
      </c>
      <c r="AB31" s="7">
        <f t="shared" si="8"/>
        <v>585</v>
      </c>
      <c r="AC31" s="7">
        <f t="shared" si="9"/>
        <v>391.5</v>
      </c>
      <c r="AD31" s="7">
        <f t="shared" si="10"/>
        <v>76.05</v>
      </c>
      <c r="AE31" s="83">
        <f t="shared" si="11"/>
        <v>608.4</v>
      </c>
      <c r="AF31" s="80">
        <v>34.5</v>
      </c>
      <c r="AG31" s="79">
        <v>1200.0</v>
      </c>
      <c r="AH31" s="7">
        <v>0.6</v>
      </c>
      <c r="AI31" s="7">
        <f t="shared" si="12"/>
        <v>720</v>
      </c>
      <c r="AJ31" s="7">
        <f t="shared" si="13"/>
        <v>786</v>
      </c>
      <c r="AK31" s="7">
        <f t="shared" si="14"/>
        <v>248.4</v>
      </c>
      <c r="AL31" s="14">
        <f t="shared" si="15"/>
        <v>1987.2</v>
      </c>
      <c r="AM31" s="84">
        <v>4.0</v>
      </c>
      <c r="AN31" s="7">
        <v>2.5</v>
      </c>
      <c r="AO31" s="7">
        <v>22.0</v>
      </c>
      <c r="AP31" s="7">
        <f t="shared" si="16"/>
        <v>55</v>
      </c>
      <c r="AQ31" s="7">
        <f t="shared" si="17"/>
        <v>2.4</v>
      </c>
      <c r="AR31" s="7">
        <f t="shared" si="18"/>
        <v>2.2</v>
      </c>
      <c r="AS31" s="14">
        <f t="shared" si="19"/>
        <v>17.6</v>
      </c>
      <c r="AT31" s="80">
        <v>6.5</v>
      </c>
      <c r="AU31" s="116">
        <v>20000.0</v>
      </c>
      <c r="AV31" s="14">
        <f t="shared" si="20"/>
        <v>1300</v>
      </c>
      <c r="AW31" s="84">
        <v>26.0</v>
      </c>
      <c r="AX31" s="7">
        <v>4500.0</v>
      </c>
      <c r="AY31" s="14">
        <f t="shared" si="21"/>
        <v>1170</v>
      </c>
      <c r="AZ31" s="75">
        <f t="shared" si="22"/>
        <v>8754.2</v>
      </c>
      <c r="BA31" s="120">
        <f t="shared" si="23"/>
        <v>0.700336</v>
      </c>
      <c r="BB31" s="11">
        <f t="shared" si="24"/>
        <v>1.427886043</v>
      </c>
      <c r="BC31" s="11" t="str">
        <f t="shared" si="25"/>
        <v>YES</v>
      </c>
    </row>
    <row r="32" ht="15.75" customHeight="1">
      <c r="A32" s="12"/>
      <c r="B32" s="25" t="s">
        <v>503</v>
      </c>
      <c r="C32" s="25" t="s">
        <v>177</v>
      </c>
      <c r="D32" s="7" t="s">
        <v>178</v>
      </c>
      <c r="E32" s="7" t="s">
        <v>172</v>
      </c>
      <c r="F32" s="7" t="s">
        <v>51</v>
      </c>
      <c r="G32" s="7"/>
      <c r="H32" s="7">
        <v>4.0</v>
      </c>
      <c r="I32" s="124">
        <v>17500.0</v>
      </c>
      <c r="J32" s="7"/>
      <c r="L32" s="7"/>
      <c r="M32" s="9">
        <f t="shared" si="1"/>
        <v>4375</v>
      </c>
      <c r="N32" s="9">
        <f t="shared" si="2"/>
        <v>700</v>
      </c>
      <c r="O32" s="7">
        <v>1.0</v>
      </c>
      <c r="P32" s="11">
        <f t="shared" si="3"/>
        <v>17500</v>
      </c>
      <c r="Q32" s="79">
        <v>8.0</v>
      </c>
      <c r="R32" s="84">
        <v>19.0</v>
      </c>
      <c r="S32" s="7">
        <v>12.0</v>
      </c>
      <c r="T32" s="7">
        <v>400.0</v>
      </c>
      <c r="U32" s="7">
        <f t="shared" si="4"/>
        <v>38400</v>
      </c>
      <c r="V32" s="7">
        <f t="shared" si="5"/>
        <v>14.28</v>
      </c>
      <c r="W32" s="14">
        <f t="shared" si="6"/>
        <v>5712</v>
      </c>
      <c r="X32" s="94">
        <f t="shared" si="7"/>
        <v>7296</v>
      </c>
      <c r="Y32" s="84">
        <v>13.0</v>
      </c>
      <c r="Z32" s="7">
        <v>450.0</v>
      </c>
      <c r="AA32" s="79">
        <v>1.3</v>
      </c>
      <c r="AB32" s="7">
        <f t="shared" si="8"/>
        <v>585</v>
      </c>
      <c r="AC32" s="7">
        <f t="shared" si="9"/>
        <v>391.5</v>
      </c>
      <c r="AD32" s="7">
        <f t="shared" si="10"/>
        <v>76.05</v>
      </c>
      <c r="AE32" s="83">
        <f t="shared" si="11"/>
        <v>608.4</v>
      </c>
      <c r="AF32" s="80">
        <v>34.5</v>
      </c>
      <c r="AG32" s="79">
        <v>1200.0</v>
      </c>
      <c r="AH32" s="7">
        <v>0.6</v>
      </c>
      <c r="AI32" s="7">
        <f t="shared" si="12"/>
        <v>720</v>
      </c>
      <c r="AJ32" s="7">
        <f t="shared" si="13"/>
        <v>786</v>
      </c>
      <c r="AK32" s="7">
        <f t="shared" si="14"/>
        <v>248.4</v>
      </c>
      <c r="AL32" s="14">
        <f t="shared" si="15"/>
        <v>1987.2</v>
      </c>
      <c r="AM32" s="84">
        <v>4.0</v>
      </c>
      <c r="AN32" s="7">
        <v>2.5</v>
      </c>
      <c r="AO32" s="7">
        <v>22.0</v>
      </c>
      <c r="AP32" s="7">
        <f t="shared" si="16"/>
        <v>55</v>
      </c>
      <c r="AQ32" s="7">
        <f t="shared" si="17"/>
        <v>2.4</v>
      </c>
      <c r="AR32" s="7">
        <f t="shared" si="18"/>
        <v>2.2</v>
      </c>
      <c r="AS32" s="14">
        <f t="shared" si="19"/>
        <v>17.6</v>
      </c>
      <c r="AT32" s="80">
        <v>6.5</v>
      </c>
      <c r="AU32" s="116">
        <v>20000.0</v>
      </c>
      <c r="AV32" s="14">
        <f t="shared" si="20"/>
        <v>1300</v>
      </c>
      <c r="AW32" s="84">
        <v>26.0</v>
      </c>
      <c r="AX32" s="7">
        <v>4500.0</v>
      </c>
      <c r="AY32" s="14">
        <f t="shared" si="21"/>
        <v>1170</v>
      </c>
      <c r="AZ32" s="75">
        <f t="shared" si="22"/>
        <v>7304.2</v>
      </c>
      <c r="BA32" s="120">
        <f t="shared" si="23"/>
        <v>0.4173828571</v>
      </c>
      <c r="BB32" s="11">
        <f t="shared" si="24"/>
        <v>2.395881821</v>
      </c>
      <c r="BC32" s="11" t="str">
        <f t="shared" si="25"/>
        <v>YES</v>
      </c>
    </row>
    <row r="33" ht="15.75" customHeight="1">
      <c r="A33" s="12"/>
      <c r="B33" s="25" t="s">
        <v>14</v>
      </c>
      <c r="C33" s="25" t="s">
        <v>141</v>
      </c>
      <c r="D33" s="7" t="s">
        <v>212</v>
      </c>
      <c r="E33" s="7" t="s">
        <v>136</v>
      </c>
      <c r="F33" s="7" t="s">
        <v>51</v>
      </c>
      <c r="G33" s="7" t="s">
        <v>504</v>
      </c>
      <c r="H33" s="7">
        <v>4.0</v>
      </c>
      <c r="I33" s="7">
        <v>17500.0</v>
      </c>
      <c r="J33" s="7"/>
      <c r="L33" s="7"/>
      <c r="M33" s="9">
        <f t="shared" si="1"/>
        <v>4375</v>
      </c>
      <c r="N33" s="9">
        <f t="shared" si="2"/>
        <v>700</v>
      </c>
      <c r="O33" s="7">
        <v>1.0</v>
      </c>
      <c r="P33" s="11">
        <f t="shared" si="3"/>
        <v>17500</v>
      </c>
      <c r="Q33" s="79">
        <v>8.0</v>
      </c>
      <c r="R33" s="84">
        <v>19.0</v>
      </c>
      <c r="S33" s="7">
        <v>12.0</v>
      </c>
      <c r="T33" s="7">
        <v>400.0</v>
      </c>
      <c r="U33" s="7">
        <f t="shared" si="4"/>
        <v>38400</v>
      </c>
      <c r="V33" s="7">
        <f t="shared" si="5"/>
        <v>14.28</v>
      </c>
      <c r="W33" s="14">
        <f t="shared" si="6"/>
        <v>5712</v>
      </c>
      <c r="X33" s="94">
        <f t="shared" si="7"/>
        <v>7296</v>
      </c>
      <c r="Y33" s="84">
        <v>13.0</v>
      </c>
      <c r="Z33" s="7">
        <v>450.0</v>
      </c>
      <c r="AA33" s="79">
        <v>1.3</v>
      </c>
      <c r="AB33" s="7">
        <f t="shared" si="8"/>
        <v>585</v>
      </c>
      <c r="AC33" s="7">
        <f t="shared" si="9"/>
        <v>391.5</v>
      </c>
      <c r="AD33" s="7">
        <f t="shared" si="10"/>
        <v>76.05</v>
      </c>
      <c r="AE33" s="83">
        <f t="shared" si="11"/>
        <v>608.4</v>
      </c>
      <c r="AF33" s="80">
        <v>34.5</v>
      </c>
      <c r="AG33" s="79">
        <v>1200.0</v>
      </c>
      <c r="AH33" s="7">
        <v>0.6</v>
      </c>
      <c r="AI33" s="7">
        <f t="shared" si="12"/>
        <v>720</v>
      </c>
      <c r="AJ33" s="7">
        <f t="shared" si="13"/>
        <v>786</v>
      </c>
      <c r="AK33" s="7">
        <f t="shared" si="14"/>
        <v>248.4</v>
      </c>
      <c r="AL33" s="14">
        <f t="shared" si="15"/>
        <v>1987.2</v>
      </c>
      <c r="AM33" s="84">
        <v>4.0</v>
      </c>
      <c r="AN33" s="7">
        <v>2.5</v>
      </c>
      <c r="AO33" s="7">
        <v>22.0</v>
      </c>
      <c r="AP33" s="7">
        <f t="shared" si="16"/>
        <v>55</v>
      </c>
      <c r="AQ33" s="7">
        <f t="shared" si="17"/>
        <v>2.4</v>
      </c>
      <c r="AR33" s="7">
        <f t="shared" si="18"/>
        <v>2.2</v>
      </c>
      <c r="AS33" s="14">
        <f t="shared" si="19"/>
        <v>17.6</v>
      </c>
      <c r="AT33" s="80">
        <v>6.5</v>
      </c>
      <c r="AU33" s="116">
        <v>20000.0</v>
      </c>
      <c r="AV33" s="14">
        <f t="shared" si="20"/>
        <v>1300</v>
      </c>
      <c r="AW33" s="84">
        <v>26.0</v>
      </c>
      <c r="AX33" s="7">
        <v>4500.0</v>
      </c>
      <c r="AY33" s="14">
        <f t="shared" si="21"/>
        <v>1170</v>
      </c>
      <c r="AZ33" s="75">
        <f t="shared" si="22"/>
        <v>7304.2</v>
      </c>
      <c r="BA33" s="120">
        <f t="shared" si="23"/>
        <v>0.4173828571</v>
      </c>
      <c r="BB33" s="11">
        <f t="shared" si="24"/>
        <v>2.395881821</v>
      </c>
      <c r="BC33" s="11" t="str">
        <f t="shared" si="25"/>
        <v>YES</v>
      </c>
    </row>
    <row r="34" ht="15.75" customHeight="1">
      <c r="A34" s="12"/>
      <c r="B34" s="25" t="s">
        <v>14</v>
      </c>
      <c r="C34" s="25" t="s">
        <v>141</v>
      </c>
      <c r="D34" s="7" t="s">
        <v>216</v>
      </c>
      <c r="E34" s="7" t="s">
        <v>172</v>
      </c>
      <c r="F34" s="7" t="s">
        <v>51</v>
      </c>
      <c r="G34" s="7" t="s">
        <v>181</v>
      </c>
      <c r="H34" s="7">
        <v>4.0</v>
      </c>
      <c r="I34" s="7">
        <v>17500.0</v>
      </c>
      <c r="J34" s="7"/>
      <c r="L34" s="7"/>
      <c r="M34" s="9">
        <f t="shared" si="1"/>
        <v>4375</v>
      </c>
      <c r="N34" s="9">
        <f t="shared" si="2"/>
        <v>700</v>
      </c>
      <c r="O34" s="7">
        <v>1.0</v>
      </c>
      <c r="P34" s="11">
        <f t="shared" si="3"/>
        <v>17500</v>
      </c>
      <c r="Q34" s="79">
        <v>8.0</v>
      </c>
      <c r="R34" s="84">
        <v>19.0</v>
      </c>
      <c r="S34" s="7">
        <v>12.0</v>
      </c>
      <c r="T34" s="7">
        <v>400.0</v>
      </c>
      <c r="U34" s="7">
        <f t="shared" si="4"/>
        <v>38400</v>
      </c>
      <c r="V34" s="7">
        <f t="shared" si="5"/>
        <v>14.28</v>
      </c>
      <c r="W34" s="14">
        <f t="shared" si="6"/>
        <v>5712</v>
      </c>
      <c r="X34" s="94">
        <f t="shared" si="7"/>
        <v>7296</v>
      </c>
      <c r="Y34" s="84">
        <v>13.0</v>
      </c>
      <c r="Z34" s="7">
        <v>450.0</v>
      </c>
      <c r="AA34" s="79">
        <v>1.3</v>
      </c>
      <c r="AB34" s="7">
        <f t="shared" si="8"/>
        <v>585</v>
      </c>
      <c r="AC34" s="7">
        <f t="shared" si="9"/>
        <v>391.5</v>
      </c>
      <c r="AD34" s="7">
        <f t="shared" si="10"/>
        <v>76.05</v>
      </c>
      <c r="AE34" s="83">
        <f t="shared" si="11"/>
        <v>608.4</v>
      </c>
      <c r="AF34" s="80">
        <v>34.5</v>
      </c>
      <c r="AG34" s="79">
        <v>1200.0</v>
      </c>
      <c r="AH34" s="7">
        <v>0.6</v>
      </c>
      <c r="AI34" s="7">
        <f t="shared" si="12"/>
        <v>720</v>
      </c>
      <c r="AJ34" s="7">
        <f t="shared" si="13"/>
        <v>786</v>
      </c>
      <c r="AK34" s="7">
        <f t="shared" si="14"/>
        <v>248.4</v>
      </c>
      <c r="AL34" s="14">
        <f t="shared" si="15"/>
        <v>1987.2</v>
      </c>
      <c r="AM34" s="84">
        <v>4.0</v>
      </c>
      <c r="AN34" s="7">
        <v>2.5</v>
      </c>
      <c r="AO34" s="7">
        <v>22.0</v>
      </c>
      <c r="AP34" s="7">
        <f t="shared" si="16"/>
        <v>55</v>
      </c>
      <c r="AQ34" s="7">
        <f t="shared" si="17"/>
        <v>2.4</v>
      </c>
      <c r="AR34" s="7">
        <f t="shared" si="18"/>
        <v>2.2</v>
      </c>
      <c r="AS34" s="14">
        <f t="shared" si="19"/>
        <v>17.6</v>
      </c>
      <c r="AT34" s="80">
        <v>6.5</v>
      </c>
      <c r="AU34" s="116">
        <v>20000.0</v>
      </c>
      <c r="AV34" s="14">
        <f t="shared" si="20"/>
        <v>1300</v>
      </c>
      <c r="AW34" s="84">
        <v>26.0</v>
      </c>
      <c r="AX34" s="7">
        <v>4500.0</v>
      </c>
      <c r="AY34" s="14">
        <f t="shared" si="21"/>
        <v>1170</v>
      </c>
      <c r="AZ34" s="75">
        <f t="shared" si="22"/>
        <v>7304.2</v>
      </c>
      <c r="BA34" s="120">
        <f t="shared" si="23"/>
        <v>0.4173828571</v>
      </c>
      <c r="BB34" s="11">
        <f t="shared" si="24"/>
        <v>2.395881821</v>
      </c>
      <c r="BC34" s="11" t="str">
        <f t="shared" si="25"/>
        <v>YES</v>
      </c>
    </row>
    <row r="35" ht="15.75" customHeight="1">
      <c r="A35" s="12"/>
      <c r="B35" s="25" t="s">
        <v>14</v>
      </c>
      <c r="C35" s="25" t="s">
        <v>177</v>
      </c>
      <c r="D35" s="7" t="s">
        <v>186</v>
      </c>
      <c r="E35" s="7" t="s">
        <v>187</v>
      </c>
      <c r="F35" s="7" t="s">
        <v>51</v>
      </c>
      <c r="G35" s="7" t="s">
        <v>511</v>
      </c>
      <c r="H35" s="7">
        <v>4.0</v>
      </c>
      <c r="I35" s="7">
        <v>4100.0</v>
      </c>
      <c r="J35" s="7"/>
      <c r="L35" s="7"/>
      <c r="M35" s="9">
        <f t="shared" si="1"/>
        <v>1025</v>
      </c>
      <c r="N35" s="9">
        <f t="shared" si="2"/>
        <v>164</v>
      </c>
      <c r="O35" s="7">
        <v>1.0</v>
      </c>
      <c r="P35" s="11">
        <f t="shared" si="3"/>
        <v>4100</v>
      </c>
      <c r="Q35" s="79">
        <v>8.0</v>
      </c>
      <c r="R35" s="84">
        <v>19.0</v>
      </c>
      <c r="S35" s="7">
        <v>12.0</v>
      </c>
      <c r="T35" s="7">
        <v>400.0</v>
      </c>
      <c r="U35" s="7">
        <f t="shared" si="4"/>
        <v>38400</v>
      </c>
      <c r="V35" s="7">
        <f t="shared" si="5"/>
        <v>14.28</v>
      </c>
      <c r="W35" s="14">
        <f t="shared" si="6"/>
        <v>5712</v>
      </c>
      <c r="X35" s="94">
        <f t="shared" si="7"/>
        <v>7296</v>
      </c>
      <c r="Y35" s="84">
        <v>13.0</v>
      </c>
      <c r="Z35" s="7">
        <v>450.0</v>
      </c>
      <c r="AA35" s="79">
        <v>1.3</v>
      </c>
      <c r="AB35" s="7">
        <f t="shared" si="8"/>
        <v>585</v>
      </c>
      <c r="AC35" s="7">
        <f t="shared" si="9"/>
        <v>391.5</v>
      </c>
      <c r="AD35" s="7">
        <f t="shared" si="10"/>
        <v>76.05</v>
      </c>
      <c r="AE35" s="83">
        <f t="shared" si="11"/>
        <v>608.4</v>
      </c>
      <c r="AF35" s="80">
        <v>34.5</v>
      </c>
      <c r="AG35" s="79">
        <v>1200.0</v>
      </c>
      <c r="AH35" s="7">
        <v>0.6</v>
      </c>
      <c r="AI35" s="7">
        <f t="shared" si="12"/>
        <v>720</v>
      </c>
      <c r="AJ35" s="7">
        <f t="shared" si="13"/>
        <v>786</v>
      </c>
      <c r="AK35" s="7">
        <f t="shared" si="14"/>
        <v>248.4</v>
      </c>
      <c r="AL35" s="14">
        <f t="shared" si="15"/>
        <v>1987.2</v>
      </c>
      <c r="AM35" s="84">
        <v>4.0</v>
      </c>
      <c r="AN35" s="7">
        <v>2.5</v>
      </c>
      <c r="AO35" s="7">
        <v>22.0</v>
      </c>
      <c r="AP35" s="7">
        <f t="shared" si="16"/>
        <v>55</v>
      </c>
      <c r="AQ35" s="7">
        <f t="shared" si="17"/>
        <v>2.4</v>
      </c>
      <c r="AR35" s="7">
        <f t="shared" si="18"/>
        <v>2.2</v>
      </c>
      <c r="AS35" s="14">
        <f t="shared" si="19"/>
        <v>17.6</v>
      </c>
      <c r="AT35" s="80">
        <v>6.5</v>
      </c>
      <c r="AU35" s="116">
        <v>20000.0</v>
      </c>
      <c r="AV35" s="14">
        <f t="shared" si="20"/>
        <v>1300</v>
      </c>
      <c r="AW35" s="84">
        <v>26.0</v>
      </c>
      <c r="AX35" s="7">
        <v>4500.0</v>
      </c>
      <c r="AY35" s="14">
        <f t="shared" si="21"/>
        <v>1170</v>
      </c>
      <c r="AZ35" s="75">
        <f t="shared" si="22"/>
        <v>11190.2</v>
      </c>
      <c r="BA35" s="120">
        <f t="shared" si="23"/>
        <v>2.729317073</v>
      </c>
      <c r="BB35" s="11">
        <f t="shared" si="24"/>
        <v>0.3663920216</v>
      </c>
      <c r="BC35" s="11" t="str">
        <f t="shared" si="25"/>
        <v>YES</v>
      </c>
    </row>
    <row r="36" ht="15.75" customHeight="1">
      <c r="A36" s="12"/>
      <c r="B36" s="25" t="s">
        <v>14</v>
      </c>
      <c r="C36" s="25" t="s">
        <v>141</v>
      </c>
      <c r="D36" s="7" t="s">
        <v>191</v>
      </c>
      <c r="E36" s="7" t="s">
        <v>187</v>
      </c>
      <c r="F36" s="7" t="s">
        <v>51</v>
      </c>
      <c r="G36" s="7" t="s">
        <v>515</v>
      </c>
      <c r="H36" s="7">
        <v>4.0</v>
      </c>
      <c r="I36" s="7">
        <v>15000.0</v>
      </c>
      <c r="J36" s="7"/>
      <c r="L36" s="7"/>
      <c r="M36" s="9">
        <f t="shared" si="1"/>
        <v>3750</v>
      </c>
      <c r="N36" s="9">
        <f t="shared" si="2"/>
        <v>600</v>
      </c>
      <c r="O36" s="7">
        <v>1.0</v>
      </c>
      <c r="P36" s="11">
        <f t="shared" si="3"/>
        <v>15000</v>
      </c>
      <c r="Q36" s="79">
        <v>8.0</v>
      </c>
      <c r="R36" s="84">
        <v>19.0</v>
      </c>
      <c r="S36" s="7">
        <v>12.0</v>
      </c>
      <c r="T36" s="7">
        <v>400.0</v>
      </c>
      <c r="U36" s="7">
        <f t="shared" si="4"/>
        <v>38400</v>
      </c>
      <c r="V36" s="7">
        <f t="shared" si="5"/>
        <v>14.28</v>
      </c>
      <c r="W36" s="14">
        <f t="shared" si="6"/>
        <v>5712</v>
      </c>
      <c r="X36" s="94">
        <f t="shared" si="7"/>
        <v>7296</v>
      </c>
      <c r="Y36" s="84">
        <v>13.0</v>
      </c>
      <c r="Z36" s="7">
        <v>450.0</v>
      </c>
      <c r="AA36" s="79">
        <v>1.3</v>
      </c>
      <c r="AB36" s="7">
        <f t="shared" si="8"/>
        <v>585</v>
      </c>
      <c r="AC36" s="7">
        <f t="shared" si="9"/>
        <v>391.5</v>
      </c>
      <c r="AD36" s="7">
        <f t="shared" si="10"/>
        <v>76.05</v>
      </c>
      <c r="AE36" s="83">
        <f t="shared" si="11"/>
        <v>608.4</v>
      </c>
      <c r="AF36" s="80">
        <v>34.5</v>
      </c>
      <c r="AG36" s="79">
        <v>1200.0</v>
      </c>
      <c r="AH36" s="7">
        <v>0.6</v>
      </c>
      <c r="AI36" s="7">
        <f t="shared" si="12"/>
        <v>720</v>
      </c>
      <c r="AJ36" s="7">
        <f t="shared" si="13"/>
        <v>786</v>
      </c>
      <c r="AK36" s="7">
        <f t="shared" si="14"/>
        <v>248.4</v>
      </c>
      <c r="AL36" s="14">
        <f t="shared" si="15"/>
        <v>1987.2</v>
      </c>
      <c r="AM36" s="84">
        <v>4.0</v>
      </c>
      <c r="AN36" s="7">
        <v>2.5</v>
      </c>
      <c r="AO36" s="7">
        <v>22.0</v>
      </c>
      <c r="AP36" s="7">
        <f t="shared" si="16"/>
        <v>55</v>
      </c>
      <c r="AQ36" s="7">
        <f t="shared" si="17"/>
        <v>2.4</v>
      </c>
      <c r="AR36" s="7">
        <f t="shared" si="18"/>
        <v>2.2</v>
      </c>
      <c r="AS36" s="14">
        <f t="shared" si="19"/>
        <v>17.6</v>
      </c>
      <c r="AT36" s="80">
        <v>6.5</v>
      </c>
      <c r="AU36" s="116">
        <v>20000.0</v>
      </c>
      <c r="AV36" s="14">
        <f t="shared" si="20"/>
        <v>1300</v>
      </c>
      <c r="AW36" s="84">
        <v>26.0</v>
      </c>
      <c r="AX36" s="7">
        <v>4500.0</v>
      </c>
      <c r="AY36" s="14">
        <f t="shared" si="21"/>
        <v>1170</v>
      </c>
      <c r="AZ36" s="75">
        <f t="shared" si="22"/>
        <v>8029.2</v>
      </c>
      <c r="BA36" s="120">
        <f t="shared" si="23"/>
        <v>0.53528</v>
      </c>
      <c r="BB36" s="11">
        <f t="shared" si="24"/>
        <v>1.868181139</v>
      </c>
      <c r="BC36" s="11" t="str">
        <f t="shared" si="25"/>
        <v>YES</v>
      </c>
    </row>
    <row r="37" ht="15.75" customHeight="1">
      <c r="A37" s="18"/>
      <c r="B37" s="86" t="s">
        <v>14</v>
      </c>
      <c r="C37" s="86" t="s">
        <v>141</v>
      </c>
      <c r="D37" s="19" t="s">
        <v>194</v>
      </c>
      <c r="E37" s="19" t="s">
        <v>583</v>
      </c>
      <c r="F37" s="19" t="s">
        <v>51</v>
      </c>
      <c r="G37" s="19" t="s">
        <v>518</v>
      </c>
      <c r="H37" s="19">
        <v>4.0</v>
      </c>
      <c r="I37" s="19">
        <v>6000.0</v>
      </c>
      <c r="J37" s="19"/>
      <c r="K37" s="19"/>
      <c r="L37" s="19"/>
      <c r="M37" s="9">
        <f t="shared" si="1"/>
        <v>1500</v>
      </c>
      <c r="N37" s="9">
        <f t="shared" si="2"/>
        <v>240</v>
      </c>
      <c r="O37" s="19">
        <v>1.0</v>
      </c>
      <c r="P37" s="11">
        <f t="shared" si="3"/>
        <v>6000</v>
      </c>
      <c r="Q37" s="87">
        <v>8.0</v>
      </c>
      <c r="R37" s="88">
        <v>19.0</v>
      </c>
      <c r="S37" s="19">
        <v>12.0</v>
      </c>
      <c r="T37" s="19">
        <v>400.0</v>
      </c>
      <c r="U37" s="19">
        <f t="shared" si="4"/>
        <v>38400</v>
      </c>
      <c r="V37" s="19">
        <f t="shared" si="5"/>
        <v>14.28</v>
      </c>
      <c r="W37" s="21">
        <f t="shared" si="6"/>
        <v>5712</v>
      </c>
      <c r="X37" s="89">
        <f t="shared" si="7"/>
        <v>7296</v>
      </c>
      <c r="Y37" s="88">
        <v>13.0</v>
      </c>
      <c r="Z37" s="19">
        <v>450.0</v>
      </c>
      <c r="AA37" s="87">
        <v>1.3</v>
      </c>
      <c r="AB37" s="19">
        <f t="shared" si="8"/>
        <v>585</v>
      </c>
      <c r="AC37" s="19">
        <f t="shared" si="9"/>
        <v>391.5</v>
      </c>
      <c r="AD37" s="19">
        <f t="shared" si="10"/>
        <v>76.05</v>
      </c>
      <c r="AE37" s="91">
        <f t="shared" si="11"/>
        <v>608.4</v>
      </c>
      <c r="AF37" s="90">
        <v>34.5</v>
      </c>
      <c r="AG37" s="87">
        <v>1200.0</v>
      </c>
      <c r="AH37" s="19">
        <v>0.6</v>
      </c>
      <c r="AI37" s="19">
        <f t="shared" si="12"/>
        <v>720</v>
      </c>
      <c r="AJ37" s="19">
        <f t="shared" si="13"/>
        <v>786</v>
      </c>
      <c r="AK37" s="19">
        <f t="shared" si="14"/>
        <v>248.4</v>
      </c>
      <c r="AL37" s="21">
        <f t="shared" si="15"/>
        <v>1987.2</v>
      </c>
      <c r="AM37" s="88">
        <v>4.0</v>
      </c>
      <c r="AN37" s="19">
        <v>2.5</v>
      </c>
      <c r="AO37" s="19">
        <v>22.0</v>
      </c>
      <c r="AP37" s="19">
        <f t="shared" si="16"/>
        <v>55</v>
      </c>
      <c r="AQ37" s="19">
        <f t="shared" si="17"/>
        <v>2.4</v>
      </c>
      <c r="AR37" s="19">
        <f t="shared" si="18"/>
        <v>2.2</v>
      </c>
      <c r="AS37" s="21">
        <f t="shared" si="19"/>
        <v>17.6</v>
      </c>
      <c r="AT37" s="90">
        <v>6.5</v>
      </c>
      <c r="AU37" s="116">
        <v>20000.0</v>
      </c>
      <c r="AV37" s="21">
        <f t="shared" si="20"/>
        <v>1300</v>
      </c>
      <c r="AW37" s="88">
        <v>26.0</v>
      </c>
      <c r="AX37" s="19">
        <v>4500.0</v>
      </c>
      <c r="AY37" s="21">
        <f t="shared" si="21"/>
        <v>1170</v>
      </c>
      <c r="AZ37" s="75">
        <f t="shared" si="22"/>
        <v>10639.2</v>
      </c>
      <c r="BA37" s="120">
        <f t="shared" si="23"/>
        <v>1.7732</v>
      </c>
      <c r="BB37" s="11">
        <f t="shared" si="24"/>
        <v>0.5639521769</v>
      </c>
      <c r="BC37" s="11" t="str">
        <f t="shared" si="25"/>
        <v>YES</v>
      </c>
    </row>
    <row r="38" ht="15.75" customHeight="1">
      <c r="A38" s="66" t="s">
        <v>219</v>
      </c>
      <c r="B38" s="68" t="s">
        <v>14</v>
      </c>
      <c r="C38" s="68" t="s">
        <v>519</v>
      </c>
      <c r="D38" s="9" t="s">
        <v>220</v>
      </c>
      <c r="E38" s="9" t="s">
        <v>221</v>
      </c>
      <c r="F38" s="9" t="s">
        <v>51</v>
      </c>
      <c r="G38" s="9" t="s">
        <v>520</v>
      </c>
      <c r="H38" s="9">
        <v>4.0</v>
      </c>
      <c r="I38" s="9"/>
      <c r="J38" s="9"/>
      <c r="K38" s="9"/>
      <c r="L38" s="9">
        <v>260.0</v>
      </c>
      <c r="M38" s="9">
        <f t="shared" si="1"/>
        <v>0</v>
      </c>
      <c r="N38" s="9">
        <f t="shared" si="2"/>
        <v>0</v>
      </c>
      <c r="O38" s="9">
        <v>1.0</v>
      </c>
      <c r="P38" s="11">
        <f t="shared" si="3"/>
        <v>0</v>
      </c>
      <c r="Q38" s="69">
        <v>8.0</v>
      </c>
      <c r="R38" s="71">
        <v>8.4</v>
      </c>
      <c r="S38" s="9">
        <v>12.0</v>
      </c>
      <c r="T38" s="9">
        <v>400.0</v>
      </c>
      <c r="U38" s="9">
        <f t="shared" si="4"/>
        <v>38400</v>
      </c>
      <c r="V38" s="9">
        <f t="shared" si="5"/>
        <v>13.008</v>
      </c>
      <c r="W38" s="11">
        <f t="shared" si="6"/>
        <v>5203.2</v>
      </c>
      <c r="X38" s="72">
        <f t="shared" si="7"/>
        <v>3225.6</v>
      </c>
      <c r="Y38" s="75">
        <v>25.0</v>
      </c>
      <c r="Z38" s="9">
        <v>450.0</v>
      </c>
      <c r="AA38" s="79">
        <v>1.3</v>
      </c>
      <c r="AB38" s="9">
        <f t="shared" si="8"/>
        <v>585</v>
      </c>
      <c r="AC38" s="9">
        <f t="shared" si="9"/>
        <v>337.5</v>
      </c>
      <c r="AD38" s="9">
        <f t="shared" si="10"/>
        <v>146.25</v>
      </c>
      <c r="AE38" s="73">
        <f t="shared" si="11"/>
        <v>1170</v>
      </c>
      <c r="AF38" s="75">
        <v>15.0</v>
      </c>
      <c r="AG38" s="79">
        <v>1200.0</v>
      </c>
      <c r="AH38" s="9">
        <v>0.6</v>
      </c>
      <c r="AI38" s="9">
        <f t="shared" si="12"/>
        <v>720</v>
      </c>
      <c r="AJ38" s="9">
        <f t="shared" si="13"/>
        <v>1020</v>
      </c>
      <c r="AK38" s="9">
        <f t="shared" si="14"/>
        <v>108</v>
      </c>
      <c r="AL38" s="11">
        <f t="shared" si="15"/>
        <v>864</v>
      </c>
      <c r="AM38" s="75">
        <v>36.0</v>
      </c>
      <c r="AN38" s="9">
        <v>2.5</v>
      </c>
      <c r="AO38" s="9">
        <v>22.0</v>
      </c>
      <c r="AP38" s="9">
        <f t="shared" si="16"/>
        <v>55</v>
      </c>
      <c r="AQ38" s="9">
        <f t="shared" si="17"/>
        <v>1.6</v>
      </c>
      <c r="AR38" s="9">
        <f t="shared" si="18"/>
        <v>19.8</v>
      </c>
      <c r="AS38" s="11">
        <f t="shared" si="19"/>
        <v>158.4</v>
      </c>
      <c r="AT38" s="71">
        <v>2.8</v>
      </c>
      <c r="AU38" s="125">
        <v>20000.0</v>
      </c>
      <c r="AV38" s="11">
        <f t="shared" si="20"/>
        <v>560</v>
      </c>
      <c r="AW38" s="71">
        <v>2.8</v>
      </c>
      <c r="AX38" s="9">
        <v>4500.0</v>
      </c>
      <c r="AY38" s="11">
        <f t="shared" si="21"/>
        <v>126</v>
      </c>
      <c r="AZ38" s="75">
        <f t="shared" si="22"/>
        <v>5844</v>
      </c>
      <c r="BA38" s="120" t="str">
        <f t="shared" si="23"/>
        <v>The DAT is free</v>
      </c>
      <c r="BB38" s="11">
        <f t="shared" si="24"/>
        <v>0</v>
      </c>
      <c r="BC38" s="11" t="str">
        <f t="shared" si="25"/>
        <v>YES</v>
      </c>
    </row>
    <row r="39" ht="15.75" customHeight="1">
      <c r="A39" s="12"/>
      <c r="B39" s="25" t="s">
        <v>14</v>
      </c>
      <c r="C39" s="25" t="s">
        <v>225</v>
      </c>
      <c r="D39" s="7" t="s">
        <v>226</v>
      </c>
      <c r="E39" s="7" t="s">
        <v>588</v>
      </c>
      <c r="F39" s="7" t="s">
        <v>51</v>
      </c>
      <c r="G39" s="7" t="s">
        <v>230</v>
      </c>
      <c r="H39" s="7">
        <v>4.0</v>
      </c>
      <c r="I39" s="7">
        <v>22300.0</v>
      </c>
      <c r="J39" s="7"/>
      <c r="K39" s="7"/>
      <c r="L39" s="7"/>
      <c r="M39" s="9">
        <f t="shared" si="1"/>
        <v>5575</v>
      </c>
      <c r="N39" s="9">
        <f t="shared" si="2"/>
        <v>892</v>
      </c>
      <c r="O39" s="7">
        <v>1.0</v>
      </c>
      <c r="P39" s="11">
        <f t="shared" si="3"/>
        <v>22300</v>
      </c>
      <c r="Q39" s="79">
        <v>8.0</v>
      </c>
      <c r="R39" s="80">
        <v>8.4</v>
      </c>
      <c r="S39" s="7">
        <v>12.0</v>
      </c>
      <c r="T39" s="7">
        <v>400.0</v>
      </c>
      <c r="U39" s="7">
        <f t="shared" si="4"/>
        <v>38400</v>
      </c>
      <c r="V39" s="7">
        <f t="shared" si="5"/>
        <v>13.008</v>
      </c>
      <c r="W39" s="14">
        <f t="shared" si="6"/>
        <v>5203.2</v>
      </c>
      <c r="X39" s="94">
        <f t="shared" si="7"/>
        <v>3225.6</v>
      </c>
      <c r="Y39" s="84">
        <v>25.0</v>
      </c>
      <c r="Z39" s="7">
        <v>450.0</v>
      </c>
      <c r="AA39" s="79">
        <v>1.3</v>
      </c>
      <c r="AB39" s="7">
        <f t="shared" si="8"/>
        <v>585</v>
      </c>
      <c r="AC39" s="7">
        <f t="shared" si="9"/>
        <v>337.5</v>
      </c>
      <c r="AD39" s="7">
        <f t="shared" si="10"/>
        <v>146.25</v>
      </c>
      <c r="AE39" s="83">
        <f t="shared" si="11"/>
        <v>1170</v>
      </c>
      <c r="AF39" s="82">
        <v>0.0</v>
      </c>
      <c r="AG39" s="79">
        <v>1200.0</v>
      </c>
      <c r="AH39" s="7">
        <v>0.6</v>
      </c>
      <c r="AI39" s="7">
        <f t="shared" si="12"/>
        <v>720</v>
      </c>
      <c r="AJ39" s="7">
        <f t="shared" si="13"/>
        <v>1200</v>
      </c>
      <c r="AK39" s="7">
        <f t="shared" si="14"/>
        <v>0</v>
      </c>
      <c r="AL39" s="14">
        <f t="shared" si="15"/>
        <v>0</v>
      </c>
      <c r="AM39" s="82">
        <v>0.0</v>
      </c>
      <c r="AN39" s="7">
        <v>2.5</v>
      </c>
      <c r="AO39" s="7">
        <v>22.0</v>
      </c>
      <c r="AP39" s="7">
        <f t="shared" si="16"/>
        <v>55</v>
      </c>
      <c r="AQ39" s="7">
        <f t="shared" si="17"/>
        <v>2.5</v>
      </c>
      <c r="AR39" s="7">
        <f t="shared" si="18"/>
        <v>0</v>
      </c>
      <c r="AS39" s="14">
        <f t="shared" si="19"/>
        <v>0</v>
      </c>
      <c r="AT39" s="80">
        <v>2.8</v>
      </c>
      <c r="AU39" s="116">
        <v>20000.0</v>
      </c>
      <c r="AV39" s="14">
        <f t="shared" si="20"/>
        <v>560</v>
      </c>
      <c r="AW39" s="80">
        <v>2.8</v>
      </c>
      <c r="AX39" s="7">
        <v>4500.0</v>
      </c>
      <c r="AY39" s="14">
        <f t="shared" si="21"/>
        <v>126</v>
      </c>
      <c r="AZ39" s="75">
        <f t="shared" si="22"/>
        <v>-1385.4</v>
      </c>
      <c r="BA39" s="120">
        <f t="shared" si="23"/>
        <v>-0.06212556054</v>
      </c>
      <c r="BB39" s="11" t="str">
        <f t="shared" si="24"/>
        <v>Payback period not applicable: the investment does not recover its cost under current conditions.</v>
      </c>
      <c r="BC39" s="11" t="str">
        <f t="shared" si="25"/>
        <v>NO</v>
      </c>
    </row>
    <row r="40" ht="15.75" customHeight="1">
      <c r="A40" s="12"/>
      <c r="B40" s="25" t="s">
        <v>14</v>
      </c>
      <c r="C40" s="25" t="s">
        <v>238</v>
      </c>
      <c r="D40" s="7" t="s">
        <v>239</v>
      </c>
      <c r="E40" s="7" t="s">
        <v>187</v>
      </c>
      <c r="F40" s="7" t="s">
        <v>51</v>
      </c>
      <c r="G40" s="7" t="s">
        <v>242</v>
      </c>
      <c r="H40" s="7">
        <v>4.0</v>
      </c>
      <c r="I40" s="7">
        <v>3000.0</v>
      </c>
      <c r="J40" s="7"/>
      <c r="K40" s="7"/>
      <c r="L40" s="7"/>
      <c r="M40" s="9">
        <f t="shared" si="1"/>
        <v>750</v>
      </c>
      <c r="N40" s="9">
        <f t="shared" si="2"/>
        <v>120</v>
      </c>
      <c r="O40" s="7">
        <v>1.0</v>
      </c>
      <c r="P40" s="11">
        <f t="shared" si="3"/>
        <v>3000</v>
      </c>
      <c r="Q40" s="79">
        <v>8.0</v>
      </c>
      <c r="R40" s="80">
        <v>8.4</v>
      </c>
      <c r="S40" s="7">
        <v>12.0</v>
      </c>
      <c r="T40" s="7">
        <v>400.0</v>
      </c>
      <c r="U40" s="7">
        <f t="shared" si="4"/>
        <v>38400</v>
      </c>
      <c r="V40" s="7">
        <f t="shared" si="5"/>
        <v>13.008</v>
      </c>
      <c r="W40" s="14">
        <f t="shared" si="6"/>
        <v>5203.2</v>
      </c>
      <c r="X40" s="94">
        <f t="shared" si="7"/>
        <v>3225.6</v>
      </c>
      <c r="Y40" s="82">
        <v>0.0</v>
      </c>
      <c r="Z40" s="7">
        <v>450.0</v>
      </c>
      <c r="AA40" s="79">
        <v>1.3</v>
      </c>
      <c r="AB40" s="7">
        <f t="shared" si="8"/>
        <v>585</v>
      </c>
      <c r="AC40" s="7">
        <f t="shared" si="9"/>
        <v>450</v>
      </c>
      <c r="AD40" s="7">
        <f t="shared" si="10"/>
        <v>0</v>
      </c>
      <c r="AE40" s="83">
        <f t="shared" si="11"/>
        <v>0</v>
      </c>
      <c r="AF40" s="82">
        <v>0.0</v>
      </c>
      <c r="AG40" s="79">
        <v>1200.0</v>
      </c>
      <c r="AH40" s="7">
        <v>0.6</v>
      </c>
      <c r="AI40" s="7">
        <f t="shared" si="12"/>
        <v>720</v>
      </c>
      <c r="AJ40" s="7">
        <f t="shared" si="13"/>
        <v>1200</v>
      </c>
      <c r="AK40" s="7">
        <f t="shared" si="14"/>
        <v>0</v>
      </c>
      <c r="AL40" s="14">
        <f t="shared" si="15"/>
        <v>0</v>
      </c>
      <c r="AM40" s="84">
        <v>36.0</v>
      </c>
      <c r="AN40" s="7">
        <v>2.5</v>
      </c>
      <c r="AO40" s="7">
        <v>22.0</v>
      </c>
      <c r="AP40" s="7">
        <f t="shared" si="16"/>
        <v>55</v>
      </c>
      <c r="AQ40" s="7">
        <f t="shared" si="17"/>
        <v>1.6</v>
      </c>
      <c r="AR40" s="7">
        <f t="shared" si="18"/>
        <v>19.8</v>
      </c>
      <c r="AS40" s="14">
        <f t="shared" si="19"/>
        <v>158.4</v>
      </c>
      <c r="AT40" s="80">
        <v>2.8</v>
      </c>
      <c r="AU40" s="116">
        <v>20000.0</v>
      </c>
      <c r="AV40" s="14">
        <f t="shared" si="20"/>
        <v>560</v>
      </c>
      <c r="AW40" s="80">
        <v>2.8</v>
      </c>
      <c r="AX40" s="7">
        <v>4500.0</v>
      </c>
      <c r="AY40" s="14">
        <f t="shared" si="21"/>
        <v>126</v>
      </c>
      <c r="AZ40" s="75">
        <f t="shared" si="22"/>
        <v>3200</v>
      </c>
      <c r="BA40" s="120">
        <f t="shared" si="23"/>
        <v>1.066666667</v>
      </c>
      <c r="BB40" s="11">
        <f t="shared" si="24"/>
        <v>0.9375</v>
      </c>
      <c r="BC40" s="11" t="str">
        <f t="shared" si="25"/>
        <v>YES</v>
      </c>
    </row>
    <row r="41" ht="15.75" customHeight="1">
      <c r="A41" s="12"/>
      <c r="B41" s="25" t="s">
        <v>14</v>
      </c>
      <c r="C41" s="25" t="s">
        <v>238</v>
      </c>
      <c r="D41" s="7" t="s">
        <v>243</v>
      </c>
      <c r="E41" s="7" t="s">
        <v>244</v>
      </c>
      <c r="F41" s="7" t="s">
        <v>51</v>
      </c>
      <c r="G41" s="7" t="s">
        <v>524</v>
      </c>
      <c r="H41" s="7">
        <v>4.0</v>
      </c>
      <c r="I41" s="7">
        <v>2500.0</v>
      </c>
      <c r="J41" s="7"/>
      <c r="K41" s="7"/>
      <c r="L41" s="7"/>
      <c r="M41" s="9">
        <f t="shared" si="1"/>
        <v>625</v>
      </c>
      <c r="N41" s="9">
        <f t="shared" si="2"/>
        <v>100</v>
      </c>
      <c r="O41" s="7">
        <v>1.0</v>
      </c>
      <c r="P41" s="11">
        <f t="shared" si="3"/>
        <v>2500</v>
      </c>
      <c r="Q41" s="79">
        <v>8.0</v>
      </c>
      <c r="R41" s="80">
        <v>8.4</v>
      </c>
      <c r="S41" s="7">
        <v>12.0</v>
      </c>
      <c r="T41" s="7">
        <v>400.0</v>
      </c>
      <c r="U41" s="7">
        <f t="shared" si="4"/>
        <v>38400</v>
      </c>
      <c r="V41" s="7">
        <f t="shared" si="5"/>
        <v>13.008</v>
      </c>
      <c r="W41" s="14">
        <f t="shared" si="6"/>
        <v>5203.2</v>
      </c>
      <c r="X41" s="94">
        <f t="shared" si="7"/>
        <v>3225.6</v>
      </c>
      <c r="Y41" s="82">
        <v>0.0</v>
      </c>
      <c r="Z41" s="7">
        <v>450.0</v>
      </c>
      <c r="AA41" s="79">
        <v>1.3</v>
      </c>
      <c r="AB41" s="7">
        <f t="shared" si="8"/>
        <v>585</v>
      </c>
      <c r="AC41" s="7">
        <f t="shared" si="9"/>
        <v>450</v>
      </c>
      <c r="AD41" s="7">
        <f t="shared" si="10"/>
        <v>0</v>
      </c>
      <c r="AE41" s="83">
        <f t="shared" si="11"/>
        <v>0</v>
      </c>
      <c r="AF41" s="82">
        <v>0.0</v>
      </c>
      <c r="AG41" s="79">
        <v>1200.0</v>
      </c>
      <c r="AH41" s="7">
        <v>0.6</v>
      </c>
      <c r="AI41" s="7">
        <f t="shared" si="12"/>
        <v>720</v>
      </c>
      <c r="AJ41" s="7">
        <f t="shared" si="13"/>
        <v>1200</v>
      </c>
      <c r="AK41" s="7">
        <f t="shared" si="14"/>
        <v>0</v>
      </c>
      <c r="AL41" s="14">
        <f t="shared" si="15"/>
        <v>0</v>
      </c>
      <c r="AM41" s="84">
        <v>36.0</v>
      </c>
      <c r="AN41" s="7">
        <v>2.5</v>
      </c>
      <c r="AO41" s="7">
        <v>22.0</v>
      </c>
      <c r="AP41" s="7">
        <f t="shared" si="16"/>
        <v>55</v>
      </c>
      <c r="AQ41" s="7">
        <f t="shared" si="17"/>
        <v>1.6</v>
      </c>
      <c r="AR41" s="7">
        <f t="shared" si="18"/>
        <v>19.8</v>
      </c>
      <c r="AS41" s="14">
        <f t="shared" si="19"/>
        <v>158.4</v>
      </c>
      <c r="AT41" s="80">
        <v>2.8</v>
      </c>
      <c r="AU41" s="116">
        <v>20000.0</v>
      </c>
      <c r="AV41" s="14">
        <f t="shared" si="20"/>
        <v>560</v>
      </c>
      <c r="AW41" s="80">
        <v>2.8</v>
      </c>
      <c r="AX41" s="7">
        <v>4500.0</v>
      </c>
      <c r="AY41" s="14">
        <f t="shared" si="21"/>
        <v>126</v>
      </c>
      <c r="AZ41" s="75">
        <f t="shared" si="22"/>
        <v>3345</v>
      </c>
      <c r="BA41" s="120">
        <f t="shared" si="23"/>
        <v>1.338</v>
      </c>
      <c r="BB41" s="11">
        <f t="shared" si="24"/>
        <v>0.7473841555</v>
      </c>
      <c r="BC41" s="11" t="str">
        <f t="shared" si="25"/>
        <v>YES</v>
      </c>
    </row>
    <row r="42" ht="15.75" customHeight="1">
      <c r="A42" s="12"/>
      <c r="B42" s="25" t="s">
        <v>14</v>
      </c>
      <c r="C42" s="25" t="s">
        <v>589</v>
      </c>
      <c r="D42" s="7" t="s">
        <v>262</v>
      </c>
      <c r="E42" s="7" t="s">
        <v>172</v>
      </c>
      <c r="F42" s="7" t="s">
        <v>51</v>
      </c>
      <c r="G42" s="7" t="s">
        <v>525</v>
      </c>
      <c r="H42" s="7">
        <v>4.0</v>
      </c>
      <c r="I42" s="7">
        <v>9500.0</v>
      </c>
      <c r="J42" s="7"/>
      <c r="K42" s="7"/>
      <c r="L42" s="7"/>
      <c r="M42" s="9">
        <f t="shared" si="1"/>
        <v>2375</v>
      </c>
      <c r="N42" s="9">
        <f t="shared" si="2"/>
        <v>380</v>
      </c>
      <c r="O42" s="7">
        <v>1.0</v>
      </c>
      <c r="P42" s="11">
        <f t="shared" si="3"/>
        <v>9500</v>
      </c>
      <c r="Q42" s="79">
        <v>8.0</v>
      </c>
      <c r="R42" s="80">
        <v>8.4</v>
      </c>
      <c r="S42" s="7">
        <v>12.0</v>
      </c>
      <c r="T42" s="7">
        <v>400.0</v>
      </c>
      <c r="U42" s="7">
        <f t="shared" si="4"/>
        <v>38400</v>
      </c>
      <c r="V42" s="7">
        <f t="shared" si="5"/>
        <v>13.008</v>
      </c>
      <c r="W42" s="14">
        <f t="shared" si="6"/>
        <v>5203.2</v>
      </c>
      <c r="X42" s="94">
        <f t="shared" si="7"/>
        <v>3225.6</v>
      </c>
      <c r="Y42" s="84">
        <v>25.0</v>
      </c>
      <c r="Z42" s="7">
        <v>450.0</v>
      </c>
      <c r="AA42" s="79">
        <v>1.3</v>
      </c>
      <c r="AB42" s="7">
        <f t="shared" si="8"/>
        <v>585</v>
      </c>
      <c r="AC42" s="7">
        <f t="shared" si="9"/>
        <v>337.5</v>
      </c>
      <c r="AD42" s="7">
        <f t="shared" si="10"/>
        <v>146.25</v>
      </c>
      <c r="AE42" s="83">
        <f t="shared" si="11"/>
        <v>1170</v>
      </c>
      <c r="AF42" s="82">
        <v>0.0</v>
      </c>
      <c r="AG42" s="79">
        <v>1200.0</v>
      </c>
      <c r="AH42" s="7">
        <v>0.6</v>
      </c>
      <c r="AI42" s="7">
        <f t="shared" si="12"/>
        <v>720</v>
      </c>
      <c r="AJ42" s="7">
        <f t="shared" si="13"/>
        <v>1200</v>
      </c>
      <c r="AK42" s="7">
        <f t="shared" si="14"/>
        <v>0</v>
      </c>
      <c r="AL42" s="14">
        <f t="shared" si="15"/>
        <v>0</v>
      </c>
      <c r="AM42" s="84">
        <v>36.0</v>
      </c>
      <c r="AN42" s="7">
        <v>2.5</v>
      </c>
      <c r="AO42" s="7">
        <v>22.0</v>
      </c>
      <c r="AP42" s="7">
        <f t="shared" si="16"/>
        <v>55</v>
      </c>
      <c r="AQ42" s="7">
        <f t="shared" si="17"/>
        <v>1.6</v>
      </c>
      <c r="AR42" s="7">
        <f t="shared" si="18"/>
        <v>19.8</v>
      </c>
      <c r="AS42" s="14">
        <f t="shared" si="19"/>
        <v>158.4</v>
      </c>
      <c r="AT42" s="80">
        <v>2.8</v>
      </c>
      <c r="AU42" s="116">
        <v>20000.0</v>
      </c>
      <c r="AV42" s="14">
        <f t="shared" si="20"/>
        <v>560</v>
      </c>
      <c r="AW42" s="80">
        <v>2.8</v>
      </c>
      <c r="AX42" s="7">
        <v>4500.0</v>
      </c>
      <c r="AY42" s="14">
        <f t="shared" si="21"/>
        <v>126</v>
      </c>
      <c r="AZ42" s="75">
        <f t="shared" si="22"/>
        <v>2485</v>
      </c>
      <c r="BA42" s="120">
        <f t="shared" si="23"/>
        <v>0.2615789474</v>
      </c>
      <c r="BB42" s="11">
        <f t="shared" si="24"/>
        <v>3.822937626</v>
      </c>
      <c r="BC42" s="11" t="str">
        <f t="shared" si="25"/>
        <v>YES</v>
      </c>
    </row>
    <row r="43" ht="15.75" customHeight="1">
      <c r="A43" s="12"/>
      <c r="B43" s="25" t="s">
        <v>14</v>
      </c>
      <c r="C43" s="25" t="s">
        <v>526</v>
      </c>
      <c r="D43" s="7" t="s">
        <v>527</v>
      </c>
      <c r="E43" s="7" t="s">
        <v>172</v>
      </c>
      <c r="F43" s="7" t="s">
        <v>635</v>
      </c>
      <c r="G43" s="7" t="s">
        <v>636</v>
      </c>
      <c r="H43" s="7">
        <v>4.0</v>
      </c>
      <c r="I43" s="7">
        <v>15000.0</v>
      </c>
      <c r="J43" s="7"/>
      <c r="K43" s="7"/>
      <c r="L43" s="7"/>
      <c r="M43" s="9">
        <f t="shared" si="1"/>
        <v>3750</v>
      </c>
      <c r="N43" s="9">
        <f t="shared" si="2"/>
        <v>600</v>
      </c>
      <c r="O43" s="7">
        <v>1.0</v>
      </c>
      <c r="P43" s="11">
        <f t="shared" si="3"/>
        <v>15000</v>
      </c>
      <c r="Q43" s="79">
        <v>8.0</v>
      </c>
      <c r="R43" s="80">
        <v>8.4</v>
      </c>
      <c r="S43" s="7">
        <v>12.0</v>
      </c>
      <c r="T43" s="7">
        <v>400.0</v>
      </c>
      <c r="U43" s="7">
        <f t="shared" si="4"/>
        <v>38400</v>
      </c>
      <c r="V43" s="7">
        <f t="shared" si="5"/>
        <v>13.008</v>
      </c>
      <c r="W43" s="14">
        <f t="shared" si="6"/>
        <v>5203.2</v>
      </c>
      <c r="X43" s="94">
        <f t="shared" si="7"/>
        <v>3225.6</v>
      </c>
      <c r="Y43" s="84">
        <v>25.0</v>
      </c>
      <c r="Z43" s="7">
        <v>450.0</v>
      </c>
      <c r="AA43" s="79">
        <v>1.3</v>
      </c>
      <c r="AB43" s="7">
        <f t="shared" si="8"/>
        <v>585</v>
      </c>
      <c r="AC43" s="7">
        <f t="shared" si="9"/>
        <v>337.5</v>
      </c>
      <c r="AD43" s="7">
        <f t="shared" si="10"/>
        <v>146.25</v>
      </c>
      <c r="AE43" s="83">
        <f t="shared" si="11"/>
        <v>1170</v>
      </c>
      <c r="AF43" s="82">
        <v>0.0</v>
      </c>
      <c r="AG43" s="79">
        <v>1200.0</v>
      </c>
      <c r="AH43" s="7">
        <v>0.6</v>
      </c>
      <c r="AI43" s="7">
        <f t="shared" si="12"/>
        <v>720</v>
      </c>
      <c r="AJ43" s="7">
        <f t="shared" si="13"/>
        <v>1200</v>
      </c>
      <c r="AK43" s="7">
        <f t="shared" si="14"/>
        <v>0</v>
      </c>
      <c r="AL43" s="14">
        <f t="shared" si="15"/>
        <v>0</v>
      </c>
      <c r="AM43" s="84">
        <v>36.0</v>
      </c>
      <c r="AN43" s="7">
        <v>2.5</v>
      </c>
      <c r="AO43" s="7">
        <v>22.0</v>
      </c>
      <c r="AP43" s="7">
        <f t="shared" si="16"/>
        <v>55</v>
      </c>
      <c r="AQ43" s="7">
        <f t="shared" si="17"/>
        <v>1.6</v>
      </c>
      <c r="AR43" s="7">
        <f t="shared" si="18"/>
        <v>19.8</v>
      </c>
      <c r="AS43" s="14">
        <f t="shared" si="19"/>
        <v>158.4</v>
      </c>
      <c r="AT43" s="80">
        <v>2.8</v>
      </c>
      <c r="AU43" s="116">
        <v>20000.0</v>
      </c>
      <c r="AV43" s="14">
        <f t="shared" si="20"/>
        <v>560</v>
      </c>
      <c r="AW43" s="80">
        <v>2.8</v>
      </c>
      <c r="AX43" s="7">
        <v>4500.0</v>
      </c>
      <c r="AY43" s="14">
        <f t="shared" si="21"/>
        <v>126</v>
      </c>
      <c r="AZ43" s="75">
        <f t="shared" si="22"/>
        <v>890</v>
      </c>
      <c r="BA43" s="120">
        <f t="shared" si="23"/>
        <v>0.05933333333</v>
      </c>
      <c r="BB43" s="11">
        <f t="shared" si="24"/>
        <v>16.85393258</v>
      </c>
      <c r="BC43" s="11" t="str">
        <f t="shared" si="25"/>
        <v>NO</v>
      </c>
    </row>
    <row r="44" ht="15.75" customHeight="1">
      <c r="A44" s="12"/>
      <c r="B44" s="25" t="s">
        <v>14</v>
      </c>
      <c r="C44" s="25" t="s">
        <v>534</v>
      </c>
      <c r="D44" s="97" t="s">
        <v>591</v>
      </c>
      <c r="E44" s="7" t="s">
        <v>513</v>
      </c>
      <c r="F44" s="7" t="s">
        <v>51</v>
      </c>
      <c r="G44" s="7" t="s">
        <v>536</v>
      </c>
      <c r="H44" s="7">
        <v>4.0</v>
      </c>
      <c r="I44" s="7">
        <v>7500.0</v>
      </c>
      <c r="J44" s="7"/>
      <c r="K44" s="7"/>
      <c r="L44" s="7"/>
      <c r="M44" s="9">
        <f t="shared" si="1"/>
        <v>1875</v>
      </c>
      <c r="N44" s="9">
        <f t="shared" si="2"/>
        <v>300</v>
      </c>
      <c r="O44" s="7">
        <v>1.0</v>
      </c>
      <c r="P44" s="11">
        <f t="shared" si="3"/>
        <v>7500</v>
      </c>
      <c r="Q44" s="79">
        <v>8.0</v>
      </c>
      <c r="R44" s="80">
        <v>8.4</v>
      </c>
      <c r="S44" s="7">
        <v>12.0</v>
      </c>
      <c r="T44" s="7">
        <v>400.0</v>
      </c>
      <c r="U44" s="7">
        <f t="shared" si="4"/>
        <v>38400</v>
      </c>
      <c r="V44" s="7">
        <f t="shared" si="5"/>
        <v>13.008</v>
      </c>
      <c r="W44" s="14">
        <f t="shared" si="6"/>
        <v>5203.2</v>
      </c>
      <c r="X44" s="94">
        <f t="shared" si="7"/>
        <v>3225.6</v>
      </c>
      <c r="Y44" s="84">
        <v>25.0</v>
      </c>
      <c r="Z44" s="7">
        <v>450.0</v>
      </c>
      <c r="AA44" s="79">
        <v>1.3</v>
      </c>
      <c r="AB44" s="7">
        <f t="shared" si="8"/>
        <v>585</v>
      </c>
      <c r="AC44" s="7">
        <f t="shared" si="9"/>
        <v>337.5</v>
      </c>
      <c r="AD44" s="7">
        <f t="shared" si="10"/>
        <v>146.25</v>
      </c>
      <c r="AE44" s="83">
        <f t="shared" si="11"/>
        <v>1170</v>
      </c>
      <c r="AF44" s="82">
        <v>0.0</v>
      </c>
      <c r="AG44" s="79">
        <v>1200.0</v>
      </c>
      <c r="AH44" s="7">
        <v>0.6</v>
      </c>
      <c r="AI44" s="7">
        <f t="shared" si="12"/>
        <v>720</v>
      </c>
      <c r="AJ44" s="7">
        <f t="shared" si="13"/>
        <v>1200</v>
      </c>
      <c r="AK44" s="7">
        <f t="shared" si="14"/>
        <v>0</v>
      </c>
      <c r="AL44" s="14">
        <f t="shared" si="15"/>
        <v>0</v>
      </c>
      <c r="AM44" s="82">
        <v>0.0</v>
      </c>
      <c r="AN44" s="7">
        <v>2.5</v>
      </c>
      <c r="AO44" s="7">
        <v>22.0</v>
      </c>
      <c r="AP44" s="7">
        <f t="shared" si="16"/>
        <v>55</v>
      </c>
      <c r="AQ44" s="7">
        <f t="shared" si="17"/>
        <v>2.5</v>
      </c>
      <c r="AR44" s="7">
        <f t="shared" si="18"/>
        <v>0</v>
      </c>
      <c r="AS44" s="14">
        <f t="shared" si="19"/>
        <v>0</v>
      </c>
      <c r="AT44" s="80">
        <v>2.8</v>
      </c>
      <c r="AU44" s="116">
        <v>20000.0</v>
      </c>
      <c r="AV44" s="14">
        <f t="shared" si="20"/>
        <v>560</v>
      </c>
      <c r="AW44" s="80">
        <v>2.8</v>
      </c>
      <c r="AX44" s="7">
        <v>4500.0</v>
      </c>
      <c r="AY44" s="14">
        <f t="shared" si="21"/>
        <v>126</v>
      </c>
      <c r="AZ44" s="75">
        <f t="shared" si="22"/>
        <v>2906.6</v>
      </c>
      <c r="BA44" s="120">
        <f t="shared" si="23"/>
        <v>0.3875466667</v>
      </c>
      <c r="BB44" s="11">
        <f t="shared" si="24"/>
        <v>2.580334411</v>
      </c>
      <c r="BC44" s="11" t="str">
        <f t="shared" si="25"/>
        <v>YES</v>
      </c>
    </row>
    <row r="45" ht="15.75" customHeight="1">
      <c r="A45" s="18"/>
      <c r="B45" s="86" t="s">
        <v>503</v>
      </c>
      <c r="C45" s="86" t="s">
        <v>537</v>
      </c>
      <c r="D45" s="19" t="s">
        <v>232</v>
      </c>
      <c r="E45" s="19" t="s">
        <v>233</v>
      </c>
      <c r="F45" s="19" t="s">
        <v>51</v>
      </c>
      <c r="G45" s="19" t="s">
        <v>237</v>
      </c>
      <c r="H45" s="19">
        <v>4.0</v>
      </c>
      <c r="I45" s="19">
        <v>750.0</v>
      </c>
      <c r="J45" s="19"/>
      <c r="K45" s="19"/>
      <c r="L45" s="19"/>
      <c r="M45" s="9">
        <f t="shared" si="1"/>
        <v>187.5</v>
      </c>
      <c r="N45" s="9">
        <f t="shared" si="2"/>
        <v>30</v>
      </c>
      <c r="O45" s="19">
        <v>1.0</v>
      </c>
      <c r="P45" s="11">
        <f t="shared" si="3"/>
        <v>750</v>
      </c>
      <c r="Q45" s="87">
        <v>8.0</v>
      </c>
      <c r="R45" s="90">
        <v>8.4</v>
      </c>
      <c r="S45" s="19">
        <v>12.0</v>
      </c>
      <c r="T45" s="19">
        <v>400.0</v>
      </c>
      <c r="U45" s="19">
        <f t="shared" si="4"/>
        <v>38400</v>
      </c>
      <c r="V45" s="19">
        <f t="shared" si="5"/>
        <v>13.008</v>
      </c>
      <c r="W45" s="21">
        <f t="shared" si="6"/>
        <v>5203.2</v>
      </c>
      <c r="X45" s="89">
        <f t="shared" si="7"/>
        <v>3225.6</v>
      </c>
      <c r="Y45" s="92">
        <v>0.0</v>
      </c>
      <c r="Z45" s="19">
        <v>450.0</v>
      </c>
      <c r="AA45" s="79">
        <v>1.3</v>
      </c>
      <c r="AB45" s="19">
        <f t="shared" si="8"/>
        <v>585</v>
      </c>
      <c r="AC45" s="19">
        <f t="shared" si="9"/>
        <v>450</v>
      </c>
      <c r="AD45" s="19">
        <f t="shared" si="10"/>
        <v>0</v>
      </c>
      <c r="AE45" s="91">
        <f t="shared" si="11"/>
        <v>0</v>
      </c>
      <c r="AF45" s="88">
        <v>15.0</v>
      </c>
      <c r="AG45" s="79">
        <v>1200.0</v>
      </c>
      <c r="AH45" s="19">
        <v>0.6</v>
      </c>
      <c r="AI45" s="19">
        <f t="shared" si="12"/>
        <v>720</v>
      </c>
      <c r="AJ45" s="19">
        <f t="shared" si="13"/>
        <v>1020</v>
      </c>
      <c r="AK45" s="19">
        <f t="shared" si="14"/>
        <v>108</v>
      </c>
      <c r="AL45" s="21">
        <f t="shared" si="15"/>
        <v>864</v>
      </c>
      <c r="AM45" s="92">
        <v>0.0</v>
      </c>
      <c r="AN45" s="19">
        <v>2.5</v>
      </c>
      <c r="AO45" s="19">
        <v>22.0</v>
      </c>
      <c r="AP45" s="19">
        <f t="shared" si="16"/>
        <v>55</v>
      </c>
      <c r="AQ45" s="19">
        <f t="shared" si="17"/>
        <v>2.5</v>
      </c>
      <c r="AR45" s="19">
        <f t="shared" si="18"/>
        <v>0</v>
      </c>
      <c r="AS45" s="21">
        <f t="shared" si="19"/>
        <v>0</v>
      </c>
      <c r="AT45" s="90">
        <v>2.8</v>
      </c>
      <c r="AU45" s="123">
        <v>20000.0</v>
      </c>
      <c r="AV45" s="21">
        <f t="shared" si="20"/>
        <v>560</v>
      </c>
      <c r="AW45" s="90">
        <v>2.8</v>
      </c>
      <c r="AX45" s="19">
        <v>4500.0</v>
      </c>
      <c r="AY45" s="21">
        <f t="shared" si="21"/>
        <v>126</v>
      </c>
      <c r="AZ45" s="75">
        <f t="shared" si="22"/>
        <v>4558.1</v>
      </c>
      <c r="BA45" s="120">
        <f t="shared" si="23"/>
        <v>6.077466667</v>
      </c>
      <c r="BB45" s="11">
        <f t="shared" si="24"/>
        <v>0.1645422435</v>
      </c>
      <c r="BC45" s="11" t="str">
        <f t="shared" si="25"/>
        <v>YES</v>
      </c>
    </row>
    <row r="46" ht="15.75" customHeight="1">
      <c r="A46" s="66" t="s">
        <v>270</v>
      </c>
      <c r="B46" s="68" t="s">
        <v>14</v>
      </c>
      <c r="C46" s="9" t="s">
        <v>271</v>
      </c>
      <c r="D46" s="9" t="s">
        <v>637</v>
      </c>
      <c r="E46" s="9" t="s">
        <v>273</v>
      </c>
      <c r="F46" s="9" t="s">
        <v>51</v>
      </c>
      <c r="G46" s="9" t="s">
        <v>276</v>
      </c>
      <c r="H46" s="9">
        <v>4.0</v>
      </c>
      <c r="I46" s="9">
        <v>15750.0</v>
      </c>
      <c r="J46" s="9"/>
      <c r="K46" s="9"/>
      <c r="L46" s="9"/>
      <c r="M46" s="9">
        <f t="shared" si="1"/>
        <v>3937.5</v>
      </c>
      <c r="N46" s="9">
        <f t="shared" si="2"/>
        <v>630</v>
      </c>
      <c r="O46" s="9">
        <v>1.0</v>
      </c>
      <c r="P46" s="11">
        <f t="shared" si="3"/>
        <v>15750</v>
      </c>
      <c r="Q46" s="69">
        <v>8.0</v>
      </c>
      <c r="R46" s="76">
        <v>0.0</v>
      </c>
      <c r="S46" s="9">
        <v>12.0</v>
      </c>
      <c r="T46" s="9">
        <v>400.0</v>
      </c>
      <c r="U46" s="9">
        <f t="shared" si="4"/>
        <v>38400</v>
      </c>
      <c r="V46" s="9">
        <f t="shared" si="5"/>
        <v>12</v>
      </c>
      <c r="W46" s="11">
        <f t="shared" si="6"/>
        <v>4800</v>
      </c>
      <c r="X46" s="72">
        <f t="shared" si="7"/>
        <v>0</v>
      </c>
      <c r="Y46" s="75">
        <v>35.0</v>
      </c>
      <c r="Z46" s="9">
        <v>450.0</v>
      </c>
      <c r="AA46" s="69">
        <v>1.3</v>
      </c>
      <c r="AB46" s="9">
        <f t="shared" si="8"/>
        <v>585</v>
      </c>
      <c r="AC46" s="9">
        <f t="shared" si="9"/>
        <v>292.5</v>
      </c>
      <c r="AD46" s="9">
        <f t="shared" si="10"/>
        <v>204.75</v>
      </c>
      <c r="AE46" s="73">
        <f t="shared" si="11"/>
        <v>1638</v>
      </c>
      <c r="AF46" s="71">
        <v>25.0</v>
      </c>
      <c r="AG46" s="69">
        <v>1200.0</v>
      </c>
      <c r="AH46" s="9">
        <v>0.6</v>
      </c>
      <c r="AI46" s="9">
        <f t="shared" si="12"/>
        <v>720</v>
      </c>
      <c r="AJ46" s="9">
        <f t="shared" si="13"/>
        <v>900</v>
      </c>
      <c r="AK46" s="9">
        <f t="shared" si="14"/>
        <v>180</v>
      </c>
      <c r="AL46" s="11">
        <f t="shared" si="15"/>
        <v>1440</v>
      </c>
      <c r="AM46" s="75">
        <v>53.0</v>
      </c>
      <c r="AN46" s="9">
        <v>2.5</v>
      </c>
      <c r="AO46" s="9">
        <v>22.0</v>
      </c>
      <c r="AP46" s="9">
        <f t="shared" si="16"/>
        <v>55</v>
      </c>
      <c r="AQ46" s="9">
        <f t="shared" si="17"/>
        <v>1.175</v>
      </c>
      <c r="AR46" s="9">
        <f t="shared" si="18"/>
        <v>29.15</v>
      </c>
      <c r="AS46" s="11">
        <f t="shared" si="19"/>
        <v>233.2</v>
      </c>
      <c r="AT46" s="76">
        <v>0.0</v>
      </c>
      <c r="AU46" s="116">
        <v>20000.0</v>
      </c>
      <c r="AV46" s="11">
        <f t="shared" si="20"/>
        <v>0</v>
      </c>
      <c r="AW46" s="76">
        <v>0.0</v>
      </c>
      <c r="AX46" s="9">
        <v>4500.0</v>
      </c>
      <c r="AY46" s="11">
        <f t="shared" si="21"/>
        <v>0</v>
      </c>
      <c r="AZ46" s="75">
        <f t="shared" si="22"/>
        <v>-1256.3</v>
      </c>
      <c r="BA46" s="120">
        <f t="shared" si="23"/>
        <v>-0.07976507937</v>
      </c>
      <c r="BB46" s="11" t="str">
        <f t="shared" si="24"/>
        <v>Payback period not applicable: the investment does not recover its cost under current conditions.</v>
      </c>
      <c r="BC46" s="11" t="str">
        <f t="shared" si="25"/>
        <v>NO</v>
      </c>
    </row>
    <row r="47" ht="15.75" customHeight="1">
      <c r="A47" s="12"/>
      <c r="B47" s="25" t="s">
        <v>14</v>
      </c>
      <c r="C47" s="7" t="s">
        <v>271</v>
      </c>
      <c r="D47" s="7" t="s">
        <v>277</v>
      </c>
      <c r="E47" s="7" t="s">
        <v>273</v>
      </c>
      <c r="F47" s="7" t="s">
        <v>51</v>
      </c>
      <c r="G47" s="7" t="s">
        <v>279</v>
      </c>
      <c r="H47" s="7">
        <v>4.0</v>
      </c>
      <c r="I47" s="7">
        <v>9500.0</v>
      </c>
      <c r="J47" s="7"/>
      <c r="K47" s="7"/>
      <c r="L47" s="7"/>
      <c r="M47" s="9">
        <f t="shared" si="1"/>
        <v>2375</v>
      </c>
      <c r="N47" s="9">
        <f t="shared" si="2"/>
        <v>380</v>
      </c>
      <c r="O47" s="7">
        <v>1.0</v>
      </c>
      <c r="P47" s="11">
        <f t="shared" si="3"/>
        <v>9500</v>
      </c>
      <c r="Q47" s="79">
        <v>8.0</v>
      </c>
      <c r="R47" s="82">
        <v>0.0</v>
      </c>
      <c r="S47" s="7">
        <v>12.0</v>
      </c>
      <c r="T47" s="7">
        <v>400.0</v>
      </c>
      <c r="U47" s="7">
        <f t="shared" si="4"/>
        <v>38400</v>
      </c>
      <c r="V47" s="7">
        <f t="shared" si="5"/>
        <v>12</v>
      </c>
      <c r="W47" s="14">
        <f t="shared" si="6"/>
        <v>4800</v>
      </c>
      <c r="X47" s="94">
        <f t="shared" si="7"/>
        <v>0</v>
      </c>
      <c r="Y47" s="84">
        <v>35.0</v>
      </c>
      <c r="Z47" s="7">
        <v>450.0</v>
      </c>
      <c r="AA47" s="79">
        <v>1.3</v>
      </c>
      <c r="AB47" s="7">
        <f t="shared" si="8"/>
        <v>585</v>
      </c>
      <c r="AC47" s="7">
        <f t="shared" si="9"/>
        <v>292.5</v>
      </c>
      <c r="AD47" s="7">
        <f t="shared" si="10"/>
        <v>204.75</v>
      </c>
      <c r="AE47" s="83">
        <f t="shared" si="11"/>
        <v>1638</v>
      </c>
      <c r="AF47" s="80">
        <v>25.0</v>
      </c>
      <c r="AG47" s="79">
        <v>1200.0</v>
      </c>
      <c r="AH47" s="7">
        <v>0.6</v>
      </c>
      <c r="AI47" s="7">
        <f t="shared" si="12"/>
        <v>720</v>
      </c>
      <c r="AJ47" s="7">
        <f t="shared" si="13"/>
        <v>900</v>
      </c>
      <c r="AK47" s="7">
        <f t="shared" si="14"/>
        <v>180</v>
      </c>
      <c r="AL47" s="14">
        <f t="shared" si="15"/>
        <v>1440</v>
      </c>
      <c r="AM47" s="84">
        <v>53.0</v>
      </c>
      <c r="AN47" s="7">
        <v>2.5</v>
      </c>
      <c r="AO47" s="7">
        <v>22.0</v>
      </c>
      <c r="AP47" s="7">
        <f t="shared" si="16"/>
        <v>55</v>
      </c>
      <c r="AQ47" s="7">
        <f t="shared" si="17"/>
        <v>1.175</v>
      </c>
      <c r="AR47" s="7">
        <f t="shared" si="18"/>
        <v>29.15</v>
      </c>
      <c r="AS47" s="14">
        <f t="shared" si="19"/>
        <v>233.2</v>
      </c>
      <c r="AT47" s="82">
        <v>0.0</v>
      </c>
      <c r="AU47" s="116">
        <v>20000.0</v>
      </c>
      <c r="AV47" s="14">
        <f t="shared" si="20"/>
        <v>0</v>
      </c>
      <c r="AW47" s="82">
        <v>0.0</v>
      </c>
      <c r="AX47" s="7">
        <v>4500.0</v>
      </c>
      <c r="AY47" s="14">
        <f t="shared" si="21"/>
        <v>0</v>
      </c>
      <c r="AZ47" s="75">
        <f t="shared" si="22"/>
        <v>556.2</v>
      </c>
      <c r="BA47" s="120">
        <f t="shared" si="23"/>
        <v>0.05854736842</v>
      </c>
      <c r="BB47" s="11">
        <f t="shared" si="24"/>
        <v>17.08018698</v>
      </c>
      <c r="BC47" s="11" t="str">
        <f t="shared" si="25"/>
        <v>NO</v>
      </c>
    </row>
    <row r="48" ht="15.75" customHeight="1">
      <c r="A48" s="12"/>
      <c r="B48" s="25" t="s">
        <v>14</v>
      </c>
      <c r="C48" s="7" t="s">
        <v>542</v>
      </c>
      <c r="D48" s="7" t="s">
        <v>280</v>
      </c>
      <c r="E48" s="7" t="s">
        <v>281</v>
      </c>
      <c r="F48" s="7" t="s">
        <v>51</v>
      </c>
      <c r="G48" s="7" t="s">
        <v>638</v>
      </c>
      <c r="H48" s="7">
        <v>4.0</v>
      </c>
      <c r="I48" s="7">
        <v>1800.0</v>
      </c>
      <c r="J48" s="7"/>
      <c r="K48" s="7"/>
      <c r="L48" s="7"/>
      <c r="M48" s="9">
        <f t="shared" si="1"/>
        <v>450</v>
      </c>
      <c r="N48" s="9">
        <f t="shared" si="2"/>
        <v>72</v>
      </c>
      <c r="O48" s="7">
        <v>1.0</v>
      </c>
      <c r="P48" s="11">
        <f t="shared" si="3"/>
        <v>1800</v>
      </c>
      <c r="Q48" s="79">
        <v>8.0</v>
      </c>
      <c r="R48" s="82">
        <v>0.0</v>
      </c>
      <c r="S48" s="7">
        <v>12.0</v>
      </c>
      <c r="T48" s="7">
        <v>400.0</v>
      </c>
      <c r="U48" s="7">
        <f t="shared" si="4"/>
        <v>38400</v>
      </c>
      <c r="V48" s="7">
        <f t="shared" si="5"/>
        <v>12</v>
      </c>
      <c r="W48" s="14">
        <f t="shared" si="6"/>
        <v>4800</v>
      </c>
      <c r="X48" s="94">
        <f t="shared" si="7"/>
        <v>0</v>
      </c>
      <c r="Y48" s="84">
        <v>35.0</v>
      </c>
      <c r="Z48" s="7">
        <v>450.0</v>
      </c>
      <c r="AA48" s="79">
        <v>1.3</v>
      </c>
      <c r="AB48" s="7">
        <f t="shared" si="8"/>
        <v>585</v>
      </c>
      <c r="AC48" s="7">
        <f t="shared" si="9"/>
        <v>292.5</v>
      </c>
      <c r="AD48" s="7">
        <f t="shared" si="10"/>
        <v>204.75</v>
      </c>
      <c r="AE48" s="83">
        <f t="shared" si="11"/>
        <v>1638</v>
      </c>
      <c r="AF48" s="80">
        <v>25.0</v>
      </c>
      <c r="AG48" s="79">
        <v>1200.0</v>
      </c>
      <c r="AH48" s="7">
        <v>0.6</v>
      </c>
      <c r="AI48" s="7">
        <f t="shared" si="12"/>
        <v>720</v>
      </c>
      <c r="AJ48" s="7">
        <f t="shared" si="13"/>
        <v>900</v>
      </c>
      <c r="AK48" s="7">
        <f t="shared" si="14"/>
        <v>180</v>
      </c>
      <c r="AL48" s="14">
        <f t="shared" si="15"/>
        <v>1440</v>
      </c>
      <c r="AM48" s="84">
        <v>53.0</v>
      </c>
      <c r="AN48" s="7">
        <v>2.5</v>
      </c>
      <c r="AO48" s="7">
        <v>22.0</v>
      </c>
      <c r="AP48" s="7">
        <f t="shared" si="16"/>
        <v>55</v>
      </c>
      <c r="AQ48" s="7">
        <f t="shared" si="17"/>
        <v>1.175</v>
      </c>
      <c r="AR48" s="7">
        <f t="shared" si="18"/>
        <v>29.15</v>
      </c>
      <c r="AS48" s="14">
        <f t="shared" si="19"/>
        <v>233.2</v>
      </c>
      <c r="AT48" s="82">
        <v>0.0</v>
      </c>
      <c r="AU48" s="116">
        <v>20000.0</v>
      </c>
      <c r="AV48" s="14">
        <f t="shared" si="20"/>
        <v>0</v>
      </c>
      <c r="AW48" s="80">
        <v>6.3</v>
      </c>
      <c r="AX48" s="7">
        <v>4500.0</v>
      </c>
      <c r="AY48" s="14">
        <f t="shared" si="21"/>
        <v>283.5</v>
      </c>
      <c r="AZ48" s="75">
        <f t="shared" si="22"/>
        <v>3072.7</v>
      </c>
      <c r="BA48" s="120">
        <f t="shared" si="23"/>
        <v>1.707055556</v>
      </c>
      <c r="BB48" s="11">
        <f t="shared" si="24"/>
        <v>0.585804016</v>
      </c>
      <c r="BC48" s="11" t="str">
        <f t="shared" si="25"/>
        <v>YES</v>
      </c>
    </row>
    <row r="49" ht="15.75" customHeight="1">
      <c r="A49" s="12"/>
      <c r="B49" s="25" t="s">
        <v>14</v>
      </c>
      <c r="C49" s="7" t="s">
        <v>271</v>
      </c>
      <c r="D49" s="7" t="s">
        <v>295</v>
      </c>
      <c r="E49" s="7" t="s">
        <v>296</v>
      </c>
      <c r="F49" s="7" t="s">
        <v>51</v>
      </c>
      <c r="G49" s="7" t="s">
        <v>299</v>
      </c>
      <c r="H49" s="7">
        <v>4.0</v>
      </c>
      <c r="I49" s="7">
        <v>6500.0</v>
      </c>
      <c r="J49" s="7"/>
      <c r="K49" s="7"/>
      <c r="L49" s="7"/>
      <c r="M49" s="9">
        <f t="shared" si="1"/>
        <v>1625</v>
      </c>
      <c r="N49" s="9">
        <f t="shared" si="2"/>
        <v>260</v>
      </c>
      <c r="O49" s="7">
        <v>1.0</v>
      </c>
      <c r="P49" s="11">
        <f t="shared" si="3"/>
        <v>6500</v>
      </c>
      <c r="Q49" s="79">
        <v>8.0</v>
      </c>
      <c r="R49" s="82">
        <v>0.0</v>
      </c>
      <c r="S49" s="7">
        <v>12.0</v>
      </c>
      <c r="T49" s="7">
        <v>400.0</v>
      </c>
      <c r="U49" s="7">
        <f t="shared" si="4"/>
        <v>38400</v>
      </c>
      <c r="V49" s="7">
        <f t="shared" si="5"/>
        <v>12</v>
      </c>
      <c r="W49" s="14">
        <f t="shared" si="6"/>
        <v>4800</v>
      </c>
      <c r="X49" s="94">
        <f t="shared" si="7"/>
        <v>0</v>
      </c>
      <c r="Y49" s="84">
        <v>35.0</v>
      </c>
      <c r="Z49" s="7">
        <v>450.0</v>
      </c>
      <c r="AA49" s="79">
        <v>1.3</v>
      </c>
      <c r="AB49" s="7">
        <f t="shared" si="8"/>
        <v>585</v>
      </c>
      <c r="AC49" s="7">
        <f t="shared" si="9"/>
        <v>292.5</v>
      </c>
      <c r="AD49" s="7">
        <f t="shared" si="10"/>
        <v>204.75</v>
      </c>
      <c r="AE49" s="83">
        <f t="shared" si="11"/>
        <v>1638</v>
      </c>
      <c r="AF49" s="80">
        <v>25.0</v>
      </c>
      <c r="AG49" s="79">
        <v>1200.0</v>
      </c>
      <c r="AH49" s="7">
        <v>0.6</v>
      </c>
      <c r="AI49" s="7">
        <f t="shared" si="12"/>
        <v>720</v>
      </c>
      <c r="AJ49" s="7">
        <f t="shared" si="13"/>
        <v>900</v>
      </c>
      <c r="AK49" s="7">
        <f t="shared" si="14"/>
        <v>180</v>
      </c>
      <c r="AL49" s="14">
        <f t="shared" si="15"/>
        <v>1440</v>
      </c>
      <c r="AM49" s="84">
        <v>53.0</v>
      </c>
      <c r="AN49" s="7">
        <v>2.5</v>
      </c>
      <c r="AO49" s="7">
        <v>22.0</v>
      </c>
      <c r="AP49" s="7">
        <f t="shared" si="16"/>
        <v>55</v>
      </c>
      <c r="AQ49" s="7">
        <f t="shared" si="17"/>
        <v>1.175</v>
      </c>
      <c r="AR49" s="7">
        <f t="shared" si="18"/>
        <v>29.15</v>
      </c>
      <c r="AS49" s="14">
        <f t="shared" si="19"/>
        <v>233.2</v>
      </c>
      <c r="AT49" s="82">
        <v>0.0</v>
      </c>
      <c r="AU49" s="116">
        <v>20000.0</v>
      </c>
      <c r="AV49" s="14">
        <f t="shared" si="20"/>
        <v>0</v>
      </c>
      <c r="AW49" s="80">
        <v>6.3</v>
      </c>
      <c r="AX49" s="7">
        <v>4500.0</v>
      </c>
      <c r="AY49" s="14">
        <f t="shared" si="21"/>
        <v>283.5</v>
      </c>
      <c r="AZ49" s="75">
        <f t="shared" si="22"/>
        <v>1709.7</v>
      </c>
      <c r="BA49" s="120">
        <f t="shared" si="23"/>
        <v>0.2630307692</v>
      </c>
      <c r="BB49" s="11">
        <f t="shared" si="24"/>
        <v>3.80183658</v>
      </c>
      <c r="BC49" s="11" t="str">
        <f t="shared" si="25"/>
        <v>YES</v>
      </c>
    </row>
    <row r="50" ht="15.75" customHeight="1">
      <c r="A50" s="12"/>
      <c r="B50" s="25" t="s">
        <v>14</v>
      </c>
      <c r="C50" s="7" t="s">
        <v>300</v>
      </c>
      <c r="D50" s="7" t="s">
        <v>301</v>
      </c>
      <c r="E50" s="7" t="s">
        <v>302</v>
      </c>
      <c r="F50" s="7" t="s">
        <v>51</v>
      </c>
      <c r="G50" s="7" t="s">
        <v>639</v>
      </c>
      <c r="H50" s="7">
        <v>4.0</v>
      </c>
      <c r="I50" s="7">
        <v>12000.0</v>
      </c>
      <c r="J50" s="7"/>
      <c r="K50" s="7"/>
      <c r="L50" s="7"/>
      <c r="M50" s="9">
        <f t="shared" si="1"/>
        <v>3000</v>
      </c>
      <c r="N50" s="9">
        <f t="shared" si="2"/>
        <v>480</v>
      </c>
      <c r="O50" s="7">
        <v>1.0</v>
      </c>
      <c r="P50" s="11">
        <f t="shared" si="3"/>
        <v>12000</v>
      </c>
      <c r="Q50" s="79">
        <v>8.0</v>
      </c>
      <c r="R50" s="82">
        <v>0.0</v>
      </c>
      <c r="S50" s="7">
        <v>12.0</v>
      </c>
      <c r="T50" s="7">
        <v>400.0</v>
      </c>
      <c r="U50" s="7">
        <f t="shared" si="4"/>
        <v>38400</v>
      </c>
      <c r="V50" s="7">
        <f t="shared" si="5"/>
        <v>12</v>
      </c>
      <c r="W50" s="14">
        <f t="shared" si="6"/>
        <v>4800</v>
      </c>
      <c r="X50" s="94">
        <f t="shared" si="7"/>
        <v>0</v>
      </c>
      <c r="Y50" s="84">
        <v>35.0</v>
      </c>
      <c r="Z50" s="7">
        <v>450.0</v>
      </c>
      <c r="AA50" s="79">
        <v>1.3</v>
      </c>
      <c r="AB50" s="7">
        <f t="shared" si="8"/>
        <v>585</v>
      </c>
      <c r="AC50" s="7">
        <f t="shared" si="9"/>
        <v>292.5</v>
      </c>
      <c r="AD50" s="7">
        <f t="shared" si="10"/>
        <v>204.75</v>
      </c>
      <c r="AE50" s="83">
        <f t="shared" si="11"/>
        <v>1638</v>
      </c>
      <c r="AF50" s="80">
        <v>25.0</v>
      </c>
      <c r="AG50" s="79">
        <v>1200.0</v>
      </c>
      <c r="AH50" s="7">
        <v>0.6</v>
      </c>
      <c r="AI50" s="7">
        <f t="shared" si="12"/>
        <v>720</v>
      </c>
      <c r="AJ50" s="7">
        <f t="shared" si="13"/>
        <v>900</v>
      </c>
      <c r="AK50" s="7">
        <f t="shared" si="14"/>
        <v>180</v>
      </c>
      <c r="AL50" s="14">
        <f t="shared" si="15"/>
        <v>1440</v>
      </c>
      <c r="AM50" s="84">
        <v>53.0</v>
      </c>
      <c r="AN50" s="7">
        <v>2.5</v>
      </c>
      <c r="AO50" s="7">
        <v>22.0</v>
      </c>
      <c r="AP50" s="7">
        <f t="shared" si="16"/>
        <v>55</v>
      </c>
      <c r="AQ50" s="7">
        <f t="shared" si="17"/>
        <v>1.175</v>
      </c>
      <c r="AR50" s="7">
        <f t="shared" si="18"/>
        <v>29.15</v>
      </c>
      <c r="AS50" s="14">
        <f t="shared" si="19"/>
        <v>233.2</v>
      </c>
      <c r="AT50" s="82">
        <v>0.0</v>
      </c>
      <c r="AU50" s="116">
        <v>20000.0</v>
      </c>
      <c r="AV50" s="14">
        <f t="shared" si="20"/>
        <v>0</v>
      </c>
      <c r="AW50" s="80">
        <v>6.3</v>
      </c>
      <c r="AX50" s="7">
        <v>4500.0</v>
      </c>
      <c r="AY50" s="14">
        <f t="shared" si="21"/>
        <v>283.5</v>
      </c>
      <c r="AZ50" s="75">
        <f t="shared" si="22"/>
        <v>114.7</v>
      </c>
      <c r="BA50" s="120">
        <f t="shared" si="23"/>
        <v>0.009558333333</v>
      </c>
      <c r="BB50" s="11">
        <f t="shared" si="24"/>
        <v>104.6207498</v>
      </c>
      <c r="BC50" s="11" t="str">
        <f t="shared" si="25"/>
        <v>NO</v>
      </c>
    </row>
    <row r="51" ht="15.75" customHeight="1">
      <c r="A51" s="12"/>
      <c r="B51" s="25" t="s">
        <v>14</v>
      </c>
      <c r="C51" s="7" t="s">
        <v>289</v>
      </c>
      <c r="D51" s="7" t="s">
        <v>306</v>
      </c>
      <c r="E51" s="7" t="s">
        <v>548</v>
      </c>
      <c r="F51" s="7" t="s">
        <v>51</v>
      </c>
      <c r="G51" s="7" t="s">
        <v>640</v>
      </c>
      <c r="H51" s="7">
        <v>4.0</v>
      </c>
      <c r="I51" s="7">
        <v>7000.0</v>
      </c>
      <c r="J51" s="7"/>
      <c r="K51" s="7"/>
      <c r="L51" s="7"/>
      <c r="M51" s="9">
        <f t="shared" si="1"/>
        <v>1750</v>
      </c>
      <c r="N51" s="9">
        <f t="shared" si="2"/>
        <v>280</v>
      </c>
      <c r="O51" s="7">
        <v>1.0</v>
      </c>
      <c r="P51" s="11">
        <f t="shared" si="3"/>
        <v>7000</v>
      </c>
      <c r="Q51" s="79">
        <v>8.0</v>
      </c>
      <c r="R51" s="82">
        <v>0.0</v>
      </c>
      <c r="S51" s="7">
        <v>12.0</v>
      </c>
      <c r="T51" s="7">
        <v>400.0</v>
      </c>
      <c r="U51" s="7">
        <f t="shared" si="4"/>
        <v>38400</v>
      </c>
      <c r="V51" s="7">
        <f t="shared" si="5"/>
        <v>12</v>
      </c>
      <c r="W51" s="14">
        <f t="shared" si="6"/>
        <v>4800</v>
      </c>
      <c r="X51" s="94">
        <f t="shared" si="7"/>
        <v>0</v>
      </c>
      <c r="Y51" s="84">
        <v>35.0</v>
      </c>
      <c r="Z51" s="7">
        <v>450.0</v>
      </c>
      <c r="AA51" s="79">
        <v>1.3</v>
      </c>
      <c r="AB51" s="7">
        <f t="shared" si="8"/>
        <v>585</v>
      </c>
      <c r="AC51" s="7">
        <f t="shared" si="9"/>
        <v>292.5</v>
      </c>
      <c r="AD51" s="7">
        <f t="shared" si="10"/>
        <v>204.75</v>
      </c>
      <c r="AE51" s="83">
        <f t="shared" si="11"/>
        <v>1638</v>
      </c>
      <c r="AF51" s="80">
        <v>25.0</v>
      </c>
      <c r="AG51" s="79">
        <v>1200.0</v>
      </c>
      <c r="AH51" s="7">
        <v>0.6</v>
      </c>
      <c r="AI51" s="7">
        <f t="shared" si="12"/>
        <v>720</v>
      </c>
      <c r="AJ51" s="7">
        <f t="shared" si="13"/>
        <v>900</v>
      </c>
      <c r="AK51" s="7">
        <f t="shared" si="14"/>
        <v>180</v>
      </c>
      <c r="AL51" s="14">
        <f t="shared" si="15"/>
        <v>1440</v>
      </c>
      <c r="AM51" s="84">
        <v>53.0</v>
      </c>
      <c r="AN51" s="7">
        <v>2.5</v>
      </c>
      <c r="AO51" s="7">
        <v>22.0</v>
      </c>
      <c r="AP51" s="7">
        <f t="shared" si="16"/>
        <v>55</v>
      </c>
      <c r="AQ51" s="7">
        <f t="shared" si="17"/>
        <v>1.175</v>
      </c>
      <c r="AR51" s="7">
        <f t="shared" si="18"/>
        <v>29.15</v>
      </c>
      <c r="AS51" s="14">
        <f t="shared" si="19"/>
        <v>233.2</v>
      </c>
      <c r="AT51" s="82">
        <v>0.0</v>
      </c>
      <c r="AU51" s="116">
        <v>20000.0</v>
      </c>
      <c r="AV51" s="14">
        <f t="shared" si="20"/>
        <v>0</v>
      </c>
      <c r="AW51" s="82">
        <v>0.0</v>
      </c>
      <c r="AX51" s="7">
        <v>4500.0</v>
      </c>
      <c r="AY51" s="14">
        <f t="shared" si="21"/>
        <v>0</v>
      </c>
      <c r="AZ51" s="75">
        <f t="shared" si="22"/>
        <v>1281.2</v>
      </c>
      <c r="BA51" s="120">
        <f t="shared" si="23"/>
        <v>0.1830285714</v>
      </c>
      <c r="BB51" s="11">
        <f t="shared" si="24"/>
        <v>5.463627849</v>
      </c>
      <c r="BC51" s="11" t="str">
        <f t="shared" si="25"/>
        <v>YES</v>
      </c>
    </row>
    <row r="52" ht="15.75" customHeight="1">
      <c r="A52" s="12"/>
      <c r="B52" s="25" t="s">
        <v>14</v>
      </c>
      <c r="C52" s="7" t="s">
        <v>289</v>
      </c>
      <c r="D52" s="7" t="s">
        <v>310</v>
      </c>
      <c r="E52" s="7" t="s">
        <v>552</v>
      </c>
      <c r="F52" s="7" t="s">
        <v>51</v>
      </c>
      <c r="G52" s="7" t="s">
        <v>641</v>
      </c>
      <c r="H52" s="7">
        <v>4.0</v>
      </c>
      <c r="I52" s="7">
        <v>2500.0</v>
      </c>
      <c r="J52" s="7"/>
      <c r="K52" s="7"/>
      <c r="L52" s="7"/>
      <c r="M52" s="9">
        <f t="shared" si="1"/>
        <v>625</v>
      </c>
      <c r="N52" s="9">
        <f t="shared" si="2"/>
        <v>100</v>
      </c>
      <c r="O52" s="7">
        <v>1.0</v>
      </c>
      <c r="P52" s="11">
        <f t="shared" si="3"/>
        <v>2500</v>
      </c>
      <c r="Q52" s="79">
        <v>8.0</v>
      </c>
      <c r="R52" s="82">
        <v>0.0</v>
      </c>
      <c r="S52" s="7">
        <v>12.0</v>
      </c>
      <c r="T52" s="7">
        <v>400.0</v>
      </c>
      <c r="U52" s="7">
        <f t="shared" si="4"/>
        <v>38400</v>
      </c>
      <c r="V52" s="7">
        <f t="shared" si="5"/>
        <v>12</v>
      </c>
      <c r="W52" s="14">
        <f t="shared" si="6"/>
        <v>4800</v>
      </c>
      <c r="X52" s="94">
        <f t="shared" si="7"/>
        <v>0</v>
      </c>
      <c r="Y52" s="84">
        <v>35.0</v>
      </c>
      <c r="Z52" s="7">
        <v>450.0</v>
      </c>
      <c r="AA52" s="79">
        <v>1.3</v>
      </c>
      <c r="AB52" s="7">
        <f t="shared" si="8"/>
        <v>585</v>
      </c>
      <c r="AC52" s="7">
        <f t="shared" si="9"/>
        <v>292.5</v>
      </c>
      <c r="AD52" s="7">
        <f t="shared" si="10"/>
        <v>204.75</v>
      </c>
      <c r="AE52" s="83">
        <f t="shared" si="11"/>
        <v>1638</v>
      </c>
      <c r="AF52" s="80">
        <v>25.0</v>
      </c>
      <c r="AG52" s="79">
        <v>1200.0</v>
      </c>
      <c r="AH52" s="7">
        <v>0.6</v>
      </c>
      <c r="AI52" s="7">
        <f t="shared" si="12"/>
        <v>720</v>
      </c>
      <c r="AJ52" s="7">
        <f t="shared" si="13"/>
        <v>900</v>
      </c>
      <c r="AK52" s="7">
        <f t="shared" si="14"/>
        <v>180</v>
      </c>
      <c r="AL52" s="14">
        <f t="shared" si="15"/>
        <v>1440</v>
      </c>
      <c r="AM52" s="84">
        <v>53.0</v>
      </c>
      <c r="AN52" s="7">
        <v>2.5</v>
      </c>
      <c r="AO52" s="7">
        <v>22.0</v>
      </c>
      <c r="AP52" s="7">
        <f t="shared" si="16"/>
        <v>55</v>
      </c>
      <c r="AQ52" s="7">
        <f t="shared" si="17"/>
        <v>1.175</v>
      </c>
      <c r="AR52" s="7">
        <f t="shared" si="18"/>
        <v>29.15</v>
      </c>
      <c r="AS52" s="14">
        <f t="shared" si="19"/>
        <v>233.2</v>
      </c>
      <c r="AT52" s="82">
        <v>0.0</v>
      </c>
      <c r="AU52" s="116">
        <v>20000.0</v>
      </c>
      <c r="AV52" s="14">
        <f t="shared" si="20"/>
        <v>0</v>
      </c>
      <c r="AW52" s="82">
        <v>0.0</v>
      </c>
      <c r="AX52" s="7">
        <v>4500.0</v>
      </c>
      <c r="AY52" s="14">
        <f t="shared" si="21"/>
        <v>0</v>
      </c>
      <c r="AZ52" s="75">
        <f t="shared" si="22"/>
        <v>2586.2</v>
      </c>
      <c r="BA52" s="120">
        <f t="shared" si="23"/>
        <v>1.03448</v>
      </c>
      <c r="BB52" s="11">
        <f t="shared" si="24"/>
        <v>0.9666692445</v>
      </c>
      <c r="BC52" s="11" t="str">
        <f t="shared" si="25"/>
        <v>YES</v>
      </c>
    </row>
    <row r="53" ht="15.75" customHeight="1">
      <c r="A53" s="12"/>
      <c r="B53" s="25" t="s">
        <v>14</v>
      </c>
      <c r="C53" s="7" t="s">
        <v>271</v>
      </c>
      <c r="D53" s="7" t="s">
        <v>314</v>
      </c>
      <c r="E53" s="7" t="s">
        <v>594</v>
      </c>
      <c r="F53" s="7" t="s">
        <v>51</v>
      </c>
      <c r="G53" s="7" t="s">
        <v>318</v>
      </c>
      <c r="H53" s="7">
        <v>4.0</v>
      </c>
      <c r="I53" s="7">
        <v>165.0</v>
      </c>
      <c r="J53" s="7"/>
      <c r="K53" s="7"/>
      <c r="L53" s="7"/>
      <c r="M53" s="9">
        <f t="shared" si="1"/>
        <v>0</v>
      </c>
      <c r="N53" s="9">
        <f t="shared" si="2"/>
        <v>6.6</v>
      </c>
      <c r="O53" s="7">
        <v>1.0</v>
      </c>
      <c r="P53" s="11">
        <f t="shared" si="3"/>
        <v>165</v>
      </c>
      <c r="Q53" s="79">
        <v>8.0</v>
      </c>
      <c r="R53" s="82">
        <v>0.0</v>
      </c>
      <c r="S53" s="7">
        <v>12.0</v>
      </c>
      <c r="T53" s="7">
        <v>400.0</v>
      </c>
      <c r="U53" s="7">
        <f t="shared" si="4"/>
        <v>38400</v>
      </c>
      <c r="V53" s="7">
        <f t="shared" si="5"/>
        <v>12</v>
      </c>
      <c r="W53" s="14">
        <f t="shared" si="6"/>
        <v>4800</v>
      </c>
      <c r="X53" s="94">
        <f t="shared" si="7"/>
        <v>0</v>
      </c>
      <c r="Y53" s="84">
        <v>35.0</v>
      </c>
      <c r="Z53" s="7">
        <v>450.0</v>
      </c>
      <c r="AA53" s="79">
        <v>1.3</v>
      </c>
      <c r="AB53" s="7">
        <f t="shared" si="8"/>
        <v>585</v>
      </c>
      <c r="AC53" s="7">
        <f t="shared" si="9"/>
        <v>292.5</v>
      </c>
      <c r="AD53" s="7">
        <f t="shared" si="10"/>
        <v>204.75</v>
      </c>
      <c r="AE53" s="83">
        <f t="shared" si="11"/>
        <v>1638</v>
      </c>
      <c r="AF53" s="80">
        <v>25.0</v>
      </c>
      <c r="AG53" s="79">
        <v>1200.0</v>
      </c>
      <c r="AH53" s="7">
        <v>0.6</v>
      </c>
      <c r="AI53" s="7">
        <f t="shared" si="12"/>
        <v>720</v>
      </c>
      <c r="AJ53" s="7">
        <f t="shared" si="13"/>
        <v>900</v>
      </c>
      <c r="AK53" s="7">
        <f t="shared" si="14"/>
        <v>180</v>
      </c>
      <c r="AL53" s="14">
        <f t="shared" si="15"/>
        <v>1440</v>
      </c>
      <c r="AM53" s="84">
        <v>53.0</v>
      </c>
      <c r="AN53" s="7">
        <v>2.5</v>
      </c>
      <c r="AO53" s="7">
        <v>22.0</v>
      </c>
      <c r="AP53" s="7">
        <f t="shared" si="16"/>
        <v>55</v>
      </c>
      <c r="AQ53" s="7">
        <f t="shared" si="17"/>
        <v>1.175</v>
      </c>
      <c r="AR53" s="7">
        <f t="shared" si="18"/>
        <v>29.15</v>
      </c>
      <c r="AS53" s="14">
        <f t="shared" si="19"/>
        <v>233.2</v>
      </c>
      <c r="AT53" s="82">
        <v>0.0</v>
      </c>
      <c r="AU53" s="116">
        <v>20000.0</v>
      </c>
      <c r="AV53" s="14">
        <f t="shared" si="20"/>
        <v>0</v>
      </c>
      <c r="AW53" s="82">
        <v>0.0</v>
      </c>
      <c r="AX53" s="7">
        <v>4500.0</v>
      </c>
      <c r="AY53" s="14">
        <f t="shared" si="21"/>
        <v>0</v>
      </c>
      <c r="AZ53" s="75">
        <f t="shared" si="22"/>
        <v>3304.6</v>
      </c>
      <c r="BA53" s="120">
        <f t="shared" si="23"/>
        <v>20.02787879</v>
      </c>
      <c r="BB53" s="11">
        <f t="shared" si="24"/>
        <v>0.04993040005</v>
      </c>
      <c r="BC53" s="11" t="str">
        <f t="shared" si="25"/>
        <v>YES</v>
      </c>
    </row>
    <row r="54" ht="15.75" customHeight="1">
      <c r="A54" s="12"/>
      <c r="B54" s="25" t="s">
        <v>36</v>
      </c>
      <c r="C54" s="7" t="s">
        <v>271</v>
      </c>
      <c r="D54" s="7" t="s">
        <v>285</v>
      </c>
      <c r="E54" s="7" t="s">
        <v>285</v>
      </c>
      <c r="F54" s="7" t="s">
        <v>51</v>
      </c>
      <c r="G54" s="7" t="s">
        <v>44</v>
      </c>
      <c r="H54" s="7">
        <v>4.0</v>
      </c>
      <c r="I54" s="7">
        <v>0.0</v>
      </c>
      <c r="J54" s="7"/>
      <c r="K54" s="7"/>
      <c r="L54" s="7"/>
      <c r="M54" s="9">
        <f t="shared" si="1"/>
        <v>0</v>
      </c>
      <c r="N54" s="9">
        <f t="shared" si="2"/>
        <v>0</v>
      </c>
      <c r="O54" s="7">
        <v>1.0</v>
      </c>
      <c r="P54" s="11">
        <f t="shared" si="3"/>
        <v>0</v>
      </c>
      <c r="Q54" s="79">
        <v>8.0</v>
      </c>
      <c r="R54" s="82">
        <v>0.0</v>
      </c>
      <c r="S54" s="7">
        <v>12.0</v>
      </c>
      <c r="T54" s="7">
        <v>400.0</v>
      </c>
      <c r="U54" s="7">
        <f t="shared" si="4"/>
        <v>38400</v>
      </c>
      <c r="V54" s="7">
        <f t="shared" si="5"/>
        <v>12</v>
      </c>
      <c r="W54" s="14">
        <f t="shared" si="6"/>
        <v>4800</v>
      </c>
      <c r="X54" s="94">
        <f t="shared" si="7"/>
        <v>0</v>
      </c>
      <c r="Y54" s="84">
        <v>35.0</v>
      </c>
      <c r="Z54" s="7">
        <v>450.0</v>
      </c>
      <c r="AA54" s="79">
        <v>1.3</v>
      </c>
      <c r="AB54" s="7">
        <f t="shared" si="8"/>
        <v>585</v>
      </c>
      <c r="AC54" s="7">
        <f t="shared" si="9"/>
        <v>292.5</v>
      </c>
      <c r="AD54" s="7">
        <f t="shared" si="10"/>
        <v>204.75</v>
      </c>
      <c r="AE54" s="83">
        <f t="shared" si="11"/>
        <v>1638</v>
      </c>
      <c r="AF54" s="80">
        <v>25.0</v>
      </c>
      <c r="AG54" s="79">
        <v>1200.0</v>
      </c>
      <c r="AH54" s="7">
        <v>0.6</v>
      </c>
      <c r="AI54" s="7">
        <f t="shared" si="12"/>
        <v>720</v>
      </c>
      <c r="AJ54" s="7">
        <f t="shared" si="13"/>
        <v>900</v>
      </c>
      <c r="AK54" s="7">
        <f t="shared" si="14"/>
        <v>180</v>
      </c>
      <c r="AL54" s="14">
        <f t="shared" si="15"/>
        <v>1440</v>
      </c>
      <c r="AM54" s="84">
        <v>53.0</v>
      </c>
      <c r="AN54" s="7">
        <v>2.5</v>
      </c>
      <c r="AO54" s="7">
        <v>22.0</v>
      </c>
      <c r="AP54" s="7">
        <f t="shared" si="16"/>
        <v>55</v>
      </c>
      <c r="AQ54" s="7">
        <f t="shared" si="17"/>
        <v>1.175</v>
      </c>
      <c r="AR54" s="7">
        <f t="shared" si="18"/>
        <v>29.15</v>
      </c>
      <c r="AS54" s="14">
        <f t="shared" si="19"/>
        <v>233.2</v>
      </c>
      <c r="AT54" s="82">
        <v>0.0</v>
      </c>
      <c r="AU54" s="116">
        <v>20000.0</v>
      </c>
      <c r="AV54" s="14">
        <f t="shared" si="20"/>
        <v>0</v>
      </c>
      <c r="AW54" s="82">
        <v>0.0</v>
      </c>
      <c r="AX54" s="7">
        <v>4500.0</v>
      </c>
      <c r="AY54" s="14">
        <f t="shared" si="21"/>
        <v>0</v>
      </c>
      <c r="AZ54" s="75">
        <f t="shared" si="22"/>
        <v>3311.2</v>
      </c>
      <c r="BA54" s="120" t="str">
        <f t="shared" si="23"/>
        <v>The DAT is free</v>
      </c>
      <c r="BB54" s="11">
        <f t="shared" si="24"/>
        <v>0</v>
      </c>
      <c r="BC54" s="11" t="str">
        <f t="shared" si="25"/>
        <v>YES</v>
      </c>
    </row>
    <row r="55" ht="15.75" customHeight="1">
      <c r="A55" s="12"/>
      <c r="B55" s="25" t="s">
        <v>14</v>
      </c>
      <c r="C55" s="7" t="s">
        <v>289</v>
      </c>
      <c r="D55" s="7" t="s">
        <v>290</v>
      </c>
      <c r="E55" s="7" t="s">
        <v>291</v>
      </c>
      <c r="F55" s="7" t="s">
        <v>51</v>
      </c>
      <c r="G55" s="7" t="s">
        <v>294</v>
      </c>
      <c r="H55" s="7">
        <v>4.0</v>
      </c>
      <c r="I55" s="7">
        <v>220.0</v>
      </c>
      <c r="J55" s="7"/>
      <c r="K55" s="7"/>
      <c r="L55" s="7"/>
      <c r="M55" s="9">
        <f t="shared" si="1"/>
        <v>0</v>
      </c>
      <c r="N55" s="9">
        <f t="shared" si="2"/>
        <v>8.8</v>
      </c>
      <c r="O55" s="7">
        <v>1.0</v>
      </c>
      <c r="P55" s="11">
        <f t="shared" si="3"/>
        <v>220</v>
      </c>
      <c r="Q55" s="79">
        <v>8.0</v>
      </c>
      <c r="R55" s="82">
        <v>0.0</v>
      </c>
      <c r="S55" s="7">
        <v>12.0</v>
      </c>
      <c r="T55" s="7">
        <v>400.0</v>
      </c>
      <c r="U55" s="7">
        <f t="shared" si="4"/>
        <v>38400</v>
      </c>
      <c r="V55" s="7">
        <f t="shared" si="5"/>
        <v>12</v>
      </c>
      <c r="W55" s="14">
        <f t="shared" si="6"/>
        <v>4800</v>
      </c>
      <c r="X55" s="94">
        <f t="shared" si="7"/>
        <v>0</v>
      </c>
      <c r="Y55" s="84">
        <v>35.0</v>
      </c>
      <c r="Z55" s="7">
        <v>450.0</v>
      </c>
      <c r="AA55" s="79">
        <v>1.3</v>
      </c>
      <c r="AB55" s="7">
        <f t="shared" si="8"/>
        <v>585</v>
      </c>
      <c r="AC55" s="7">
        <f t="shared" si="9"/>
        <v>292.5</v>
      </c>
      <c r="AD55" s="7">
        <f t="shared" si="10"/>
        <v>204.75</v>
      </c>
      <c r="AE55" s="83">
        <f t="shared" si="11"/>
        <v>1638</v>
      </c>
      <c r="AF55" s="80">
        <v>25.0</v>
      </c>
      <c r="AG55" s="79">
        <v>1200.0</v>
      </c>
      <c r="AH55" s="7">
        <v>0.6</v>
      </c>
      <c r="AI55" s="7">
        <f t="shared" si="12"/>
        <v>720</v>
      </c>
      <c r="AJ55" s="7">
        <f t="shared" si="13"/>
        <v>900</v>
      </c>
      <c r="AK55" s="7">
        <f t="shared" si="14"/>
        <v>180</v>
      </c>
      <c r="AL55" s="14">
        <f t="shared" si="15"/>
        <v>1440</v>
      </c>
      <c r="AM55" s="84">
        <v>53.0</v>
      </c>
      <c r="AN55" s="7">
        <v>2.5</v>
      </c>
      <c r="AO55" s="7">
        <v>22.0</v>
      </c>
      <c r="AP55" s="7">
        <f t="shared" si="16"/>
        <v>55</v>
      </c>
      <c r="AQ55" s="7">
        <f t="shared" si="17"/>
        <v>1.175</v>
      </c>
      <c r="AR55" s="7">
        <f t="shared" si="18"/>
        <v>29.15</v>
      </c>
      <c r="AS55" s="14">
        <f t="shared" si="19"/>
        <v>233.2</v>
      </c>
      <c r="AT55" s="82">
        <v>0.0</v>
      </c>
      <c r="AU55" s="116">
        <v>20000.0</v>
      </c>
      <c r="AV55" s="14">
        <f t="shared" si="20"/>
        <v>0</v>
      </c>
      <c r="AW55" s="82">
        <v>0.0</v>
      </c>
      <c r="AX55" s="7">
        <v>4500.0</v>
      </c>
      <c r="AY55" s="14">
        <f t="shared" si="21"/>
        <v>0</v>
      </c>
      <c r="AZ55" s="75">
        <f t="shared" si="22"/>
        <v>3302.4</v>
      </c>
      <c r="BA55" s="120">
        <f t="shared" si="23"/>
        <v>15.01090909</v>
      </c>
      <c r="BB55" s="11">
        <f t="shared" si="24"/>
        <v>0.06661821705</v>
      </c>
      <c r="BC55" s="11" t="str">
        <f t="shared" si="25"/>
        <v>YES</v>
      </c>
    </row>
    <row r="56" ht="15.75" customHeight="1">
      <c r="A56" s="12"/>
      <c r="B56" s="25" t="s">
        <v>14</v>
      </c>
      <c r="C56" s="7" t="s">
        <v>271</v>
      </c>
      <c r="D56" s="7" t="s">
        <v>319</v>
      </c>
      <c r="E56" s="7" t="s">
        <v>594</v>
      </c>
      <c r="F56" s="7" t="s">
        <v>51</v>
      </c>
      <c r="G56" s="7" t="s">
        <v>322</v>
      </c>
      <c r="H56" s="7">
        <v>4.0</v>
      </c>
      <c r="I56" s="7">
        <v>900.0</v>
      </c>
      <c r="J56" s="7"/>
      <c r="K56" s="7"/>
      <c r="L56" s="7"/>
      <c r="M56" s="9">
        <f t="shared" si="1"/>
        <v>225</v>
      </c>
      <c r="N56" s="9">
        <f t="shared" si="2"/>
        <v>36</v>
      </c>
      <c r="O56" s="7">
        <v>1.0</v>
      </c>
      <c r="P56" s="11">
        <f t="shared" si="3"/>
        <v>900</v>
      </c>
      <c r="Q56" s="79">
        <v>8.0</v>
      </c>
      <c r="R56" s="82">
        <v>0.0</v>
      </c>
      <c r="S56" s="7">
        <v>12.0</v>
      </c>
      <c r="T56" s="7">
        <v>400.0</v>
      </c>
      <c r="U56" s="7">
        <f t="shared" si="4"/>
        <v>38400</v>
      </c>
      <c r="V56" s="7">
        <f t="shared" si="5"/>
        <v>12</v>
      </c>
      <c r="W56" s="14">
        <f t="shared" si="6"/>
        <v>4800</v>
      </c>
      <c r="X56" s="94">
        <f t="shared" si="7"/>
        <v>0</v>
      </c>
      <c r="Y56" s="84">
        <v>35.0</v>
      </c>
      <c r="Z56" s="7">
        <v>450.0</v>
      </c>
      <c r="AA56" s="79">
        <v>1.3</v>
      </c>
      <c r="AB56" s="7">
        <f t="shared" si="8"/>
        <v>585</v>
      </c>
      <c r="AC56" s="7">
        <f t="shared" si="9"/>
        <v>292.5</v>
      </c>
      <c r="AD56" s="7">
        <f t="shared" si="10"/>
        <v>204.75</v>
      </c>
      <c r="AE56" s="83">
        <f t="shared" si="11"/>
        <v>1638</v>
      </c>
      <c r="AF56" s="80">
        <v>25.0</v>
      </c>
      <c r="AG56" s="79">
        <v>1200.0</v>
      </c>
      <c r="AH56" s="7">
        <v>0.6</v>
      </c>
      <c r="AI56" s="7">
        <f t="shared" si="12"/>
        <v>720</v>
      </c>
      <c r="AJ56" s="7">
        <f t="shared" si="13"/>
        <v>900</v>
      </c>
      <c r="AK56" s="7">
        <f t="shared" si="14"/>
        <v>180</v>
      </c>
      <c r="AL56" s="14">
        <f t="shared" si="15"/>
        <v>1440</v>
      </c>
      <c r="AM56" s="84">
        <v>53.0</v>
      </c>
      <c r="AN56" s="7">
        <v>2.5</v>
      </c>
      <c r="AO56" s="7">
        <v>22.0</v>
      </c>
      <c r="AP56" s="7">
        <f t="shared" si="16"/>
        <v>55</v>
      </c>
      <c r="AQ56" s="7">
        <f t="shared" si="17"/>
        <v>1.175</v>
      </c>
      <c r="AR56" s="7">
        <f t="shared" si="18"/>
        <v>29.15</v>
      </c>
      <c r="AS56" s="14">
        <f t="shared" si="19"/>
        <v>233.2</v>
      </c>
      <c r="AT56" s="82">
        <v>0.0</v>
      </c>
      <c r="AU56" s="116">
        <v>20000.0</v>
      </c>
      <c r="AV56" s="14">
        <f t="shared" si="20"/>
        <v>0</v>
      </c>
      <c r="AW56" s="82">
        <v>0.0</v>
      </c>
      <c r="AX56" s="7">
        <v>4500.0</v>
      </c>
      <c r="AY56" s="14">
        <f t="shared" si="21"/>
        <v>0</v>
      </c>
      <c r="AZ56" s="75">
        <f t="shared" si="22"/>
        <v>3050.2</v>
      </c>
      <c r="BA56" s="120">
        <f t="shared" si="23"/>
        <v>3.389111111</v>
      </c>
      <c r="BB56" s="11">
        <f t="shared" si="24"/>
        <v>0.2950626188</v>
      </c>
      <c r="BC56" s="11" t="str">
        <f t="shared" si="25"/>
        <v>YES</v>
      </c>
    </row>
    <row r="57" ht="15.75" customHeight="1">
      <c r="A57" s="18"/>
      <c r="B57" s="86" t="s">
        <v>14</v>
      </c>
      <c r="C57" s="19" t="s">
        <v>271</v>
      </c>
      <c r="D57" s="19" t="s">
        <v>323</v>
      </c>
      <c r="E57" s="19" t="s">
        <v>324</v>
      </c>
      <c r="F57" s="19" t="s">
        <v>51</v>
      </c>
      <c r="G57" s="19" t="s">
        <v>327</v>
      </c>
      <c r="H57" s="19">
        <v>4.0</v>
      </c>
      <c r="I57" s="19">
        <v>115.0</v>
      </c>
      <c r="J57" s="19"/>
      <c r="K57" s="19"/>
      <c r="L57" s="19"/>
      <c r="M57" s="9">
        <f t="shared" si="1"/>
        <v>0</v>
      </c>
      <c r="N57" s="9">
        <f t="shared" si="2"/>
        <v>4.6</v>
      </c>
      <c r="O57" s="19">
        <v>1.0</v>
      </c>
      <c r="P57" s="11">
        <f t="shared" si="3"/>
        <v>115</v>
      </c>
      <c r="Q57" s="87">
        <v>8.0</v>
      </c>
      <c r="R57" s="92">
        <v>0.0</v>
      </c>
      <c r="S57" s="19">
        <v>12.0</v>
      </c>
      <c r="T57" s="19">
        <v>400.0</v>
      </c>
      <c r="U57" s="19">
        <f t="shared" si="4"/>
        <v>38400</v>
      </c>
      <c r="V57" s="19">
        <f t="shared" si="5"/>
        <v>12</v>
      </c>
      <c r="W57" s="21">
        <f t="shared" si="6"/>
        <v>4800</v>
      </c>
      <c r="X57" s="89">
        <f t="shared" si="7"/>
        <v>0</v>
      </c>
      <c r="Y57" s="88">
        <v>35.0</v>
      </c>
      <c r="Z57" s="19">
        <v>450.0</v>
      </c>
      <c r="AA57" s="87">
        <v>1.3</v>
      </c>
      <c r="AB57" s="19">
        <f t="shared" si="8"/>
        <v>585</v>
      </c>
      <c r="AC57" s="19">
        <f t="shared" si="9"/>
        <v>292.5</v>
      </c>
      <c r="AD57" s="19">
        <f t="shared" si="10"/>
        <v>204.75</v>
      </c>
      <c r="AE57" s="91">
        <f t="shared" si="11"/>
        <v>1638</v>
      </c>
      <c r="AF57" s="90">
        <v>25.0</v>
      </c>
      <c r="AG57" s="87">
        <v>1200.0</v>
      </c>
      <c r="AH57" s="19">
        <v>0.6</v>
      </c>
      <c r="AI57" s="19">
        <f t="shared" si="12"/>
        <v>720</v>
      </c>
      <c r="AJ57" s="19">
        <f t="shared" si="13"/>
        <v>900</v>
      </c>
      <c r="AK57" s="19">
        <f t="shared" si="14"/>
        <v>180</v>
      </c>
      <c r="AL57" s="21">
        <f t="shared" si="15"/>
        <v>1440</v>
      </c>
      <c r="AM57" s="88">
        <v>53.0</v>
      </c>
      <c r="AN57" s="19">
        <v>2.5</v>
      </c>
      <c r="AO57" s="19">
        <v>22.0</v>
      </c>
      <c r="AP57" s="19">
        <f t="shared" si="16"/>
        <v>55</v>
      </c>
      <c r="AQ57" s="19">
        <f t="shared" si="17"/>
        <v>1.175</v>
      </c>
      <c r="AR57" s="19">
        <f t="shared" si="18"/>
        <v>29.15</v>
      </c>
      <c r="AS57" s="21">
        <f t="shared" si="19"/>
        <v>233.2</v>
      </c>
      <c r="AT57" s="92">
        <v>0.0</v>
      </c>
      <c r="AU57" s="116">
        <v>20000.0</v>
      </c>
      <c r="AV57" s="21">
        <f t="shared" si="20"/>
        <v>0</v>
      </c>
      <c r="AW57" s="92">
        <v>0.0</v>
      </c>
      <c r="AX57" s="19">
        <v>4500.0</v>
      </c>
      <c r="AY57" s="21">
        <f t="shared" si="21"/>
        <v>0</v>
      </c>
      <c r="AZ57" s="75">
        <f t="shared" si="22"/>
        <v>3306.6</v>
      </c>
      <c r="BA57" s="120">
        <f t="shared" si="23"/>
        <v>28.75304348</v>
      </c>
      <c r="BB57" s="11">
        <f t="shared" si="24"/>
        <v>0.03477892699</v>
      </c>
      <c r="BC57" s="11" t="str">
        <f t="shared" si="25"/>
        <v>YES</v>
      </c>
    </row>
    <row r="58" ht="15.75" customHeight="1">
      <c r="A58" s="66" t="s">
        <v>328</v>
      </c>
      <c r="B58" s="68" t="s">
        <v>14</v>
      </c>
      <c r="C58" s="68" t="s">
        <v>392</v>
      </c>
      <c r="D58" s="9" t="s">
        <v>393</v>
      </c>
      <c r="E58" s="9" t="s">
        <v>394</v>
      </c>
      <c r="F58" s="9" t="s">
        <v>51</v>
      </c>
      <c r="G58" s="9" t="s">
        <v>559</v>
      </c>
      <c r="H58" s="9">
        <v>4.0</v>
      </c>
      <c r="I58" s="9">
        <v>950.0</v>
      </c>
      <c r="J58" s="9"/>
      <c r="K58" s="9"/>
      <c r="L58" s="9"/>
      <c r="M58" s="9">
        <f t="shared" si="1"/>
        <v>237.5</v>
      </c>
      <c r="N58" s="9">
        <f t="shared" si="2"/>
        <v>38</v>
      </c>
      <c r="O58" s="9">
        <v>1.0</v>
      </c>
      <c r="P58" s="11">
        <f t="shared" si="3"/>
        <v>950</v>
      </c>
      <c r="Q58" s="69">
        <v>8.0</v>
      </c>
      <c r="R58" s="71">
        <v>0.0</v>
      </c>
      <c r="S58" s="9">
        <v>12.0</v>
      </c>
      <c r="T58" s="9">
        <v>400.0</v>
      </c>
      <c r="U58" s="9">
        <f t="shared" si="4"/>
        <v>38400</v>
      </c>
      <c r="V58" s="9">
        <f t="shared" si="5"/>
        <v>12</v>
      </c>
      <c r="W58" s="11">
        <f t="shared" si="6"/>
        <v>4800</v>
      </c>
      <c r="X58" s="72">
        <f t="shared" si="7"/>
        <v>0</v>
      </c>
      <c r="Y58" s="71">
        <v>0.0</v>
      </c>
      <c r="Z58" s="9">
        <v>450.0</v>
      </c>
      <c r="AA58" s="79">
        <v>1.3</v>
      </c>
      <c r="AB58" s="9">
        <f t="shared" si="8"/>
        <v>585</v>
      </c>
      <c r="AC58" s="9">
        <f t="shared" si="9"/>
        <v>450</v>
      </c>
      <c r="AD58" s="9">
        <f t="shared" si="10"/>
        <v>0</v>
      </c>
      <c r="AE58" s="73">
        <f t="shared" si="11"/>
        <v>0</v>
      </c>
      <c r="AF58" s="76">
        <v>0.0</v>
      </c>
      <c r="AG58" s="79">
        <v>1200.0</v>
      </c>
      <c r="AH58" s="9">
        <v>0.6</v>
      </c>
      <c r="AI58" s="9">
        <f t="shared" si="12"/>
        <v>720</v>
      </c>
      <c r="AJ58" s="9">
        <f t="shared" si="13"/>
        <v>1200</v>
      </c>
      <c r="AK58" s="9">
        <f t="shared" si="14"/>
        <v>0</v>
      </c>
      <c r="AL58" s="11">
        <f t="shared" si="15"/>
        <v>0</v>
      </c>
      <c r="AM58" s="71">
        <v>0.0</v>
      </c>
      <c r="AN58" s="9">
        <v>2.5</v>
      </c>
      <c r="AO58" s="9">
        <v>22.0</v>
      </c>
      <c r="AP58" s="9">
        <f t="shared" si="16"/>
        <v>55</v>
      </c>
      <c r="AQ58" s="9">
        <f t="shared" si="17"/>
        <v>2.5</v>
      </c>
      <c r="AR58" s="9">
        <f t="shared" si="18"/>
        <v>0</v>
      </c>
      <c r="AS58" s="11">
        <f t="shared" si="19"/>
        <v>0</v>
      </c>
      <c r="AT58" s="71">
        <v>57.5</v>
      </c>
      <c r="AU58" s="125">
        <v>20000.0</v>
      </c>
      <c r="AV58" s="11">
        <f t="shared" si="20"/>
        <v>11500</v>
      </c>
      <c r="AW58" s="76">
        <v>0.0</v>
      </c>
      <c r="AX58" s="9">
        <v>4500.0</v>
      </c>
      <c r="AY58" s="11">
        <f t="shared" si="21"/>
        <v>0</v>
      </c>
      <c r="AZ58" s="75">
        <f t="shared" si="22"/>
        <v>11224.5</v>
      </c>
      <c r="BA58" s="120">
        <f t="shared" si="23"/>
        <v>11.81526316</v>
      </c>
      <c r="BB58" s="11">
        <f t="shared" si="24"/>
        <v>0.08463628669</v>
      </c>
      <c r="BC58" s="11" t="str">
        <f t="shared" si="25"/>
        <v>YES</v>
      </c>
    </row>
    <row r="59" ht="15.75" customHeight="1">
      <c r="A59" s="12"/>
      <c r="B59" s="25" t="s">
        <v>14</v>
      </c>
      <c r="C59" s="25" t="s">
        <v>238</v>
      </c>
      <c r="D59" s="7" t="s">
        <v>382</v>
      </c>
      <c r="E59" s="7" t="s">
        <v>642</v>
      </c>
      <c r="F59" s="7" t="s">
        <v>51</v>
      </c>
      <c r="G59" s="7" t="s">
        <v>595</v>
      </c>
      <c r="H59" s="7">
        <v>4.0</v>
      </c>
      <c r="I59" s="7">
        <v>30000.0</v>
      </c>
      <c r="J59" s="7"/>
      <c r="K59" s="7"/>
      <c r="L59" s="7"/>
      <c r="M59" s="9">
        <f t="shared" si="1"/>
        <v>7500</v>
      </c>
      <c r="N59" s="9">
        <f t="shared" si="2"/>
        <v>1200</v>
      </c>
      <c r="O59" s="7">
        <v>1.0</v>
      </c>
      <c r="P59" s="11">
        <f t="shared" si="3"/>
        <v>30000</v>
      </c>
      <c r="Q59" s="79">
        <v>8.0</v>
      </c>
      <c r="R59" s="84">
        <v>22.0</v>
      </c>
      <c r="S59" s="7">
        <v>12.0</v>
      </c>
      <c r="T59" s="7">
        <v>400.0</v>
      </c>
      <c r="U59" s="7">
        <f t="shared" si="4"/>
        <v>38400</v>
      </c>
      <c r="V59" s="7">
        <f t="shared" si="5"/>
        <v>14.64</v>
      </c>
      <c r="W59" s="14">
        <f t="shared" si="6"/>
        <v>5856</v>
      </c>
      <c r="X59" s="94">
        <f t="shared" si="7"/>
        <v>8448</v>
      </c>
      <c r="Y59" s="82">
        <v>0.0</v>
      </c>
      <c r="Z59" s="7">
        <v>450.0</v>
      </c>
      <c r="AA59" s="79">
        <v>1.3</v>
      </c>
      <c r="AB59" s="7">
        <f t="shared" si="8"/>
        <v>585</v>
      </c>
      <c r="AC59" s="7">
        <f t="shared" si="9"/>
        <v>450</v>
      </c>
      <c r="AD59" s="7">
        <f t="shared" si="10"/>
        <v>0</v>
      </c>
      <c r="AE59" s="83">
        <f t="shared" si="11"/>
        <v>0</v>
      </c>
      <c r="AF59" s="82">
        <v>0.0</v>
      </c>
      <c r="AG59" s="79">
        <v>1200.0</v>
      </c>
      <c r="AH59" s="7">
        <v>0.6</v>
      </c>
      <c r="AI59" s="7">
        <f t="shared" si="12"/>
        <v>720</v>
      </c>
      <c r="AJ59" s="7">
        <f t="shared" si="13"/>
        <v>1200</v>
      </c>
      <c r="AK59" s="7">
        <f t="shared" si="14"/>
        <v>0</v>
      </c>
      <c r="AL59" s="14">
        <f t="shared" si="15"/>
        <v>0</v>
      </c>
      <c r="AM59" s="84">
        <v>53.0</v>
      </c>
      <c r="AN59" s="7">
        <v>2.5</v>
      </c>
      <c r="AO59" s="7">
        <v>22.0</v>
      </c>
      <c r="AP59" s="7">
        <f t="shared" si="16"/>
        <v>55</v>
      </c>
      <c r="AQ59" s="7">
        <f t="shared" si="17"/>
        <v>1.175</v>
      </c>
      <c r="AR59" s="7">
        <f t="shared" si="18"/>
        <v>29.15</v>
      </c>
      <c r="AS59" s="14">
        <f t="shared" si="19"/>
        <v>233.2</v>
      </c>
      <c r="AT59" s="80">
        <v>57.5</v>
      </c>
      <c r="AU59" s="116">
        <v>20000.0</v>
      </c>
      <c r="AV59" s="14">
        <f t="shared" si="20"/>
        <v>11500</v>
      </c>
      <c r="AW59" s="82">
        <v>0.0</v>
      </c>
      <c r="AX59" s="7">
        <v>4500.0</v>
      </c>
      <c r="AY59" s="14">
        <f t="shared" si="21"/>
        <v>0</v>
      </c>
      <c r="AZ59" s="75">
        <f t="shared" si="22"/>
        <v>11481.2</v>
      </c>
      <c r="BA59" s="120">
        <f t="shared" si="23"/>
        <v>0.3827066667</v>
      </c>
      <c r="BB59" s="11">
        <f t="shared" si="24"/>
        <v>2.612967286</v>
      </c>
      <c r="BC59" s="11" t="str">
        <f t="shared" si="25"/>
        <v>YES</v>
      </c>
    </row>
    <row r="60" ht="15.75" customHeight="1">
      <c r="A60" s="12"/>
      <c r="B60" s="25" t="s">
        <v>14</v>
      </c>
      <c r="C60" s="25" t="s">
        <v>329</v>
      </c>
      <c r="D60" s="7" t="s">
        <v>567</v>
      </c>
      <c r="E60" s="7" t="s">
        <v>618</v>
      </c>
      <c r="F60" s="7" t="s">
        <v>51</v>
      </c>
      <c r="G60" s="7" t="s">
        <v>569</v>
      </c>
      <c r="H60" s="7">
        <v>4.0</v>
      </c>
      <c r="J60" s="7"/>
      <c r="K60" s="7">
        <v>415.0</v>
      </c>
      <c r="L60" s="7">
        <f>K60*12</f>
        <v>4980</v>
      </c>
      <c r="M60" s="9">
        <f t="shared" si="1"/>
        <v>0</v>
      </c>
      <c r="N60" s="9">
        <f t="shared" si="2"/>
        <v>0</v>
      </c>
      <c r="O60" s="7">
        <v>1.0</v>
      </c>
      <c r="P60" s="11">
        <f t="shared" si="3"/>
        <v>0</v>
      </c>
      <c r="Q60" s="79">
        <v>8.0</v>
      </c>
      <c r="R60" s="80">
        <v>0.0</v>
      </c>
      <c r="S60" s="7">
        <v>12.0</v>
      </c>
      <c r="T60" s="7">
        <v>400.0</v>
      </c>
      <c r="U60" s="7">
        <f t="shared" si="4"/>
        <v>38400</v>
      </c>
      <c r="V60" s="7">
        <f t="shared" si="5"/>
        <v>12</v>
      </c>
      <c r="W60" s="14">
        <f t="shared" si="6"/>
        <v>4800</v>
      </c>
      <c r="X60" s="94">
        <f t="shared" si="7"/>
        <v>0</v>
      </c>
      <c r="Y60" s="82">
        <v>0.0</v>
      </c>
      <c r="Z60" s="7">
        <v>450.0</v>
      </c>
      <c r="AA60" s="79">
        <v>1.3</v>
      </c>
      <c r="AB60" s="7">
        <f t="shared" si="8"/>
        <v>585</v>
      </c>
      <c r="AC60" s="7">
        <f t="shared" si="9"/>
        <v>450</v>
      </c>
      <c r="AD60" s="7">
        <f t="shared" si="10"/>
        <v>0</v>
      </c>
      <c r="AE60" s="83">
        <f t="shared" si="11"/>
        <v>0</v>
      </c>
      <c r="AF60" s="82">
        <v>0.0</v>
      </c>
      <c r="AG60" s="79">
        <v>1200.0</v>
      </c>
      <c r="AH60" s="7">
        <v>0.6</v>
      </c>
      <c r="AI60" s="7">
        <f t="shared" si="12"/>
        <v>720</v>
      </c>
      <c r="AJ60" s="7">
        <f t="shared" si="13"/>
        <v>1200</v>
      </c>
      <c r="AK60" s="7">
        <f t="shared" si="14"/>
        <v>0</v>
      </c>
      <c r="AL60" s="14">
        <f t="shared" si="15"/>
        <v>0</v>
      </c>
      <c r="AM60" s="84">
        <v>53.0</v>
      </c>
      <c r="AN60" s="7">
        <v>2.5</v>
      </c>
      <c r="AO60" s="7">
        <v>22.0</v>
      </c>
      <c r="AP60" s="7">
        <f t="shared" si="16"/>
        <v>55</v>
      </c>
      <c r="AQ60" s="7">
        <f t="shared" si="17"/>
        <v>1.175</v>
      </c>
      <c r="AR60" s="7">
        <f t="shared" si="18"/>
        <v>29.15</v>
      </c>
      <c r="AS60" s="14">
        <f t="shared" si="19"/>
        <v>233.2</v>
      </c>
      <c r="AT60" s="80">
        <v>57.5</v>
      </c>
      <c r="AU60" s="116">
        <v>20000.0</v>
      </c>
      <c r="AV60" s="14">
        <f t="shared" si="20"/>
        <v>11500</v>
      </c>
      <c r="AW60" s="82">
        <v>0.0</v>
      </c>
      <c r="AX60" s="7">
        <v>4500.0</v>
      </c>
      <c r="AY60" s="14">
        <f t="shared" si="21"/>
        <v>0</v>
      </c>
      <c r="AZ60" s="75">
        <f t="shared" si="22"/>
        <v>6753.2</v>
      </c>
      <c r="BA60" s="120" t="str">
        <f t="shared" si="23"/>
        <v>The DAT is free</v>
      </c>
      <c r="BB60" s="11">
        <f t="shared" si="24"/>
        <v>0</v>
      </c>
      <c r="BC60" s="11" t="str">
        <f t="shared" si="25"/>
        <v>YES</v>
      </c>
    </row>
    <row r="61" ht="15.75" customHeight="1">
      <c r="A61" s="12"/>
      <c r="B61" s="25" t="s">
        <v>14</v>
      </c>
      <c r="C61" s="25" t="s">
        <v>643</v>
      </c>
      <c r="D61" s="7" t="s">
        <v>361</v>
      </c>
      <c r="E61" s="7" t="s">
        <v>564</v>
      </c>
      <c r="F61" s="7" t="s">
        <v>365</v>
      </c>
      <c r="G61" s="7" t="s">
        <v>366</v>
      </c>
      <c r="H61" s="7">
        <v>4.0</v>
      </c>
      <c r="I61" s="7">
        <v>80000.0</v>
      </c>
      <c r="J61" s="7"/>
      <c r="K61" s="7"/>
      <c r="L61" s="7"/>
      <c r="M61" s="9">
        <f t="shared" si="1"/>
        <v>20000</v>
      </c>
      <c r="N61" s="9">
        <f t="shared" si="2"/>
        <v>3200</v>
      </c>
      <c r="O61" s="7">
        <v>1.0</v>
      </c>
      <c r="P61" s="11">
        <f t="shared" si="3"/>
        <v>80000</v>
      </c>
      <c r="Q61" s="79">
        <v>8.0</v>
      </c>
      <c r="R61" s="80">
        <v>0.0</v>
      </c>
      <c r="S61" s="7">
        <v>12.0</v>
      </c>
      <c r="T61" s="7">
        <v>400.0</v>
      </c>
      <c r="U61" s="7">
        <f t="shared" si="4"/>
        <v>38400</v>
      </c>
      <c r="V61" s="7">
        <f t="shared" si="5"/>
        <v>12</v>
      </c>
      <c r="W61" s="14">
        <f t="shared" si="6"/>
        <v>4800</v>
      </c>
      <c r="X61" s="94">
        <f t="shared" si="7"/>
        <v>0</v>
      </c>
      <c r="Y61" s="82">
        <v>0.0</v>
      </c>
      <c r="Z61" s="7">
        <v>450.0</v>
      </c>
      <c r="AA61" s="79">
        <v>1.3</v>
      </c>
      <c r="AB61" s="7">
        <f t="shared" si="8"/>
        <v>585</v>
      </c>
      <c r="AC61" s="7">
        <f t="shared" si="9"/>
        <v>450</v>
      </c>
      <c r="AD61" s="7">
        <f t="shared" si="10"/>
        <v>0</v>
      </c>
      <c r="AE61" s="83">
        <f t="shared" si="11"/>
        <v>0</v>
      </c>
      <c r="AF61" s="82">
        <v>0.0</v>
      </c>
      <c r="AG61" s="79">
        <v>1200.0</v>
      </c>
      <c r="AH61" s="7">
        <v>0.6</v>
      </c>
      <c r="AI61" s="7">
        <f t="shared" si="12"/>
        <v>720</v>
      </c>
      <c r="AJ61" s="7">
        <f t="shared" si="13"/>
        <v>1200</v>
      </c>
      <c r="AK61" s="7">
        <f t="shared" si="14"/>
        <v>0</v>
      </c>
      <c r="AL61" s="14">
        <f t="shared" si="15"/>
        <v>0</v>
      </c>
      <c r="AM61" s="84">
        <v>53.0</v>
      </c>
      <c r="AN61" s="7">
        <v>2.5</v>
      </c>
      <c r="AO61" s="7">
        <v>22.0</v>
      </c>
      <c r="AP61" s="7">
        <f t="shared" si="16"/>
        <v>55</v>
      </c>
      <c r="AQ61" s="7">
        <f t="shared" si="17"/>
        <v>1.175</v>
      </c>
      <c r="AR61" s="7">
        <f t="shared" si="18"/>
        <v>29.15</v>
      </c>
      <c r="AS61" s="14">
        <f t="shared" si="19"/>
        <v>233.2</v>
      </c>
      <c r="AT61" s="80">
        <v>57.5</v>
      </c>
      <c r="AU61" s="116">
        <v>20000.0</v>
      </c>
      <c r="AV61" s="14">
        <f t="shared" si="20"/>
        <v>11500</v>
      </c>
      <c r="AW61" s="82">
        <v>0.0</v>
      </c>
      <c r="AX61" s="7">
        <v>4500.0</v>
      </c>
      <c r="AY61" s="14">
        <f t="shared" si="21"/>
        <v>0</v>
      </c>
      <c r="AZ61" s="75">
        <f t="shared" si="22"/>
        <v>-11466.8</v>
      </c>
      <c r="BA61" s="120">
        <f t="shared" si="23"/>
        <v>-0.143335</v>
      </c>
      <c r="BB61" s="11" t="str">
        <f t="shared" si="24"/>
        <v>Payback period not applicable: the investment does not recover its cost under current conditions.</v>
      </c>
      <c r="BC61" s="11" t="str">
        <f t="shared" si="25"/>
        <v>NO</v>
      </c>
    </row>
    <row r="62" ht="15.75" customHeight="1">
      <c r="A62" s="18"/>
      <c r="B62" s="86" t="s">
        <v>14</v>
      </c>
      <c r="C62" s="86" t="s">
        <v>329</v>
      </c>
      <c r="D62" s="19" t="s">
        <v>330</v>
      </c>
      <c r="E62" s="19" t="s">
        <v>554</v>
      </c>
      <c r="F62" s="19" t="s">
        <v>51</v>
      </c>
      <c r="G62" s="19" t="s">
        <v>555</v>
      </c>
      <c r="H62" s="19">
        <v>4.0</v>
      </c>
      <c r="I62" s="19">
        <v>18000.0</v>
      </c>
      <c r="J62" s="19"/>
      <c r="K62" s="19"/>
      <c r="L62" s="19"/>
      <c r="M62" s="9">
        <f t="shared" si="1"/>
        <v>4500</v>
      </c>
      <c r="N62" s="9">
        <f t="shared" si="2"/>
        <v>720</v>
      </c>
      <c r="O62" s="19">
        <v>1.0</v>
      </c>
      <c r="P62" s="11">
        <f t="shared" si="3"/>
        <v>18000</v>
      </c>
      <c r="Q62" s="87">
        <v>8.0</v>
      </c>
      <c r="R62" s="90">
        <v>0.0</v>
      </c>
      <c r="S62" s="19">
        <v>12.0</v>
      </c>
      <c r="T62" s="19">
        <v>400.0</v>
      </c>
      <c r="U62" s="19">
        <f t="shared" si="4"/>
        <v>38400</v>
      </c>
      <c r="V62" s="19">
        <f t="shared" si="5"/>
        <v>12</v>
      </c>
      <c r="W62" s="21">
        <f t="shared" si="6"/>
        <v>4800</v>
      </c>
      <c r="X62" s="89">
        <f t="shared" si="7"/>
        <v>0</v>
      </c>
      <c r="Y62" s="92">
        <v>0.0</v>
      </c>
      <c r="Z62" s="19">
        <v>450.0</v>
      </c>
      <c r="AA62" s="87">
        <v>1.3</v>
      </c>
      <c r="AB62" s="19">
        <f t="shared" si="8"/>
        <v>585</v>
      </c>
      <c r="AC62" s="19">
        <f t="shared" si="9"/>
        <v>450</v>
      </c>
      <c r="AD62" s="19">
        <f t="shared" si="10"/>
        <v>0</v>
      </c>
      <c r="AE62" s="91">
        <f t="shared" si="11"/>
        <v>0</v>
      </c>
      <c r="AF62" s="92">
        <v>0.0</v>
      </c>
      <c r="AG62" s="87">
        <v>1200.0</v>
      </c>
      <c r="AH62" s="19">
        <v>0.6</v>
      </c>
      <c r="AI62" s="19">
        <f t="shared" si="12"/>
        <v>720</v>
      </c>
      <c r="AJ62" s="19">
        <f t="shared" si="13"/>
        <v>1200</v>
      </c>
      <c r="AK62" s="19">
        <f t="shared" si="14"/>
        <v>0</v>
      </c>
      <c r="AL62" s="21">
        <f t="shared" si="15"/>
        <v>0</v>
      </c>
      <c r="AM62" s="88">
        <v>53.0</v>
      </c>
      <c r="AN62" s="19">
        <v>2.5</v>
      </c>
      <c r="AO62" s="19">
        <v>22.0</v>
      </c>
      <c r="AP62" s="19">
        <f t="shared" si="16"/>
        <v>55</v>
      </c>
      <c r="AQ62" s="19">
        <f t="shared" si="17"/>
        <v>1.175</v>
      </c>
      <c r="AR62" s="19">
        <f t="shared" si="18"/>
        <v>29.15</v>
      </c>
      <c r="AS62" s="21">
        <f t="shared" si="19"/>
        <v>233.2</v>
      </c>
      <c r="AT62" s="90">
        <v>57.5</v>
      </c>
      <c r="AU62" s="123">
        <v>20000.0</v>
      </c>
      <c r="AV62" s="21">
        <f t="shared" si="20"/>
        <v>11500</v>
      </c>
      <c r="AW62" s="92">
        <v>0.0</v>
      </c>
      <c r="AX62" s="19">
        <v>4500.0</v>
      </c>
      <c r="AY62" s="21">
        <f t="shared" si="21"/>
        <v>0</v>
      </c>
      <c r="AZ62" s="75">
        <f t="shared" si="22"/>
        <v>6513.2</v>
      </c>
      <c r="BA62" s="120">
        <f t="shared" si="23"/>
        <v>0.3618444444</v>
      </c>
      <c r="BB62" s="11">
        <f t="shared" si="24"/>
        <v>2.763618498</v>
      </c>
      <c r="BC62" s="11" t="str">
        <f t="shared" si="25"/>
        <v>YES</v>
      </c>
    </row>
    <row r="63" ht="15.75" customHeight="1">
      <c r="A63" s="26"/>
      <c r="B63" s="25"/>
      <c r="C63" s="25"/>
      <c r="D63" s="7"/>
      <c r="E63" s="7"/>
      <c r="F63" s="7"/>
      <c r="G63" s="7"/>
    </row>
    <row r="64" ht="15.75" customHeight="1">
      <c r="A64" s="26"/>
      <c r="B64" s="25"/>
      <c r="C64" s="25"/>
      <c r="D64" s="7"/>
      <c r="E64" s="7"/>
      <c r="F64" s="7"/>
      <c r="G64" s="7"/>
    </row>
    <row r="65" ht="15.75" customHeight="1">
      <c r="A65" s="26"/>
      <c r="B65" s="25"/>
      <c r="C65" s="25"/>
      <c r="D65" s="7"/>
      <c r="E65" s="7"/>
      <c r="F65" s="7"/>
      <c r="G65" s="7"/>
    </row>
    <row r="66" ht="15.75" customHeight="1">
      <c r="A66" s="26"/>
      <c r="B66" s="25"/>
      <c r="C66" s="25"/>
      <c r="D66" s="7"/>
      <c r="E66" s="7"/>
      <c r="F66" s="7"/>
      <c r="G66" s="7"/>
    </row>
    <row r="67" ht="15.75" customHeight="1">
      <c r="A67" s="26"/>
      <c r="B67" s="25"/>
      <c r="C67" s="25"/>
      <c r="D67" s="7"/>
      <c r="E67" s="7"/>
      <c r="F67" s="7"/>
      <c r="G67" s="7"/>
    </row>
    <row r="68" ht="15.75" customHeight="1">
      <c r="A68" s="26"/>
      <c r="B68" s="25"/>
      <c r="C68" s="25"/>
      <c r="D68" s="7"/>
      <c r="E68" s="7"/>
      <c r="F68" s="7"/>
      <c r="G68" s="7"/>
    </row>
    <row r="69" ht="15.75" customHeight="1">
      <c r="B69" s="7"/>
      <c r="C69" s="7"/>
      <c r="D69" s="7"/>
      <c r="E69" s="7"/>
      <c r="F69" s="7"/>
      <c r="G69" s="7"/>
    </row>
    <row r="70" ht="15.75" customHeight="1">
      <c r="B70" s="7"/>
      <c r="C70" s="7"/>
      <c r="D70" s="7"/>
      <c r="E70" s="7"/>
      <c r="F70" s="7"/>
      <c r="G70" s="7"/>
    </row>
    <row r="71" ht="15.75" customHeight="1">
      <c r="B71" s="7"/>
      <c r="C71" s="7"/>
      <c r="D71" s="7"/>
      <c r="E71" s="7"/>
      <c r="F71" s="7"/>
      <c r="G71" s="7"/>
    </row>
    <row r="72" ht="15.75" customHeight="1">
      <c r="B72" s="7"/>
      <c r="C72" s="7"/>
      <c r="D72" s="7"/>
      <c r="E72" s="7"/>
      <c r="F72" s="7"/>
      <c r="G72" s="7"/>
    </row>
    <row r="73" ht="15.75" customHeight="1">
      <c r="B73" s="7"/>
      <c r="C73" s="7"/>
      <c r="D73" s="7"/>
      <c r="E73" s="7"/>
      <c r="F73" s="7"/>
      <c r="G73" s="7"/>
    </row>
    <row r="74" ht="15.75" customHeight="1">
      <c r="B74" s="7"/>
      <c r="C74" s="7"/>
      <c r="D74" s="7"/>
      <c r="E74" s="7"/>
      <c r="F74" s="7"/>
      <c r="G74" s="7"/>
    </row>
    <row r="75" ht="15.75" customHeight="1">
      <c r="B75" s="7"/>
      <c r="C75" s="7"/>
      <c r="D75" s="7"/>
      <c r="E75" s="7"/>
      <c r="F75" s="7"/>
      <c r="G75" s="7"/>
    </row>
    <row r="76" ht="15.75" customHeight="1">
      <c r="B76" s="7"/>
      <c r="C76" s="7"/>
      <c r="D76" s="7"/>
      <c r="E76" s="7"/>
      <c r="F76" s="7"/>
      <c r="G76" s="7"/>
    </row>
    <row r="77" ht="15.75" customHeight="1">
      <c r="B77" s="7"/>
      <c r="C77" s="7"/>
      <c r="D77" s="7"/>
      <c r="E77" s="7"/>
      <c r="F77" s="7"/>
      <c r="G77" s="7"/>
    </row>
    <row r="78" ht="15.75" customHeight="1">
      <c r="B78" s="7"/>
      <c r="C78" s="7"/>
      <c r="D78" s="7"/>
      <c r="E78" s="7"/>
      <c r="F78" s="7"/>
      <c r="G78" s="7"/>
    </row>
    <row r="79" ht="15.75" customHeight="1">
      <c r="B79" s="7"/>
      <c r="C79" s="7"/>
      <c r="D79" s="7"/>
      <c r="E79" s="7"/>
      <c r="F79" s="7"/>
      <c r="G79" s="7"/>
    </row>
    <row r="80" ht="15.75" customHeight="1">
      <c r="B80" s="7"/>
      <c r="C80" s="7"/>
      <c r="D80" s="7"/>
      <c r="E80" s="7"/>
      <c r="F80" s="7"/>
      <c r="G80" s="7"/>
    </row>
    <row r="81" ht="15.75" customHeight="1">
      <c r="B81" s="7"/>
      <c r="C81" s="7"/>
      <c r="D81" s="7"/>
      <c r="E81" s="7"/>
      <c r="F81" s="7"/>
      <c r="G81" s="7"/>
    </row>
    <row r="82" ht="15.75" customHeight="1">
      <c r="B82" s="7"/>
      <c r="C82" s="7"/>
      <c r="D82" s="7"/>
      <c r="E82" s="7"/>
      <c r="F82" s="7"/>
      <c r="G82" s="7"/>
    </row>
    <row r="83" ht="15.75" customHeight="1">
      <c r="B83" s="7"/>
      <c r="C83" s="7"/>
      <c r="D83" s="7"/>
      <c r="E83" s="7"/>
      <c r="F83" s="7"/>
      <c r="G83" s="7"/>
    </row>
    <row r="84" ht="15.75" customHeight="1">
      <c r="B84" s="7"/>
      <c r="C84" s="7"/>
      <c r="D84" s="7"/>
      <c r="E84" s="7"/>
      <c r="F84" s="7"/>
      <c r="G84" s="7"/>
    </row>
    <row r="85" ht="15.75" customHeight="1">
      <c r="B85" s="7"/>
      <c r="C85" s="7"/>
      <c r="D85" s="7"/>
      <c r="E85" s="7"/>
      <c r="F85" s="7"/>
      <c r="G85" s="7"/>
    </row>
    <row r="86" ht="15.75" customHeight="1">
      <c r="B86" s="7"/>
      <c r="C86" s="7"/>
      <c r="D86" s="7"/>
      <c r="E86" s="7"/>
      <c r="F86" s="7"/>
      <c r="G86" s="7"/>
    </row>
    <row r="87" ht="15.75" customHeight="1">
      <c r="B87" s="7"/>
      <c r="C87" s="7"/>
      <c r="D87" s="7"/>
      <c r="E87" s="7"/>
      <c r="F87" s="7"/>
      <c r="G87" s="7"/>
    </row>
    <row r="88" ht="15.75" customHeight="1">
      <c r="B88" s="7"/>
      <c r="C88" s="7"/>
      <c r="D88" s="7"/>
      <c r="E88" s="7"/>
      <c r="F88" s="7"/>
      <c r="G88" s="7"/>
    </row>
    <row r="89" ht="15.75" customHeight="1">
      <c r="B89" s="7"/>
      <c r="C89" s="7"/>
      <c r="D89" s="7"/>
      <c r="E89" s="7"/>
      <c r="F89" s="7"/>
      <c r="G89" s="7"/>
    </row>
    <row r="90" ht="15.75" customHeight="1">
      <c r="B90" s="7"/>
      <c r="C90" s="7"/>
      <c r="D90" s="7"/>
      <c r="E90" s="7"/>
      <c r="F90" s="7"/>
      <c r="G90" s="7"/>
    </row>
    <row r="91" ht="15.75" customHeight="1">
      <c r="B91" s="7"/>
      <c r="C91" s="7"/>
      <c r="D91" s="7"/>
      <c r="E91" s="7"/>
      <c r="F91" s="7"/>
      <c r="G91" s="7"/>
    </row>
    <row r="92" ht="15.75" customHeight="1">
      <c r="B92" s="7"/>
      <c r="C92" s="7"/>
      <c r="D92" s="7"/>
      <c r="E92" s="7"/>
      <c r="F92" s="7"/>
      <c r="G92" s="7"/>
    </row>
    <row r="93" ht="15.75" customHeight="1">
      <c r="B93" s="7"/>
      <c r="C93" s="7"/>
      <c r="D93" s="7"/>
      <c r="E93" s="7"/>
      <c r="F93" s="7"/>
      <c r="G93" s="7"/>
    </row>
    <row r="94" ht="15.75" customHeight="1">
      <c r="B94" s="7"/>
      <c r="C94" s="7"/>
      <c r="D94" s="7"/>
      <c r="E94" s="7"/>
      <c r="F94" s="7"/>
      <c r="G94" s="7"/>
    </row>
    <row r="95" ht="15.75" customHeight="1">
      <c r="B95" s="7"/>
      <c r="C95" s="7"/>
      <c r="D95" s="7"/>
      <c r="E95" s="7"/>
      <c r="F95" s="7"/>
      <c r="G95" s="7"/>
    </row>
    <row r="96" ht="15.75" customHeight="1">
      <c r="B96" s="7"/>
      <c r="C96" s="7"/>
      <c r="D96" s="7"/>
      <c r="E96" s="7"/>
      <c r="F96" s="7"/>
      <c r="G96" s="7"/>
    </row>
    <row r="97" ht="15.75" customHeight="1">
      <c r="B97" s="7"/>
      <c r="C97" s="7"/>
      <c r="D97" s="7"/>
      <c r="E97" s="7"/>
      <c r="F97" s="7"/>
      <c r="G97" s="7"/>
    </row>
    <row r="98" ht="15.75" customHeight="1">
      <c r="B98" s="7"/>
      <c r="C98" s="7"/>
      <c r="D98" s="7"/>
      <c r="E98" s="7"/>
      <c r="F98" s="7"/>
      <c r="G98" s="7"/>
    </row>
    <row r="99" ht="15.75" customHeight="1">
      <c r="B99" s="7"/>
      <c r="C99" s="7"/>
      <c r="D99" s="7"/>
      <c r="E99" s="7"/>
      <c r="F99" s="7"/>
      <c r="G99" s="7"/>
    </row>
    <row r="100" ht="15.75" customHeight="1">
      <c r="B100" s="7"/>
      <c r="C100" s="7"/>
      <c r="D100" s="7"/>
      <c r="E100" s="7"/>
      <c r="F100" s="7"/>
      <c r="G100" s="7"/>
    </row>
    <row r="101" ht="15.75" customHeight="1">
      <c r="B101" s="7"/>
      <c r="C101" s="7"/>
      <c r="D101" s="7"/>
      <c r="E101" s="7"/>
      <c r="F101" s="7"/>
      <c r="G101" s="7"/>
    </row>
    <row r="102" ht="15.75" customHeight="1">
      <c r="B102" s="7"/>
      <c r="C102" s="7"/>
      <c r="D102" s="7"/>
      <c r="E102" s="7"/>
      <c r="F102" s="7"/>
      <c r="G102" s="7"/>
    </row>
    <row r="103" ht="15.75" customHeight="1">
      <c r="B103" s="7"/>
      <c r="C103" s="7"/>
      <c r="D103" s="7"/>
      <c r="E103" s="7"/>
      <c r="F103" s="7"/>
      <c r="G103" s="7"/>
    </row>
    <row r="104" ht="15.75" customHeight="1">
      <c r="B104" s="7"/>
      <c r="C104" s="7"/>
      <c r="D104" s="7"/>
      <c r="E104" s="7"/>
      <c r="F104" s="7"/>
      <c r="G104" s="7"/>
    </row>
    <row r="105" ht="15.75" customHeight="1">
      <c r="B105" s="7"/>
      <c r="C105" s="7"/>
      <c r="D105" s="7"/>
      <c r="E105" s="7"/>
      <c r="F105" s="7"/>
      <c r="G105" s="7"/>
    </row>
    <row r="106" ht="15.75" customHeight="1">
      <c r="B106" s="7"/>
      <c r="C106" s="7"/>
      <c r="D106" s="7"/>
      <c r="E106" s="7"/>
      <c r="F106" s="7"/>
      <c r="G106" s="7"/>
    </row>
    <row r="107" ht="15.75" customHeight="1">
      <c r="B107" s="7"/>
      <c r="C107" s="7"/>
      <c r="D107" s="7"/>
      <c r="E107" s="7"/>
      <c r="F107" s="7"/>
      <c r="G107" s="7"/>
    </row>
    <row r="108" ht="15.75" customHeight="1">
      <c r="B108" s="7"/>
      <c r="C108" s="7"/>
      <c r="D108" s="7"/>
      <c r="E108" s="7"/>
      <c r="F108" s="7"/>
      <c r="G108" s="7"/>
    </row>
    <row r="109" ht="15.75" customHeight="1">
      <c r="B109" s="7"/>
      <c r="C109" s="7"/>
      <c r="D109" s="7"/>
      <c r="E109" s="7"/>
      <c r="F109" s="7"/>
      <c r="G109" s="7"/>
    </row>
    <row r="110" ht="15.75" customHeight="1">
      <c r="B110" s="7"/>
      <c r="C110" s="7"/>
      <c r="D110" s="7"/>
      <c r="E110" s="7"/>
      <c r="F110" s="7"/>
      <c r="G110" s="7"/>
    </row>
    <row r="111" ht="15.75" customHeight="1">
      <c r="B111" s="7"/>
      <c r="C111" s="7"/>
      <c r="D111" s="7"/>
      <c r="E111" s="7"/>
      <c r="F111" s="7"/>
      <c r="G111" s="7"/>
    </row>
    <row r="112" ht="15.75" customHeight="1">
      <c r="B112" s="7"/>
      <c r="C112" s="7"/>
      <c r="D112" s="7"/>
      <c r="E112" s="7"/>
      <c r="F112" s="7"/>
      <c r="G112" s="7"/>
    </row>
    <row r="113" ht="15.75" customHeight="1">
      <c r="B113" s="7"/>
      <c r="C113" s="7"/>
      <c r="D113" s="7"/>
      <c r="E113" s="7"/>
      <c r="F113" s="7"/>
      <c r="G113" s="7"/>
    </row>
    <row r="114" ht="15.75" customHeight="1">
      <c r="B114" s="7"/>
      <c r="C114" s="7"/>
      <c r="D114" s="7"/>
      <c r="E114" s="7"/>
      <c r="F114" s="7"/>
      <c r="G114" s="7"/>
    </row>
    <row r="115" ht="15.75" customHeight="1">
      <c r="B115" s="7"/>
      <c r="C115" s="7"/>
      <c r="D115" s="7"/>
      <c r="E115" s="7"/>
      <c r="F115" s="7"/>
      <c r="G115" s="7"/>
    </row>
    <row r="116" ht="15.75" customHeight="1">
      <c r="B116" s="7"/>
      <c r="C116" s="7"/>
      <c r="D116" s="7"/>
      <c r="E116" s="7"/>
      <c r="F116" s="7"/>
      <c r="G116" s="7"/>
    </row>
    <row r="117" ht="15.75" customHeight="1">
      <c r="B117" s="7"/>
      <c r="C117" s="7"/>
      <c r="D117" s="7"/>
      <c r="E117" s="7"/>
      <c r="F117" s="7"/>
      <c r="G117" s="7"/>
    </row>
    <row r="118" ht="15.75" customHeight="1">
      <c r="B118" s="7"/>
      <c r="C118" s="7"/>
      <c r="D118" s="7"/>
      <c r="E118" s="7"/>
      <c r="F118" s="7"/>
      <c r="G118" s="7"/>
    </row>
    <row r="119" ht="15.75" customHeight="1">
      <c r="B119" s="7"/>
      <c r="C119" s="7"/>
      <c r="D119" s="7"/>
      <c r="E119" s="7"/>
      <c r="F119" s="7"/>
      <c r="G119" s="7"/>
    </row>
    <row r="120" ht="15.75" customHeight="1">
      <c r="B120" s="7"/>
      <c r="C120" s="7"/>
      <c r="D120" s="7"/>
      <c r="E120" s="7"/>
      <c r="F120" s="7"/>
      <c r="G120" s="7"/>
    </row>
    <row r="121" ht="15.75" customHeight="1">
      <c r="B121" s="7"/>
      <c r="C121" s="7"/>
      <c r="D121" s="7"/>
      <c r="E121" s="7"/>
      <c r="F121" s="7"/>
      <c r="G121" s="7"/>
    </row>
    <row r="122" ht="15.75" customHeight="1">
      <c r="B122" s="7"/>
      <c r="C122" s="7"/>
      <c r="D122" s="7"/>
      <c r="E122" s="7"/>
      <c r="F122" s="7"/>
      <c r="G122" s="7"/>
    </row>
    <row r="123" ht="15.75" customHeight="1">
      <c r="B123" s="7"/>
      <c r="C123" s="7"/>
      <c r="D123" s="7"/>
      <c r="E123" s="7"/>
      <c r="F123" s="7"/>
      <c r="G123" s="7"/>
    </row>
    <row r="124" ht="15.75" customHeight="1">
      <c r="B124" s="7"/>
      <c r="C124" s="7"/>
      <c r="D124" s="7"/>
      <c r="E124" s="7"/>
      <c r="F124" s="7"/>
      <c r="G124" s="7"/>
    </row>
    <row r="125" ht="15.75" customHeight="1">
      <c r="B125" s="7"/>
      <c r="C125" s="7"/>
      <c r="D125" s="7"/>
      <c r="E125" s="7"/>
      <c r="F125" s="7"/>
      <c r="G125" s="7"/>
    </row>
    <row r="126" ht="15.75" customHeight="1">
      <c r="B126" s="7"/>
      <c r="C126" s="7"/>
      <c r="D126" s="7"/>
      <c r="E126" s="7"/>
      <c r="F126" s="7"/>
      <c r="G126" s="7"/>
    </row>
    <row r="127" ht="15.75" customHeight="1">
      <c r="B127" s="7"/>
      <c r="C127" s="7"/>
      <c r="D127" s="7"/>
      <c r="E127" s="7"/>
      <c r="F127" s="7"/>
      <c r="G127" s="7"/>
    </row>
    <row r="128" ht="15.75" customHeight="1">
      <c r="B128" s="7"/>
      <c r="C128" s="7"/>
      <c r="D128" s="7"/>
      <c r="E128" s="7"/>
      <c r="F128" s="7"/>
      <c r="G128" s="7"/>
    </row>
    <row r="129" ht="15.75" customHeight="1">
      <c r="B129" s="7"/>
      <c r="C129" s="7"/>
      <c r="D129" s="7"/>
      <c r="E129" s="7"/>
      <c r="F129" s="7"/>
      <c r="G129" s="7"/>
    </row>
    <row r="130" ht="15.75" customHeight="1">
      <c r="B130" s="7"/>
      <c r="C130" s="7"/>
      <c r="D130" s="7"/>
      <c r="E130" s="7"/>
      <c r="F130" s="7"/>
      <c r="G130" s="7"/>
    </row>
    <row r="131" ht="15.75" customHeight="1">
      <c r="B131" s="7"/>
      <c r="C131" s="7"/>
      <c r="D131" s="7"/>
      <c r="E131" s="7"/>
      <c r="F131" s="7"/>
      <c r="G131" s="7"/>
    </row>
    <row r="132" ht="15.75" customHeight="1">
      <c r="B132" s="7"/>
      <c r="C132" s="7"/>
      <c r="D132" s="7"/>
      <c r="E132" s="7"/>
      <c r="F132" s="7"/>
      <c r="G132" s="7"/>
    </row>
    <row r="133" ht="15.75" customHeight="1">
      <c r="B133" s="7"/>
      <c r="C133" s="7"/>
      <c r="D133" s="7"/>
      <c r="E133" s="7"/>
      <c r="F133" s="7"/>
      <c r="G133" s="7"/>
    </row>
    <row r="134" ht="15.75" customHeight="1">
      <c r="B134" s="7"/>
      <c r="C134" s="7"/>
      <c r="D134" s="7"/>
      <c r="E134" s="7"/>
      <c r="F134" s="7"/>
      <c r="G134" s="7"/>
    </row>
    <row r="135" ht="15.75" customHeight="1">
      <c r="B135" s="7"/>
      <c r="C135" s="7"/>
      <c r="D135" s="7"/>
      <c r="E135" s="7"/>
      <c r="F135" s="7"/>
      <c r="G135" s="7"/>
    </row>
    <row r="136" ht="15.75" customHeight="1">
      <c r="B136" s="7"/>
      <c r="C136" s="7"/>
      <c r="D136" s="7"/>
      <c r="E136" s="7"/>
      <c r="F136" s="7"/>
      <c r="G136" s="7"/>
    </row>
    <row r="137" ht="15.75" customHeight="1">
      <c r="B137" s="7"/>
      <c r="C137" s="7"/>
      <c r="D137" s="7"/>
      <c r="E137" s="7"/>
      <c r="F137" s="7"/>
      <c r="G137" s="7"/>
    </row>
    <row r="138" ht="15.75" customHeight="1">
      <c r="B138" s="7"/>
      <c r="C138" s="7"/>
      <c r="D138" s="7"/>
      <c r="E138" s="7"/>
      <c r="F138" s="7"/>
      <c r="G138" s="7"/>
    </row>
    <row r="139" ht="15.75" customHeight="1">
      <c r="B139" s="7"/>
      <c r="C139" s="7"/>
      <c r="D139" s="7"/>
      <c r="E139" s="7"/>
      <c r="F139" s="7"/>
      <c r="G139" s="7"/>
    </row>
    <row r="140" ht="15.75" customHeight="1">
      <c r="B140" s="7"/>
      <c r="C140" s="7"/>
      <c r="D140" s="7"/>
      <c r="E140" s="7"/>
      <c r="F140" s="7"/>
      <c r="G140" s="7"/>
    </row>
    <row r="141" ht="15.75" customHeight="1">
      <c r="B141" s="7"/>
      <c r="C141" s="7"/>
      <c r="D141" s="7"/>
      <c r="E141" s="7"/>
      <c r="F141" s="7"/>
      <c r="G141" s="7"/>
    </row>
    <row r="142" ht="15.75" customHeight="1">
      <c r="B142" s="7"/>
      <c r="C142" s="7"/>
      <c r="D142" s="7"/>
      <c r="E142" s="7"/>
      <c r="F142" s="7"/>
      <c r="G142" s="7"/>
    </row>
    <row r="143" ht="15.75" customHeight="1">
      <c r="B143" s="7"/>
      <c r="C143" s="7"/>
      <c r="D143" s="7"/>
      <c r="E143" s="7"/>
      <c r="F143" s="7"/>
      <c r="G143" s="7"/>
    </row>
    <row r="144" ht="15.75" customHeight="1">
      <c r="B144" s="7"/>
      <c r="C144" s="7"/>
      <c r="D144" s="7"/>
      <c r="E144" s="7"/>
      <c r="F144" s="7"/>
      <c r="G144" s="7"/>
    </row>
    <row r="145" ht="15.75" customHeight="1">
      <c r="B145" s="7"/>
      <c r="C145" s="7"/>
      <c r="D145" s="7"/>
      <c r="E145" s="7"/>
      <c r="F145" s="7"/>
      <c r="G145" s="7"/>
    </row>
    <row r="146" ht="15.75" customHeight="1">
      <c r="B146" s="7"/>
      <c r="C146" s="7"/>
      <c r="D146" s="7"/>
      <c r="E146" s="7"/>
      <c r="F146" s="7"/>
      <c r="G146" s="7"/>
    </row>
    <row r="147" ht="15.75" customHeight="1">
      <c r="B147" s="7"/>
      <c r="C147" s="7"/>
      <c r="D147" s="7"/>
      <c r="E147" s="7"/>
      <c r="F147" s="7"/>
      <c r="G147" s="7"/>
    </row>
    <row r="148" ht="15.75" customHeight="1">
      <c r="B148" s="7"/>
      <c r="C148" s="7"/>
      <c r="D148" s="7"/>
      <c r="E148" s="7"/>
      <c r="F148" s="7"/>
      <c r="G148" s="7"/>
    </row>
    <row r="149" ht="15.75" customHeight="1">
      <c r="B149" s="7"/>
      <c r="C149" s="7"/>
      <c r="D149" s="7"/>
      <c r="E149" s="7"/>
      <c r="F149" s="7"/>
      <c r="G149" s="7"/>
    </row>
    <row r="150" ht="15.75" customHeight="1">
      <c r="B150" s="7"/>
      <c r="C150" s="7"/>
      <c r="D150" s="7"/>
      <c r="E150" s="7"/>
      <c r="F150" s="7"/>
      <c r="G150" s="7"/>
    </row>
    <row r="151" ht="15.75" customHeight="1">
      <c r="B151" s="7"/>
      <c r="C151" s="7"/>
      <c r="D151" s="7"/>
      <c r="E151" s="7"/>
      <c r="F151" s="7"/>
      <c r="G151" s="7"/>
    </row>
    <row r="152" ht="15.75" customHeight="1">
      <c r="B152" s="7"/>
      <c r="C152" s="7"/>
      <c r="D152" s="7"/>
      <c r="E152" s="7"/>
      <c r="F152" s="7"/>
      <c r="G152" s="7"/>
    </row>
    <row r="153" ht="15.75" customHeight="1">
      <c r="B153" s="7"/>
      <c r="C153" s="7"/>
      <c r="D153" s="7"/>
      <c r="E153" s="7"/>
      <c r="F153" s="7"/>
      <c r="G153" s="7"/>
    </row>
    <row r="154" ht="15.75" customHeight="1">
      <c r="B154" s="7"/>
      <c r="C154" s="7"/>
      <c r="D154" s="7"/>
      <c r="E154" s="7"/>
      <c r="F154" s="7"/>
      <c r="G154" s="7"/>
    </row>
    <row r="155" ht="15.75" customHeight="1">
      <c r="B155" s="7"/>
      <c r="C155" s="7"/>
      <c r="D155" s="7"/>
      <c r="E155" s="7"/>
      <c r="F155" s="7"/>
      <c r="G155" s="7"/>
    </row>
    <row r="156" ht="15.75" customHeight="1">
      <c r="B156" s="7"/>
      <c r="C156" s="7"/>
      <c r="D156" s="7"/>
      <c r="E156" s="7"/>
      <c r="F156" s="7"/>
      <c r="G156" s="7"/>
    </row>
    <row r="157" ht="15.75" customHeight="1">
      <c r="B157" s="7"/>
      <c r="C157" s="7"/>
      <c r="D157" s="7"/>
      <c r="E157" s="7"/>
      <c r="F157" s="7"/>
      <c r="G157" s="7"/>
    </row>
    <row r="158" ht="15.75" customHeight="1">
      <c r="B158" s="7"/>
      <c r="C158" s="7"/>
      <c r="D158" s="7"/>
      <c r="E158" s="7"/>
      <c r="F158" s="7"/>
      <c r="G158" s="7"/>
    </row>
    <row r="159" ht="15.75" customHeight="1">
      <c r="B159" s="7"/>
      <c r="C159" s="7"/>
      <c r="D159" s="7"/>
      <c r="E159" s="7"/>
      <c r="F159" s="7"/>
      <c r="G159" s="7"/>
    </row>
    <row r="160" ht="15.75" customHeight="1">
      <c r="B160" s="7"/>
      <c r="C160" s="7"/>
      <c r="D160" s="7"/>
      <c r="E160" s="7"/>
      <c r="F160" s="7"/>
      <c r="G160" s="7"/>
    </row>
    <row r="161" ht="15.75" customHeight="1">
      <c r="B161" s="7"/>
      <c r="C161" s="7"/>
      <c r="D161" s="7"/>
      <c r="E161" s="7"/>
      <c r="F161" s="7"/>
      <c r="G161" s="7"/>
    </row>
    <row r="162" ht="15.75" customHeight="1">
      <c r="B162" s="7"/>
      <c r="C162" s="7"/>
      <c r="D162" s="7"/>
      <c r="E162" s="7"/>
      <c r="F162" s="7"/>
      <c r="G162" s="7"/>
    </row>
    <row r="163" ht="15.75" customHeight="1">
      <c r="B163" s="7"/>
      <c r="C163" s="7"/>
      <c r="D163" s="7"/>
      <c r="E163" s="7"/>
      <c r="F163" s="7"/>
      <c r="G163" s="7"/>
    </row>
    <row r="164" ht="15.75" customHeight="1">
      <c r="B164" s="7"/>
      <c r="C164" s="7"/>
      <c r="D164" s="7"/>
      <c r="E164" s="7"/>
      <c r="F164" s="7"/>
      <c r="G164" s="7"/>
    </row>
    <row r="165" ht="15.75" customHeight="1">
      <c r="B165" s="7"/>
      <c r="C165" s="7"/>
      <c r="D165" s="7"/>
      <c r="E165" s="7"/>
      <c r="F165" s="7"/>
      <c r="G165" s="7"/>
    </row>
    <row r="166" ht="15.75" customHeight="1">
      <c r="B166" s="7"/>
      <c r="C166" s="7"/>
      <c r="D166" s="7"/>
      <c r="E166" s="7"/>
      <c r="F166" s="7"/>
      <c r="G166" s="7"/>
    </row>
    <row r="167" ht="15.75" customHeight="1">
      <c r="B167" s="7"/>
      <c r="C167" s="7"/>
      <c r="D167" s="7"/>
      <c r="E167" s="7"/>
      <c r="F167" s="7"/>
      <c r="G167" s="7"/>
    </row>
    <row r="168" ht="15.75" customHeight="1">
      <c r="B168" s="7"/>
      <c r="C168" s="7"/>
      <c r="D168" s="7"/>
      <c r="E168" s="7"/>
      <c r="F168" s="7"/>
      <c r="G168" s="7"/>
    </row>
    <row r="169" ht="15.75" customHeight="1">
      <c r="B169" s="7"/>
      <c r="C169" s="7"/>
      <c r="D169" s="7"/>
      <c r="E169" s="7"/>
      <c r="F169" s="7"/>
      <c r="G169" s="7"/>
    </row>
    <row r="170" ht="15.75" customHeight="1">
      <c r="B170" s="7"/>
      <c r="C170" s="7"/>
      <c r="D170" s="7"/>
      <c r="E170" s="7"/>
      <c r="F170" s="7"/>
      <c r="G170" s="7"/>
    </row>
    <row r="171" ht="15.75" customHeight="1">
      <c r="B171" s="7"/>
      <c r="C171" s="7"/>
      <c r="D171" s="7"/>
      <c r="E171" s="7"/>
      <c r="F171" s="7"/>
      <c r="G171" s="7"/>
    </row>
    <row r="172" ht="15.75" customHeight="1">
      <c r="B172" s="7"/>
      <c r="C172" s="7"/>
      <c r="D172" s="7"/>
      <c r="E172" s="7"/>
      <c r="F172" s="7"/>
      <c r="G172" s="7"/>
    </row>
    <row r="173" ht="15.75" customHeight="1">
      <c r="B173" s="7"/>
      <c r="C173" s="7"/>
      <c r="D173" s="7"/>
      <c r="E173" s="7"/>
      <c r="F173" s="7"/>
      <c r="G173" s="7"/>
    </row>
    <row r="174" ht="15.75" customHeight="1">
      <c r="B174" s="7"/>
      <c r="C174" s="7"/>
      <c r="D174" s="7"/>
      <c r="E174" s="7"/>
      <c r="F174" s="7"/>
      <c r="G174" s="7"/>
    </row>
    <row r="175" ht="15.75" customHeight="1">
      <c r="B175" s="7"/>
      <c r="C175" s="7"/>
      <c r="D175" s="7"/>
      <c r="E175" s="7"/>
      <c r="F175" s="7"/>
      <c r="G175" s="7"/>
    </row>
    <row r="176" ht="15.75" customHeight="1">
      <c r="B176" s="7"/>
      <c r="C176" s="7"/>
      <c r="D176" s="7"/>
      <c r="E176" s="7"/>
      <c r="F176" s="7"/>
      <c r="G176" s="7"/>
    </row>
    <row r="177" ht="15.75" customHeight="1">
      <c r="B177" s="7"/>
      <c r="C177" s="7"/>
      <c r="D177" s="7"/>
      <c r="E177" s="7"/>
      <c r="F177" s="7"/>
      <c r="G177" s="7"/>
    </row>
    <row r="178" ht="15.75" customHeight="1">
      <c r="B178" s="7"/>
      <c r="C178" s="7"/>
      <c r="D178" s="7"/>
      <c r="E178" s="7"/>
      <c r="F178" s="7"/>
      <c r="G178" s="7"/>
    </row>
    <row r="179" ht="15.75" customHeight="1">
      <c r="B179" s="7"/>
      <c r="C179" s="7"/>
      <c r="D179" s="7"/>
      <c r="E179" s="7"/>
      <c r="F179" s="7"/>
      <c r="G179" s="7"/>
    </row>
    <row r="180" ht="15.75" customHeight="1">
      <c r="B180" s="7"/>
      <c r="C180" s="7"/>
      <c r="D180" s="7"/>
      <c r="E180" s="7"/>
      <c r="F180" s="7"/>
      <c r="G180" s="7"/>
    </row>
    <row r="181" ht="15.75" customHeight="1">
      <c r="B181" s="7"/>
      <c r="C181" s="7"/>
      <c r="D181" s="7"/>
      <c r="E181" s="7"/>
      <c r="F181" s="7"/>
      <c r="G181" s="7"/>
    </row>
    <row r="182" ht="15.75" customHeight="1">
      <c r="B182" s="7"/>
      <c r="C182" s="7"/>
      <c r="D182" s="7"/>
      <c r="E182" s="7"/>
      <c r="F182" s="7"/>
      <c r="G182" s="7"/>
    </row>
    <row r="183" ht="15.75" customHeight="1">
      <c r="B183" s="7"/>
      <c r="C183" s="7"/>
      <c r="D183" s="7"/>
      <c r="E183" s="7"/>
      <c r="F183" s="7"/>
      <c r="G183" s="7"/>
    </row>
    <row r="184" ht="15.75" customHeight="1">
      <c r="B184" s="7"/>
      <c r="C184" s="7"/>
      <c r="D184" s="7"/>
      <c r="E184" s="7"/>
      <c r="F184" s="7"/>
      <c r="G184" s="7"/>
    </row>
    <row r="185" ht="15.75" customHeight="1">
      <c r="B185" s="7"/>
      <c r="C185" s="7"/>
      <c r="D185" s="7"/>
      <c r="E185" s="7"/>
      <c r="F185" s="7"/>
      <c r="G185" s="7"/>
    </row>
    <row r="186" ht="15.75" customHeight="1">
      <c r="B186" s="7"/>
      <c r="C186" s="7"/>
      <c r="D186" s="7"/>
      <c r="E186" s="7"/>
      <c r="F186" s="7"/>
      <c r="G186" s="7"/>
    </row>
    <row r="187" ht="15.75" customHeight="1">
      <c r="B187" s="7"/>
      <c r="C187" s="7"/>
      <c r="D187" s="7"/>
      <c r="E187" s="7"/>
      <c r="F187" s="7"/>
      <c r="G187" s="7"/>
    </row>
    <row r="188" ht="15.75" customHeight="1">
      <c r="B188" s="7"/>
      <c r="C188" s="7"/>
      <c r="D188" s="7"/>
      <c r="E188" s="7"/>
      <c r="F188" s="7"/>
      <c r="G188" s="7"/>
    </row>
    <row r="189" ht="15.75" customHeight="1">
      <c r="B189" s="7"/>
      <c r="C189" s="7"/>
      <c r="D189" s="7"/>
      <c r="E189" s="7"/>
      <c r="F189" s="7"/>
      <c r="G189" s="7"/>
    </row>
    <row r="190" ht="15.75" customHeight="1">
      <c r="B190" s="7"/>
      <c r="C190" s="7"/>
      <c r="D190" s="7"/>
      <c r="E190" s="7"/>
      <c r="F190" s="7"/>
      <c r="G190" s="7"/>
    </row>
    <row r="191" ht="15.75" customHeight="1">
      <c r="B191" s="7"/>
      <c r="C191" s="7"/>
      <c r="D191" s="7"/>
      <c r="E191" s="7"/>
      <c r="F191" s="7"/>
      <c r="G191" s="7"/>
    </row>
    <row r="192" ht="15.75" customHeight="1">
      <c r="B192" s="7"/>
      <c r="C192" s="7"/>
      <c r="D192" s="7"/>
      <c r="E192" s="7"/>
      <c r="F192" s="7"/>
      <c r="G192" s="7"/>
    </row>
    <row r="193" ht="15.75" customHeight="1">
      <c r="B193" s="7"/>
      <c r="C193" s="7"/>
      <c r="D193" s="7"/>
      <c r="E193" s="7"/>
      <c r="F193" s="7"/>
      <c r="G193" s="7"/>
    </row>
    <row r="194" ht="15.75" customHeight="1">
      <c r="B194" s="7"/>
      <c r="C194" s="7"/>
      <c r="D194" s="7"/>
      <c r="E194" s="7"/>
      <c r="F194" s="7"/>
      <c r="G194" s="7"/>
    </row>
    <row r="195" ht="15.75" customHeight="1">
      <c r="B195" s="7"/>
      <c r="C195" s="7"/>
      <c r="D195" s="7"/>
      <c r="E195" s="7"/>
      <c r="F195" s="7"/>
      <c r="G195" s="7"/>
    </row>
    <row r="196" ht="15.75" customHeight="1">
      <c r="B196" s="7"/>
      <c r="C196" s="7"/>
      <c r="D196" s="7"/>
      <c r="E196" s="7"/>
      <c r="F196" s="7"/>
      <c r="G196" s="7"/>
    </row>
    <row r="197" ht="15.75" customHeight="1">
      <c r="B197" s="7"/>
      <c r="C197" s="7"/>
      <c r="D197" s="7"/>
      <c r="E197" s="7"/>
      <c r="F197" s="7"/>
      <c r="G197" s="7"/>
    </row>
    <row r="198" ht="15.75" customHeight="1">
      <c r="B198" s="7"/>
      <c r="C198" s="7"/>
      <c r="D198" s="7"/>
      <c r="E198" s="7"/>
      <c r="F198" s="7"/>
      <c r="G198" s="7"/>
    </row>
    <row r="199" ht="15.75" customHeight="1">
      <c r="B199" s="7"/>
      <c r="C199" s="7"/>
      <c r="D199" s="7"/>
      <c r="E199" s="7"/>
      <c r="F199" s="7"/>
      <c r="G199" s="7"/>
    </row>
    <row r="200" ht="15.75" customHeight="1">
      <c r="B200" s="7"/>
      <c r="C200" s="7"/>
      <c r="D200" s="7"/>
      <c r="E200" s="7"/>
      <c r="F200" s="7"/>
      <c r="G200" s="7"/>
    </row>
    <row r="201" ht="15.75" customHeight="1">
      <c r="B201" s="7"/>
      <c r="C201" s="7"/>
      <c r="D201" s="7"/>
      <c r="E201" s="7"/>
      <c r="F201" s="7"/>
      <c r="G201" s="7"/>
    </row>
    <row r="202" ht="15.75" customHeight="1">
      <c r="B202" s="7"/>
      <c r="C202" s="7"/>
      <c r="D202" s="7"/>
      <c r="E202" s="7"/>
      <c r="F202" s="7"/>
      <c r="G202" s="7"/>
    </row>
    <row r="203" ht="15.75" customHeight="1">
      <c r="B203" s="7"/>
      <c r="C203" s="7"/>
      <c r="D203" s="7"/>
      <c r="E203" s="7"/>
      <c r="F203" s="7"/>
      <c r="G203" s="7"/>
    </row>
    <row r="204" ht="15.75" customHeight="1">
      <c r="B204" s="7"/>
      <c r="C204" s="7"/>
      <c r="D204" s="7"/>
      <c r="E204" s="7"/>
      <c r="F204" s="7"/>
      <c r="G204" s="7"/>
    </row>
    <row r="205" ht="15.75" customHeight="1">
      <c r="B205" s="7"/>
      <c r="C205" s="7"/>
      <c r="D205" s="7"/>
      <c r="E205" s="7"/>
      <c r="F205" s="7"/>
      <c r="G205" s="7"/>
    </row>
    <row r="206" ht="15.75" customHeight="1">
      <c r="B206" s="7"/>
      <c r="C206" s="7"/>
      <c r="D206" s="7"/>
      <c r="E206" s="7"/>
      <c r="F206" s="7"/>
      <c r="G206" s="7"/>
    </row>
    <row r="207" ht="15.75" customHeight="1">
      <c r="B207" s="7"/>
      <c r="C207" s="7"/>
      <c r="D207" s="7"/>
      <c r="E207" s="7"/>
      <c r="F207" s="7"/>
      <c r="G207" s="7"/>
    </row>
    <row r="208" ht="15.75" customHeight="1">
      <c r="B208" s="7"/>
      <c r="C208" s="7"/>
      <c r="D208" s="7"/>
      <c r="E208" s="7"/>
      <c r="F208" s="7"/>
      <c r="G208" s="7"/>
    </row>
    <row r="209" ht="15.75" customHeight="1">
      <c r="B209" s="7"/>
      <c r="C209" s="7"/>
      <c r="D209" s="7"/>
      <c r="E209" s="7"/>
      <c r="F209" s="7"/>
      <c r="G209" s="7"/>
    </row>
    <row r="210" ht="15.75" customHeight="1">
      <c r="B210" s="7"/>
      <c r="C210" s="7"/>
      <c r="D210" s="7"/>
      <c r="E210" s="7"/>
      <c r="F210" s="7"/>
      <c r="G210" s="7"/>
    </row>
    <row r="211" ht="15.75" customHeight="1">
      <c r="B211" s="7"/>
      <c r="C211" s="7"/>
      <c r="D211" s="7"/>
      <c r="E211" s="7"/>
      <c r="F211" s="7"/>
      <c r="G211" s="7"/>
    </row>
    <row r="212" ht="15.75" customHeight="1">
      <c r="B212" s="7"/>
      <c r="C212" s="7"/>
      <c r="D212" s="7"/>
      <c r="E212" s="7"/>
      <c r="F212" s="7"/>
      <c r="G212" s="7"/>
    </row>
    <row r="213" ht="15.75" customHeight="1">
      <c r="B213" s="7"/>
      <c r="C213" s="7"/>
      <c r="D213" s="7"/>
      <c r="E213" s="7"/>
      <c r="F213" s="7"/>
      <c r="G213" s="7"/>
    </row>
    <row r="214" ht="15.75" customHeight="1">
      <c r="B214" s="7"/>
      <c r="C214" s="7"/>
      <c r="D214" s="7"/>
      <c r="E214" s="7"/>
      <c r="F214" s="7"/>
      <c r="G214" s="7"/>
    </row>
    <row r="215" ht="15.75" customHeight="1">
      <c r="B215" s="7"/>
      <c r="C215" s="7"/>
      <c r="D215" s="7"/>
      <c r="E215" s="7"/>
      <c r="F215" s="7"/>
      <c r="G215" s="7"/>
    </row>
    <row r="216" ht="15.75" customHeight="1">
      <c r="B216" s="7"/>
      <c r="C216" s="7"/>
      <c r="D216" s="7"/>
      <c r="E216" s="7"/>
      <c r="F216" s="7"/>
      <c r="G216" s="7"/>
    </row>
    <row r="217" ht="15.75" customHeight="1">
      <c r="B217" s="7"/>
      <c r="C217" s="7"/>
      <c r="D217" s="7"/>
      <c r="E217" s="7"/>
      <c r="F217" s="7"/>
      <c r="G217" s="7"/>
    </row>
    <row r="218" ht="15.75" customHeight="1">
      <c r="B218" s="7"/>
      <c r="C218" s="7"/>
      <c r="D218" s="7"/>
      <c r="E218" s="7"/>
      <c r="F218" s="7"/>
      <c r="G218" s="7"/>
    </row>
    <row r="219" ht="15.75" customHeight="1">
      <c r="B219" s="7"/>
      <c r="C219" s="7"/>
      <c r="D219" s="7"/>
      <c r="E219" s="7"/>
      <c r="F219" s="7"/>
      <c r="G219" s="7"/>
    </row>
    <row r="220" ht="15.75" customHeight="1">
      <c r="B220" s="7"/>
      <c r="C220" s="7"/>
      <c r="D220" s="7"/>
      <c r="E220" s="7"/>
      <c r="F220" s="7"/>
      <c r="G220" s="7"/>
    </row>
    <row r="221" ht="15.75" customHeight="1">
      <c r="B221" s="7"/>
      <c r="C221" s="7"/>
      <c r="D221" s="7"/>
      <c r="E221" s="7"/>
      <c r="F221" s="7"/>
      <c r="G221" s="7"/>
    </row>
    <row r="222" ht="15.75" customHeight="1">
      <c r="B222" s="7"/>
      <c r="C222" s="7"/>
      <c r="D222" s="7"/>
      <c r="E222" s="7"/>
      <c r="F222" s="7"/>
      <c r="G222" s="7"/>
    </row>
    <row r="223" ht="15.75" customHeight="1">
      <c r="B223" s="7"/>
      <c r="C223" s="7"/>
      <c r="D223" s="7"/>
      <c r="E223" s="7"/>
      <c r="F223" s="7"/>
      <c r="G223" s="7"/>
    </row>
    <row r="224" ht="15.75" customHeight="1">
      <c r="B224" s="7"/>
      <c r="C224" s="7"/>
      <c r="D224" s="7"/>
      <c r="E224" s="7"/>
      <c r="F224" s="7"/>
      <c r="G224" s="7"/>
    </row>
    <row r="225" ht="15.75" customHeight="1">
      <c r="B225" s="7"/>
      <c r="C225" s="7"/>
      <c r="D225" s="7"/>
      <c r="E225" s="7"/>
      <c r="F225" s="7"/>
      <c r="G225" s="7"/>
    </row>
    <row r="226" ht="15.75" customHeight="1">
      <c r="B226" s="7"/>
      <c r="C226" s="7"/>
      <c r="D226" s="7"/>
      <c r="E226" s="7"/>
      <c r="F226" s="7"/>
      <c r="G226" s="7"/>
    </row>
    <row r="227" ht="15.75" customHeight="1">
      <c r="B227" s="7"/>
      <c r="C227" s="7"/>
      <c r="D227" s="7"/>
      <c r="E227" s="7"/>
      <c r="F227" s="7"/>
      <c r="G227" s="7"/>
    </row>
    <row r="228" ht="15.75" customHeight="1">
      <c r="B228" s="7"/>
      <c r="C228" s="7"/>
      <c r="D228" s="7"/>
      <c r="E228" s="7"/>
      <c r="F228" s="7"/>
      <c r="G228" s="7"/>
    </row>
    <row r="229" ht="15.75" customHeight="1">
      <c r="B229" s="7"/>
      <c r="C229" s="7"/>
      <c r="D229" s="7"/>
      <c r="E229" s="7"/>
      <c r="F229" s="7"/>
      <c r="G229" s="7"/>
    </row>
    <row r="230" ht="15.75" customHeight="1">
      <c r="B230" s="7"/>
      <c r="C230" s="7"/>
      <c r="D230" s="7"/>
      <c r="E230" s="7"/>
      <c r="F230" s="7"/>
      <c r="G230" s="7"/>
    </row>
    <row r="231" ht="15.75" customHeight="1">
      <c r="B231" s="7"/>
      <c r="C231" s="7"/>
      <c r="D231" s="7"/>
      <c r="E231" s="7"/>
      <c r="F231" s="7"/>
      <c r="G231" s="7"/>
    </row>
    <row r="232" ht="15.75" customHeight="1">
      <c r="B232" s="7"/>
      <c r="C232" s="7"/>
      <c r="D232" s="7"/>
      <c r="E232" s="7"/>
      <c r="F232" s="7"/>
      <c r="G232" s="7"/>
    </row>
    <row r="233" ht="15.75" customHeight="1">
      <c r="B233" s="7"/>
      <c r="C233" s="7"/>
      <c r="D233" s="7"/>
      <c r="E233" s="7"/>
      <c r="F233" s="7"/>
      <c r="G233" s="7"/>
    </row>
    <row r="234" ht="15.75" customHeight="1">
      <c r="B234" s="7"/>
      <c r="C234" s="7"/>
      <c r="D234" s="7"/>
      <c r="E234" s="7"/>
      <c r="F234" s="7"/>
      <c r="G234" s="7"/>
    </row>
    <row r="235" ht="15.75" customHeight="1">
      <c r="B235" s="7"/>
      <c r="C235" s="7"/>
      <c r="D235" s="7"/>
      <c r="E235" s="7"/>
      <c r="F235" s="7"/>
      <c r="G235" s="7"/>
    </row>
    <row r="236" ht="15.75" customHeight="1">
      <c r="B236" s="7"/>
      <c r="C236" s="7"/>
      <c r="D236" s="7"/>
      <c r="E236" s="7"/>
      <c r="F236" s="7"/>
      <c r="G236" s="7"/>
    </row>
    <row r="237" ht="15.75" customHeight="1">
      <c r="B237" s="7"/>
      <c r="C237" s="7"/>
      <c r="D237" s="7"/>
      <c r="E237" s="7"/>
      <c r="F237" s="7"/>
      <c r="G237" s="7"/>
    </row>
    <row r="238" ht="15.75" customHeight="1">
      <c r="B238" s="7"/>
      <c r="C238" s="7"/>
      <c r="D238" s="7"/>
      <c r="E238" s="7"/>
      <c r="F238" s="7"/>
      <c r="G238" s="7"/>
    </row>
    <row r="239" ht="15.75" customHeight="1">
      <c r="B239" s="7"/>
      <c r="C239" s="7"/>
      <c r="D239" s="7"/>
      <c r="E239" s="7"/>
      <c r="F239" s="7"/>
      <c r="G239" s="7"/>
    </row>
    <row r="240" ht="15.75" customHeight="1">
      <c r="B240" s="7"/>
      <c r="C240" s="7"/>
      <c r="D240" s="7"/>
      <c r="E240" s="7"/>
      <c r="F240" s="7"/>
      <c r="G240" s="7"/>
    </row>
    <row r="241" ht="15.75" customHeight="1">
      <c r="B241" s="7"/>
      <c r="C241" s="7"/>
      <c r="D241" s="7"/>
      <c r="E241" s="7"/>
      <c r="F241" s="7"/>
      <c r="G241" s="7"/>
    </row>
    <row r="242" ht="15.75" customHeight="1">
      <c r="B242" s="7"/>
      <c r="C242" s="7"/>
      <c r="D242" s="7"/>
      <c r="E242" s="7"/>
      <c r="F242" s="7"/>
      <c r="G242" s="7"/>
    </row>
    <row r="243" ht="15.75" customHeight="1">
      <c r="B243" s="7"/>
      <c r="C243" s="7"/>
      <c r="D243" s="7"/>
      <c r="E243" s="7"/>
      <c r="F243" s="7"/>
      <c r="G243" s="7"/>
    </row>
    <row r="244" ht="15.75" customHeight="1">
      <c r="B244" s="7"/>
      <c r="C244" s="7"/>
      <c r="D244" s="7"/>
      <c r="E244" s="7"/>
      <c r="F244" s="7"/>
      <c r="G244" s="7"/>
    </row>
    <row r="245" ht="15.75" customHeight="1">
      <c r="B245" s="7"/>
      <c r="C245" s="7"/>
      <c r="D245" s="7"/>
      <c r="E245" s="7"/>
      <c r="F245" s="7"/>
      <c r="G245" s="7"/>
    </row>
    <row r="246" ht="15.75" customHeight="1">
      <c r="B246" s="7"/>
      <c r="C246" s="7"/>
      <c r="D246" s="7"/>
      <c r="E246" s="7"/>
      <c r="F246" s="7"/>
      <c r="G246" s="7"/>
    </row>
    <row r="247" ht="15.75" customHeight="1">
      <c r="B247" s="7"/>
      <c r="C247" s="7"/>
      <c r="D247" s="7"/>
      <c r="E247" s="7"/>
      <c r="F247" s="7"/>
      <c r="G247" s="7"/>
    </row>
    <row r="248" ht="15.75" customHeight="1">
      <c r="B248" s="7"/>
      <c r="C248" s="7"/>
      <c r="D248" s="7"/>
      <c r="E248" s="7"/>
      <c r="F248" s="7"/>
      <c r="G248" s="7"/>
    </row>
    <row r="249" ht="15.75" customHeight="1">
      <c r="B249" s="7"/>
      <c r="C249" s="7"/>
      <c r="D249" s="7"/>
      <c r="E249" s="7"/>
      <c r="F249" s="7"/>
      <c r="G249" s="7"/>
    </row>
    <row r="250" ht="15.75" customHeight="1">
      <c r="B250" s="7"/>
      <c r="C250" s="7"/>
      <c r="D250" s="7"/>
      <c r="E250" s="7"/>
      <c r="F250" s="7"/>
      <c r="G250" s="7"/>
    </row>
    <row r="251" ht="15.75" customHeight="1">
      <c r="B251" s="7"/>
      <c r="C251" s="7"/>
      <c r="D251" s="7"/>
      <c r="E251" s="7"/>
      <c r="F251" s="7"/>
      <c r="G251" s="7"/>
    </row>
    <row r="252" ht="15.75" customHeight="1">
      <c r="B252" s="7"/>
      <c r="C252" s="7"/>
      <c r="D252" s="7"/>
      <c r="E252" s="7"/>
      <c r="F252" s="7"/>
      <c r="G252" s="7"/>
    </row>
    <row r="253" ht="15.75" customHeight="1">
      <c r="B253" s="7"/>
      <c r="C253" s="7"/>
      <c r="D253" s="7"/>
      <c r="E253" s="7"/>
      <c r="F253" s="7"/>
      <c r="G253" s="7"/>
    </row>
    <row r="254" ht="15.75" customHeight="1">
      <c r="B254" s="7"/>
      <c r="C254" s="7"/>
      <c r="D254" s="7"/>
      <c r="E254" s="7"/>
      <c r="F254" s="7"/>
      <c r="G254" s="7"/>
    </row>
    <row r="255" ht="15.75" customHeight="1">
      <c r="B255" s="7"/>
      <c r="C255" s="7"/>
      <c r="D255" s="7"/>
      <c r="E255" s="7"/>
      <c r="F255" s="7"/>
      <c r="G255" s="7"/>
    </row>
    <row r="256" ht="15.75" customHeight="1">
      <c r="B256" s="7"/>
      <c r="C256" s="7"/>
      <c r="D256" s="7"/>
      <c r="E256" s="7"/>
      <c r="F256" s="7"/>
      <c r="G256" s="7"/>
    </row>
    <row r="257" ht="15.75" customHeight="1">
      <c r="B257" s="7"/>
      <c r="C257" s="7"/>
      <c r="D257" s="7"/>
      <c r="E257" s="7"/>
      <c r="F257" s="7"/>
      <c r="G257" s="7"/>
    </row>
    <row r="258" ht="15.75" customHeight="1">
      <c r="B258" s="7"/>
      <c r="C258" s="7"/>
      <c r="D258" s="7"/>
      <c r="E258" s="7"/>
      <c r="F258" s="7"/>
      <c r="G258" s="7"/>
    </row>
    <row r="259" ht="15.75" customHeight="1">
      <c r="B259" s="7"/>
      <c r="C259" s="7"/>
      <c r="D259" s="7"/>
      <c r="E259" s="7"/>
      <c r="F259" s="7"/>
      <c r="G259" s="7"/>
    </row>
    <row r="260" ht="15.75" customHeight="1">
      <c r="B260" s="7"/>
      <c r="C260" s="7"/>
      <c r="D260" s="7"/>
      <c r="E260" s="7"/>
      <c r="F260" s="7"/>
      <c r="G260" s="7"/>
    </row>
    <row r="261" ht="15.75" customHeight="1">
      <c r="B261" s="7"/>
      <c r="C261" s="7"/>
      <c r="D261" s="7"/>
      <c r="E261" s="7"/>
      <c r="F261" s="7"/>
      <c r="G261" s="7"/>
    </row>
    <row r="262" ht="15.75" customHeight="1">
      <c r="B262" s="7"/>
      <c r="C262" s="7"/>
      <c r="D262" s="7"/>
      <c r="E262" s="7"/>
      <c r="F262" s="7"/>
      <c r="G262" s="7"/>
    </row>
    <row r="263" ht="15.75" customHeight="1">
      <c r="B263" s="7"/>
      <c r="C263" s="7"/>
      <c r="D263" s="7"/>
      <c r="E263" s="7"/>
      <c r="F263" s="7"/>
      <c r="G263" s="7"/>
    </row>
    <row r="264" ht="15.75" customHeight="1">
      <c r="B264" s="7"/>
      <c r="C264" s="7"/>
      <c r="D264" s="7"/>
      <c r="E264" s="7"/>
      <c r="F264" s="7"/>
      <c r="G264" s="7"/>
    </row>
    <row r="265" ht="15.75" customHeight="1">
      <c r="B265" s="7"/>
      <c r="C265" s="7"/>
      <c r="D265" s="7"/>
      <c r="E265" s="7"/>
      <c r="F265" s="7"/>
      <c r="G265" s="7"/>
    </row>
    <row r="266" ht="15.75" customHeight="1">
      <c r="B266" s="7"/>
      <c r="C266" s="7"/>
      <c r="D266" s="7"/>
      <c r="E266" s="7"/>
      <c r="F266" s="7"/>
      <c r="G266" s="7"/>
    </row>
    <row r="267" ht="15.75" customHeight="1">
      <c r="B267" s="7"/>
      <c r="C267" s="7"/>
      <c r="D267" s="7"/>
      <c r="E267" s="7"/>
      <c r="F267" s="7"/>
      <c r="G267" s="7"/>
    </row>
    <row r="268" ht="15.75" customHeight="1">
      <c r="B268" s="7"/>
      <c r="C268" s="7"/>
      <c r="D268" s="7"/>
      <c r="E268" s="7"/>
      <c r="F268" s="7"/>
      <c r="G268" s="7"/>
    </row>
    <row r="269" ht="15.75" customHeight="1">
      <c r="B269" s="7"/>
      <c r="C269" s="7"/>
      <c r="D269" s="7"/>
      <c r="E269" s="7"/>
      <c r="F269" s="7"/>
      <c r="G269" s="7"/>
    </row>
    <row r="270" ht="15.75" customHeight="1">
      <c r="B270" s="7"/>
      <c r="C270" s="7"/>
      <c r="D270" s="7"/>
      <c r="E270" s="7"/>
      <c r="F270" s="7"/>
      <c r="G270" s="7"/>
    </row>
    <row r="271" ht="15.75" customHeight="1">
      <c r="B271" s="7"/>
      <c r="C271" s="7"/>
      <c r="D271" s="7"/>
      <c r="E271" s="7"/>
      <c r="F271" s="7"/>
      <c r="G271" s="7"/>
    </row>
    <row r="272" ht="15.75" customHeight="1">
      <c r="B272" s="7"/>
      <c r="C272" s="7"/>
      <c r="D272" s="7"/>
      <c r="E272" s="7"/>
      <c r="F272" s="7"/>
      <c r="G272" s="7"/>
    </row>
    <row r="273" ht="15.75" customHeight="1">
      <c r="B273" s="7"/>
      <c r="C273" s="7"/>
      <c r="D273" s="7"/>
      <c r="E273" s="7"/>
      <c r="F273" s="7"/>
      <c r="G273" s="7"/>
    </row>
    <row r="274" ht="15.75" customHeight="1">
      <c r="B274" s="7"/>
      <c r="C274" s="7"/>
      <c r="D274" s="7"/>
      <c r="E274" s="7"/>
      <c r="F274" s="7"/>
      <c r="G274" s="7"/>
    </row>
    <row r="275" ht="15.75" customHeight="1">
      <c r="B275" s="7"/>
      <c r="C275" s="7"/>
      <c r="D275" s="7"/>
      <c r="E275" s="7"/>
      <c r="F275" s="7"/>
      <c r="G275" s="7"/>
    </row>
    <row r="276" ht="15.75" customHeight="1">
      <c r="B276" s="7"/>
      <c r="C276" s="7"/>
      <c r="D276" s="7"/>
      <c r="E276" s="7"/>
      <c r="F276" s="7"/>
      <c r="G276" s="7"/>
    </row>
    <row r="277" ht="15.75" customHeight="1">
      <c r="B277" s="7"/>
      <c r="C277" s="7"/>
      <c r="D277" s="7"/>
      <c r="E277" s="7"/>
      <c r="F277" s="7"/>
      <c r="G277" s="7"/>
    </row>
    <row r="278" ht="15.75" customHeight="1">
      <c r="B278" s="7"/>
      <c r="C278" s="7"/>
      <c r="D278" s="7"/>
      <c r="E278" s="7"/>
      <c r="F278" s="7"/>
      <c r="G278" s="7"/>
    </row>
    <row r="279" ht="15.75" customHeight="1">
      <c r="B279" s="7"/>
      <c r="C279" s="7"/>
      <c r="D279" s="7"/>
      <c r="E279" s="7"/>
      <c r="F279" s="7"/>
      <c r="G279" s="7"/>
    </row>
    <row r="280" ht="15.75" customHeight="1">
      <c r="B280" s="7"/>
      <c r="C280" s="7"/>
      <c r="D280" s="7"/>
      <c r="E280" s="7"/>
      <c r="F280" s="7"/>
      <c r="G280" s="7"/>
    </row>
    <row r="281" ht="15.75" customHeight="1">
      <c r="B281" s="7"/>
      <c r="C281" s="7"/>
      <c r="D281" s="7"/>
      <c r="E281" s="7"/>
      <c r="F281" s="7"/>
      <c r="G281" s="7"/>
    </row>
    <row r="282" ht="15.75" customHeight="1">
      <c r="B282" s="7"/>
      <c r="C282" s="7"/>
      <c r="D282" s="7"/>
      <c r="E282" s="7"/>
      <c r="F282" s="7"/>
      <c r="G282" s="7"/>
    </row>
    <row r="283" ht="15.75" customHeight="1">
      <c r="B283" s="7"/>
      <c r="C283" s="7"/>
      <c r="D283" s="7"/>
      <c r="E283" s="7"/>
      <c r="F283" s="7"/>
      <c r="G283" s="7"/>
    </row>
    <row r="284" ht="15.75" customHeight="1">
      <c r="B284" s="7"/>
      <c r="C284" s="7"/>
      <c r="D284" s="7"/>
      <c r="E284" s="7"/>
      <c r="F284" s="7"/>
      <c r="G284" s="7"/>
    </row>
    <row r="285" ht="15.75" customHeight="1">
      <c r="B285" s="7"/>
      <c r="C285" s="7"/>
      <c r="D285" s="7"/>
      <c r="E285" s="7"/>
      <c r="F285" s="7"/>
      <c r="G285" s="7"/>
    </row>
    <row r="286" ht="15.75" customHeight="1">
      <c r="B286" s="7"/>
      <c r="C286" s="7"/>
      <c r="D286" s="7"/>
      <c r="E286" s="7"/>
      <c r="F286" s="7"/>
      <c r="G286" s="7"/>
    </row>
    <row r="287" ht="15.75" customHeight="1">
      <c r="B287" s="7"/>
      <c r="C287" s="7"/>
      <c r="D287" s="7"/>
      <c r="E287" s="7"/>
      <c r="F287" s="7"/>
      <c r="G287" s="7"/>
    </row>
    <row r="288" ht="15.75" customHeight="1">
      <c r="B288" s="7"/>
      <c r="C288" s="7"/>
      <c r="D288" s="7"/>
      <c r="E288" s="7"/>
      <c r="F288" s="7"/>
      <c r="G288" s="7"/>
    </row>
    <row r="289" ht="15.75" customHeight="1">
      <c r="B289" s="7"/>
      <c r="C289" s="7"/>
      <c r="D289" s="7"/>
      <c r="E289" s="7"/>
      <c r="F289" s="7"/>
      <c r="G289" s="7"/>
    </row>
    <row r="290" ht="15.75" customHeight="1">
      <c r="B290" s="7"/>
      <c r="C290" s="7"/>
      <c r="D290" s="7"/>
      <c r="E290" s="7"/>
      <c r="F290" s="7"/>
      <c r="G290" s="7"/>
    </row>
    <row r="291" ht="15.75" customHeight="1">
      <c r="B291" s="7"/>
      <c r="C291" s="7"/>
      <c r="D291" s="7"/>
      <c r="E291" s="7"/>
      <c r="F291" s="7"/>
      <c r="G291" s="7"/>
    </row>
    <row r="292" ht="15.75" customHeight="1">
      <c r="B292" s="7"/>
      <c r="C292" s="7"/>
      <c r="D292" s="7"/>
      <c r="E292" s="7"/>
      <c r="F292" s="7"/>
      <c r="G292" s="7"/>
    </row>
    <row r="293" ht="15.75" customHeight="1">
      <c r="B293" s="7"/>
      <c r="C293" s="7"/>
      <c r="D293" s="7"/>
      <c r="E293" s="7"/>
      <c r="F293" s="7"/>
      <c r="G293" s="7"/>
    </row>
    <row r="294" ht="15.75" customHeight="1">
      <c r="B294" s="7"/>
      <c r="C294" s="7"/>
      <c r="D294" s="7"/>
      <c r="E294" s="7"/>
      <c r="F294" s="7"/>
      <c r="G294" s="7"/>
    </row>
    <row r="295" ht="15.75" customHeight="1">
      <c r="B295" s="7"/>
      <c r="C295" s="7"/>
      <c r="D295" s="7"/>
      <c r="E295" s="7"/>
      <c r="F295" s="7"/>
      <c r="G295" s="7"/>
    </row>
    <row r="296" ht="15.75" customHeight="1">
      <c r="B296" s="7"/>
      <c r="C296" s="7"/>
      <c r="D296" s="7"/>
      <c r="E296" s="7"/>
      <c r="F296" s="7"/>
      <c r="G296" s="7"/>
    </row>
    <row r="297" ht="15.75" customHeight="1">
      <c r="B297" s="7"/>
      <c r="C297" s="7"/>
      <c r="D297" s="7"/>
      <c r="E297" s="7"/>
      <c r="F297" s="7"/>
      <c r="G297" s="7"/>
    </row>
    <row r="298" ht="15.75" customHeight="1">
      <c r="B298" s="7"/>
      <c r="C298" s="7"/>
      <c r="D298" s="7"/>
      <c r="E298" s="7"/>
      <c r="F298" s="7"/>
      <c r="G298" s="7"/>
    </row>
    <row r="299" ht="15.75" customHeight="1">
      <c r="B299" s="7"/>
      <c r="C299" s="7"/>
      <c r="D299" s="7"/>
      <c r="E299" s="7"/>
      <c r="F299" s="7"/>
      <c r="G299" s="7"/>
    </row>
    <row r="300" ht="15.75" customHeight="1">
      <c r="B300" s="7"/>
      <c r="C300" s="7"/>
      <c r="D300" s="7"/>
      <c r="E300" s="7"/>
      <c r="F300" s="7"/>
      <c r="G300" s="7"/>
    </row>
    <row r="301" ht="15.75" customHeight="1">
      <c r="B301" s="7"/>
      <c r="C301" s="7"/>
      <c r="D301" s="7"/>
      <c r="E301" s="7"/>
      <c r="F301" s="7"/>
      <c r="G301" s="7"/>
    </row>
    <row r="302" ht="15.75" customHeight="1">
      <c r="B302" s="7"/>
      <c r="C302" s="7"/>
      <c r="D302" s="7"/>
      <c r="E302" s="7"/>
      <c r="F302" s="7"/>
      <c r="G302" s="7"/>
    </row>
    <row r="303" ht="15.75" customHeight="1">
      <c r="B303" s="7"/>
      <c r="C303" s="7"/>
      <c r="D303" s="7"/>
      <c r="E303" s="7"/>
      <c r="F303" s="7"/>
      <c r="G303" s="7"/>
    </row>
    <row r="304" ht="15.75" customHeight="1">
      <c r="B304" s="7"/>
      <c r="C304" s="7"/>
      <c r="D304" s="7"/>
      <c r="E304" s="7"/>
      <c r="F304" s="7"/>
      <c r="G304" s="7"/>
    </row>
    <row r="305" ht="15.75" customHeight="1">
      <c r="B305" s="7"/>
      <c r="C305" s="7"/>
      <c r="D305" s="7"/>
      <c r="E305" s="7"/>
      <c r="F305" s="7"/>
      <c r="G305" s="7"/>
    </row>
    <row r="306" ht="15.75" customHeight="1">
      <c r="B306" s="7"/>
      <c r="C306" s="7"/>
      <c r="D306" s="7"/>
      <c r="E306" s="7"/>
      <c r="F306" s="7"/>
      <c r="G306" s="7"/>
    </row>
    <row r="307" ht="15.75" customHeight="1">
      <c r="B307" s="7"/>
      <c r="C307" s="7"/>
      <c r="D307" s="7"/>
      <c r="E307" s="7"/>
      <c r="F307" s="7"/>
      <c r="G307" s="7"/>
    </row>
    <row r="308" ht="15.75" customHeight="1">
      <c r="B308" s="7"/>
      <c r="C308" s="7"/>
      <c r="D308" s="7"/>
      <c r="E308" s="7"/>
      <c r="F308" s="7"/>
      <c r="G308" s="7"/>
    </row>
    <row r="309" ht="15.75" customHeight="1">
      <c r="B309" s="7"/>
      <c r="C309" s="7"/>
      <c r="D309" s="7"/>
      <c r="E309" s="7"/>
      <c r="F309" s="7"/>
      <c r="G309" s="7"/>
    </row>
    <row r="310" ht="15.75" customHeight="1">
      <c r="B310" s="7"/>
      <c r="C310" s="7"/>
      <c r="D310" s="7"/>
      <c r="E310" s="7"/>
      <c r="F310" s="7"/>
      <c r="G310" s="7"/>
    </row>
    <row r="311" ht="15.75" customHeight="1">
      <c r="B311" s="7"/>
      <c r="C311" s="7"/>
      <c r="D311" s="7"/>
      <c r="E311" s="7"/>
      <c r="F311" s="7"/>
      <c r="G311" s="7"/>
    </row>
    <row r="312" ht="15.75" customHeight="1">
      <c r="B312" s="7"/>
      <c r="C312" s="7"/>
      <c r="D312" s="7"/>
      <c r="E312" s="7"/>
      <c r="F312" s="7"/>
      <c r="G312" s="7"/>
    </row>
    <row r="313" ht="15.75" customHeight="1">
      <c r="B313" s="7"/>
      <c r="C313" s="7"/>
      <c r="D313" s="7"/>
      <c r="E313" s="7"/>
      <c r="F313" s="7"/>
      <c r="G313" s="7"/>
    </row>
    <row r="314" ht="15.75" customHeight="1">
      <c r="B314" s="7"/>
      <c r="C314" s="7"/>
      <c r="D314" s="7"/>
      <c r="E314" s="7"/>
      <c r="F314" s="7"/>
      <c r="G314" s="7"/>
    </row>
    <row r="315" ht="15.75" customHeight="1">
      <c r="B315" s="7"/>
      <c r="C315" s="7"/>
      <c r="D315" s="7"/>
      <c r="E315" s="7"/>
      <c r="F315" s="7"/>
      <c r="G315" s="7"/>
    </row>
    <row r="316" ht="15.75" customHeight="1">
      <c r="B316" s="7"/>
      <c r="C316" s="7"/>
      <c r="D316" s="7"/>
      <c r="E316" s="7"/>
      <c r="F316" s="7"/>
      <c r="G316" s="7"/>
    </row>
    <row r="317" ht="15.75" customHeight="1">
      <c r="B317" s="7"/>
      <c r="C317" s="7"/>
      <c r="D317" s="7"/>
      <c r="E317" s="7"/>
      <c r="F317" s="7"/>
      <c r="G317" s="7"/>
    </row>
    <row r="318" ht="15.75" customHeight="1">
      <c r="B318" s="7"/>
      <c r="C318" s="7"/>
      <c r="D318" s="7"/>
      <c r="E318" s="7"/>
      <c r="F318" s="7"/>
      <c r="G318" s="7"/>
    </row>
    <row r="319" ht="15.75" customHeight="1">
      <c r="B319" s="7"/>
      <c r="C319" s="7"/>
      <c r="D319" s="7"/>
      <c r="E319" s="7"/>
      <c r="F319" s="7"/>
      <c r="G319" s="7"/>
    </row>
    <row r="320" ht="15.75" customHeight="1">
      <c r="B320" s="7"/>
      <c r="C320" s="7"/>
      <c r="D320" s="7"/>
      <c r="E320" s="7"/>
      <c r="F320" s="7"/>
      <c r="G320" s="7"/>
    </row>
    <row r="321" ht="15.75" customHeight="1">
      <c r="B321" s="7"/>
      <c r="C321" s="7"/>
      <c r="D321" s="7"/>
      <c r="E321" s="7"/>
      <c r="F321" s="7"/>
      <c r="G321" s="7"/>
    </row>
    <row r="322" ht="15.75" customHeight="1">
      <c r="B322" s="7"/>
      <c r="C322" s="7"/>
      <c r="D322" s="7"/>
      <c r="E322" s="7"/>
      <c r="F322" s="7"/>
      <c r="G322" s="7"/>
    </row>
    <row r="323" ht="15.75" customHeight="1">
      <c r="B323" s="7"/>
      <c r="C323" s="7"/>
      <c r="D323" s="7"/>
      <c r="E323" s="7"/>
      <c r="F323" s="7"/>
      <c r="G323" s="7"/>
    </row>
    <row r="324" ht="15.75" customHeight="1">
      <c r="B324" s="7"/>
      <c r="C324" s="7"/>
      <c r="D324" s="7"/>
      <c r="E324" s="7"/>
      <c r="F324" s="7"/>
      <c r="G324" s="7"/>
    </row>
    <row r="325" ht="15.75" customHeight="1">
      <c r="B325" s="7"/>
      <c r="C325" s="7"/>
      <c r="D325" s="7"/>
      <c r="E325" s="7"/>
      <c r="F325" s="7"/>
      <c r="G325" s="7"/>
    </row>
    <row r="326" ht="15.75" customHeight="1">
      <c r="B326" s="7"/>
      <c r="C326" s="7"/>
      <c r="D326" s="7"/>
      <c r="E326" s="7"/>
      <c r="F326" s="7"/>
      <c r="G326" s="7"/>
    </row>
    <row r="327" ht="15.75" customHeight="1">
      <c r="B327" s="7"/>
      <c r="C327" s="7"/>
      <c r="D327" s="7"/>
      <c r="E327" s="7"/>
      <c r="F327" s="7"/>
      <c r="G327" s="7"/>
    </row>
    <row r="328" ht="15.75" customHeight="1">
      <c r="B328" s="7"/>
      <c r="C328" s="7"/>
      <c r="D328" s="7"/>
      <c r="E328" s="7"/>
      <c r="F328" s="7"/>
      <c r="G328" s="7"/>
    </row>
    <row r="329" ht="15.75" customHeight="1">
      <c r="B329" s="7"/>
      <c r="C329" s="7"/>
      <c r="D329" s="7"/>
      <c r="E329" s="7"/>
      <c r="F329" s="7"/>
      <c r="G329" s="7"/>
    </row>
    <row r="330" ht="15.75" customHeight="1">
      <c r="B330" s="7"/>
      <c r="C330" s="7"/>
      <c r="D330" s="7"/>
      <c r="E330" s="7"/>
      <c r="F330" s="7"/>
      <c r="G330" s="7"/>
    </row>
    <row r="331" ht="15.75" customHeight="1">
      <c r="B331" s="7"/>
      <c r="C331" s="7"/>
      <c r="D331" s="7"/>
      <c r="E331" s="7"/>
      <c r="F331" s="7"/>
      <c r="G331" s="7"/>
    </row>
    <row r="332" ht="15.75" customHeight="1">
      <c r="B332" s="7"/>
      <c r="C332" s="7"/>
      <c r="D332" s="7"/>
      <c r="E332" s="7"/>
      <c r="F332" s="7"/>
      <c r="G332" s="7"/>
    </row>
    <row r="333" ht="15.75" customHeight="1">
      <c r="B333" s="7"/>
      <c r="C333" s="7"/>
      <c r="D333" s="7"/>
      <c r="E333" s="7"/>
      <c r="F333" s="7"/>
      <c r="G333" s="7"/>
    </row>
    <row r="334" ht="15.75" customHeight="1">
      <c r="B334" s="7"/>
      <c r="C334" s="7"/>
      <c r="D334" s="7"/>
      <c r="E334" s="7"/>
      <c r="F334" s="7"/>
      <c r="G334" s="7"/>
    </row>
    <row r="335" ht="15.75" customHeight="1">
      <c r="B335" s="7"/>
      <c r="C335" s="7"/>
      <c r="D335" s="7"/>
      <c r="E335" s="7"/>
      <c r="F335" s="7"/>
      <c r="G335" s="7"/>
    </row>
    <row r="336" ht="15.75" customHeight="1">
      <c r="B336" s="7"/>
      <c r="C336" s="7"/>
      <c r="D336" s="7"/>
      <c r="E336" s="7"/>
      <c r="F336" s="7"/>
      <c r="G336" s="7"/>
    </row>
    <row r="337" ht="15.75" customHeight="1">
      <c r="B337" s="7"/>
      <c r="C337" s="7"/>
      <c r="D337" s="7"/>
      <c r="E337" s="7"/>
      <c r="F337" s="7"/>
      <c r="G337" s="7"/>
    </row>
    <row r="338" ht="15.75" customHeight="1">
      <c r="B338" s="7"/>
      <c r="C338" s="7"/>
      <c r="D338" s="7"/>
      <c r="E338" s="7"/>
      <c r="F338" s="7"/>
      <c r="G338" s="7"/>
    </row>
    <row r="339" ht="15.75" customHeight="1">
      <c r="B339" s="7"/>
      <c r="C339" s="7"/>
      <c r="D339" s="7"/>
      <c r="E339" s="7"/>
      <c r="F339" s="7"/>
      <c r="G339" s="7"/>
    </row>
    <row r="340" ht="15.75" customHeight="1">
      <c r="B340" s="7"/>
      <c r="C340" s="7"/>
      <c r="D340" s="7"/>
      <c r="E340" s="7"/>
      <c r="F340" s="7"/>
      <c r="G340" s="7"/>
    </row>
    <row r="341" ht="15.75" customHeight="1">
      <c r="B341" s="7"/>
      <c r="C341" s="7"/>
      <c r="D341" s="7"/>
      <c r="E341" s="7"/>
      <c r="F341" s="7"/>
      <c r="G341" s="7"/>
    </row>
    <row r="342" ht="15.75" customHeight="1">
      <c r="B342" s="7"/>
      <c r="C342" s="7"/>
      <c r="D342" s="7"/>
      <c r="E342" s="7"/>
      <c r="F342" s="7"/>
      <c r="G342" s="7"/>
    </row>
    <row r="343" ht="15.75" customHeight="1">
      <c r="B343" s="7"/>
      <c r="C343" s="7"/>
      <c r="D343" s="7"/>
      <c r="E343" s="7"/>
      <c r="F343" s="7"/>
      <c r="G343" s="7"/>
    </row>
    <row r="344" ht="15.75" customHeight="1">
      <c r="B344" s="7"/>
      <c r="C344" s="7"/>
      <c r="D344" s="7"/>
      <c r="E344" s="7"/>
      <c r="F344" s="7"/>
      <c r="G344" s="7"/>
    </row>
    <row r="345" ht="15.75" customHeight="1">
      <c r="B345" s="7"/>
      <c r="C345" s="7"/>
      <c r="D345" s="7"/>
      <c r="E345" s="7"/>
      <c r="F345" s="7"/>
      <c r="G345" s="7"/>
    </row>
    <row r="346" ht="15.75" customHeight="1">
      <c r="B346" s="7"/>
      <c r="C346" s="7"/>
      <c r="D346" s="7"/>
      <c r="E346" s="7"/>
      <c r="F346" s="7"/>
      <c r="G346" s="7"/>
    </row>
    <row r="347" ht="15.75" customHeight="1">
      <c r="B347" s="7"/>
      <c r="C347" s="7"/>
      <c r="D347" s="7"/>
      <c r="E347" s="7"/>
      <c r="F347" s="7"/>
      <c r="G347" s="7"/>
    </row>
    <row r="348" ht="15.75" customHeight="1">
      <c r="B348" s="7"/>
      <c r="C348" s="7"/>
      <c r="D348" s="7"/>
      <c r="E348" s="7"/>
      <c r="F348" s="7"/>
      <c r="G348" s="7"/>
    </row>
    <row r="349" ht="15.75" customHeight="1">
      <c r="B349" s="7"/>
      <c r="C349" s="7"/>
      <c r="D349" s="7"/>
      <c r="E349" s="7"/>
      <c r="F349" s="7"/>
      <c r="G349" s="7"/>
    </row>
    <row r="350" ht="15.75" customHeight="1">
      <c r="B350" s="7"/>
      <c r="C350" s="7"/>
      <c r="D350" s="7"/>
      <c r="E350" s="7"/>
      <c r="F350" s="7"/>
      <c r="G350" s="7"/>
    </row>
    <row r="351" ht="15.75" customHeight="1">
      <c r="B351" s="7"/>
      <c r="C351" s="7"/>
      <c r="D351" s="7"/>
      <c r="E351" s="7"/>
      <c r="F351" s="7"/>
      <c r="G351" s="7"/>
    </row>
    <row r="352" ht="15.75" customHeight="1">
      <c r="B352" s="7"/>
      <c r="C352" s="7"/>
      <c r="D352" s="7"/>
      <c r="E352" s="7"/>
      <c r="F352" s="7"/>
      <c r="G352" s="7"/>
    </row>
    <row r="353" ht="15.75" customHeight="1">
      <c r="B353" s="7"/>
      <c r="C353" s="7"/>
      <c r="D353" s="7"/>
      <c r="E353" s="7"/>
      <c r="F353" s="7"/>
      <c r="G353" s="7"/>
    </row>
    <row r="354" ht="15.75" customHeight="1">
      <c r="B354" s="7"/>
      <c r="C354" s="7"/>
      <c r="D354" s="7"/>
      <c r="E354" s="7"/>
      <c r="F354" s="7"/>
      <c r="G354" s="7"/>
    </row>
    <row r="355" ht="15.75" customHeight="1">
      <c r="B355" s="7"/>
      <c r="C355" s="7"/>
      <c r="D355" s="7"/>
      <c r="E355" s="7"/>
      <c r="F355" s="7"/>
      <c r="G355" s="7"/>
    </row>
    <row r="356" ht="15.75" customHeight="1">
      <c r="B356" s="7"/>
      <c r="C356" s="7"/>
      <c r="D356" s="7"/>
      <c r="E356" s="7"/>
      <c r="F356" s="7"/>
      <c r="G356" s="7"/>
    </row>
    <row r="357" ht="15.75" customHeight="1">
      <c r="B357" s="7"/>
      <c r="C357" s="7"/>
      <c r="D357" s="7"/>
      <c r="E357" s="7"/>
      <c r="F357" s="7"/>
      <c r="G357" s="7"/>
    </row>
    <row r="358" ht="15.75" customHeight="1">
      <c r="B358" s="7"/>
      <c r="C358" s="7"/>
      <c r="D358" s="7"/>
      <c r="E358" s="7"/>
      <c r="F358" s="7"/>
      <c r="G358" s="7"/>
    </row>
    <row r="359" ht="15.75" customHeight="1">
      <c r="B359" s="7"/>
      <c r="C359" s="7"/>
      <c r="D359" s="7"/>
      <c r="E359" s="7"/>
      <c r="F359" s="7"/>
      <c r="G359" s="7"/>
    </row>
    <row r="360" ht="15.75" customHeight="1">
      <c r="B360" s="7"/>
      <c r="C360" s="7"/>
      <c r="D360" s="7"/>
      <c r="E360" s="7"/>
      <c r="F360" s="7"/>
      <c r="G360" s="7"/>
    </row>
    <row r="361" ht="15.75" customHeight="1">
      <c r="B361" s="7"/>
      <c r="C361" s="7"/>
      <c r="D361" s="7"/>
      <c r="E361" s="7"/>
      <c r="F361" s="7"/>
      <c r="G361" s="7"/>
    </row>
    <row r="362" ht="15.75" customHeight="1">
      <c r="B362" s="7"/>
      <c r="C362" s="7"/>
      <c r="D362" s="7"/>
      <c r="E362" s="7"/>
      <c r="F362" s="7"/>
      <c r="G362" s="7"/>
    </row>
    <row r="363" ht="15.75" customHeight="1">
      <c r="B363" s="7"/>
      <c r="C363" s="7"/>
      <c r="D363" s="7"/>
      <c r="E363" s="7"/>
      <c r="F363" s="7"/>
      <c r="G363" s="7"/>
    </row>
    <row r="364" ht="15.75" customHeight="1">
      <c r="B364" s="7"/>
      <c r="C364" s="7"/>
      <c r="D364" s="7"/>
      <c r="E364" s="7"/>
      <c r="F364" s="7"/>
      <c r="G364" s="7"/>
    </row>
    <row r="365" ht="15.75" customHeight="1">
      <c r="B365" s="7"/>
      <c r="C365" s="7"/>
      <c r="D365" s="7"/>
      <c r="E365" s="7"/>
      <c r="F365" s="7"/>
      <c r="G365" s="7"/>
    </row>
    <row r="366" ht="15.75" customHeight="1">
      <c r="B366" s="7"/>
      <c r="C366" s="7"/>
      <c r="D366" s="7"/>
      <c r="E366" s="7"/>
      <c r="F366" s="7"/>
      <c r="G366" s="7"/>
    </row>
    <row r="367" ht="15.75" customHeight="1">
      <c r="B367" s="7"/>
      <c r="C367" s="7"/>
      <c r="D367" s="7"/>
      <c r="E367" s="7"/>
      <c r="F367" s="7"/>
      <c r="G367" s="7"/>
    </row>
    <row r="368" ht="15.75" customHeight="1">
      <c r="B368" s="7"/>
      <c r="C368" s="7"/>
      <c r="D368" s="7"/>
      <c r="E368" s="7"/>
      <c r="F368" s="7"/>
      <c r="G368" s="7"/>
    </row>
    <row r="369" ht="15.75" customHeight="1">
      <c r="B369" s="7"/>
      <c r="C369" s="7"/>
      <c r="D369" s="7"/>
      <c r="E369" s="7"/>
      <c r="F369" s="7"/>
      <c r="G369" s="7"/>
    </row>
    <row r="370" ht="15.75" customHeight="1">
      <c r="B370" s="7"/>
      <c r="C370" s="7"/>
      <c r="D370" s="7"/>
      <c r="E370" s="7"/>
      <c r="F370" s="7"/>
      <c r="G370" s="7"/>
    </row>
    <row r="371" ht="15.75" customHeight="1">
      <c r="B371" s="7"/>
      <c r="C371" s="7"/>
      <c r="D371" s="7"/>
      <c r="E371" s="7"/>
      <c r="F371" s="7"/>
      <c r="G371" s="7"/>
    </row>
    <row r="372" ht="15.75" customHeight="1">
      <c r="B372" s="7"/>
      <c r="C372" s="7"/>
      <c r="D372" s="7"/>
      <c r="E372" s="7"/>
      <c r="F372" s="7"/>
      <c r="G372" s="7"/>
    </row>
    <row r="373" ht="15.75" customHeight="1">
      <c r="B373" s="7"/>
      <c r="C373" s="7"/>
      <c r="D373" s="7"/>
      <c r="E373" s="7"/>
      <c r="F373" s="7"/>
      <c r="G373" s="7"/>
    </row>
    <row r="374" ht="15.75" customHeight="1">
      <c r="B374" s="7"/>
      <c r="C374" s="7"/>
      <c r="D374" s="7"/>
      <c r="E374" s="7"/>
      <c r="F374" s="7"/>
      <c r="G374" s="7"/>
    </row>
    <row r="375" ht="15.75" customHeight="1">
      <c r="B375" s="7"/>
      <c r="C375" s="7"/>
      <c r="D375" s="7"/>
      <c r="E375" s="7"/>
      <c r="F375" s="7"/>
      <c r="G375" s="7"/>
    </row>
    <row r="376" ht="15.75" customHeight="1">
      <c r="B376" s="7"/>
      <c r="C376" s="7"/>
      <c r="D376" s="7"/>
      <c r="E376" s="7"/>
      <c r="F376" s="7"/>
      <c r="G376" s="7"/>
    </row>
    <row r="377" ht="15.75" customHeight="1">
      <c r="B377" s="7"/>
      <c r="C377" s="7"/>
      <c r="D377" s="7"/>
      <c r="E377" s="7"/>
      <c r="F377" s="7"/>
      <c r="G377" s="7"/>
    </row>
    <row r="378" ht="15.75" customHeight="1">
      <c r="B378" s="7"/>
      <c r="C378" s="7"/>
      <c r="D378" s="7"/>
      <c r="E378" s="7"/>
      <c r="F378" s="7"/>
      <c r="G378" s="7"/>
    </row>
    <row r="379" ht="15.75" customHeight="1">
      <c r="B379" s="7"/>
      <c r="C379" s="7"/>
      <c r="D379" s="7"/>
      <c r="E379" s="7"/>
      <c r="F379" s="7"/>
      <c r="G379" s="7"/>
    </row>
    <row r="380" ht="15.75" customHeight="1">
      <c r="B380" s="7"/>
      <c r="C380" s="7"/>
      <c r="D380" s="7"/>
      <c r="E380" s="7"/>
      <c r="F380" s="7"/>
      <c r="G380" s="7"/>
    </row>
    <row r="381" ht="15.75" customHeight="1">
      <c r="B381" s="7"/>
      <c r="C381" s="7"/>
      <c r="D381" s="7"/>
      <c r="E381" s="7"/>
      <c r="F381" s="7"/>
      <c r="G381" s="7"/>
    </row>
    <row r="382" ht="15.75" customHeight="1">
      <c r="B382" s="7"/>
      <c r="C382" s="7"/>
      <c r="D382" s="7"/>
      <c r="E382" s="7"/>
      <c r="F382" s="7"/>
      <c r="G382" s="7"/>
    </row>
    <row r="383" ht="15.75" customHeight="1">
      <c r="B383" s="7"/>
      <c r="C383" s="7"/>
      <c r="D383" s="7"/>
      <c r="E383" s="7"/>
      <c r="F383" s="7"/>
      <c r="G383" s="7"/>
    </row>
    <row r="384" ht="15.75" customHeight="1">
      <c r="B384" s="7"/>
      <c r="C384" s="7"/>
      <c r="D384" s="7"/>
      <c r="E384" s="7"/>
      <c r="F384" s="7"/>
      <c r="G384" s="7"/>
    </row>
    <row r="385" ht="15.75" customHeight="1">
      <c r="B385" s="7"/>
      <c r="C385" s="7"/>
      <c r="D385" s="7"/>
      <c r="E385" s="7"/>
      <c r="F385" s="7"/>
      <c r="G385" s="7"/>
    </row>
    <row r="386" ht="15.75" customHeight="1">
      <c r="B386" s="7"/>
      <c r="C386" s="7"/>
      <c r="D386" s="7"/>
      <c r="E386" s="7"/>
      <c r="F386" s="7"/>
      <c r="G386" s="7"/>
    </row>
    <row r="387" ht="15.75" customHeight="1">
      <c r="B387" s="7"/>
      <c r="C387" s="7"/>
      <c r="D387" s="7"/>
      <c r="E387" s="7"/>
      <c r="F387" s="7"/>
      <c r="G387" s="7"/>
    </row>
    <row r="388" ht="15.75" customHeight="1">
      <c r="B388" s="7"/>
      <c r="C388" s="7"/>
      <c r="D388" s="7"/>
      <c r="E388" s="7"/>
      <c r="F388" s="7"/>
      <c r="G388" s="7"/>
    </row>
    <row r="389" ht="15.75" customHeight="1">
      <c r="B389" s="7"/>
      <c r="C389" s="7"/>
      <c r="D389" s="7"/>
      <c r="E389" s="7"/>
      <c r="F389" s="7"/>
      <c r="G389" s="7"/>
    </row>
    <row r="390" ht="15.75" customHeight="1">
      <c r="B390" s="7"/>
      <c r="C390" s="7"/>
      <c r="D390" s="7"/>
      <c r="E390" s="7"/>
      <c r="F390" s="7"/>
      <c r="G390" s="7"/>
    </row>
    <row r="391" ht="15.75" customHeight="1">
      <c r="B391" s="7"/>
      <c r="C391" s="7"/>
      <c r="D391" s="7"/>
      <c r="E391" s="7"/>
      <c r="F391" s="7"/>
      <c r="G391" s="7"/>
    </row>
    <row r="392" ht="15.75" customHeight="1">
      <c r="B392" s="7"/>
      <c r="C392" s="7"/>
      <c r="D392" s="7"/>
      <c r="E392" s="7"/>
      <c r="F392" s="7"/>
      <c r="G392" s="7"/>
    </row>
    <row r="393" ht="15.75" customHeight="1">
      <c r="B393" s="7"/>
      <c r="C393" s="7"/>
      <c r="D393" s="7"/>
      <c r="E393" s="7"/>
      <c r="F393" s="7"/>
      <c r="G393" s="7"/>
    </row>
    <row r="394" ht="15.75" customHeight="1">
      <c r="B394" s="7"/>
      <c r="C394" s="7"/>
      <c r="D394" s="7"/>
      <c r="E394" s="7"/>
      <c r="F394" s="7"/>
      <c r="G394" s="7"/>
    </row>
    <row r="395" ht="15.75" customHeight="1">
      <c r="B395" s="7"/>
      <c r="C395" s="7"/>
      <c r="D395" s="7"/>
      <c r="E395" s="7"/>
      <c r="F395" s="7"/>
      <c r="G395" s="7"/>
    </row>
    <row r="396" ht="15.75" customHeight="1">
      <c r="B396" s="7"/>
      <c r="C396" s="7"/>
      <c r="D396" s="7"/>
      <c r="E396" s="7"/>
      <c r="F396" s="7"/>
      <c r="G396" s="7"/>
    </row>
    <row r="397" ht="15.75" customHeight="1">
      <c r="B397" s="7"/>
      <c r="C397" s="7"/>
      <c r="D397" s="7"/>
      <c r="E397" s="7"/>
      <c r="F397" s="7"/>
      <c r="G397" s="7"/>
    </row>
    <row r="398" ht="15.75" customHeight="1">
      <c r="B398" s="7"/>
      <c r="C398" s="7"/>
      <c r="D398" s="7"/>
      <c r="E398" s="7"/>
      <c r="F398" s="7"/>
      <c r="G398" s="7"/>
    </row>
    <row r="399" ht="15.75" customHeight="1">
      <c r="B399" s="7"/>
      <c r="C399" s="7"/>
      <c r="D399" s="7"/>
      <c r="E399" s="7"/>
      <c r="F399" s="7"/>
      <c r="G399" s="7"/>
    </row>
    <row r="400" ht="15.75" customHeight="1">
      <c r="B400" s="7"/>
      <c r="C400" s="7"/>
      <c r="D400" s="7"/>
      <c r="E400" s="7"/>
      <c r="F400" s="7"/>
      <c r="G400" s="7"/>
    </row>
    <row r="401" ht="15.75" customHeight="1">
      <c r="B401" s="7"/>
      <c r="C401" s="7"/>
      <c r="D401" s="7"/>
      <c r="E401" s="7"/>
      <c r="F401" s="7"/>
      <c r="G401" s="7"/>
    </row>
    <row r="402" ht="15.75" customHeight="1">
      <c r="B402" s="7"/>
      <c r="C402" s="7"/>
      <c r="D402" s="7"/>
      <c r="E402" s="7"/>
      <c r="F402" s="7"/>
      <c r="G402" s="7"/>
    </row>
    <row r="403" ht="15.75" customHeight="1">
      <c r="B403" s="7"/>
      <c r="C403" s="7"/>
      <c r="D403" s="7"/>
      <c r="E403" s="7"/>
      <c r="F403" s="7"/>
      <c r="G403" s="7"/>
    </row>
    <row r="404" ht="15.75" customHeight="1">
      <c r="B404" s="7"/>
      <c r="C404" s="7"/>
      <c r="D404" s="7"/>
      <c r="E404" s="7"/>
      <c r="F404" s="7"/>
      <c r="G404" s="7"/>
    </row>
    <row r="405" ht="15.75" customHeight="1">
      <c r="B405" s="7"/>
      <c r="C405" s="7"/>
      <c r="D405" s="7"/>
      <c r="E405" s="7"/>
      <c r="F405" s="7"/>
      <c r="G405" s="7"/>
    </row>
    <row r="406" ht="15.75" customHeight="1">
      <c r="B406" s="7"/>
      <c r="C406" s="7"/>
      <c r="D406" s="7"/>
      <c r="E406" s="7"/>
      <c r="F406" s="7"/>
      <c r="G406" s="7"/>
    </row>
    <row r="407" ht="15.75" customHeight="1">
      <c r="B407" s="7"/>
      <c r="C407" s="7"/>
      <c r="D407" s="7"/>
      <c r="E407" s="7"/>
      <c r="F407" s="7"/>
      <c r="G407" s="7"/>
    </row>
    <row r="408" ht="15.75" customHeight="1">
      <c r="B408" s="7"/>
      <c r="C408" s="7"/>
      <c r="D408" s="7"/>
      <c r="E408" s="7"/>
      <c r="F408" s="7"/>
      <c r="G408" s="7"/>
    </row>
    <row r="409" ht="15.75" customHeight="1">
      <c r="B409" s="7"/>
      <c r="C409" s="7"/>
      <c r="D409" s="7"/>
      <c r="E409" s="7"/>
      <c r="F409" s="7"/>
      <c r="G409" s="7"/>
    </row>
    <row r="410" ht="15.75" customHeight="1">
      <c r="B410" s="7"/>
      <c r="C410" s="7"/>
      <c r="D410" s="7"/>
      <c r="E410" s="7"/>
      <c r="F410" s="7"/>
      <c r="G410" s="7"/>
    </row>
    <row r="411" ht="15.75" customHeight="1">
      <c r="B411" s="7"/>
      <c r="C411" s="7"/>
      <c r="D411" s="7"/>
      <c r="E411" s="7"/>
      <c r="F411" s="7"/>
      <c r="G411" s="7"/>
    </row>
    <row r="412" ht="15.75" customHeight="1">
      <c r="B412" s="7"/>
      <c r="C412" s="7"/>
      <c r="D412" s="7"/>
      <c r="E412" s="7"/>
      <c r="F412" s="7"/>
      <c r="G412" s="7"/>
    </row>
    <row r="413" ht="15.75" customHeight="1">
      <c r="B413" s="7"/>
      <c r="C413" s="7"/>
      <c r="D413" s="7"/>
      <c r="E413" s="7"/>
      <c r="F413" s="7"/>
      <c r="G413" s="7"/>
    </row>
    <row r="414" ht="15.75" customHeight="1">
      <c r="B414" s="7"/>
      <c r="C414" s="7"/>
      <c r="D414" s="7"/>
      <c r="E414" s="7"/>
      <c r="F414" s="7"/>
      <c r="G414" s="7"/>
    </row>
    <row r="415" ht="15.75" customHeight="1">
      <c r="B415" s="7"/>
      <c r="C415" s="7"/>
      <c r="D415" s="7"/>
      <c r="E415" s="7"/>
      <c r="F415" s="7"/>
      <c r="G415" s="7"/>
    </row>
    <row r="416" ht="15.75" customHeight="1">
      <c r="B416" s="7"/>
      <c r="C416" s="7"/>
      <c r="D416" s="7"/>
      <c r="E416" s="7"/>
      <c r="F416" s="7"/>
      <c r="G416" s="7"/>
    </row>
    <row r="417" ht="15.75" customHeight="1">
      <c r="B417" s="7"/>
      <c r="C417" s="7"/>
      <c r="D417" s="7"/>
      <c r="E417" s="7"/>
      <c r="F417" s="7"/>
      <c r="G417" s="7"/>
    </row>
    <row r="418" ht="15.75" customHeight="1">
      <c r="B418" s="7"/>
      <c r="C418" s="7"/>
      <c r="D418" s="7"/>
      <c r="E418" s="7"/>
      <c r="F418" s="7"/>
      <c r="G418" s="7"/>
    </row>
    <row r="419" ht="15.75" customHeight="1">
      <c r="B419" s="7"/>
      <c r="C419" s="7"/>
      <c r="D419" s="7"/>
      <c r="E419" s="7"/>
      <c r="F419" s="7"/>
      <c r="G419" s="7"/>
    </row>
    <row r="420" ht="15.75" customHeight="1">
      <c r="B420" s="7"/>
      <c r="C420" s="7"/>
      <c r="D420" s="7"/>
      <c r="E420" s="7"/>
      <c r="F420" s="7"/>
      <c r="G420" s="7"/>
    </row>
    <row r="421" ht="15.75" customHeight="1">
      <c r="B421" s="7"/>
      <c r="C421" s="7"/>
      <c r="D421" s="7"/>
      <c r="E421" s="7"/>
      <c r="F421" s="7"/>
      <c r="G421" s="7"/>
    </row>
    <row r="422" ht="15.75" customHeight="1">
      <c r="B422" s="7"/>
      <c r="C422" s="7"/>
      <c r="D422" s="7"/>
      <c r="E422" s="7"/>
      <c r="F422" s="7"/>
      <c r="G422" s="7"/>
    </row>
    <row r="423" ht="15.75" customHeight="1">
      <c r="B423" s="7"/>
      <c r="C423" s="7"/>
      <c r="D423" s="7"/>
      <c r="E423" s="7"/>
      <c r="F423" s="7"/>
      <c r="G423" s="7"/>
    </row>
    <row r="424" ht="15.75" customHeight="1">
      <c r="B424" s="7"/>
      <c r="C424" s="7"/>
      <c r="D424" s="7"/>
      <c r="E424" s="7"/>
      <c r="F424" s="7"/>
      <c r="G424" s="7"/>
    </row>
    <row r="425" ht="15.75" customHeight="1">
      <c r="B425" s="7"/>
      <c r="C425" s="7"/>
      <c r="D425" s="7"/>
      <c r="E425" s="7"/>
      <c r="F425" s="7"/>
      <c r="G425" s="7"/>
    </row>
    <row r="426" ht="15.75" customHeight="1">
      <c r="B426" s="7"/>
      <c r="C426" s="7"/>
      <c r="D426" s="7"/>
      <c r="E426" s="7"/>
      <c r="F426" s="7"/>
      <c r="G426" s="7"/>
    </row>
    <row r="427" ht="15.75" customHeight="1">
      <c r="B427" s="7"/>
      <c r="C427" s="7"/>
      <c r="D427" s="7"/>
      <c r="E427" s="7"/>
      <c r="F427" s="7"/>
      <c r="G427" s="7"/>
    </row>
    <row r="428" ht="15.75" customHeight="1">
      <c r="B428" s="7"/>
      <c r="C428" s="7"/>
      <c r="D428" s="7"/>
      <c r="E428" s="7"/>
      <c r="F428" s="7"/>
      <c r="G428" s="7"/>
    </row>
    <row r="429" ht="15.75" customHeight="1">
      <c r="B429" s="7"/>
      <c r="C429" s="7"/>
      <c r="D429" s="7"/>
      <c r="E429" s="7"/>
      <c r="F429" s="7"/>
      <c r="G429" s="7"/>
    </row>
    <row r="430" ht="15.75" customHeight="1">
      <c r="B430" s="7"/>
      <c r="C430" s="7"/>
      <c r="D430" s="7"/>
      <c r="E430" s="7"/>
      <c r="F430" s="7"/>
      <c r="G430" s="7"/>
    </row>
    <row r="431" ht="15.75" customHeight="1">
      <c r="B431" s="7"/>
      <c r="C431" s="7"/>
      <c r="D431" s="7"/>
      <c r="E431" s="7"/>
      <c r="F431" s="7"/>
      <c r="G431" s="7"/>
    </row>
    <row r="432" ht="15.75" customHeight="1">
      <c r="B432" s="7"/>
      <c r="C432" s="7"/>
      <c r="D432" s="7"/>
      <c r="E432" s="7"/>
      <c r="F432" s="7"/>
      <c r="G432" s="7"/>
    </row>
    <row r="433" ht="15.75" customHeight="1">
      <c r="B433" s="7"/>
      <c r="C433" s="7"/>
      <c r="D433" s="7"/>
      <c r="E433" s="7"/>
      <c r="F433" s="7"/>
      <c r="G433" s="7"/>
    </row>
    <row r="434" ht="15.75" customHeight="1">
      <c r="B434" s="7"/>
      <c r="C434" s="7"/>
      <c r="D434" s="7"/>
      <c r="E434" s="7"/>
      <c r="F434" s="7"/>
      <c r="G434" s="7"/>
    </row>
    <row r="435" ht="15.75" customHeight="1">
      <c r="B435" s="7"/>
      <c r="C435" s="7"/>
      <c r="D435" s="7"/>
      <c r="E435" s="7"/>
      <c r="F435" s="7"/>
      <c r="G435" s="7"/>
    </row>
    <row r="436" ht="15.75" customHeight="1">
      <c r="B436" s="7"/>
      <c r="C436" s="7"/>
      <c r="D436" s="7"/>
      <c r="E436" s="7"/>
      <c r="F436" s="7"/>
      <c r="G436" s="7"/>
    </row>
    <row r="437" ht="15.75" customHeight="1">
      <c r="B437" s="7"/>
      <c r="C437" s="7"/>
      <c r="D437" s="7"/>
      <c r="E437" s="7"/>
      <c r="F437" s="7"/>
      <c r="G437" s="7"/>
    </row>
    <row r="438" ht="15.75" customHeight="1">
      <c r="B438" s="7"/>
      <c r="C438" s="7"/>
      <c r="D438" s="7"/>
      <c r="E438" s="7"/>
      <c r="F438" s="7"/>
      <c r="G438" s="7"/>
    </row>
    <row r="439" ht="15.75" customHeight="1">
      <c r="B439" s="7"/>
      <c r="C439" s="7"/>
      <c r="D439" s="7"/>
      <c r="E439" s="7"/>
      <c r="F439" s="7"/>
      <c r="G439" s="7"/>
    </row>
    <row r="440" ht="15.75" customHeight="1">
      <c r="B440" s="7"/>
      <c r="C440" s="7"/>
      <c r="D440" s="7"/>
      <c r="E440" s="7"/>
      <c r="F440" s="7"/>
      <c r="G440" s="7"/>
    </row>
    <row r="441" ht="15.75" customHeight="1">
      <c r="B441" s="7"/>
      <c r="C441" s="7"/>
      <c r="D441" s="7"/>
      <c r="E441" s="7"/>
      <c r="F441" s="7"/>
      <c r="G441" s="7"/>
    </row>
    <row r="442" ht="15.75" customHeight="1">
      <c r="B442" s="7"/>
      <c r="C442" s="7"/>
      <c r="D442" s="7"/>
      <c r="E442" s="7"/>
      <c r="F442" s="7"/>
      <c r="G442" s="7"/>
    </row>
    <row r="443" ht="15.75" customHeight="1">
      <c r="B443" s="7"/>
      <c r="C443" s="7"/>
      <c r="D443" s="7"/>
      <c r="E443" s="7"/>
      <c r="F443" s="7"/>
      <c r="G443" s="7"/>
    </row>
    <row r="444" ht="15.75" customHeight="1">
      <c r="B444" s="7"/>
      <c r="C444" s="7"/>
      <c r="D444" s="7"/>
      <c r="E444" s="7"/>
      <c r="F444" s="7"/>
      <c r="G444" s="7"/>
    </row>
    <row r="445" ht="15.75" customHeight="1">
      <c r="B445" s="7"/>
      <c r="C445" s="7"/>
      <c r="D445" s="7"/>
      <c r="E445" s="7"/>
      <c r="F445" s="7"/>
      <c r="G445" s="7"/>
    </row>
    <row r="446" ht="15.75" customHeight="1">
      <c r="B446" s="7"/>
      <c r="C446" s="7"/>
      <c r="D446" s="7"/>
      <c r="E446" s="7"/>
      <c r="F446" s="7"/>
      <c r="G446" s="7"/>
    </row>
    <row r="447" ht="15.75" customHeight="1">
      <c r="B447" s="7"/>
      <c r="C447" s="7"/>
      <c r="D447" s="7"/>
      <c r="E447" s="7"/>
      <c r="F447" s="7"/>
      <c r="G447" s="7"/>
    </row>
    <row r="448" ht="15.75" customHeight="1">
      <c r="B448" s="7"/>
      <c r="C448" s="7"/>
      <c r="D448" s="7"/>
      <c r="E448" s="7"/>
      <c r="F448" s="7"/>
      <c r="G448" s="7"/>
    </row>
    <row r="449" ht="15.75" customHeight="1">
      <c r="B449" s="7"/>
      <c r="C449" s="7"/>
      <c r="D449" s="7"/>
      <c r="E449" s="7"/>
      <c r="F449" s="7"/>
      <c r="G449" s="7"/>
    </row>
    <row r="450" ht="15.75" customHeight="1">
      <c r="B450" s="7"/>
      <c r="C450" s="7"/>
      <c r="D450" s="7"/>
      <c r="E450" s="7"/>
      <c r="F450" s="7"/>
      <c r="G450" s="7"/>
    </row>
    <row r="451" ht="15.75" customHeight="1">
      <c r="B451" s="7"/>
      <c r="C451" s="7"/>
      <c r="D451" s="7"/>
      <c r="E451" s="7"/>
      <c r="F451" s="7"/>
      <c r="G451" s="7"/>
    </row>
    <row r="452" ht="15.75" customHeight="1">
      <c r="B452" s="7"/>
      <c r="C452" s="7"/>
      <c r="D452" s="7"/>
      <c r="E452" s="7"/>
      <c r="F452" s="7"/>
      <c r="G452" s="7"/>
    </row>
    <row r="453" ht="15.75" customHeight="1">
      <c r="B453" s="7"/>
      <c r="C453" s="7"/>
      <c r="D453" s="7"/>
      <c r="E453" s="7"/>
      <c r="F453" s="7"/>
      <c r="G453" s="7"/>
    </row>
    <row r="454" ht="15.75" customHeight="1">
      <c r="B454" s="7"/>
      <c r="C454" s="7"/>
      <c r="D454" s="7"/>
      <c r="E454" s="7"/>
      <c r="F454" s="7"/>
      <c r="G454" s="7"/>
    </row>
    <row r="455" ht="15.75" customHeight="1">
      <c r="B455" s="7"/>
      <c r="C455" s="7"/>
      <c r="D455" s="7"/>
      <c r="E455" s="7"/>
      <c r="F455" s="7"/>
      <c r="G455" s="7"/>
    </row>
    <row r="456" ht="15.75" customHeight="1">
      <c r="B456" s="7"/>
      <c r="C456" s="7"/>
      <c r="D456" s="7"/>
      <c r="E456" s="7"/>
      <c r="F456" s="7"/>
      <c r="G456" s="7"/>
    </row>
    <row r="457" ht="15.75" customHeight="1">
      <c r="B457" s="7"/>
      <c r="C457" s="7"/>
      <c r="D457" s="7"/>
      <c r="E457" s="7"/>
      <c r="F457" s="7"/>
      <c r="G457" s="7"/>
    </row>
    <row r="458" ht="15.75" customHeight="1">
      <c r="B458" s="7"/>
      <c r="C458" s="7"/>
      <c r="D458" s="7"/>
      <c r="E458" s="7"/>
      <c r="F458" s="7"/>
      <c r="G458" s="7"/>
    </row>
    <row r="459" ht="15.75" customHeight="1">
      <c r="B459" s="7"/>
      <c r="C459" s="7"/>
      <c r="D459" s="7"/>
      <c r="E459" s="7"/>
      <c r="F459" s="7"/>
      <c r="G459" s="7"/>
    </row>
    <row r="460" ht="15.75" customHeight="1">
      <c r="B460" s="7"/>
      <c r="C460" s="7"/>
      <c r="D460" s="7"/>
      <c r="E460" s="7"/>
      <c r="F460" s="7"/>
      <c r="G460" s="7"/>
    </row>
    <row r="461" ht="15.75" customHeight="1">
      <c r="B461" s="7"/>
      <c r="C461" s="7"/>
      <c r="D461" s="7"/>
      <c r="E461" s="7"/>
      <c r="F461" s="7"/>
      <c r="G461" s="7"/>
    </row>
    <row r="462" ht="15.75" customHeight="1">
      <c r="B462" s="7"/>
      <c r="C462" s="7"/>
      <c r="D462" s="7"/>
      <c r="E462" s="7"/>
      <c r="F462" s="7"/>
      <c r="G462" s="7"/>
    </row>
    <row r="463" ht="15.75" customHeight="1">
      <c r="B463" s="7"/>
      <c r="C463" s="7"/>
      <c r="D463" s="7"/>
      <c r="E463" s="7"/>
      <c r="F463" s="7"/>
      <c r="G463" s="7"/>
    </row>
    <row r="464" ht="15.75" customHeight="1">
      <c r="B464" s="7"/>
      <c r="C464" s="7"/>
      <c r="D464" s="7"/>
      <c r="E464" s="7"/>
      <c r="F464" s="7"/>
      <c r="G464" s="7"/>
    </row>
    <row r="465" ht="15.75" customHeight="1">
      <c r="B465" s="7"/>
      <c r="C465" s="7"/>
      <c r="D465" s="7"/>
      <c r="E465" s="7"/>
      <c r="F465" s="7"/>
      <c r="G465" s="7"/>
    </row>
    <row r="466" ht="15.75" customHeight="1">
      <c r="B466" s="7"/>
      <c r="C466" s="7"/>
      <c r="D466" s="7"/>
      <c r="E466" s="7"/>
      <c r="F466" s="7"/>
      <c r="G466" s="7"/>
    </row>
    <row r="467" ht="15.75" customHeight="1">
      <c r="B467" s="7"/>
      <c r="C467" s="7"/>
      <c r="D467" s="7"/>
      <c r="E467" s="7"/>
      <c r="F467" s="7"/>
      <c r="G467" s="7"/>
    </row>
    <row r="468" ht="15.75" customHeight="1">
      <c r="B468" s="7"/>
      <c r="C468" s="7"/>
      <c r="D468" s="7"/>
      <c r="E468" s="7"/>
      <c r="F468" s="7"/>
      <c r="G468" s="7"/>
    </row>
    <row r="469" ht="15.75" customHeight="1">
      <c r="B469" s="7"/>
      <c r="C469" s="7"/>
      <c r="D469" s="7"/>
      <c r="E469" s="7"/>
      <c r="F469" s="7"/>
      <c r="G469" s="7"/>
    </row>
    <row r="470" ht="15.75" customHeight="1">
      <c r="B470" s="7"/>
      <c r="C470" s="7"/>
      <c r="D470" s="7"/>
      <c r="E470" s="7"/>
      <c r="F470" s="7"/>
      <c r="G470" s="7"/>
    </row>
    <row r="471" ht="15.75" customHeight="1">
      <c r="B471" s="7"/>
      <c r="C471" s="7"/>
      <c r="D471" s="7"/>
      <c r="E471" s="7"/>
      <c r="F471" s="7"/>
      <c r="G471" s="7"/>
    </row>
    <row r="472" ht="15.75" customHeight="1">
      <c r="B472" s="7"/>
      <c r="C472" s="7"/>
      <c r="D472" s="7"/>
      <c r="E472" s="7"/>
      <c r="F472" s="7"/>
      <c r="G472" s="7"/>
    </row>
    <row r="473" ht="15.75" customHeight="1">
      <c r="B473" s="7"/>
      <c r="C473" s="7"/>
      <c r="D473" s="7"/>
      <c r="E473" s="7"/>
      <c r="F473" s="7"/>
      <c r="G473" s="7"/>
    </row>
    <row r="474" ht="15.75" customHeight="1">
      <c r="B474" s="7"/>
      <c r="C474" s="7"/>
      <c r="D474" s="7"/>
      <c r="E474" s="7"/>
      <c r="F474" s="7"/>
      <c r="G474" s="7"/>
    </row>
    <row r="475" ht="15.75" customHeight="1">
      <c r="B475" s="7"/>
      <c r="C475" s="7"/>
      <c r="D475" s="7"/>
      <c r="E475" s="7"/>
      <c r="F475" s="7"/>
      <c r="G475" s="7"/>
    </row>
    <row r="476" ht="15.75" customHeight="1">
      <c r="B476" s="7"/>
      <c r="C476" s="7"/>
      <c r="D476" s="7"/>
      <c r="E476" s="7"/>
      <c r="F476" s="7"/>
      <c r="G476" s="7"/>
    </row>
    <row r="477" ht="15.75" customHeight="1">
      <c r="B477" s="7"/>
      <c r="C477" s="7"/>
      <c r="D477" s="7"/>
      <c r="E477" s="7"/>
      <c r="F477" s="7"/>
      <c r="G477" s="7"/>
    </row>
    <row r="478" ht="15.75" customHeight="1">
      <c r="B478" s="7"/>
      <c r="C478" s="7"/>
      <c r="D478" s="7"/>
      <c r="E478" s="7"/>
      <c r="F478" s="7"/>
      <c r="G478" s="7"/>
    </row>
    <row r="479" ht="15.75" customHeight="1">
      <c r="B479" s="7"/>
      <c r="C479" s="7"/>
      <c r="D479" s="7"/>
      <c r="E479" s="7"/>
      <c r="F479" s="7"/>
      <c r="G479" s="7"/>
    </row>
    <row r="480" ht="15.75" customHeight="1">
      <c r="B480" s="7"/>
      <c r="C480" s="7"/>
      <c r="D480" s="7"/>
      <c r="E480" s="7"/>
      <c r="F480" s="7"/>
      <c r="G480" s="7"/>
    </row>
    <row r="481" ht="15.75" customHeight="1">
      <c r="B481" s="7"/>
      <c r="C481" s="7"/>
      <c r="D481" s="7"/>
      <c r="E481" s="7"/>
      <c r="F481" s="7"/>
      <c r="G481" s="7"/>
    </row>
    <row r="482" ht="15.75" customHeight="1">
      <c r="B482" s="7"/>
      <c r="C482" s="7"/>
      <c r="D482" s="7"/>
      <c r="E482" s="7"/>
      <c r="F482" s="7"/>
      <c r="G482" s="7"/>
    </row>
    <row r="483" ht="15.75" customHeight="1">
      <c r="B483" s="7"/>
      <c r="C483" s="7"/>
      <c r="D483" s="7"/>
      <c r="E483" s="7"/>
      <c r="F483" s="7"/>
      <c r="G483" s="7"/>
    </row>
    <row r="484" ht="15.75" customHeight="1">
      <c r="B484" s="7"/>
      <c r="C484" s="7"/>
      <c r="D484" s="7"/>
      <c r="E484" s="7"/>
      <c r="F484" s="7"/>
      <c r="G484" s="7"/>
    </row>
    <row r="485" ht="15.75" customHeight="1">
      <c r="B485" s="7"/>
      <c r="C485" s="7"/>
      <c r="D485" s="7"/>
      <c r="E485" s="7"/>
      <c r="F485" s="7"/>
      <c r="G485" s="7"/>
    </row>
    <row r="486" ht="15.75" customHeight="1">
      <c r="B486" s="7"/>
      <c r="C486" s="7"/>
      <c r="D486" s="7"/>
      <c r="E486" s="7"/>
      <c r="F486" s="7"/>
      <c r="G486" s="7"/>
    </row>
    <row r="487" ht="15.75" customHeight="1">
      <c r="B487" s="7"/>
      <c r="C487" s="7"/>
      <c r="D487" s="7"/>
      <c r="E487" s="7"/>
      <c r="F487" s="7"/>
      <c r="G487" s="7"/>
    </row>
    <row r="488" ht="15.75" customHeight="1">
      <c r="B488" s="7"/>
      <c r="C488" s="7"/>
      <c r="D488" s="7"/>
      <c r="E488" s="7"/>
      <c r="F488" s="7"/>
      <c r="G488" s="7"/>
    </row>
    <row r="489" ht="15.75" customHeight="1">
      <c r="B489" s="7"/>
      <c r="C489" s="7"/>
      <c r="D489" s="7"/>
      <c r="E489" s="7"/>
      <c r="F489" s="7"/>
      <c r="G489" s="7"/>
    </row>
    <row r="490" ht="15.75" customHeight="1">
      <c r="B490" s="7"/>
      <c r="C490" s="7"/>
      <c r="D490" s="7"/>
      <c r="E490" s="7"/>
      <c r="F490" s="7"/>
      <c r="G490" s="7"/>
    </row>
    <row r="491" ht="15.75" customHeight="1">
      <c r="B491" s="7"/>
      <c r="C491" s="7"/>
      <c r="D491" s="7"/>
      <c r="E491" s="7"/>
      <c r="F491" s="7"/>
      <c r="G491" s="7"/>
    </row>
    <row r="492" ht="15.75" customHeight="1">
      <c r="B492" s="7"/>
      <c r="C492" s="7"/>
      <c r="D492" s="7"/>
      <c r="E492" s="7"/>
      <c r="F492" s="7"/>
      <c r="G492" s="7"/>
    </row>
    <row r="493" ht="15.75" customHeight="1">
      <c r="B493" s="7"/>
      <c r="C493" s="7"/>
      <c r="D493" s="7"/>
      <c r="E493" s="7"/>
      <c r="F493" s="7"/>
      <c r="G493" s="7"/>
    </row>
    <row r="494" ht="15.75" customHeight="1">
      <c r="B494" s="7"/>
      <c r="C494" s="7"/>
      <c r="D494" s="7"/>
      <c r="E494" s="7"/>
      <c r="F494" s="7"/>
      <c r="G494" s="7"/>
    </row>
    <row r="495" ht="15.75" customHeight="1">
      <c r="B495" s="7"/>
      <c r="C495" s="7"/>
      <c r="D495" s="7"/>
      <c r="E495" s="7"/>
      <c r="F495" s="7"/>
      <c r="G495" s="7"/>
    </row>
    <row r="496" ht="15.75" customHeight="1">
      <c r="B496" s="7"/>
      <c r="C496" s="7"/>
      <c r="D496" s="7"/>
      <c r="E496" s="7"/>
      <c r="F496" s="7"/>
      <c r="G496" s="7"/>
    </row>
    <row r="497" ht="15.75" customHeight="1">
      <c r="B497" s="7"/>
      <c r="C497" s="7"/>
      <c r="D497" s="7"/>
      <c r="E497" s="7"/>
      <c r="F497" s="7"/>
      <c r="G497" s="7"/>
    </row>
    <row r="498" ht="15.75" customHeight="1">
      <c r="B498" s="7"/>
      <c r="C498" s="7"/>
      <c r="D498" s="7"/>
      <c r="E498" s="7"/>
      <c r="F498" s="7"/>
      <c r="G498" s="7"/>
    </row>
    <row r="499" ht="15.75" customHeight="1">
      <c r="B499" s="7"/>
      <c r="C499" s="7"/>
      <c r="D499" s="7"/>
      <c r="E499" s="7"/>
      <c r="F499" s="7"/>
      <c r="G499" s="7"/>
    </row>
    <row r="500" ht="15.75" customHeight="1">
      <c r="B500" s="7"/>
      <c r="C500" s="7"/>
      <c r="D500" s="7"/>
      <c r="E500" s="7"/>
      <c r="F500" s="7"/>
      <c r="G500" s="7"/>
    </row>
    <row r="501" ht="15.75" customHeight="1">
      <c r="B501" s="7"/>
      <c r="C501" s="7"/>
      <c r="D501" s="7"/>
      <c r="E501" s="7"/>
      <c r="F501" s="7"/>
      <c r="G501" s="7"/>
    </row>
    <row r="502" ht="15.75" customHeight="1">
      <c r="B502" s="7"/>
      <c r="C502" s="7"/>
      <c r="D502" s="7"/>
      <c r="E502" s="7"/>
      <c r="F502" s="7"/>
      <c r="G502" s="7"/>
    </row>
    <row r="503" ht="15.75" customHeight="1">
      <c r="B503" s="7"/>
      <c r="C503" s="7"/>
      <c r="D503" s="7"/>
      <c r="E503" s="7"/>
      <c r="F503" s="7"/>
      <c r="G503" s="7"/>
    </row>
    <row r="504" ht="15.75" customHeight="1">
      <c r="B504" s="7"/>
      <c r="C504" s="7"/>
      <c r="D504" s="7"/>
      <c r="E504" s="7"/>
      <c r="F504" s="7"/>
      <c r="G504" s="7"/>
    </row>
    <row r="505" ht="15.75" customHeight="1">
      <c r="B505" s="7"/>
      <c r="C505" s="7"/>
      <c r="D505" s="7"/>
      <c r="E505" s="7"/>
      <c r="F505" s="7"/>
      <c r="G505" s="7"/>
    </row>
    <row r="506" ht="15.75" customHeight="1">
      <c r="B506" s="7"/>
      <c r="C506" s="7"/>
      <c r="D506" s="7"/>
      <c r="E506" s="7"/>
      <c r="F506" s="7"/>
      <c r="G506" s="7"/>
    </row>
    <row r="507" ht="15.75" customHeight="1">
      <c r="B507" s="7"/>
      <c r="C507" s="7"/>
      <c r="D507" s="7"/>
      <c r="E507" s="7"/>
      <c r="F507" s="7"/>
      <c r="G507" s="7"/>
    </row>
    <row r="508" ht="15.75" customHeight="1">
      <c r="B508" s="7"/>
      <c r="C508" s="7"/>
      <c r="D508" s="7"/>
      <c r="E508" s="7"/>
      <c r="F508" s="7"/>
      <c r="G508" s="7"/>
    </row>
    <row r="509" ht="15.75" customHeight="1">
      <c r="B509" s="7"/>
      <c r="C509" s="7"/>
      <c r="D509" s="7"/>
      <c r="E509" s="7"/>
      <c r="F509" s="7"/>
      <c r="G509" s="7"/>
    </row>
    <row r="510" ht="15.75" customHeight="1">
      <c r="B510" s="7"/>
      <c r="C510" s="7"/>
      <c r="D510" s="7"/>
      <c r="E510" s="7"/>
      <c r="F510" s="7"/>
      <c r="G510" s="7"/>
    </row>
    <row r="511" ht="15.75" customHeight="1">
      <c r="B511" s="7"/>
      <c r="C511" s="7"/>
      <c r="D511" s="7"/>
      <c r="E511" s="7"/>
      <c r="F511" s="7"/>
      <c r="G511" s="7"/>
    </row>
    <row r="512" ht="15.75" customHeight="1">
      <c r="B512" s="7"/>
      <c r="C512" s="7"/>
      <c r="D512" s="7"/>
      <c r="E512" s="7"/>
      <c r="F512" s="7"/>
      <c r="G512" s="7"/>
    </row>
    <row r="513" ht="15.75" customHeight="1">
      <c r="B513" s="7"/>
      <c r="C513" s="7"/>
      <c r="D513" s="7"/>
      <c r="E513" s="7"/>
      <c r="F513" s="7"/>
      <c r="G513" s="7"/>
    </row>
    <row r="514" ht="15.75" customHeight="1">
      <c r="B514" s="7"/>
      <c r="C514" s="7"/>
      <c r="D514" s="7"/>
      <c r="E514" s="7"/>
      <c r="F514" s="7"/>
      <c r="G514" s="7"/>
    </row>
    <row r="515" ht="15.75" customHeight="1">
      <c r="B515" s="7"/>
      <c r="C515" s="7"/>
      <c r="D515" s="7"/>
      <c r="E515" s="7"/>
      <c r="F515" s="7"/>
      <c r="G515" s="7"/>
    </row>
    <row r="516" ht="15.75" customHeight="1">
      <c r="B516" s="7"/>
      <c r="C516" s="7"/>
      <c r="D516" s="7"/>
      <c r="E516" s="7"/>
      <c r="F516" s="7"/>
      <c r="G516" s="7"/>
    </row>
    <row r="517" ht="15.75" customHeight="1">
      <c r="B517" s="7"/>
      <c r="C517" s="7"/>
      <c r="D517" s="7"/>
      <c r="E517" s="7"/>
      <c r="F517" s="7"/>
      <c r="G517" s="7"/>
    </row>
    <row r="518" ht="15.75" customHeight="1">
      <c r="B518" s="7"/>
      <c r="C518" s="7"/>
      <c r="D518" s="7"/>
      <c r="E518" s="7"/>
      <c r="F518" s="7"/>
      <c r="G518" s="7"/>
    </row>
    <row r="519" ht="15.75" customHeight="1">
      <c r="B519" s="7"/>
      <c r="C519" s="7"/>
      <c r="D519" s="7"/>
      <c r="E519" s="7"/>
      <c r="F519" s="7"/>
      <c r="G519" s="7"/>
    </row>
    <row r="520" ht="15.75" customHeight="1">
      <c r="B520" s="7"/>
      <c r="C520" s="7"/>
      <c r="D520" s="7"/>
      <c r="E520" s="7"/>
      <c r="F520" s="7"/>
      <c r="G520" s="7"/>
    </row>
    <row r="521" ht="15.75" customHeight="1">
      <c r="B521" s="7"/>
      <c r="C521" s="7"/>
      <c r="D521" s="7"/>
      <c r="E521" s="7"/>
      <c r="F521" s="7"/>
      <c r="G521" s="7"/>
    </row>
    <row r="522" ht="15.75" customHeight="1">
      <c r="B522" s="7"/>
      <c r="C522" s="7"/>
      <c r="D522" s="7"/>
      <c r="E522" s="7"/>
      <c r="F522" s="7"/>
      <c r="G522" s="7"/>
    </row>
    <row r="523" ht="15.75" customHeight="1">
      <c r="B523" s="7"/>
      <c r="C523" s="7"/>
      <c r="D523" s="7"/>
      <c r="E523" s="7"/>
      <c r="F523" s="7"/>
      <c r="G523" s="7"/>
    </row>
    <row r="524" ht="15.75" customHeight="1">
      <c r="B524" s="7"/>
      <c r="C524" s="7"/>
      <c r="D524" s="7"/>
      <c r="E524" s="7"/>
      <c r="F524" s="7"/>
      <c r="G524" s="7"/>
    </row>
    <row r="525" ht="15.75" customHeight="1">
      <c r="B525" s="7"/>
      <c r="C525" s="7"/>
      <c r="D525" s="7"/>
      <c r="E525" s="7"/>
      <c r="F525" s="7"/>
      <c r="G525" s="7"/>
    </row>
    <row r="526" ht="15.75" customHeight="1">
      <c r="B526" s="7"/>
      <c r="C526" s="7"/>
      <c r="D526" s="7"/>
      <c r="E526" s="7"/>
      <c r="F526" s="7"/>
      <c r="G526" s="7"/>
    </row>
    <row r="527" ht="15.75" customHeight="1">
      <c r="B527" s="7"/>
      <c r="C527" s="7"/>
      <c r="D527" s="7"/>
      <c r="E527" s="7"/>
      <c r="F527" s="7"/>
      <c r="G527" s="7"/>
    </row>
    <row r="528" ht="15.75" customHeight="1">
      <c r="B528" s="7"/>
      <c r="C528" s="7"/>
      <c r="D528" s="7"/>
      <c r="E528" s="7"/>
      <c r="F528" s="7"/>
      <c r="G528" s="7"/>
    </row>
    <row r="529" ht="15.75" customHeight="1">
      <c r="B529" s="7"/>
      <c r="C529" s="7"/>
      <c r="D529" s="7"/>
      <c r="E529" s="7"/>
      <c r="F529" s="7"/>
      <c r="G529" s="7"/>
    </row>
    <row r="530" ht="15.75" customHeight="1">
      <c r="B530" s="7"/>
      <c r="C530" s="7"/>
      <c r="D530" s="7"/>
      <c r="E530" s="7"/>
      <c r="F530" s="7"/>
      <c r="G530" s="7"/>
    </row>
    <row r="531" ht="15.75" customHeight="1">
      <c r="B531" s="7"/>
      <c r="C531" s="7"/>
      <c r="D531" s="7"/>
      <c r="E531" s="7"/>
      <c r="F531" s="7"/>
      <c r="G531" s="7"/>
    </row>
    <row r="532" ht="15.75" customHeight="1">
      <c r="B532" s="7"/>
      <c r="C532" s="7"/>
      <c r="D532" s="7"/>
      <c r="E532" s="7"/>
      <c r="F532" s="7"/>
      <c r="G532" s="7"/>
    </row>
    <row r="533" ht="15.75" customHeight="1">
      <c r="B533" s="7"/>
      <c r="C533" s="7"/>
      <c r="D533" s="7"/>
      <c r="E533" s="7"/>
      <c r="F533" s="7"/>
      <c r="G533" s="7"/>
    </row>
    <row r="534" ht="15.75" customHeight="1">
      <c r="B534" s="7"/>
      <c r="C534" s="7"/>
      <c r="D534" s="7"/>
      <c r="E534" s="7"/>
      <c r="F534" s="7"/>
      <c r="G534" s="7"/>
    </row>
    <row r="535" ht="15.75" customHeight="1">
      <c r="B535" s="7"/>
      <c r="C535" s="7"/>
      <c r="D535" s="7"/>
      <c r="E535" s="7"/>
      <c r="F535" s="7"/>
      <c r="G535" s="7"/>
    </row>
    <row r="536" ht="15.75" customHeight="1">
      <c r="B536" s="7"/>
      <c r="C536" s="7"/>
      <c r="D536" s="7"/>
      <c r="E536" s="7"/>
      <c r="F536" s="7"/>
      <c r="G536" s="7"/>
    </row>
    <row r="537" ht="15.75" customHeight="1">
      <c r="B537" s="7"/>
      <c r="C537" s="7"/>
      <c r="D537" s="7"/>
      <c r="E537" s="7"/>
      <c r="F537" s="7"/>
      <c r="G537" s="7"/>
    </row>
    <row r="538" ht="15.75" customHeight="1">
      <c r="B538" s="7"/>
      <c r="C538" s="7"/>
      <c r="D538" s="7"/>
      <c r="E538" s="7"/>
      <c r="F538" s="7"/>
      <c r="G538" s="7"/>
    </row>
    <row r="539" ht="15.75" customHeight="1">
      <c r="B539" s="7"/>
      <c r="C539" s="7"/>
      <c r="D539" s="7"/>
      <c r="E539" s="7"/>
      <c r="F539" s="7"/>
      <c r="G539" s="7"/>
    </row>
    <row r="540" ht="15.75" customHeight="1">
      <c r="B540" s="7"/>
      <c r="C540" s="7"/>
      <c r="D540" s="7"/>
      <c r="E540" s="7"/>
      <c r="F540" s="7"/>
      <c r="G540" s="7"/>
    </row>
    <row r="541" ht="15.75" customHeight="1">
      <c r="B541" s="7"/>
      <c r="C541" s="7"/>
      <c r="D541" s="7"/>
      <c r="E541" s="7"/>
      <c r="F541" s="7"/>
      <c r="G541" s="7"/>
    </row>
    <row r="542" ht="15.75" customHeight="1">
      <c r="B542" s="7"/>
      <c r="C542" s="7"/>
      <c r="D542" s="7"/>
      <c r="E542" s="7"/>
      <c r="F542" s="7"/>
      <c r="G542" s="7"/>
    </row>
    <row r="543" ht="15.75" customHeight="1">
      <c r="B543" s="7"/>
      <c r="C543" s="7"/>
      <c r="D543" s="7"/>
      <c r="E543" s="7"/>
      <c r="F543" s="7"/>
      <c r="G543" s="7"/>
    </row>
    <row r="544" ht="15.75" customHeight="1">
      <c r="B544" s="7"/>
      <c r="C544" s="7"/>
      <c r="D544" s="7"/>
      <c r="E544" s="7"/>
      <c r="F544" s="7"/>
      <c r="G544" s="7"/>
    </row>
    <row r="545" ht="15.75" customHeight="1">
      <c r="B545" s="7"/>
      <c r="C545" s="7"/>
      <c r="D545" s="7"/>
      <c r="E545" s="7"/>
      <c r="F545" s="7"/>
      <c r="G545" s="7"/>
    </row>
    <row r="546" ht="15.75" customHeight="1">
      <c r="B546" s="7"/>
      <c r="C546" s="7"/>
      <c r="D546" s="7"/>
      <c r="E546" s="7"/>
      <c r="F546" s="7"/>
      <c r="G546" s="7"/>
    </row>
    <row r="547" ht="15.75" customHeight="1">
      <c r="B547" s="7"/>
      <c r="C547" s="7"/>
      <c r="D547" s="7"/>
      <c r="E547" s="7"/>
      <c r="F547" s="7"/>
      <c r="G547" s="7"/>
    </row>
    <row r="548" ht="15.75" customHeight="1">
      <c r="B548" s="7"/>
      <c r="C548" s="7"/>
      <c r="D548" s="7"/>
      <c r="E548" s="7"/>
      <c r="F548" s="7"/>
      <c r="G548" s="7"/>
    </row>
    <row r="549" ht="15.75" customHeight="1">
      <c r="B549" s="7"/>
      <c r="C549" s="7"/>
      <c r="D549" s="7"/>
      <c r="E549" s="7"/>
      <c r="F549" s="7"/>
      <c r="G549" s="7"/>
    </row>
    <row r="550" ht="15.75" customHeight="1">
      <c r="B550" s="7"/>
      <c r="C550" s="7"/>
      <c r="D550" s="7"/>
      <c r="E550" s="7"/>
      <c r="F550" s="7"/>
      <c r="G550" s="7"/>
    </row>
    <row r="551" ht="15.75" customHeight="1">
      <c r="B551" s="7"/>
      <c r="C551" s="7"/>
      <c r="D551" s="7"/>
      <c r="E551" s="7"/>
      <c r="F551" s="7"/>
      <c r="G551" s="7"/>
    </row>
    <row r="552" ht="15.75" customHeight="1">
      <c r="B552" s="7"/>
      <c r="C552" s="7"/>
      <c r="D552" s="7"/>
      <c r="E552" s="7"/>
      <c r="F552" s="7"/>
      <c r="G552" s="7"/>
    </row>
    <row r="553" ht="15.75" customHeight="1">
      <c r="B553" s="7"/>
      <c r="C553" s="7"/>
      <c r="D553" s="7"/>
      <c r="E553" s="7"/>
      <c r="F553" s="7"/>
      <c r="G553" s="7"/>
    </row>
    <row r="554" ht="15.75" customHeight="1">
      <c r="B554" s="7"/>
      <c r="C554" s="7"/>
      <c r="D554" s="7"/>
      <c r="E554" s="7"/>
      <c r="F554" s="7"/>
      <c r="G554" s="7"/>
    </row>
    <row r="555" ht="15.75" customHeight="1">
      <c r="B555" s="7"/>
      <c r="C555" s="7"/>
      <c r="D555" s="7"/>
      <c r="E555" s="7"/>
      <c r="F555" s="7"/>
      <c r="G555" s="7"/>
    </row>
    <row r="556" ht="15.75" customHeight="1">
      <c r="B556" s="7"/>
      <c r="C556" s="7"/>
      <c r="D556" s="7"/>
      <c r="E556" s="7"/>
      <c r="F556" s="7"/>
      <c r="G556" s="7"/>
    </row>
    <row r="557" ht="15.75" customHeight="1">
      <c r="B557" s="7"/>
      <c r="C557" s="7"/>
      <c r="D557" s="7"/>
      <c r="E557" s="7"/>
      <c r="F557" s="7"/>
      <c r="G557" s="7"/>
    </row>
    <row r="558" ht="15.75" customHeight="1">
      <c r="B558" s="7"/>
      <c r="C558" s="7"/>
      <c r="D558" s="7"/>
      <c r="E558" s="7"/>
      <c r="F558" s="7"/>
      <c r="G558" s="7"/>
    </row>
    <row r="559" ht="15.75" customHeight="1">
      <c r="B559" s="7"/>
      <c r="C559" s="7"/>
      <c r="D559" s="7"/>
      <c r="E559" s="7"/>
      <c r="F559" s="7"/>
      <c r="G559" s="7"/>
    </row>
    <row r="560" ht="15.75" customHeight="1">
      <c r="B560" s="7"/>
      <c r="C560" s="7"/>
      <c r="D560" s="7"/>
      <c r="E560" s="7"/>
      <c r="F560" s="7"/>
      <c r="G560" s="7"/>
    </row>
    <row r="561" ht="15.75" customHeight="1">
      <c r="B561" s="7"/>
      <c r="C561" s="7"/>
      <c r="D561" s="7"/>
      <c r="E561" s="7"/>
      <c r="F561" s="7"/>
      <c r="G561" s="7"/>
    </row>
    <row r="562" ht="15.75" customHeight="1">
      <c r="B562" s="7"/>
      <c r="C562" s="7"/>
      <c r="D562" s="7"/>
      <c r="E562" s="7"/>
      <c r="F562" s="7"/>
      <c r="G562" s="7"/>
    </row>
    <row r="563" ht="15.75" customHeight="1">
      <c r="B563" s="7"/>
      <c r="C563" s="7"/>
      <c r="D563" s="7"/>
      <c r="E563" s="7"/>
      <c r="F563" s="7"/>
      <c r="G563" s="7"/>
    </row>
    <row r="564" ht="15.75" customHeight="1">
      <c r="B564" s="7"/>
      <c r="C564" s="7"/>
      <c r="D564" s="7"/>
      <c r="E564" s="7"/>
      <c r="F564" s="7"/>
      <c r="G564" s="7"/>
    </row>
    <row r="565" ht="15.75" customHeight="1">
      <c r="B565" s="7"/>
      <c r="C565" s="7"/>
      <c r="D565" s="7"/>
      <c r="E565" s="7"/>
      <c r="F565" s="7"/>
      <c r="G565" s="7"/>
    </row>
    <row r="566" ht="15.75" customHeight="1">
      <c r="B566" s="7"/>
      <c r="C566" s="7"/>
      <c r="D566" s="7"/>
      <c r="E566" s="7"/>
      <c r="F566" s="7"/>
      <c r="G566" s="7"/>
    </row>
    <row r="567" ht="15.75" customHeight="1">
      <c r="B567" s="7"/>
      <c r="C567" s="7"/>
      <c r="D567" s="7"/>
      <c r="E567" s="7"/>
      <c r="F567" s="7"/>
      <c r="G567" s="7"/>
    </row>
    <row r="568" ht="15.75" customHeight="1">
      <c r="B568" s="7"/>
      <c r="C568" s="7"/>
      <c r="D568" s="7"/>
      <c r="E568" s="7"/>
      <c r="F568" s="7"/>
      <c r="G568" s="7"/>
    </row>
    <row r="569" ht="15.75" customHeight="1">
      <c r="B569" s="7"/>
      <c r="C569" s="7"/>
      <c r="D569" s="7"/>
      <c r="E569" s="7"/>
      <c r="F569" s="7"/>
      <c r="G569" s="7"/>
    </row>
    <row r="570" ht="15.75" customHeight="1">
      <c r="B570" s="7"/>
      <c r="C570" s="7"/>
      <c r="D570" s="7"/>
      <c r="E570" s="7"/>
      <c r="F570" s="7"/>
      <c r="G570" s="7"/>
    </row>
    <row r="571" ht="15.75" customHeight="1">
      <c r="B571" s="7"/>
      <c r="C571" s="7"/>
      <c r="D571" s="7"/>
      <c r="E571" s="7"/>
      <c r="F571" s="7"/>
      <c r="G571" s="7"/>
    </row>
    <row r="572" ht="15.75" customHeight="1">
      <c r="B572" s="7"/>
      <c r="C572" s="7"/>
      <c r="D572" s="7"/>
      <c r="E572" s="7"/>
      <c r="F572" s="7"/>
      <c r="G572" s="7"/>
    </row>
    <row r="573" ht="15.75" customHeight="1">
      <c r="B573" s="7"/>
      <c r="C573" s="7"/>
      <c r="D573" s="7"/>
      <c r="E573" s="7"/>
      <c r="F573" s="7"/>
      <c r="G573" s="7"/>
    </row>
    <row r="574" ht="15.75" customHeight="1">
      <c r="B574" s="7"/>
      <c r="C574" s="7"/>
      <c r="D574" s="7"/>
      <c r="E574" s="7"/>
      <c r="F574" s="7"/>
      <c r="G574" s="7"/>
    </row>
    <row r="575" ht="15.75" customHeight="1">
      <c r="B575" s="7"/>
      <c r="C575" s="7"/>
      <c r="D575" s="7"/>
      <c r="E575" s="7"/>
      <c r="F575" s="7"/>
      <c r="G575" s="7"/>
    </row>
    <row r="576" ht="15.75" customHeight="1">
      <c r="B576" s="7"/>
      <c r="C576" s="7"/>
      <c r="D576" s="7"/>
      <c r="E576" s="7"/>
      <c r="F576" s="7"/>
      <c r="G576" s="7"/>
    </row>
    <row r="577" ht="15.75" customHeight="1">
      <c r="B577" s="7"/>
      <c r="C577" s="7"/>
      <c r="D577" s="7"/>
      <c r="E577" s="7"/>
      <c r="F577" s="7"/>
      <c r="G577" s="7"/>
    </row>
    <row r="578" ht="15.75" customHeight="1">
      <c r="B578" s="7"/>
      <c r="C578" s="7"/>
      <c r="D578" s="7"/>
      <c r="E578" s="7"/>
      <c r="F578" s="7"/>
      <c r="G578" s="7"/>
    </row>
    <row r="579" ht="15.75" customHeight="1">
      <c r="B579" s="7"/>
      <c r="C579" s="7"/>
      <c r="D579" s="7"/>
      <c r="E579" s="7"/>
      <c r="F579" s="7"/>
      <c r="G579" s="7"/>
    </row>
    <row r="580" ht="15.75" customHeight="1">
      <c r="B580" s="7"/>
      <c r="C580" s="7"/>
      <c r="D580" s="7"/>
      <c r="E580" s="7"/>
      <c r="F580" s="7"/>
      <c r="G580" s="7"/>
    </row>
    <row r="581" ht="15.75" customHeight="1">
      <c r="B581" s="7"/>
      <c r="C581" s="7"/>
      <c r="D581" s="7"/>
      <c r="E581" s="7"/>
      <c r="F581" s="7"/>
      <c r="G581" s="7"/>
    </row>
    <row r="582" ht="15.75" customHeight="1">
      <c r="B582" s="7"/>
      <c r="C582" s="7"/>
      <c r="D582" s="7"/>
      <c r="E582" s="7"/>
      <c r="F582" s="7"/>
      <c r="G582" s="7"/>
    </row>
    <row r="583" ht="15.75" customHeight="1">
      <c r="B583" s="7"/>
      <c r="C583" s="7"/>
      <c r="D583" s="7"/>
      <c r="E583" s="7"/>
      <c r="F583" s="7"/>
      <c r="G583" s="7"/>
    </row>
    <row r="584" ht="15.75" customHeight="1">
      <c r="B584" s="7"/>
      <c r="C584" s="7"/>
      <c r="D584" s="7"/>
      <c r="E584" s="7"/>
      <c r="F584" s="7"/>
      <c r="G584" s="7"/>
    </row>
    <row r="585" ht="15.75" customHeight="1">
      <c r="B585" s="7"/>
      <c r="C585" s="7"/>
      <c r="D585" s="7"/>
      <c r="E585" s="7"/>
      <c r="F585" s="7"/>
      <c r="G585" s="7"/>
    </row>
    <row r="586" ht="15.75" customHeight="1">
      <c r="B586" s="7"/>
      <c r="C586" s="7"/>
      <c r="D586" s="7"/>
      <c r="E586" s="7"/>
      <c r="F586" s="7"/>
      <c r="G586" s="7"/>
    </row>
    <row r="587" ht="15.75" customHeight="1">
      <c r="B587" s="7"/>
      <c r="C587" s="7"/>
      <c r="D587" s="7"/>
      <c r="E587" s="7"/>
      <c r="F587" s="7"/>
      <c r="G587" s="7"/>
    </row>
    <row r="588" ht="15.75" customHeight="1">
      <c r="B588" s="7"/>
      <c r="C588" s="7"/>
      <c r="D588" s="7"/>
      <c r="E588" s="7"/>
      <c r="F588" s="7"/>
      <c r="G588" s="7"/>
    </row>
    <row r="589" ht="15.75" customHeight="1">
      <c r="B589" s="7"/>
      <c r="C589" s="7"/>
      <c r="D589" s="7"/>
      <c r="E589" s="7"/>
      <c r="F589" s="7"/>
      <c r="G589" s="7"/>
    </row>
    <row r="590" ht="15.75" customHeight="1">
      <c r="B590" s="7"/>
      <c r="C590" s="7"/>
      <c r="D590" s="7"/>
      <c r="E590" s="7"/>
      <c r="F590" s="7"/>
      <c r="G590" s="7"/>
    </row>
    <row r="591" ht="15.75" customHeight="1">
      <c r="B591" s="7"/>
      <c r="C591" s="7"/>
      <c r="D591" s="7"/>
      <c r="E591" s="7"/>
      <c r="F591" s="7"/>
      <c r="G591" s="7"/>
    </row>
    <row r="592" ht="15.75" customHeight="1">
      <c r="B592" s="7"/>
      <c r="C592" s="7"/>
      <c r="D592" s="7"/>
      <c r="E592" s="7"/>
      <c r="F592" s="7"/>
      <c r="G592" s="7"/>
    </row>
    <row r="593" ht="15.75" customHeight="1">
      <c r="B593" s="7"/>
      <c r="C593" s="7"/>
      <c r="D593" s="7"/>
      <c r="E593" s="7"/>
      <c r="F593" s="7"/>
      <c r="G593" s="7"/>
    </row>
    <row r="594" ht="15.75" customHeight="1">
      <c r="B594" s="7"/>
      <c r="C594" s="7"/>
      <c r="D594" s="7"/>
      <c r="E594" s="7"/>
      <c r="F594" s="7"/>
      <c r="G594" s="7"/>
    </row>
    <row r="595" ht="15.75" customHeight="1">
      <c r="B595" s="7"/>
      <c r="C595" s="7"/>
      <c r="D595" s="7"/>
      <c r="E595" s="7"/>
      <c r="F595" s="7"/>
      <c r="G595" s="7"/>
    </row>
    <row r="596" ht="15.75" customHeight="1">
      <c r="B596" s="7"/>
      <c r="C596" s="7"/>
      <c r="D596" s="7"/>
      <c r="E596" s="7"/>
      <c r="F596" s="7"/>
      <c r="G596" s="7"/>
    </row>
    <row r="597" ht="15.75" customHeight="1">
      <c r="B597" s="7"/>
      <c r="C597" s="7"/>
      <c r="D597" s="7"/>
      <c r="E597" s="7"/>
      <c r="F597" s="7"/>
      <c r="G597" s="7"/>
    </row>
    <row r="598" ht="15.75" customHeight="1">
      <c r="B598" s="7"/>
      <c r="C598" s="7"/>
      <c r="D598" s="7"/>
      <c r="E598" s="7"/>
      <c r="F598" s="7"/>
      <c r="G598" s="7"/>
    </row>
    <row r="599" ht="15.75" customHeight="1">
      <c r="B599" s="7"/>
      <c r="C599" s="7"/>
      <c r="D599" s="7"/>
      <c r="E599" s="7"/>
      <c r="F599" s="7"/>
      <c r="G599" s="7"/>
    </row>
    <row r="600" ht="15.75" customHeight="1">
      <c r="B600" s="7"/>
      <c r="C600" s="7"/>
      <c r="D600" s="7"/>
      <c r="E600" s="7"/>
      <c r="F600" s="7"/>
      <c r="G600" s="7"/>
    </row>
    <row r="601" ht="15.75" customHeight="1">
      <c r="B601" s="7"/>
      <c r="C601" s="7"/>
      <c r="D601" s="7"/>
      <c r="E601" s="7"/>
      <c r="F601" s="7"/>
      <c r="G601" s="7"/>
    </row>
    <row r="602" ht="15.75" customHeight="1">
      <c r="B602" s="7"/>
      <c r="C602" s="7"/>
      <c r="D602" s="7"/>
      <c r="E602" s="7"/>
      <c r="F602" s="7"/>
      <c r="G602" s="7"/>
    </row>
    <row r="603" ht="15.75" customHeight="1">
      <c r="B603" s="7"/>
      <c r="C603" s="7"/>
      <c r="D603" s="7"/>
      <c r="E603" s="7"/>
      <c r="F603" s="7"/>
      <c r="G603" s="7"/>
    </row>
    <row r="604" ht="15.75" customHeight="1">
      <c r="B604" s="7"/>
      <c r="C604" s="7"/>
      <c r="D604" s="7"/>
      <c r="E604" s="7"/>
      <c r="F604" s="7"/>
      <c r="G604" s="7"/>
    </row>
    <row r="605" ht="15.75" customHeight="1">
      <c r="B605" s="7"/>
      <c r="C605" s="7"/>
      <c r="D605" s="7"/>
      <c r="E605" s="7"/>
      <c r="F605" s="7"/>
      <c r="G605" s="7"/>
    </row>
    <row r="606" ht="15.75" customHeight="1">
      <c r="B606" s="7"/>
      <c r="C606" s="7"/>
      <c r="D606" s="7"/>
      <c r="E606" s="7"/>
      <c r="F606" s="7"/>
      <c r="G606" s="7"/>
    </row>
    <row r="607" ht="15.75" customHeight="1">
      <c r="B607" s="7"/>
      <c r="C607" s="7"/>
      <c r="D607" s="7"/>
      <c r="E607" s="7"/>
      <c r="F607" s="7"/>
      <c r="G607" s="7"/>
    </row>
    <row r="608" ht="15.75" customHeight="1">
      <c r="B608" s="7"/>
      <c r="C608" s="7"/>
      <c r="D608" s="7"/>
      <c r="E608" s="7"/>
      <c r="F608" s="7"/>
      <c r="G608" s="7"/>
    </row>
    <row r="609" ht="15.75" customHeight="1">
      <c r="B609" s="7"/>
      <c r="C609" s="7"/>
      <c r="D609" s="7"/>
      <c r="E609" s="7"/>
      <c r="F609" s="7"/>
      <c r="G609" s="7"/>
    </row>
    <row r="610" ht="15.75" customHeight="1">
      <c r="B610" s="7"/>
      <c r="C610" s="7"/>
      <c r="D610" s="7"/>
      <c r="E610" s="7"/>
      <c r="F610" s="7"/>
      <c r="G610" s="7"/>
    </row>
    <row r="611" ht="15.75" customHeight="1">
      <c r="B611" s="7"/>
      <c r="C611" s="7"/>
      <c r="D611" s="7"/>
      <c r="E611" s="7"/>
      <c r="F611" s="7"/>
      <c r="G611" s="7"/>
    </row>
    <row r="612" ht="15.75" customHeight="1">
      <c r="B612" s="7"/>
      <c r="C612" s="7"/>
      <c r="D612" s="7"/>
      <c r="E612" s="7"/>
      <c r="F612" s="7"/>
      <c r="G612" s="7"/>
    </row>
    <row r="613" ht="15.75" customHeight="1">
      <c r="B613" s="7"/>
      <c r="C613" s="7"/>
      <c r="D613" s="7"/>
      <c r="E613" s="7"/>
      <c r="F613" s="7"/>
      <c r="G613" s="7"/>
    </row>
    <row r="614" ht="15.75" customHeight="1">
      <c r="B614" s="7"/>
      <c r="C614" s="7"/>
      <c r="D614" s="7"/>
      <c r="E614" s="7"/>
      <c r="F614" s="7"/>
      <c r="G614" s="7"/>
    </row>
    <row r="615" ht="15.75" customHeight="1">
      <c r="B615" s="7"/>
      <c r="C615" s="7"/>
      <c r="D615" s="7"/>
      <c r="E615" s="7"/>
      <c r="F615" s="7"/>
      <c r="G615" s="7"/>
    </row>
    <row r="616" ht="15.75" customHeight="1">
      <c r="B616" s="7"/>
      <c r="C616" s="7"/>
      <c r="D616" s="7"/>
      <c r="E616" s="7"/>
      <c r="F616" s="7"/>
      <c r="G616" s="7"/>
    </row>
    <row r="617" ht="15.75" customHeight="1">
      <c r="B617" s="7"/>
      <c r="C617" s="7"/>
      <c r="D617" s="7"/>
      <c r="E617" s="7"/>
      <c r="F617" s="7"/>
      <c r="G617" s="7"/>
    </row>
    <row r="618" ht="15.75" customHeight="1">
      <c r="B618" s="7"/>
      <c r="C618" s="7"/>
      <c r="D618" s="7"/>
      <c r="E618" s="7"/>
      <c r="F618" s="7"/>
      <c r="G618" s="7"/>
    </row>
    <row r="619" ht="15.75" customHeight="1">
      <c r="B619" s="7"/>
      <c r="C619" s="7"/>
      <c r="D619" s="7"/>
      <c r="E619" s="7"/>
      <c r="F619" s="7"/>
      <c r="G619" s="7"/>
    </row>
    <row r="620" ht="15.75" customHeight="1">
      <c r="B620" s="7"/>
      <c r="C620" s="7"/>
      <c r="D620" s="7"/>
      <c r="E620" s="7"/>
      <c r="F620" s="7"/>
      <c r="G620" s="7"/>
    </row>
    <row r="621" ht="15.75" customHeight="1">
      <c r="B621" s="7"/>
      <c r="C621" s="7"/>
      <c r="D621" s="7"/>
      <c r="E621" s="7"/>
      <c r="F621" s="7"/>
      <c r="G621" s="7"/>
    </row>
    <row r="622" ht="15.75" customHeight="1">
      <c r="B622" s="7"/>
      <c r="C622" s="7"/>
      <c r="D622" s="7"/>
      <c r="E622" s="7"/>
      <c r="F622" s="7"/>
      <c r="G622" s="7"/>
    </row>
    <row r="623" ht="15.75" customHeight="1">
      <c r="B623" s="7"/>
      <c r="C623" s="7"/>
      <c r="D623" s="7"/>
      <c r="E623" s="7"/>
      <c r="F623" s="7"/>
      <c r="G623" s="7"/>
    </row>
    <row r="624" ht="15.75" customHeight="1">
      <c r="B624" s="7"/>
      <c r="C624" s="7"/>
      <c r="D624" s="7"/>
      <c r="E624" s="7"/>
      <c r="F624" s="7"/>
      <c r="G624" s="7"/>
    </row>
    <row r="625" ht="15.75" customHeight="1">
      <c r="B625" s="7"/>
      <c r="C625" s="7"/>
      <c r="D625" s="7"/>
      <c r="E625" s="7"/>
      <c r="F625" s="7"/>
      <c r="G625" s="7"/>
    </row>
    <row r="626" ht="15.75" customHeight="1">
      <c r="B626" s="7"/>
      <c r="C626" s="7"/>
      <c r="D626" s="7"/>
      <c r="E626" s="7"/>
      <c r="F626" s="7"/>
      <c r="G626" s="7"/>
    </row>
    <row r="627" ht="15.75" customHeight="1">
      <c r="B627" s="7"/>
      <c r="C627" s="7"/>
      <c r="D627" s="7"/>
      <c r="E627" s="7"/>
      <c r="F627" s="7"/>
      <c r="G627" s="7"/>
    </row>
    <row r="628" ht="15.75" customHeight="1">
      <c r="B628" s="7"/>
      <c r="C628" s="7"/>
      <c r="D628" s="7"/>
      <c r="E628" s="7"/>
      <c r="F628" s="7"/>
      <c r="G628" s="7"/>
    </row>
    <row r="629" ht="15.75" customHeight="1">
      <c r="B629" s="7"/>
      <c r="C629" s="7"/>
      <c r="D629" s="7"/>
      <c r="E629" s="7"/>
      <c r="F629" s="7"/>
      <c r="G629" s="7"/>
    </row>
    <row r="630" ht="15.75" customHeight="1">
      <c r="B630" s="7"/>
      <c r="C630" s="7"/>
      <c r="D630" s="7"/>
      <c r="E630" s="7"/>
      <c r="F630" s="7"/>
      <c r="G630" s="7"/>
    </row>
    <row r="631" ht="15.75" customHeight="1">
      <c r="B631" s="7"/>
      <c r="C631" s="7"/>
      <c r="D631" s="7"/>
      <c r="E631" s="7"/>
      <c r="F631" s="7"/>
      <c r="G631" s="7"/>
    </row>
    <row r="632" ht="15.75" customHeight="1">
      <c r="B632" s="7"/>
      <c r="C632" s="7"/>
      <c r="D632" s="7"/>
      <c r="E632" s="7"/>
      <c r="F632" s="7"/>
      <c r="G632" s="7"/>
    </row>
    <row r="633" ht="15.75" customHeight="1">
      <c r="B633" s="7"/>
      <c r="C633" s="7"/>
      <c r="D633" s="7"/>
      <c r="E633" s="7"/>
      <c r="F633" s="7"/>
      <c r="G633" s="7"/>
    </row>
    <row r="634" ht="15.75" customHeight="1">
      <c r="B634" s="7"/>
      <c r="C634" s="7"/>
      <c r="D634" s="7"/>
      <c r="E634" s="7"/>
      <c r="F634" s="7"/>
      <c r="G634" s="7"/>
    </row>
    <row r="635" ht="15.75" customHeight="1">
      <c r="B635" s="7"/>
      <c r="C635" s="7"/>
      <c r="D635" s="7"/>
      <c r="E635" s="7"/>
      <c r="F635" s="7"/>
      <c r="G635" s="7"/>
    </row>
    <row r="636" ht="15.75" customHeight="1">
      <c r="B636" s="7"/>
      <c r="C636" s="7"/>
      <c r="D636" s="7"/>
      <c r="E636" s="7"/>
      <c r="F636" s="7"/>
      <c r="G636" s="7"/>
    </row>
    <row r="637" ht="15.75" customHeight="1">
      <c r="B637" s="7"/>
      <c r="C637" s="7"/>
      <c r="D637" s="7"/>
      <c r="E637" s="7"/>
      <c r="F637" s="7"/>
      <c r="G637" s="7"/>
    </row>
    <row r="638" ht="15.75" customHeight="1">
      <c r="B638" s="7"/>
      <c r="C638" s="7"/>
      <c r="D638" s="7"/>
      <c r="E638" s="7"/>
      <c r="F638" s="7"/>
      <c r="G638" s="7"/>
    </row>
    <row r="639" ht="15.75" customHeight="1">
      <c r="B639" s="7"/>
      <c r="C639" s="7"/>
      <c r="D639" s="7"/>
      <c r="E639" s="7"/>
      <c r="F639" s="7"/>
      <c r="G639" s="7"/>
    </row>
    <row r="640" ht="15.75" customHeight="1">
      <c r="B640" s="7"/>
      <c r="C640" s="7"/>
      <c r="D640" s="7"/>
      <c r="E640" s="7"/>
      <c r="F640" s="7"/>
      <c r="G640" s="7"/>
    </row>
    <row r="641" ht="15.75" customHeight="1">
      <c r="B641" s="7"/>
      <c r="C641" s="7"/>
      <c r="D641" s="7"/>
      <c r="E641" s="7"/>
      <c r="F641" s="7"/>
      <c r="G641" s="7"/>
    </row>
    <row r="642" ht="15.75" customHeight="1">
      <c r="B642" s="7"/>
      <c r="C642" s="7"/>
      <c r="D642" s="7"/>
      <c r="E642" s="7"/>
      <c r="F642" s="7"/>
      <c r="G642" s="7"/>
    </row>
    <row r="643" ht="15.75" customHeight="1">
      <c r="B643" s="7"/>
      <c r="C643" s="7"/>
      <c r="D643" s="7"/>
      <c r="E643" s="7"/>
      <c r="F643" s="7"/>
      <c r="G643" s="7"/>
    </row>
    <row r="644" ht="15.75" customHeight="1">
      <c r="B644" s="7"/>
      <c r="C644" s="7"/>
      <c r="D644" s="7"/>
      <c r="E644" s="7"/>
      <c r="F644" s="7"/>
      <c r="G644" s="7"/>
    </row>
    <row r="645" ht="15.75" customHeight="1">
      <c r="B645" s="7"/>
      <c r="C645" s="7"/>
      <c r="D645" s="7"/>
      <c r="E645" s="7"/>
      <c r="F645" s="7"/>
      <c r="G645" s="7"/>
    </row>
    <row r="646" ht="15.75" customHeight="1">
      <c r="B646" s="7"/>
      <c r="C646" s="7"/>
      <c r="D646" s="7"/>
      <c r="E646" s="7"/>
      <c r="F646" s="7"/>
      <c r="G646" s="7"/>
    </row>
    <row r="647" ht="15.75" customHeight="1">
      <c r="B647" s="7"/>
      <c r="C647" s="7"/>
      <c r="D647" s="7"/>
      <c r="E647" s="7"/>
      <c r="F647" s="7"/>
      <c r="G647" s="7"/>
    </row>
    <row r="648" ht="15.75" customHeight="1">
      <c r="B648" s="7"/>
      <c r="C648" s="7"/>
      <c r="D648" s="7"/>
      <c r="E648" s="7"/>
      <c r="F648" s="7"/>
      <c r="G648" s="7"/>
    </row>
    <row r="649" ht="15.75" customHeight="1">
      <c r="B649" s="7"/>
      <c r="C649" s="7"/>
      <c r="D649" s="7"/>
      <c r="E649" s="7"/>
      <c r="F649" s="7"/>
      <c r="G649" s="7"/>
    </row>
    <row r="650" ht="15.75" customHeight="1">
      <c r="B650" s="7"/>
      <c r="C650" s="7"/>
      <c r="D650" s="7"/>
      <c r="E650" s="7"/>
      <c r="F650" s="7"/>
      <c r="G650" s="7"/>
    </row>
    <row r="651" ht="15.75" customHeight="1">
      <c r="B651" s="7"/>
      <c r="C651" s="7"/>
      <c r="D651" s="7"/>
      <c r="E651" s="7"/>
      <c r="F651" s="7"/>
      <c r="G651" s="7"/>
    </row>
    <row r="652" ht="15.75" customHeight="1">
      <c r="B652" s="7"/>
      <c r="C652" s="7"/>
      <c r="D652" s="7"/>
      <c r="E652" s="7"/>
      <c r="F652" s="7"/>
      <c r="G652" s="7"/>
    </row>
    <row r="653" ht="15.75" customHeight="1">
      <c r="B653" s="7"/>
      <c r="C653" s="7"/>
      <c r="D653" s="7"/>
      <c r="E653" s="7"/>
      <c r="F653" s="7"/>
      <c r="G653" s="7"/>
    </row>
    <row r="654" ht="15.75" customHeight="1">
      <c r="B654" s="7"/>
      <c r="C654" s="7"/>
      <c r="D654" s="7"/>
      <c r="E654" s="7"/>
      <c r="F654" s="7"/>
      <c r="G654" s="7"/>
    </row>
    <row r="655" ht="15.75" customHeight="1">
      <c r="B655" s="7"/>
      <c r="C655" s="7"/>
      <c r="D655" s="7"/>
      <c r="E655" s="7"/>
      <c r="F655" s="7"/>
      <c r="G655" s="7"/>
    </row>
    <row r="656" ht="15.75" customHeight="1">
      <c r="B656" s="7"/>
      <c r="C656" s="7"/>
      <c r="D656" s="7"/>
      <c r="E656" s="7"/>
      <c r="F656" s="7"/>
      <c r="G656" s="7"/>
    </row>
    <row r="657" ht="15.75" customHeight="1">
      <c r="B657" s="7"/>
      <c r="C657" s="7"/>
      <c r="D657" s="7"/>
      <c r="E657" s="7"/>
      <c r="F657" s="7"/>
      <c r="G657" s="7"/>
    </row>
    <row r="658" ht="15.75" customHeight="1">
      <c r="B658" s="7"/>
      <c r="C658" s="7"/>
      <c r="D658" s="7"/>
      <c r="E658" s="7"/>
      <c r="F658" s="7"/>
      <c r="G658" s="7"/>
    </row>
    <row r="659" ht="15.75" customHeight="1">
      <c r="B659" s="7"/>
      <c r="C659" s="7"/>
      <c r="D659" s="7"/>
      <c r="E659" s="7"/>
      <c r="F659" s="7"/>
      <c r="G659" s="7"/>
    </row>
    <row r="660" ht="15.75" customHeight="1">
      <c r="B660" s="7"/>
      <c r="C660" s="7"/>
      <c r="D660" s="7"/>
      <c r="E660" s="7"/>
      <c r="F660" s="7"/>
      <c r="G660" s="7"/>
    </row>
    <row r="661" ht="15.75" customHeight="1">
      <c r="B661" s="7"/>
      <c r="C661" s="7"/>
      <c r="D661" s="7"/>
      <c r="E661" s="7"/>
      <c r="F661" s="7"/>
      <c r="G661" s="7"/>
    </row>
    <row r="662" ht="15.75" customHeight="1">
      <c r="B662" s="7"/>
      <c r="C662" s="7"/>
      <c r="D662" s="7"/>
      <c r="E662" s="7"/>
      <c r="F662" s="7"/>
      <c r="G662" s="7"/>
    </row>
    <row r="663" ht="15.75" customHeight="1">
      <c r="B663" s="7"/>
      <c r="C663" s="7"/>
      <c r="D663" s="7"/>
      <c r="E663" s="7"/>
      <c r="F663" s="7"/>
      <c r="G663" s="7"/>
    </row>
    <row r="664" ht="15.75" customHeight="1">
      <c r="B664" s="7"/>
      <c r="C664" s="7"/>
      <c r="D664" s="7"/>
      <c r="E664" s="7"/>
      <c r="F664" s="7"/>
      <c r="G664" s="7"/>
    </row>
    <row r="665" ht="15.75" customHeight="1">
      <c r="B665" s="7"/>
      <c r="C665" s="7"/>
      <c r="D665" s="7"/>
      <c r="E665" s="7"/>
      <c r="F665" s="7"/>
      <c r="G665" s="7"/>
    </row>
    <row r="666" ht="15.75" customHeight="1">
      <c r="B666" s="7"/>
      <c r="C666" s="7"/>
      <c r="D666" s="7"/>
      <c r="E666" s="7"/>
      <c r="F666" s="7"/>
      <c r="G666" s="7"/>
    </row>
    <row r="667" ht="15.75" customHeight="1">
      <c r="B667" s="7"/>
      <c r="C667" s="7"/>
      <c r="D667" s="7"/>
      <c r="E667" s="7"/>
      <c r="F667" s="7"/>
      <c r="G667" s="7"/>
    </row>
    <row r="668" ht="15.75" customHeight="1">
      <c r="B668" s="7"/>
      <c r="C668" s="7"/>
      <c r="D668" s="7"/>
      <c r="E668" s="7"/>
      <c r="F668" s="7"/>
      <c r="G668" s="7"/>
    </row>
    <row r="669" ht="15.75" customHeight="1">
      <c r="B669" s="7"/>
      <c r="C669" s="7"/>
      <c r="D669" s="7"/>
      <c r="E669" s="7"/>
      <c r="F669" s="7"/>
      <c r="G669" s="7"/>
    </row>
    <row r="670" ht="15.75" customHeight="1">
      <c r="B670" s="7"/>
      <c r="C670" s="7"/>
      <c r="D670" s="7"/>
      <c r="E670" s="7"/>
      <c r="F670" s="7"/>
      <c r="G670" s="7"/>
    </row>
    <row r="671" ht="15.75" customHeight="1">
      <c r="B671" s="7"/>
      <c r="C671" s="7"/>
      <c r="D671" s="7"/>
      <c r="E671" s="7"/>
      <c r="F671" s="7"/>
      <c r="G671" s="7"/>
    </row>
    <row r="672" ht="15.75" customHeight="1">
      <c r="B672" s="7"/>
      <c r="C672" s="7"/>
      <c r="D672" s="7"/>
      <c r="E672" s="7"/>
      <c r="F672" s="7"/>
      <c r="G672" s="7"/>
    </row>
    <row r="673" ht="15.75" customHeight="1">
      <c r="B673" s="7"/>
      <c r="C673" s="7"/>
      <c r="D673" s="7"/>
      <c r="E673" s="7"/>
      <c r="F673" s="7"/>
      <c r="G673" s="7"/>
    </row>
    <row r="674" ht="15.75" customHeight="1">
      <c r="B674" s="7"/>
      <c r="C674" s="7"/>
      <c r="D674" s="7"/>
      <c r="E674" s="7"/>
      <c r="F674" s="7"/>
      <c r="G674" s="7"/>
    </row>
    <row r="675" ht="15.75" customHeight="1">
      <c r="B675" s="7"/>
      <c r="C675" s="7"/>
      <c r="D675" s="7"/>
      <c r="E675" s="7"/>
      <c r="F675" s="7"/>
      <c r="G675" s="7"/>
    </row>
    <row r="676" ht="15.75" customHeight="1">
      <c r="B676" s="7"/>
      <c r="C676" s="7"/>
      <c r="D676" s="7"/>
      <c r="E676" s="7"/>
      <c r="F676" s="7"/>
      <c r="G676" s="7"/>
    </row>
    <row r="677" ht="15.75" customHeight="1">
      <c r="B677" s="7"/>
      <c r="C677" s="7"/>
      <c r="D677" s="7"/>
      <c r="E677" s="7"/>
      <c r="F677" s="7"/>
      <c r="G677" s="7"/>
    </row>
    <row r="678" ht="15.75" customHeight="1">
      <c r="B678" s="7"/>
      <c r="C678" s="7"/>
      <c r="D678" s="7"/>
      <c r="E678" s="7"/>
      <c r="F678" s="7"/>
      <c r="G678" s="7"/>
    </row>
    <row r="679" ht="15.75" customHeight="1">
      <c r="B679" s="7"/>
      <c r="C679" s="7"/>
      <c r="D679" s="7"/>
      <c r="E679" s="7"/>
      <c r="F679" s="7"/>
      <c r="G679" s="7"/>
    </row>
    <row r="680" ht="15.75" customHeight="1">
      <c r="B680" s="7"/>
      <c r="C680" s="7"/>
      <c r="D680" s="7"/>
      <c r="E680" s="7"/>
      <c r="F680" s="7"/>
      <c r="G680" s="7"/>
    </row>
    <row r="681" ht="15.75" customHeight="1">
      <c r="B681" s="7"/>
      <c r="C681" s="7"/>
      <c r="D681" s="7"/>
      <c r="E681" s="7"/>
      <c r="F681" s="7"/>
      <c r="G681" s="7"/>
    </row>
    <row r="682" ht="15.75" customHeight="1">
      <c r="B682" s="7"/>
      <c r="C682" s="7"/>
      <c r="D682" s="7"/>
      <c r="E682" s="7"/>
      <c r="F682" s="7"/>
      <c r="G682" s="7"/>
    </row>
    <row r="683" ht="15.75" customHeight="1">
      <c r="B683" s="7"/>
      <c r="C683" s="7"/>
      <c r="D683" s="7"/>
      <c r="E683" s="7"/>
      <c r="F683" s="7"/>
      <c r="G683" s="7"/>
    </row>
    <row r="684" ht="15.75" customHeight="1">
      <c r="B684" s="7"/>
      <c r="C684" s="7"/>
      <c r="D684" s="7"/>
      <c r="E684" s="7"/>
      <c r="F684" s="7"/>
      <c r="G684" s="7"/>
    </row>
    <row r="685" ht="15.75" customHeight="1">
      <c r="B685" s="7"/>
      <c r="C685" s="7"/>
      <c r="D685" s="7"/>
      <c r="E685" s="7"/>
      <c r="F685" s="7"/>
      <c r="G685" s="7"/>
    </row>
    <row r="686" ht="15.75" customHeight="1">
      <c r="B686" s="7"/>
      <c r="C686" s="7"/>
      <c r="D686" s="7"/>
      <c r="E686" s="7"/>
      <c r="F686" s="7"/>
      <c r="G686" s="7"/>
    </row>
    <row r="687" ht="15.75" customHeight="1">
      <c r="B687" s="7"/>
      <c r="C687" s="7"/>
      <c r="D687" s="7"/>
      <c r="E687" s="7"/>
      <c r="F687" s="7"/>
      <c r="G687" s="7"/>
    </row>
    <row r="688" ht="15.75" customHeight="1">
      <c r="B688" s="7"/>
      <c r="C688" s="7"/>
      <c r="D688" s="7"/>
      <c r="E688" s="7"/>
      <c r="F688" s="7"/>
      <c r="G688" s="7"/>
    </row>
    <row r="689" ht="15.75" customHeight="1">
      <c r="B689" s="7"/>
      <c r="C689" s="7"/>
      <c r="D689" s="7"/>
      <c r="E689" s="7"/>
      <c r="F689" s="7"/>
      <c r="G689" s="7"/>
    </row>
    <row r="690" ht="15.75" customHeight="1">
      <c r="B690" s="7"/>
      <c r="C690" s="7"/>
      <c r="D690" s="7"/>
      <c r="E690" s="7"/>
      <c r="F690" s="7"/>
      <c r="G690" s="7"/>
    </row>
    <row r="691" ht="15.75" customHeight="1">
      <c r="B691" s="7"/>
      <c r="C691" s="7"/>
      <c r="D691" s="7"/>
      <c r="E691" s="7"/>
      <c r="F691" s="7"/>
      <c r="G691" s="7"/>
    </row>
    <row r="692" ht="15.75" customHeight="1">
      <c r="B692" s="7"/>
      <c r="C692" s="7"/>
      <c r="D692" s="7"/>
      <c r="E692" s="7"/>
      <c r="F692" s="7"/>
      <c r="G692" s="7"/>
    </row>
    <row r="693" ht="15.75" customHeight="1">
      <c r="B693" s="7"/>
      <c r="C693" s="7"/>
      <c r="D693" s="7"/>
      <c r="E693" s="7"/>
      <c r="F693" s="7"/>
      <c r="G693" s="7"/>
    </row>
    <row r="694" ht="15.75" customHeight="1">
      <c r="B694" s="7"/>
      <c r="C694" s="7"/>
      <c r="D694" s="7"/>
      <c r="E694" s="7"/>
      <c r="F694" s="7"/>
      <c r="G694" s="7"/>
    </row>
    <row r="695" ht="15.75" customHeight="1">
      <c r="B695" s="7"/>
      <c r="C695" s="7"/>
      <c r="D695" s="7"/>
      <c r="E695" s="7"/>
      <c r="F695" s="7"/>
      <c r="G695" s="7"/>
    </row>
    <row r="696" ht="15.75" customHeight="1">
      <c r="B696" s="7"/>
      <c r="C696" s="7"/>
      <c r="D696" s="7"/>
      <c r="E696" s="7"/>
      <c r="F696" s="7"/>
      <c r="G696" s="7"/>
    </row>
    <row r="697" ht="15.75" customHeight="1">
      <c r="B697" s="7"/>
      <c r="C697" s="7"/>
      <c r="D697" s="7"/>
      <c r="E697" s="7"/>
      <c r="F697" s="7"/>
      <c r="G697" s="7"/>
    </row>
    <row r="698" ht="15.75" customHeight="1">
      <c r="B698" s="7"/>
      <c r="C698" s="7"/>
      <c r="D698" s="7"/>
      <c r="E698" s="7"/>
      <c r="F698" s="7"/>
      <c r="G698" s="7"/>
    </row>
    <row r="699" ht="15.75" customHeight="1">
      <c r="B699" s="7"/>
      <c r="C699" s="7"/>
      <c r="D699" s="7"/>
      <c r="E699" s="7"/>
      <c r="F699" s="7"/>
      <c r="G699" s="7"/>
    </row>
    <row r="700" ht="15.75" customHeight="1">
      <c r="B700" s="7"/>
      <c r="C700" s="7"/>
      <c r="D700" s="7"/>
      <c r="E700" s="7"/>
      <c r="F700" s="7"/>
      <c r="G700" s="7"/>
    </row>
    <row r="701" ht="15.75" customHeight="1">
      <c r="B701" s="7"/>
      <c r="C701" s="7"/>
      <c r="D701" s="7"/>
      <c r="E701" s="7"/>
      <c r="F701" s="7"/>
      <c r="G701" s="7"/>
    </row>
    <row r="702" ht="15.75" customHeight="1">
      <c r="B702" s="7"/>
      <c r="C702" s="7"/>
      <c r="D702" s="7"/>
      <c r="E702" s="7"/>
      <c r="F702" s="7"/>
      <c r="G702" s="7"/>
    </row>
    <row r="703" ht="15.75" customHeight="1">
      <c r="B703" s="7"/>
      <c r="C703" s="7"/>
      <c r="D703" s="7"/>
      <c r="E703" s="7"/>
      <c r="F703" s="7"/>
      <c r="G703" s="7"/>
    </row>
    <row r="704" ht="15.75" customHeight="1">
      <c r="B704" s="7"/>
      <c r="C704" s="7"/>
      <c r="D704" s="7"/>
      <c r="E704" s="7"/>
      <c r="F704" s="7"/>
      <c r="G704" s="7"/>
    </row>
    <row r="705" ht="15.75" customHeight="1">
      <c r="B705" s="7"/>
      <c r="C705" s="7"/>
      <c r="D705" s="7"/>
      <c r="E705" s="7"/>
      <c r="F705" s="7"/>
      <c r="G705" s="7"/>
    </row>
    <row r="706" ht="15.75" customHeight="1">
      <c r="B706" s="7"/>
      <c r="C706" s="7"/>
      <c r="D706" s="7"/>
      <c r="E706" s="7"/>
      <c r="F706" s="7"/>
      <c r="G706" s="7"/>
    </row>
    <row r="707" ht="15.75" customHeight="1">
      <c r="B707" s="7"/>
      <c r="C707" s="7"/>
      <c r="D707" s="7"/>
      <c r="E707" s="7"/>
      <c r="F707" s="7"/>
      <c r="G707" s="7"/>
    </row>
    <row r="708" ht="15.75" customHeight="1">
      <c r="B708" s="7"/>
      <c r="C708" s="7"/>
      <c r="D708" s="7"/>
      <c r="E708" s="7"/>
      <c r="F708" s="7"/>
      <c r="G708" s="7"/>
    </row>
    <row r="709" ht="15.75" customHeight="1">
      <c r="B709" s="7"/>
      <c r="C709" s="7"/>
      <c r="D709" s="7"/>
      <c r="E709" s="7"/>
      <c r="F709" s="7"/>
      <c r="G709" s="7"/>
    </row>
    <row r="710" ht="15.75" customHeight="1">
      <c r="B710" s="7"/>
      <c r="C710" s="7"/>
      <c r="D710" s="7"/>
      <c r="E710" s="7"/>
      <c r="F710" s="7"/>
      <c r="G710" s="7"/>
    </row>
    <row r="711" ht="15.75" customHeight="1">
      <c r="B711" s="7"/>
      <c r="C711" s="7"/>
      <c r="D711" s="7"/>
      <c r="E711" s="7"/>
      <c r="F711" s="7"/>
      <c r="G711" s="7"/>
    </row>
    <row r="712" ht="15.75" customHeight="1">
      <c r="B712" s="7"/>
      <c r="C712" s="7"/>
      <c r="D712" s="7"/>
      <c r="E712" s="7"/>
      <c r="F712" s="7"/>
      <c r="G712" s="7"/>
    </row>
    <row r="713" ht="15.75" customHeight="1">
      <c r="B713" s="7"/>
      <c r="C713" s="7"/>
      <c r="D713" s="7"/>
      <c r="E713" s="7"/>
      <c r="F713" s="7"/>
      <c r="G713" s="7"/>
    </row>
    <row r="714" ht="15.75" customHeight="1">
      <c r="B714" s="7"/>
      <c r="C714" s="7"/>
      <c r="D714" s="7"/>
      <c r="E714" s="7"/>
      <c r="F714" s="7"/>
      <c r="G714" s="7"/>
    </row>
    <row r="715" ht="15.75" customHeight="1">
      <c r="B715" s="7"/>
      <c r="C715" s="7"/>
      <c r="D715" s="7"/>
      <c r="E715" s="7"/>
      <c r="F715" s="7"/>
      <c r="G715" s="7"/>
    </row>
    <row r="716" ht="15.75" customHeight="1">
      <c r="B716" s="7"/>
      <c r="C716" s="7"/>
      <c r="D716" s="7"/>
      <c r="E716" s="7"/>
      <c r="F716" s="7"/>
      <c r="G716" s="7"/>
    </row>
    <row r="717" ht="15.75" customHeight="1">
      <c r="B717" s="7"/>
      <c r="C717" s="7"/>
      <c r="D717" s="7"/>
      <c r="E717" s="7"/>
      <c r="F717" s="7"/>
      <c r="G717" s="7"/>
    </row>
    <row r="718" ht="15.75" customHeight="1">
      <c r="B718" s="7"/>
      <c r="C718" s="7"/>
      <c r="D718" s="7"/>
      <c r="E718" s="7"/>
      <c r="F718" s="7"/>
      <c r="G718" s="7"/>
    </row>
    <row r="719" ht="15.75" customHeight="1">
      <c r="B719" s="7"/>
      <c r="C719" s="7"/>
      <c r="D719" s="7"/>
      <c r="E719" s="7"/>
      <c r="F719" s="7"/>
      <c r="G719" s="7"/>
    </row>
    <row r="720" ht="15.75" customHeight="1">
      <c r="B720" s="7"/>
      <c r="C720" s="7"/>
      <c r="D720" s="7"/>
      <c r="E720" s="7"/>
      <c r="F720" s="7"/>
      <c r="G720" s="7"/>
    </row>
    <row r="721" ht="15.75" customHeight="1">
      <c r="B721" s="7"/>
      <c r="C721" s="7"/>
      <c r="D721" s="7"/>
      <c r="E721" s="7"/>
      <c r="F721" s="7"/>
      <c r="G721" s="7"/>
    </row>
    <row r="722" ht="15.75" customHeight="1">
      <c r="B722" s="7"/>
      <c r="C722" s="7"/>
      <c r="D722" s="7"/>
      <c r="E722" s="7"/>
      <c r="F722" s="7"/>
      <c r="G722" s="7"/>
    </row>
    <row r="723" ht="15.75" customHeight="1">
      <c r="B723" s="7"/>
      <c r="C723" s="7"/>
      <c r="D723" s="7"/>
      <c r="E723" s="7"/>
      <c r="F723" s="7"/>
      <c r="G723" s="7"/>
    </row>
    <row r="724" ht="15.75" customHeight="1">
      <c r="B724" s="7"/>
      <c r="C724" s="7"/>
      <c r="D724" s="7"/>
      <c r="E724" s="7"/>
      <c r="F724" s="7"/>
      <c r="G724" s="7"/>
    </row>
    <row r="725" ht="15.75" customHeight="1">
      <c r="B725" s="7"/>
      <c r="C725" s="7"/>
      <c r="D725" s="7"/>
      <c r="E725" s="7"/>
      <c r="F725" s="7"/>
      <c r="G725" s="7"/>
    </row>
    <row r="726" ht="15.75" customHeight="1">
      <c r="B726" s="7"/>
      <c r="C726" s="7"/>
      <c r="D726" s="7"/>
      <c r="E726" s="7"/>
      <c r="F726" s="7"/>
      <c r="G726" s="7"/>
    </row>
    <row r="727" ht="15.75" customHeight="1">
      <c r="B727" s="7"/>
      <c r="C727" s="7"/>
      <c r="D727" s="7"/>
      <c r="E727" s="7"/>
      <c r="F727" s="7"/>
      <c r="G727" s="7"/>
    </row>
    <row r="728" ht="15.75" customHeight="1">
      <c r="B728" s="7"/>
      <c r="C728" s="7"/>
      <c r="D728" s="7"/>
      <c r="E728" s="7"/>
      <c r="F728" s="7"/>
      <c r="G728" s="7"/>
    </row>
    <row r="729" ht="15.75" customHeight="1">
      <c r="B729" s="7"/>
      <c r="C729" s="7"/>
      <c r="D729" s="7"/>
      <c r="E729" s="7"/>
      <c r="F729" s="7"/>
      <c r="G729" s="7"/>
    </row>
    <row r="730" ht="15.75" customHeight="1">
      <c r="B730" s="7"/>
      <c r="C730" s="7"/>
      <c r="D730" s="7"/>
      <c r="E730" s="7"/>
      <c r="F730" s="7"/>
      <c r="G730" s="7"/>
    </row>
    <row r="731" ht="15.75" customHeight="1">
      <c r="B731" s="7"/>
      <c r="C731" s="7"/>
      <c r="D731" s="7"/>
      <c r="E731" s="7"/>
      <c r="F731" s="7"/>
      <c r="G731" s="7"/>
    </row>
    <row r="732" ht="15.75" customHeight="1">
      <c r="B732" s="7"/>
      <c r="C732" s="7"/>
      <c r="D732" s="7"/>
      <c r="E732" s="7"/>
      <c r="F732" s="7"/>
      <c r="G732" s="7"/>
    </row>
    <row r="733" ht="15.75" customHeight="1">
      <c r="B733" s="7"/>
      <c r="C733" s="7"/>
      <c r="D733" s="7"/>
      <c r="E733" s="7"/>
      <c r="F733" s="7"/>
      <c r="G733" s="7"/>
    </row>
    <row r="734" ht="15.75" customHeight="1">
      <c r="B734" s="7"/>
      <c r="C734" s="7"/>
      <c r="D734" s="7"/>
      <c r="E734" s="7"/>
      <c r="F734" s="7"/>
      <c r="G734" s="7"/>
    </row>
    <row r="735" ht="15.75" customHeight="1">
      <c r="B735" s="7"/>
      <c r="C735" s="7"/>
      <c r="D735" s="7"/>
      <c r="E735" s="7"/>
      <c r="F735" s="7"/>
      <c r="G735" s="7"/>
    </row>
    <row r="736" ht="15.75" customHeight="1">
      <c r="B736" s="7"/>
      <c r="C736" s="7"/>
      <c r="D736" s="7"/>
      <c r="E736" s="7"/>
      <c r="F736" s="7"/>
      <c r="G736" s="7"/>
    </row>
    <row r="737" ht="15.75" customHeight="1">
      <c r="B737" s="7"/>
      <c r="C737" s="7"/>
      <c r="D737" s="7"/>
      <c r="E737" s="7"/>
      <c r="F737" s="7"/>
      <c r="G737" s="7"/>
    </row>
    <row r="738" ht="15.75" customHeight="1">
      <c r="B738" s="7"/>
      <c r="C738" s="7"/>
      <c r="D738" s="7"/>
      <c r="E738" s="7"/>
      <c r="F738" s="7"/>
      <c r="G738" s="7"/>
    </row>
    <row r="739" ht="15.75" customHeight="1">
      <c r="B739" s="7"/>
      <c r="C739" s="7"/>
      <c r="D739" s="7"/>
      <c r="E739" s="7"/>
      <c r="F739" s="7"/>
      <c r="G739" s="7"/>
    </row>
    <row r="740" ht="15.75" customHeight="1">
      <c r="B740" s="7"/>
      <c r="C740" s="7"/>
      <c r="D740" s="7"/>
      <c r="E740" s="7"/>
      <c r="F740" s="7"/>
      <c r="G740" s="7"/>
    </row>
    <row r="741" ht="15.75" customHeight="1">
      <c r="B741" s="7"/>
      <c r="C741" s="7"/>
      <c r="D741" s="7"/>
      <c r="E741" s="7"/>
      <c r="F741" s="7"/>
      <c r="G741" s="7"/>
    </row>
    <row r="742" ht="15.75" customHeight="1">
      <c r="B742" s="7"/>
      <c r="C742" s="7"/>
      <c r="D742" s="7"/>
      <c r="E742" s="7"/>
      <c r="F742" s="7"/>
      <c r="G742" s="7"/>
    </row>
    <row r="743" ht="15.75" customHeight="1">
      <c r="B743" s="7"/>
      <c r="C743" s="7"/>
      <c r="D743" s="7"/>
      <c r="E743" s="7"/>
      <c r="F743" s="7"/>
      <c r="G743" s="7"/>
    </row>
    <row r="744" ht="15.75" customHeight="1">
      <c r="B744" s="7"/>
      <c r="C744" s="7"/>
      <c r="D744" s="7"/>
      <c r="E744" s="7"/>
      <c r="F744" s="7"/>
      <c r="G744" s="7"/>
    </row>
    <row r="745" ht="15.75" customHeight="1">
      <c r="B745" s="7"/>
      <c r="C745" s="7"/>
      <c r="D745" s="7"/>
      <c r="E745" s="7"/>
      <c r="F745" s="7"/>
      <c r="G745" s="7"/>
    </row>
    <row r="746" ht="15.75" customHeight="1">
      <c r="B746" s="7"/>
      <c r="C746" s="7"/>
      <c r="D746" s="7"/>
      <c r="E746" s="7"/>
      <c r="F746" s="7"/>
      <c r="G746" s="7"/>
    </row>
    <row r="747" ht="15.75" customHeight="1">
      <c r="B747" s="7"/>
      <c r="C747" s="7"/>
      <c r="D747" s="7"/>
      <c r="E747" s="7"/>
      <c r="F747" s="7"/>
      <c r="G747" s="7"/>
    </row>
    <row r="748" ht="15.75" customHeight="1">
      <c r="B748" s="7"/>
      <c r="C748" s="7"/>
      <c r="D748" s="7"/>
      <c r="E748" s="7"/>
      <c r="F748" s="7"/>
      <c r="G748" s="7"/>
    </row>
    <row r="749" ht="15.75" customHeight="1">
      <c r="B749" s="7"/>
      <c r="C749" s="7"/>
      <c r="D749" s="7"/>
      <c r="E749" s="7"/>
      <c r="F749" s="7"/>
      <c r="G749" s="7"/>
    </row>
    <row r="750" ht="15.75" customHeight="1">
      <c r="B750" s="7"/>
      <c r="C750" s="7"/>
      <c r="D750" s="7"/>
      <c r="E750" s="7"/>
      <c r="F750" s="7"/>
      <c r="G750" s="7"/>
    </row>
    <row r="751" ht="15.75" customHeight="1">
      <c r="B751" s="7"/>
      <c r="C751" s="7"/>
      <c r="D751" s="7"/>
      <c r="E751" s="7"/>
      <c r="F751" s="7"/>
      <c r="G751" s="7"/>
    </row>
    <row r="752" ht="15.75" customHeight="1">
      <c r="B752" s="7"/>
      <c r="C752" s="7"/>
      <c r="D752" s="7"/>
      <c r="E752" s="7"/>
      <c r="F752" s="7"/>
      <c r="G752" s="7"/>
    </row>
    <row r="753" ht="15.75" customHeight="1">
      <c r="B753" s="7"/>
      <c r="C753" s="7"/>
      <c r="D753" s="7"/>
      <c r="E753" s="7"/>
      <c r="F753" s="7"/>
      <c r="G753" s="7"/>
    </row>
    <row r="754" ht="15.75" customHeight="1">
      <c r="B754" s="7"/>
      <c r="C754" s="7"/>
      <c r="D754" s="7"/>
      <c r="E754" s="7"/>
      <c r="F754" s="7"/>
      <c r="G754" s="7"/>
    </row>
    <row r="755" ht="15.75" customHeight="1">
      <c r="B755" s="7"/>
      <c r="C755" s="7"/>
      <c r="D755" s="7"/>
      <c r="E755" s="7"/>
      <c r="F755" s="7"/>
      <c r="G755" s="7"/>
    </row>
    <row r="756" ht="15.75" customHeight="1">
      <c r="B756" s="7"/>
      <c r="C756" s="7"/>
      <c r="D756" s="7"/>
      <c r="E756" s="7"/>
      <c r="F756" s="7"/>
      <c r="G756" s="7"/>
    </row>
    <row r="757" ht="15.75" customHeight="1">
      <c r="B757" s="7"/>
      <c r="C757" s="7"/>
      <c r="D757" s="7"/>
      <c r="E757" s="7"/>
      <c r="F757" s="7"/>
      <c r="G757" s="7"/>
    </row>
    <row r="758" ht="15.75" customHeight="1">
      <c r="B758" s="7"/>
      <c r="C758" s="7"/>
      <c r="D758" s="7"/>
      <c r="E758" s="7"/>
      <c r="F758" s="7"/>
      <c r="G758" s="7"/>
    </row>
    <row r="759" ht="15.75" customHeight="1">
      <c r="B759" s="7"/>
      <c r="C759" s="7"/>
      <c r="D759" s="7"/>
      <c r="E759" s="7"/>
      <c r="F759" s="7"/>
      <c r="G759" s="7"/>
    </row>
    <row r="760" ht="15.75" customHeight="1">
      <c r="B760" s="7"/>
      <c r="C760" s="7"/>
      <c r="D760" s="7"/>
      <c r="E760" s="7"/>
      <c r="F760" s="7"/>
      <c r="G760" s="7"/>
    </row>
    <row r="761" ht="15.75" customHeight="1">
      <c r="B761" s="7"/>
      <c r="C761" s="7"/>
      <c r="D761" s="7"/>
      <c r="E761" s="7"/>
      <c r="F761" s="7"/>
      <c r="G761" s="7"/>
    </row>
    <row r="762" ht="15.75" customHeight="1">
      <c r="B762" s="7"/>
      <c r="C762" s="7"/>
      <c r="D762" s="7"/>
      <c r="E762" s="7"/>
      <c r="F762" s="7"/>
      <c r="G762" s="7"/>
    </row>
    <row r="763" ht="15.75" customHeight="1">
      <c r="B763" s="7"/>
      <c r="C763" s="7"/>
      <c r="D763" s="7"/>
      <c r="E763" s="7"/>
      <c r="F763" s="7"/>
      <c r="G763" s="7"/>
    </row>
    <row r="764" ht="15.75" customHeight="1">
      <c r="B764" s="7"/>
      <c r="C764" s="7"/>
      <c r="D764" s="7"/>
      <c r="E764" s="7"/>
      <c r="F764" s="7"/>
      <c r="G764" s="7"/>
    </row>
    <row r="765" ht="15.75" customHeight="1">
      <c r="B765" s="7"/>
      <c r="C765" s="7"/>
      <c r="D765" s="7"/>
      <c r="E765" s="7"/>
      <c r="F765" s="7"/>
      <c r="G765" s="7"/>
    </row>
    <row r="766" ht="15.75" customHeight="1">
      <c r="B766" s="7"/>
      <c r="C766" s="7"/>
      <c r="D766" s="7"/>
      <c r="E766" s="7"/>
      <c r="F766" s="7"/>
      <c r="G766" s="7"/>
    </row>
    <row r="767" ht="15.75" customHeight="1">
      <c r="B767" s="7"/>
      <c r="C767" s="7"/>
      <c r="D767" s="7"/>
      <c r="E767" s="7"/>
      <c r="F767" s="7"/>
      <c r="G767" s="7"/>
    </row>
    <row r="768" ht="15.75" customHeight="1">
      <c r="B768" s="7"/>
      <c r="C768" s="7"/>
      <c r="D768" s="7"/>
      <c r="E768" s="7"/>
      <c r="F768" s="7"/>
      <c r="G768" s="7"/>
    </row>
    <row r="769" ht="15.75" customHeight="1">
      <c r="B769" s="7"/>
      <c r="C769" s="7"/>
      <c r="D769" s="7"/>
      <c r="E769" s="7"/>
      <c r="F769" s="7"/>
      <c r="G769" s="7"/>
    </row>
    <row r="770" ht="15.75" customHeight="1">
      <c r="B770" s="7"/>
      <c r="C770" s="7"/>
      <c r="D770" s="7"/>
      <c r="E770" s="7"/>
      <c r="F770" s="7"/>
      <c r="G770" s="7"/>
    </row>
    <row r="771" ht="15.75" customHeight="1">
      <c r="B771" s="7"/>
      <c r="C771" s="7"/>
      <c r="D771" s="7"/>
      <c r="E771" s="7"/>
      <c r="F771" s="7"/>
      <c r="G771" s="7"/>
    </row>
    <row r="772" ht="15.75" customHeight="1">
      <c r="B772" s="7"/>
      <c r="C772" s="7"/>
      <c r="D772" s="7"/>
      <c r="E772" s="7"/>
      <c r="F772" s="7"/>
      <c r="G772" s="7"/>
    </row>
    <row r="773" ht="15.75" customHeight="1">
      <c r="B773" s="7"/>
      <c r="C773" s="7"/>
      <c r="D773" s="7"/>
      <c r="E773" s="7"/>
      <c r="F773" s="7"/>
      <c r="G773" s="7"/>
    </row>
    <row r="774" ht="15.75" customHeight="1">
      <c r="B774" s="7"/>
      <c r="C774" s="7"/>
      <c r="D774" s="7"/>
      <c r="E774" s="7"/>
      <c r="F774" s="7"/>
      <c r="G774" s="7"/>
    </row>
    <row r="775" ht="15.75" customHeight="1">
      <c r="B775" s="7"/>
      <c r="C775" s="7"/>
      <c r="D775" s="7"/>
      <c r="E775" s="7"/>
      <c r="F775" s="7"/>
      <c r="G775" s="7"/>
    </row>
    <row r="776" ht="15.75" customHeight="1">
      <c r="B776" s="7"/>
      <c r="C776" s="7"/>
      <c r="D776" s="7"/>
      <c r="E776" s="7"/>
      <c r="F776" s="7"/>
      <c r="G776" s="7"/>
    </row>
    <row r="777" ht="15.75" customHeight="1">
      <c r="B777" s="7"/>
      <c r="C777" s="7"/>
      <c r="D777" s="7"/>
      <c r="E777" s="7"/>
      <c r="F777" s="7"/>
      <c r="G777" s="7"/>
    </row>
    <row r="778" ht="15.75" customHeight="1">
      <c r="B778" s="7"/>
      <c r="C778" s="7"/>
      <c r="D778" s="7"/>
      <c r="E778" s="7"/>
      <c r="F778" s="7"/>
      <c r="G778" s="7"/>
    </row>
    <row r="779" ht="15.75" customHeight="1">
      <c r="B779" s="7"/>
      <c r="C779" s="7"/>
      <c r="D779" s="7"/>
      <c r="E779" s="7"/>
      <c r="F779" s="7"/>
      <c r="G779" s="7"/>
    </row>
    <row r="780" ht="15.75" customHeight="1">
      <c r="B780" s="7"/>
      <c r="C780" s="7"/>
      <c r="D780" s="7"/>
      <c r="E780" s="7"/>
      <c r="F780" s="7"/>
      <c r="G780" s="7"/>
    </row>
    <row r="781" ht="15.75" customHeight="1">
      <c r="B781" s="7"/>
      <c r="C781" s="7"/>
      <c r="D781" s="7"/>
      <c r="E781" s="7"/>
      <c r="F781" s="7"/>
      <c r="G781" s="7"/>
    </row>
    <row r="782" ht="15.75" customHeight="1">
      <c r="B782" s="7"/>
      <c r="C782" s="7"/>
      <c r="D782" s="7"/>
      <c r="E782" s="7"/>
      <c r="F782" s="7"/>
      <c r="G782" s="7"/>
    </row>
    <row r="783" ht="15.75" customHeight="1">
      <c r="B783" s="7"/>
      <c r="C783" s="7"/>
      <c r="D783" s="7"/>
      <c r="E783" s="7"/>
      <c r="F783" s="7"/>
      <c r="G783" s="7"/>
    </row>
    <row r="784" ht="15.75" customHeight="1">
      <c r="B784" s="7"/>
      <c r="C784" s="7"/>
      <c r="D784" s="7"/>
      <c r="E784" s="7"/>
      <c r="F784" s="7"/>
      <c r="G784" s="7"/>
    </row>
    <row r="785" ht="15.75" customHeight="1">
      <c r="B785" s="7"/>
      <c r="C785" s="7"/>
      <c r="D785" s="7"/>
      <c r="E785" s="7"/>
      <c r="F785" s="7"/>
      <c r="G785" s="7"/>
    </row>
    <row r="786" ht="15.75" customHeight="1">
      <c r="B786" s="7"/>
      <c r="C786" s="7"/>
      <c r="D786" s="7"/>
      <c r="E786" s="7"/>
      <c r="F786" s="7"/>
      <c r="G786" s="7"/>
    </row>
    <row r="787" ht="15.75" customHeight="1">
      <c r="B787" s="7"/>
      <c r="C787" s="7"/>
      <c r="D787" s="7"/>
      <c r="E787" s="7"/>
      <c r="F787" s="7"/>
      <c r="G787" s="7"/>
    </row>
    <row r="788" ht="15.75" customHeight="1">
      <c r="B788" s="7"/>
      <c r="C788" s="7"/>
      <c r="D788" s="7"/>
      <c r="E788" s="7"/>
      <c r="F788" s="7"/>
      <c r="G788" s="7"/>
    </row>
    <row r="789" ht="15.75" customHeight="1">
      <c r="B789" s="7"/>
      <c r="C789" s="7"/>
      <c r="D789" s="7"/>
      <c r="E789" s="7"/>
      <c r="F789" s="7"/>
      <c r="G789" s="7"/>
    </row>
    <row r="790" ht="15.75" customHeight="1">
      <c r="B790" s="7"/>
      <c r="C790" s="7"/>
      <c r="D790" s="7"/>
      <c r="E790" s="7"/>
      <c r="F790" s="7"/>
      <c r="G790" s="7"/>
    </row>
    <row r="791" ht="15.75" customHeight="1">
      <c r="B791" s="7"/>
      <c r="C791" s="7"/>
      <c r="D791" s="7"/>
      <c r="E791" s="7"/>
      <c r="F791" s="7"/>
      <c r="G791" s="7"/>
    </row>
    <row r="792" ht="15.75" customHeight="1">
      <c r="B792" s="7"/>
      <c r="C792" s="7"/>
      <c r="D792" s="7"/>
      <c r="E792" s="7"/>
      <c r="F792" s="7"/>
      <c r="G792" s="7"/>
    </row>
    <row r="793" ht="15.75" customHeight="1">
      <c r="B793" s="7"/>
      <c r="C793" s="7"/>
      <c r="D793" s="7"/>
      <c r="E793" s="7"/>
      <c r="F793" s="7"/>
      <c r="G793" s="7"/>
    </row>
    <row r="794" ht="15.75" customHeight="1">
      <c r="B794" s="7"/>
      <c r="C794" s="7"/>
      <c r="D794" s="7"/>
      <c r="E794" s="7"/>
      <c r="F794" s="7"/>
      <c r="G794" s="7"/>
    </row>
    <row r="795" ht="15.75" customHeight="1">
      <c r="B795" s="7"/>
      <c r="C795" s="7"/>
      <c r="D795" s="7"/>
      <c r="E795" s="7"/>
      <c r="F795" s="7"/>
      <c r="G795" s="7"/>
    </row>
    <row r="796" ht="15.75" customHeight="1">
      <c r="B796" s="7"/>
      <c r="C796" s="7"/>
      <c r="D796" s="7"/>
      <c r="E796" s="7"/>
      <c r="F796" s="7"/>
      <c r="G796" s="7"/>
    </row>
    <row r="797" ht="15.75" customHeight="1">
      <c r="B797" s="7"/>
      <c r="C797" s="7"/>
      <c r="D797" s="7"/>
      <c r="E797" s="7"/>
      <c r="F797" s="7"/>
      <c r="G797" s="7"/>
    </row>
    <row r="798" ht="15.75" customHeight="1">
      <c r="B798" s="7"/>
      <c r="C798" s="7"/>
      <c r="D798" s="7"/>
      <c r="E798" s="7"/>
      <c r="F798" s="7"/>
      <c r="G798" s="7"/>
    </row>
    <row r="799" ht="15.75" customHeight="1">
      <c r="B799" s="7"/>
      <c r="C799" s="7"/>
      <c r="D799" s="7"/>
      <c r="E799" s="7"/>
      <c r="F799" s="7"/>
      <c r="G799" s="7"/>
    </row>
    <row r="800" ht="15.75" customHeight="1">
      <c r="B800" s="7"/>
      <c r="C800" s="7"/>
      <c r="D800" s="7"/>
      <c r="E800" s="7"/>
      <c r="F800" s="7"/>
      <c r="G800" s="7"/>
    </row>
    <row r="801" ht="15.75" customHeight="1">
      <c r="B801" s="7"/>
      <c r="C801" s="7"/>
      <c r="D801" s="7"/>
      <c r="E801" s="7"/>
      <c r="F801" s="7"/>
      <c r="G801" s="7"/>
    </row>
    <row r="802" ht="15.75" customHeight="1">
      <c r="B802" s="7"/>
      <c r="C802" s="7"/>
      <c r="D802" s="7"/>
      <c r="E802" s="7"/>
      <c r="F802" s="7"/>
      <c r="G802" s="7"/>
    </row>
    <row r="803" ht="15.75" customHeight="1">
      <c r="B803" s="7"/>
      <c r="C803" s="7"/>
      <c r="D803" s="7"/>
      <c r="E803" s="7"/>
      <c r="F803" s="7"/>
      <c r="G803" s="7"/>
    </row>
    <row r="804" ht="15.75" customHeight="1">
      <c r="B804" s="7"/>
      <c r="C804" s="7"/>
      <c r="D804" s="7"/>
      <c r="E804" s="7"/>
      <c r="F804" s="7"/>
      <c r="G804" s="7"/>
    </row>
    <row r="805" ht="15.75" customHeight="1">
      <c r="B805" s="7"/>
      <c r="C805" s="7"/>
      <c r="D805" s="7"/>
      <c r="E805" s="7"/>
      <c r="F805" s="7"/>
      <c r="G805" s="7"/>
    </row>
    <row r="806" ht="15.75" customHeight="1">
      <c r="B806" s="7"/>
      <c r="C806" s="7"/>
      <c r="D806" s="7"/>
      <c r="E806" s="7"/>
      <c r="F806" s="7"/>
      <c r="G806" s="7"/>
    </row>
    <row r="807" ht="15.75" customHeight="1">
      <c r="B807" s="7"/>
      <c r="C807" s="7"/>
      <c r="D807" s="7"/>
      <c r="E807" s="7"/>
      <c r="F807" s="7"/>
      <c r="G807" s="7"/>
    </row>
    <row r="808" ht="15.75" customHeight="1">
      <c r="B808" s="7"/>
      <c r="C808" s="7"/>
      <c r="D808" s="7"/>
      <c r="E808" s="7"/>
      <c r="F808" s="7"/>
      <c r="G808" s="7"/>
    </row>
    <row r="809" ht="15.75" customHeight="1">
      <c r="B809" s="7"/>
      <c r="C809" s="7"/>
      <c r="D809" s="7"/>
      <c r="E809" s="7"/>
      <c r="F809" s="7"/>
      <c r="G809" s="7"/>
    </row>
    <row r="810" ht="15.75" customHeight="1">
      <c r="B810" s="7"/>
      <c r="C810" s="7"/>
      <c r="D810" s="7"/>
      <c r="E810" s="7"/>
      <c r="F810" s="7"/>
      <c r="G810" s="7"/>
    </row>
    <row r="811" ht="15.75" customHeight="1">
      <c r="B811" s="7"/>
      <c r="C811" s="7"/>
      <c r="D811" s="7"/>
      <c r="E811" s="7"/>
      <c r="F811" s="7"/>
      <c r="G811" s="7"/>
    </row>
    <row r="812" ht="15.75" customHeight="1">
      <c r="B812" s="7"/>
      <c r="C812" s="7"/>
      <c r="D812" s="7"/>
      <c r="E812" s="7"/>
      <c r="F812" s="7"/>
      <c r="G812" s="7"/>
    </row>
    <row r="813" ht="15.75" customHeight="1">
      <c r="B813" s="7"/>
      <c r="C813" s="7"/>
      <c r="D813" s="7"/>
      <c r="E813" s="7"/>
      <c r="F813" s="7"/>
      <c r="G813" s="7"/>
    </row>
    <row r="814" ht="15.75" customHeight="1">
      <c r="B814" s="7"/>
      <c r="C814" s="7"/>
      <c r="D814" s="7"/>
      <c r="E814" s="7"/>
      <c r="F814" s="7"/>
      <c r="G814" s="7"/>
    </row>
    <row r="815" ht="15.75" customHeight="1">
      <c r="B815" s="7"/>
      <c r="C815" s="7"/>
      <c r="D815" s="7"/>
      <c r="E815" s="7"/>
      <c r="F815" s="7"/>
      <c r="G815" s="7"/>
    </row>
    <row r="816" ht="15.75" customHeight="1">
      <c r="B816" s="7"/>
      <c r="C816" s="7"/>
      <c r="D816" s="7"/>
      <c r="E816" s="7"/>
      <c r="F816" s="7"/>
      <c r="G816" s="7"/>
    </row>
    <row r="817" ht="15.75" customHeight="1">
      <c r="B817" s="7"/>
      <c r="C817" s="7"/>
      <c r="D817" s="7"/>
      <c r="E817" s="7"/>
      <c r="F817" s="7"/>
      <c r="G817" s="7"/>
    </row>
    <row r="818" ht="15.75" customHeight="1">
      <c r="B818" s="7"/>
      <c r="C818" s="7"/>
      <c r="D818" s="7"/>
      <c r="E818" s="7"/>
      <c r="F818" s="7"/>
      <c r="G818" s="7"/>
    </row>
    <row r="819" ht="15.75" customHeight="1">
      <c r="B819" s="7"/>
      <c r="C819" s="7"/>
      <c r="D819" s="7"/>
      <c r="E819" s="7"/>
      <c r="F819" s="7"/>
      <c r="G819" s="7"/>
    </row>
    <row r="820" ht="15.75" customHeight="1">
      <c r="B820" s="7"/>
      <c r="C820" s="7"/>
      <c r="D820" s="7"/>
      <c r="E820" s="7"/>
      <c r="F820" s="7"/>
      <c r="G820" s="7"/>
    </row>
    <row r="821" ht="15.75" customHeight="1">
      <c r="B821" s="7"/>
      <c r="C821" s="7"/>
      <c r="D821" s="7"/>
      <c r="E821" s="7"/>
      <c r="F821" s="7"/>
      <c r="G821" s="7"/>
    </row>
    <row r="822" ht="15.75" customHeight="1">
      <c r="B822" s="7"/>
      <c r="C822" s="7"/>
      <c r="D822" s="7"/>
      <c r="E822" s="7"/>
      <c r="F822" s="7"/>
      <c r="G822" s="7"/>
    </row>
    <row r="823" ht="15.75" customHeight="1">
      <c r="B823" s="7"/>
      <c r="C823" s="7"/>
      <c r="D823" s="7"/>
      <c r="E823" s="7"/>
      <c r="F823" s="7"/>
      <c r="G823" s="7"/>
    </row>
    <row r="824" ht="15.75" customHeight="1">
      <c r="B824" s="7"/>
      <c r="C824" s="7"/>
      <c r="D824" s="7"/>
      <c r="E824" s="7"/>
      <c r="F824" s="7"/>
      <c r="G824" s="7"/>
    </row>
    <row r="825" ht="15.75" customHeight="1">
      <c r="B825" s="7"/>
      <c r="C825" s="7"/>
      <c r="D825" s="7"/>
      <c r="E825" s="7"/>
      <c r="F825" s="7"/>
      <c r="G825" s="7"/>
    </row>
    <row r="826" ht="15.75" customHeight="1">
      <c r="B826" s="7"/>
      <c r="C826" s="7"/>
      <c r="D826" s="7"/>
      <c r="E826" s="7"/>
      <c r="F826" s="7"/>
      <c r="G826" s="7"/>
    </row>
    <row r="827" ht="15.75" customHeight="1">
      <c r="B827" s="7"/>
      <c r="C827" s="7"/>
      <c r="D827" s="7"/>
      <c r="E827" s="7"/>
      <c r="F827" s="7"/>
      <c r="G827" s="7"/>
    </row>
    <row r="828" ht="15.75" customHeight="1">
      <c r="B828" s="7"/>
      <c r="C828" s="7"/>
      <c r="D828" s="7"/>
      <c r="E828" s="7"/>
      <c r="F828" s="7"/>
      <c r="G828" s="7"/>
    </row>
    <row r="829" ht="15.75" customHeight="1">
      <c r="B829" s="7"/>
      <c r="C829" s="7"/>
      <c r="D829" s="7"/>
      <c r="E829" s="7"/>
      <c r="F829" s="7"/>
      <c r="G829" s="7"/>
    </row>
    <row r="830" ht="15.75" customHeight="1">
      <c r="B830" s="7"/>
      <c r="C830" s="7"/>
      <c r="D830" s="7"/>
      <c r="E830" s="7"/>
      <c r="F830" s="7"/>
      <c r="G830" s="7"/>
    </row>
    <row r="831" ht="15.75" customHeight="1">
      <c r="B831" s="7"/>
      <c r="C831" s="7"/>
      <c r="D831" s="7"/>
      <c r="E831" s="7"/>
      <c r="F831" s="7"/>
      <c r="G831" s="7"/>
    </row>
    <row r="832" ht="15.75" customHeight="1">
      <c r="B832" s="7"/>
      <c r="C832" s="7"/>
      <c r="D832" s="7"/>
      <c r="E832" s="7"/>
      <c r="F832" s="7"/>
      <c r="G832" s="7"/>
    </row>
    <row r="833" ht="15.75" customHeight="1">
      <c r="B833" s="7"/>
      <c r="C833" s="7"/>
      <c r="D833" s="7"/>
      <c r="E833" s="7"/>
      <c r="F833" s="7"/>
      <c r="G833" s="7"/>
    </row>
    <row r="834" ht="15.75" customHeight="1">
      <c r="B834" s="7"/>
      <c r="C834" s="7"/>
      <c r="D834" s="7"/>
      <c r="E834" s="7"/>
      <c r="F834" s="7"/>
      <c r="G834" s="7"/>
    </row>
    <row r="835" ht="15.75" customHeight="1">
      <c r="B835" s="7"/>
      <c r="C835" s="7"/>
      <c r="D835" s="7"/>
      <c r="E835" s="7"/>
      <c r="F835" s="7"/>
      <c r="G835" s="7"/>
    </row>
    <row r="836" ht="15.75" customHeight="1">
      <c r="B836" s="7"/>
      <c r="C836" s="7"/>
      <c r="D836" s="7"/>
      <c r="E836" s="7"/>
      <c r="F836" s="7"/>
      <c r="G836" s="7"/>
    </row>
    <row r="837" ht="15.75" customHeight="1">
      <c r="B837" s="7"/>
      <c r="C837" s="7"/>
      <c r="D837" s="7"/>
      <c r="E837" s="7"/>
      <c r="F837" s="7"/>
      <c r="G837" s="7"/>
    </row>
    <row r="838" ht="15.75" customHeight="1">
      <c r="B838" s="7"/>
      <c r="C838" s="7"/>
      <c r="D838" s="7"/>
      <c r="E838" s="7"/>
      <c r="F838" s="7"/>
      <c r="G838" s="7"/>
    </row>
    <row r="839" ht="15.75" customHeight="1">
      <c r="B839" s="7"/>
      <c r="C839" s="7"/>
      <c r="D839" s="7"/>
      <c r="E839" s="7"/>
      <c r="F839" s="7"/>
      <c r="G839" s="7"/>
    </row>
    <row r="840" ht="15.75" customHeight="1">
      <c r="B840" s="7"/>
      <c r="C840" s="7"/>
      <c r="D840" s="7"/>
      <c r="E840" s="7"/>
      <c r="F840" s="7"/>
      <c r="G840" s="7"/>
    </row>
    <row r="841" ht="15.75" customHeight="1">
      <c r="B841" s="7"/>
      <c r="C841" s="7"/>
      <c r="D841" s="7"/>
      <c r="E841" s="7"/>
      <c r="F841" s="7"/>
      <c r="G841" s="7"/>
    </row>
    <row r="842" ht="15.75" customHeight="1">
      <c r="B842" s="7"/>
      <c r="C842" s="7"/>
      <c r="D842" s="7"/>
      <c r="E842" s="7"/>
      <c r="F842" s="7"/>
      <c r="G842" s="7"/>
    </row>
    <row r="843" ht="15.75" customHeight="1">
      <c r="B843" s="7"/>
      <c r="C843" s="7"/>
      <c r="D843" s="7"/>
      <c r="E843" s="7"/>
      <c r="F843" s="7"/>
      <c r="G843" s="7"/>
    </row>
    <row r="844" ht="15.75" customHeight="1">
      <c r="B844" s="7"/>
      <c r="C844" s="7"/>
      <c r="D844" s="7"/>
      <c r="E844" s="7"/>
      <c r="F844" s="7"/>
      <c r="G844" s="7"/>
    </row>
    <row r="845" ht="15.75" customHeight="1">
      <c r="B845" s="7"/>
      <c r="C845" s="7"/>
      <c r="D845" s="7"/>
      <c r="E845" s="7"/>
      <c r="F845" s="7"/>
      <c r="G845" s="7"/>
    </row>
    <row r="846" ht="15.75" customHeight="1">
      <c r="B846" s="7"/>
      <c r="C846" s="7"/>
      <c r="D846" s="7"/>
      <c r="E846" s="7"/>
      <c r="F846" s="7"/>
      <c r="G846" s="7"/>
    </row>
    <row r="847" ht="15.75" customHeight="1">
      <c r="B847" s="7"/>
      <c r="C847" s="7"/>
      <c r="D847" s="7"/>
      <c r="E847" s="7"/>
      <c r="F847" s="7"/>
      <c r="G847" s="7"/>
    </row>
    <row r="848" ht="15.75" customHeight="1">
      <c r="B848" s="7"/>
      <c r="C848" s="7"/>
      <c r="D848" s="7"/>
      <c r="E848" s="7"/>
      <c r="F848" s="7"/>
      <c r="G848" s="7"/>
    </row>
    <row r="849" ht="15.75" customHeight="1">
      <c r="B849" s="7"/>
      <c r="C849" s="7"/>
      <c r="D849" s="7"/>
      <c r="E849" s="7"/>
      <c r="F849" s="7"/>
      <c r="G849" s="7"/>
    </row>
    <row r="850" ht="15.75" customHeight="1">
      <c r="B850" s="7"/>
      <c r="C850" s="7"/>
      <c r="D850" s="7"/>
      <c r="E850" s="7"/>
      <c r="F850" s="7"/>
      <c r="G850" s="7"/>
    </row>
    <row r="851" ht="15.75" customHeight="1">
      <c r="B851" s="7"/>
      <c r="C851" s="7"/>
      <c r="D851" s="7"/>
      <c r="E851" s="7"/>
      <c r="F851" s="7"/>
      <c r="G851" s="7"/>
    </row>
    <row r="852" ht="15.75" customHeight="1">
      <c r="B852" s="7"/>
      <c r="C852" s="7"/>
      <c r="D852" s="7"/>
      <c r="E852" s="7"/>
      <c r="F852" s="7"/>
      <c r="G852" s="7"/>
    </row>
    <row r="853" ht="15.75" customHeight="1">
      <c r="B853" s="7"/>
      <c r="C853" s="7"/>
      <c r="D853" s="7"/>
      <c r="E853" s="7"/>
      <c r="F853" s="7"/>
      <c r="G853" s="7"/>
    </row>
    <row r="854" ht="15.75" customHeight="1">
      <c r="B854" s="7"/>
      <c r="C854" s="7"/>
      <c r="D854" s="7"/>
      <c r="E854" s="7"/>
      <c r="F854" s="7"/>
      <c r="G854" s="7"/>
    </row>
    <row r="855" ht="15.75" customHeight="1">
      <c r="B855" s="7"/>
      <c r="C855" s="7"/>
      <c r="D855" s="7"/>
      <c r="E855" s="7"/>
      <c r="F855" s="7"/>
      <c r="G855" s="7"/>
    </row>
    <row r="856" ht="15.75" customHeight="1">
      <c r="B856" s="7"/>
      <c r="C856" s="7"/>
      <c r="D856" s="7"/>
      <c r="E856" s="7"/>
      <c r="F856" s="7"/>
      <c r="G856" s="7"/>
    </row>
    <row r="857" ht="15.75" customHeight="1">
      <c r="B857" s="7"/>
      <c r="C857" s="7"/>
      <c r="D857" s="7"/>
      <c r="E857" s="7"/>
      <c r="F857" s="7"/>
      <c r="G857" s="7"/>
    </row>
    <row r="858" ht="15.75" customHeight="1">
      <c r="B858" s="7"/>
      <c r="C858" s="7"/>
      <c r="D858" s="7"/>
      <c r="E858" s="7"/>
      <c r="F858" s="7"/>
      <c r="G858" s="7"/>
    </row>
    <row r="859" ht="15.75" customHeight="1">
      <c r="B859" s="7"/>
      <c r="C859" s="7"/>
      <c r="D859" s="7"/>
      <c r="E859" s="7"/>
      <c r="F859" s="7"/>
      <c r="G859" s="7"/>
    </row>
    <row r="860" ht="15.75" customHeight="1">
      <c r="B860" s="7"/>
      <c r="C860" s="7"/>
      <c r="D860" s="7"/>
      <c r="E860" s="7"/>
      <c r="F860" s="7"/>
      <c r="G860" s="7"/>
    </row>
    <row r="861" ht="15.75" customHeight="1">
      <c r="B861" s="7"/>
      <c r="C861" s="7"/>
      <c r="D861" s="7"/>
      <c r="E861" s="7"/>
      <c r="F861" s="7"/>
      <c r="G861" s="7"/>
    </row>
    <row r="862" ht="15.75" customHeight="1">
      <c r="B862" s="7"/>
      <c r="C862" s="7"/>
      <c r="D862" s="7"/>
      <c r="E862" s="7"/>
      <c r="F862" s="7"/>
      <c r="G862" s="7"/>
    </row>
    <row r="863" ht="15.75" customHeight="1">
      <c r="B863" s="7"/>
      <c r="C863" s="7"/>
      <c r="D863" s="7"/>
      <c r="E863" s="7"/>
      <c r="F863" s="7"/>
      <c r="G863" s="7"/>
    </row>
    <row r="864" ht="15.75" customHeight="1">
      <c r="B864" s="7"/>
      <c r="C864" s="7"/>
      <c r="D864" s="7"/>
      <c r="E864" s="7"/>
      <c r="F864" s="7"/>
      <c r="G864" s="7"/>
    </row>
    <row r="865" ht="15.75" customHeight="1">
      <c r="B865" s="7"/>
      <c r="C865" s="7"/>
      <c r="D865" s="7"/>
      <c r="E865" s="7"/>
      <c r="F865" s="7"/>
      <c r="G865" s="7"/>
    </row>
    <row r="866" ht="15.75" customHeight="1">
      <c r="B866" s="7"/>
      <c r="C866" s="7"/>
      <c r="D866" s="7"/>
      <c r="E866" s="7"/>
      <c r="F866" s="7"/>
      <c r="G866" s="7"/>
    </row>
    <row r="867" ht="15.75" customHeight="1">
      <c r="B867" s="7"/>
      <c r="C867" s="7"/>
      <c r="D867" s="7"/>
      <c r="E867" s="7"/>
      <c r="F867" s="7"/>
      <c r="G867" s="7"/>
    </row>
    <row r="868" ht="15.75" customHeight="1">
      <c r="B868" s="7"/>
      <c r="C868" s="7"/>
      <c r="D868" s="7"/>
      <c r="E868" s="7"/>
      <c r="F868" s="7"/>
      <c r="G868" s="7"/>
    </row>
    <row r="869" ht="15.75" customHeight="1">
      <c r="B869" s="7"/>
      <c r="C869" s="7"/>
      <c r="D869" s="7"/>
      <c r="E869" s="7"/>
      <c r="F869" s="7"/>
      <c r="G869" s="7"/>
    </row>
    <row r="870" ht="15.75" customHeight="1">
      <c r="B870" s="7"/>
      <c r="C870" s="7"/>
      <c r="D870" s="7"/>
      <c r="E870" s="7"/>
      <c r="F870" s="7"/>
      <c r="G870" s="7"/>
    </row>
    <row r="871" ht="15.75" customHeight="1">
      <c r="B871" s="7"/>
      <c r="C871" s="7"/>
      <c r="D871" s="7"/>
      <c r="E871" s="7"/>
      <c r="F871" s="7"/>
      <c r="G871" s="7"/>
    </row>
    <row r="872" ht="15.75" customHeight="1">
      <c r="B872" s="7"/>
      <c r="C872" s="7"/>
      <c r="D872" s="7"/>
      <c r="E872" s="7"/>
      <c r="F872" s="7"/>
      <c r="G872" s="7"/>
    </row>
    <row r="873" ht="15.75" customHeight="1">
      <c r="B873" s="7"/>
      <c r="C873" s="7"/>
      <c r="D873" s="7"/>
      <c r="E873" s="7"/>
      <c r="F873" s="7"/>
      <c r="G873" s="7"/>
    </row>
    <row r="874" ht="15.75" customHeight="1">
      <c r="B874" s="7"/>
      <c r="C874" s="7"/>
      <c r="D874" s="7"/>
      <c r="E874" s="7"/>
      <c r="F874" s="7"/>
      <c r="G874" s="7"/>
    </row>
    <row r="875" ht="15.75" customHeight="1">
      <c r="B875" s="7"/>
      <c r="C875" s="7"/>
      <c r="D875" s="7"/>
      <c r="E875" s="7"/>
      <c r="F875" s="7"/>
      <c r="G875" s="7"/>
    </row>
    <row r="876" ht="15.75" customHeight="1">
      <c r="B876" s="7"/>
      <c r="C876" s="7"/>
      <c r="D876" s="7"/>
      <c r="E876" s="7"/>
      <c r="F876" s="7"/>
      <c r="G876" s="7"/>
    </row>
    <row r="877" ht="15.75" customHeight="1">
      <c r="B877" s="7"/>
      <c r="C877" s="7"/>
      <c r="D877" s="7"/>
      <c r="E877" s="7"/>
      <c r="F877" s="7"/>
      <c r="G877" s="7"/>
    </row>
    <row r="878" ht="15.75" customHeight="1">
      <c r="B878" s="7"/>
      <c r="C878" s="7"/>
      <c r="D878" s="7"/>
      <c r="E878" s="7"/>
      <c r="F878" s="7"/>
      <c r="G878" s="7"/>
    </row>
    <row r="879" ht="15.75" customHeight="1">
      <c r="B879" s="7"/>
      <c r="C879" s="7"/>
      <c r="D879" s="7"/>
      <c r="E879" s="7"/>
      <c r="F879" s="7"/>
      <c r="G879" s="7"/>
    </row>
    <row r="880" ht="15.75" customHeight="1">
      <c r="B880" s="7"/>
      <c r="C880" s="7"/>
      <c r="D880" s="7"/>
      <c r="E880" s="7"/>
      <c r="F880" s="7"/>
      <c r="G880" s="7"/>
    </row>
    <row r="881" ht="15.75" customHeight="1">
      <c r="B881" s="7"/>
      <c r="C881" s="7"/>
      <c r="D881" s="7"/>
      <c r="E881" s="7"/>
      <c r="F881" s="7"/>
      <c r="G881" s="7"/>
    </row>
    <row r="882" ht="15.75" customHeight="1">
      <c r="B882" s="7"/>
      <c r="C882" s="7"/>
      <c r="D882" s="7"/>
      <c r="E882" s="7"/>
      <c r="F882" s="7"/>
      <c r="G882" s="7"/>
    </row>
    <row r="883" ht="15.75" customHeight="1">
      <c r="B883" s="7"/>
      <c r="C883" s="7"/>
      <c r="D883" s="7"/>
      <c r="E883" s="7"/>
      <c r="F883" s="7"/>
      <c r="G883" s="7"/>
    </row>
    <row r="884" ht="15.75" customHeight="1">
      <c r="B884" s="7"/>
      <c r="C884" s="7"/>
      <c r="D884" s="7"/>
      <c r="E884" s="7"/>
      <c r="F884" s="7"/>
      <c r="G884" s="7"/>
    </row>
    <row r="885" ht="15.75" customHeight="1">
      <c r="B885" s="7"/>
      <c r="C885" s="7"/>
      <c r="D885" s="7"/>
      <c r="E885" s="7"/>
      <c r="F885" s="7"/>
      <c r="G885" s="7"/>
    </row>
    <row r="886" ht="15.75" customHeight="1">
      <c r="B886" s="7"/>
      <c r="C886" s="7"/>
      <c r="D886" s="7"/>
      <c r="E886" s="7"/>
      <c r="F886" s="7"/>
      <c r="G886" s="7"/>
    </row>
    <row r="887" ht="15.75" customHeight="1">
      <c r="B887" s="7"/>
      <c r="C887" s="7"/>
      <c r="D887" s="7"/>
      <c r="E887" s="7"/>
      <c r="F887" s="7"/>
      <c r="G887" s="7"/>
    </row>
    <row r="888" ht="15.75" customHeight="1">
      <c r="B888" s="7"/>
      <c r="C888" s="7"/>
      <c r="D888" s="7"/>
      <c r="E888" s="7"/>
      <c r="F888" s="7"/>
      <c r="G888" s="7"/>
    </row>
    <row r="889" ht="15.75" customHeight="1">
      <c r="B889" s="7"/>
      <c r="C889" s="7"/>
      <c r="D889" s="7"/>
      <c r="E889" s="7"/>
      <c r="F889" s="7"/>
      <c r="G889" s="7"/>
    </row>
    <row r="890" ht="15.75" customHeight="1">
      <c r="B890" s="7"/>
      <c r="C890" s="7"/>
      <c r="D890" s="7"/>
      <c r="E890" s="7"/>
      <c r="F890" s="7"/>
      <c r="G890" s="7"/>
    </row>
    <row r="891" ht="15.75" customHeight="1">
      <c r="B891" s="7"/>
      <c r="C891" s="7"/>
      <c r="D891" s="7"/>
      <c r="E891" s="7"/>
      <c r="F891" s="7"/>
      <c r="G891" s="7"/>
    </row>
    <row r="892" ht="15.75" customHeight="1">
      <c r="B892" s="7"/>
      <c r="C892" s="7"/>
      <c r="D892" s="7"/>
      <c r="E892" s="7"/>
      <c r="F892" s="7"/>
      <c r="G892" s="7"/>
    </row>
    <row r="893" ht="15.75" customHeight="1">
      <c r="B893" s="7"/>
      <c r="C893" s="7"/>
      <c r="D893" s="7"/>
      <c r="E893" s="7"/>
      <c r="F893" s="7"/>
      <c r="G893" s="7"/>
    </row>
    <row r="894" ht="15.75" customHeight="1">
      <c r="B894" s="7"/>
      <c r="C894" s="7"/>
      <c r="D894" s="7"/>
      <c r="E894" s="7"/>
      <c r="F894" s="7"/>
      <c r="G894" s="7"/>
    </row>
    <row r="895" ht="15.75" customHeight="1">
      <c r="B895" s="7"/>
      <c r="C895" s="7"/>
      <c r="D895" s="7"/>
      <c r="E895" s="7"/>
      <c r="F895" s="7"/>
      <c r="G895" s="7"/>
    </row>
    <row r="896" ht="15.75" customHeight="1">
      <c r="B896" s="7"/>
      <c r="C896" s="7"/>
      <c r="D896" s="7"/>
      <c r="E896" s="7"/>
      <c r="F896" s="7"/>
      <c r="G896" s="7"/>
    </row>
    <row r="897" ht="15.75" customHeight="1">
      <c r="B897" s="7"/>
      <c r="C897" s="7"/>
      <c r="D897" s="7"/>
      <c r="E897" s="7"/>
      <c r="F897" s="7"/>
      <c r="G897" s="7"/>
    </row>
    <row r="898" ht="15.75" customHeight="1">
      <c r="B898" s="7"/>
      <c r="C898" s="7"/>
      <c r="D898" s="7"/>
      <c r="E898" s="7"/>
      <c r="F898" s="7"/>
      <c r="G898" s="7"/>
    </row>
    <row r="899" ht="15.75" customHeight="1">
      <c r="B899" s="7"/>
      <c r="C899" s="7"/>
      <c r="D899" s="7"/>
      <c r="E899" s="7"/>
      <c r="F899" s="7"/>
      <c r="G899" s="7"/>
    </row>
    <row r="900" ht="15.75" customHeight="1">
      <c r="B900" s="7"/>
      <c r="C900" s="7"/>
      <c r="D900" s="7"/>
      <c r="E900" s="7"/>
      <c r="F900" s="7"/>
      <c r="G900" s="7"/>
    </row>
    <row r="901" ht="15.75" customHeight="1">
      <c r="B901" s="7"/>
      <c r="C901" s="7"/>
      <c r="D901" s="7"/>
      <c r="E901" s="7"/>
      <c r="F901" s="7"/>
      <c r="G901" s="7"/>
    </row>
    <row r="902" ht="15.75" customHeight="1">
      <c r="B902" s="7"/>
      <c r="C902" s="7"/>
      <c r="D902" s="7"/>
      <c r="E902" s="7"/>
      <c r="F902" s="7"/>
      <c r="G902" s="7"/>
    </row>
    <row r="903" ht="15.75" customHeight="1">
      <c r="B903" s="7"/>
      <c r="C903" s="7"/>
      <c r="D903" s="7"/>
      <c r="E903" s="7"/>
      <c r="F903" s="7"/>
      <c r="G903" s="7"/>
    </row>
    <row r="904" ht="15.75" customHeight="1">
      <c r="B904" s="7"/>
      <c r="C904" s="7"/>
      <c r="D904" s="7"/>
      <c r="E904" s="7"/>
      <c r="F904" s="7"/>
      <c r="G904" s="7"/>
    </row>
    <row r="905" ht="15.75" customHeight="1">
      <c r="B905" s="7"/>
      <c r="C905" s="7"/>
      <c r="D905" s="7"/>
      <c r="E905" s="7"/>
      <c r="F905" s="7"/>
      <c r="G905" s="7"/>
    </row>
    <row r="906" ht="15.75" customHeight="1">
      <c r="B906" s="7"/>
      <c r="C906" s="7"/>
      <c r="D906" s="7"/>
      <c r="E906" s="7"/>
      <c r="F906" s="7"/>
      <c r="G906" s="7"/>
    </row>
    <row r="907" ht="15.75" customHeight="1">
      <c r="B907" s="7"/>
      <c r="C907" s="7"/>
      <c r="D907" s="7"/>
      <c r="E907" s="7"/>
      <c r="F907" s="7"/>
      <c r="G907" s="7"/>
    </row>
    <row r="908" ht="15.75" customHeight="1">
      <c r="B908" s="7"/>
      <c r="C908" s="7"/>
      <c r="D908" s="7"/>
      <c r="E908" s="7"/>
      <c r="F908" s="7"/>
      <c r="G908" s="7"/>
    </row>
    <row r="909" ht="15.75" customHeight="1">
      <c r="B909" s="7"/>
      <c r="C909" s="7"/>
      <c r="D909" s="7"/>
      <c r="E909" s="7"/>
      <c r="F909" s="7"/>
      <c r="G909" s="7"/>
    </row>
    <row r="910" ht="15.75" customHeight="1">
      <c r="B910" s="7"/>
      <c r="C910" s="7"/>
      <c r="D910" s="7"/>
      <c r="E910" s="7"/>
      <c r="F910" s="7"/>
      <c r="G910" s="7"/>
    </row>
    <row r="911" ht="15.75" customHeight="1">
      <c r="B911" s="7"/>
      <c r="C911" s="7"/>
      <c r="D911" s="7"/>
      <c r="E911" s="7"/>
      <c r="F911" s="7"/>
      <c r="G911" s="7"/>
    </row>
    <row r="912" ht="15.75" customHeight="1">
      <c r="B912" s="7"/>
      <c r="C912" s="7"/>
      <c r="D912" s="7"/>
      <c r="E912" s="7"/>
      <c r="F912" s="7"/>
      <c r="G912" s="7"/>
    </row>
    <row r="913" ht="15.75" customHeight="1">
      <c r="B913" s="7"/>
      <c r="C913" s="7"/>
      <c r="D913" s="7"/>
      <c r="E913" s="7"/>
      <c r="F913" s="7"/>
      <c r="G913" s="7"/>
    </row>
    <row r="914" ht="15.75" customHeight="1">
      <c r="B914" s="7"/>
      <c r="C914" s="7"/>
      <c r="D914" s="7"/>
      <c r="E914" s="7"/>
      <c r="F914" s="7"/>
      <c r="G914" s="7"/>
    </row>
    <row r="915" ht="15.75" customHeight="1">
      <c r="B915" s="7"/>
      <c r="C915" s="7"/>
      <c r="D915" s="7"/>
      <c r="E915" s="7"/>
      <c r="F915" s="7"/>
      <c r="G915" s="7"/>
    </row>
    <row r="916" ht="15.75" customHeight="1">
      <c r="B916" s="7"/>
      <c r="C916" s="7"/>
      <c r="D916" s="7"/>
      <c r="E916" s="7"/>
      <c r="F916" s="7"/>
      <c r="G916" s="7"/>
    </row>
    <row r="917" ht="15.75" customHeight="1">
      <c r="B917" s="7"/>
      <c r="C917" s="7"/>
      <c r="D917" s="7"/>
      <c r="E917" s="7"/>
      <c r="F917" s="7"/>
      <c r="G917" s="7"/>
    </row>
    <row r="918" ht="15.75" customHeight="1">
      <c r="B918" s="7"/>
      <c r="C918" s="7"/>
      <c r="D918" s="7"/>
      <c r="E918" s="7"/>
      <c r="F918" s="7"/>
      <c r="G918" s="7"/>
    </row>
    <row r="919" ht="15.75" customHeight="1">
      <c r="B919" s="7"/>
      <c r="C919" s="7"/>
      <c r="D919" s="7"/>
      <c r="E919" s="7"/>
      <c r="F919" s="7"/>
      <c r="G919" s="7"/>
    </row>
    <row r="920" ht="15.75" customHeight="1">
      <c r="B920" s="7"/>
      <c r="C920" s="7"/>
      <c r="D920" s="7"/>
      <c r="E920" s="7"/>
      <c r="F920" s="7"/>
      <c r="G920" s="7"/>
    </row>
    <row r="921" ht="15.75" customHeight="1">
      <c r="B921" s="7"/>
      <c r="C921" s="7"/>
      <c r="D921" s="7"/>
      <c r="E921" s="7"/>
      <c r="F921" s="7"/>
      <c r="G921" s="7"/>
    </row>
    <row r="922" ht="15.75" customHeight="1">
      <c r="B922" s="7"/>
      <c r="C922" s="7"/>
      <c r="D922" s="7"/>
      <c r="E922" s="7"/>
      <c r="F922" s="7"/>
      <c r="G922" s="7"/>
    </row>
    <row r="923" ht="15.75" customHeight="1">
      <c r="B923" s="7"/>
      <c r="C923" s="7"/>
      <c r="D923" s="7"/>
      <c r="E923" s="7"/>
      <c r="F923" s="7"/>
      <c r="G923" s="7"/>
    </row>
    <row r="924" ht="15.75" customHeight="1">
      <c r="B924" s="7"/>
      <c r="C924" s="7"/>
      <c r="D924" s="7"/>
      <c r="E924" s="7"/>
      <c r="F924" s="7"/>
      <c r="G924" s="7"/>
    </row>
    <row r="925" ht="15.75" customHeight="1">
      <c r="B925" s="7"/>
      <c r="C925" s="7"/>
      <c r="D925" s="7"/>
      <c r="E925" s="7"/>
      <c r="F925" s="7"/>
      <c r="G925" s="7"/>
    </row>
    <row r="926" ht="15.75" customHeight="1">
      <c r="B926" s="7"/>
      <c r="C926" s="7"/>
      <c r="D926" s="7"/>
      <c r="E926" s="7"/>
      <c r="F926" s="7"/>
      <c r="G926" s="7"/>
    </row>
    <row r="927" ht="15.75" customHeight="1">
      <c r="B927" s="7"/>
      <c r="C927" s="7"/>
      <c r="D927" s="7"/>
      <c r="E927" s="7"/>
      <c r="F927" s="7"/>
      <c r="G927" s="7"/>
    </row>
    <row r="928" ht="15.75" customHeight="1">
      <c r="B928" s="7"/>
      <c r="C928" s="7"/>
      <c r="D928" s="7"/>
      <c r="E928" s="7"/>
      <c r="F928" s="7"/>
      <c r="G928" s="7"/>
    </row>
    <row r="929" ht="15.75" customHeight="1">
      <c r="B929" s="7"/>
      <c r="C929" s="7"/>
      <c r="D929" s="7"/>
      <c r="E929" s="7"/>
      <c r="F929" s="7"/>
      <c r="G929" s="7"/>
    </row>
    <row r="930" ht="15.75" customHeight="1">
      <c r="B930" s="7"/>
      <c r="C930" s="7"/>
      <c r="D930" s="7"/>
      <c r="E930" s="7"/>
      <c r="F930" s="7"/>
      <c r="G930" s="7"/>
    </row>
    <row r="931" ht="15.75" customHeight="1">
      <c r="B931" s="7"/>
      <c r="C931" s="7"/>
      <c r="D931" s="7"/>
      <c r="E931" s="7"/>
      <c r="F931" s="7"/>
      <c r="G931" s="7"/>
    </row>
    <row r="932" ht="15.75" customHeight="1">
      <c r="B932" s="7"/>
      <c r="C932" s="7"/>
      <c r="D932" s="7"/>
      <c r="E932" s="7"/>
      <c r="F932" s="7"/>
      <c r="G932" s="7"/>
    </row>
    <row r="933" ht="15.75" customHeight="1">
      <c r="B933" s="7"/>
      <c r="C933" s="7"/>
      <c r="D933" s="7"/>
      <c r="E933" s="7"/>
      <c r="F933" s="7"/>
      <c r="G933" s="7"/>
    </row>
    <row r="934" ht="15.75" customHeight="1">
      <c r="B934" s="7"/>
      <c r="C934" s="7"/>
      <c r="D934" s="7"/>
      <c r="E934" s="7"/>
      <c r="F934" s="7"/>
      <c r="G934" s="7"/>
    </row>
    <row r="935" ht="15.75" customHeight="1">
      <c r="B935" s="7"/>
      <c r="C935" s="7"/>
      <c r="D935" s="7"/>
      <c r="E935" s="7"/>
      <c r="F935" s="7"/>
      <c r="G935" s="7"/>
    </row>
    <row r="936" ht="15.75" customHeight="1">
      <c r="B936" s="7"/>
      <c r="C936" s="7"/>
      <c r="D936" s="7"/>
      <c r="E936" s="7"/>
      <c r="F936" s="7"/>
      <c r="G936" s="7"/>
    </row>
    <row r="937" ht="15.75" customHeight="1">
      <c r="B937" s="7"/>
      <c r="C937" s="7"/>
      <c r="D937" s="7"/>
      <c r="E937" s="7"/>
      <c r="F937" s="7"/>
      <c r="G937" s="7"/>
    </row>
    <row r="938" ht="15.75" customHeight="1">
      <c r="B938" s="7"/>
      <c r="C938" s="7"/>
      <c r="D938" s="7"/>
      <c r="E938" s="7"/>
      <c r="F938" s="7"/>
      <c r="G938" s="7"/>
    </row>
    <row r="939" ht="15.75" customHeight="1">
      <c r="B939" s="7"/>
      <c r="C939" s="7"/>
      <c r="D939" s="7"/>
      <c r="E939" s="7"/>
      <c r="F939" s="7"/>
      <c r="G939" s="7"/>
    </row>
    <row r="940" ht="15.75" customHeight="1">
      <c r="B940" s="7"/>
      <c r="C940" s="7"/>
      <c r="D940" s="7"/>
      <c r="E940" s="7"/>
      <c r="F940" s="7"/>
      <c r="G940" s="7"/>
    </row>
    <row r="941" ht="15.75" customHeight="1">
      <c r="B941" s="7"/>
      <c r="C941" s="7"/>
      <c r="D941" s="7"/>
      <c r="E941" s="7"/>
      <c r="F941" s="7"/>
      <c r="G941" s="7"/>
    </row>
    <row r="942" ht="15.75" customHeight="1">
      <c r="B942" s="7"/>
      <c r="C942" s="7"/>
      <c r="D942" s="7"/>
      <c r="E942" s="7"/>
      <c r="F942" s="7"/>
      <c r="G942" s="7"/>
    </row>
    <row r="943" ht="15.75" customHeight="1">
      <c r="B943" s="7"/>
      <c r="C943" s="7"/>
      <c r="D943" s="7"/>
      <c r="E943" s="7"/>
      <c r="F943" s="7"/>
      <c r="G943" s="7"/>
    </row>
    <row r="944" ht="15.75" customHeight="1">
      <c r="B944" s="7"/>
      <c r="C944" s="7"/>
      <c r="D944" s="7"/>
      <c r="E944" s="7"/>
      <c r="F944" s="7"/>
      <c r="G944" s="7"/>
    </row>
    <row r="945" ht="15.75" customHeight="1">
      <c r="B945" s="7"/>
      <c r="C945" s="7"/>
      <c r="D945" s="7"/>
      <c r="E945" s="7"/>
      <c r="F945" s="7"/>
      <c r="G945" s="7"/>
    </row>
    <row r="946" ht="15.75" customHeight="1">
      <c r="B946" s="7"/>
      <c r="C946" s="7"/>
      <c r="D946" s="7"/>
      <c r="E946" s="7"/>
      <c r="F946" s="7"/>
      <c r="G946" s="7"/>
    </row>
    <row r="947" ht="15.75" customHeight="1">
      <c r="B947" s="7"/>
      <c r="C947" s="7"/>
      <c r="D947" s="7"/>
      <c r="E947" s="7"/>
      <c r="F947" s="7"/>
      <c r="G947" s="7"/>
    </row>
    <row r="948" ht="15.75" customHeight="1">
      <c r="B948" s="7"/>
      <c r="C948" s="7"/>
      <c r="D948" s="7"/>
      <c r="E948" s="7"/>
      <c r="F948" s="7"/>
      <c r="G948" s="7"/>
    </row>
    <row r="949" ht="15.75" customHeight="1">
      <c r="B949" s="7"/>
      <c r="C949" s="7"/>
      <c r="D949" s="7"/>
      <c r="E949" s="7"/>
      <c r="F949" s="7"/>
      <c r="G949" s="7"/>
    </row>
    <row r="950" ht="15.75" customHeight="1">
      <c r="B950" s="7"/>
      <c r="C950" s="7"/>
      <c r="D950" s="7"/>
      <c r="E950" s="7"/>
      <c r="F950" s="7"/>
      <c r="G950" s="7"/>
    </row>
    <row r="951" ht="15.75" customHeight="1">
      <c r="B951" s="7"/>
      <c r="C951" s="7"/>
      <c r="D951" s="7"/>
      <c r="E951" s="7"/>
      <c r="F951" s="7"/>
      <c r="G951" s="7"/>
    </row>
    <row r="952" ht="15.75" customHeight="1">
      <c r="B952" s="7"/>
      <c r="C952" s="7"/>
      <c r="D952" s="7"/>
      <c r="E952" s="7"/>
      <c r="F952" s="7"/>
      <c r="G952" s="7"/>
    </row>
    <row r="953" ht="15.75" customHeight="1">
      <c r="B953" s="7"/>
      <c r="C953" s="7"/>
      <c r="D953" s="7"/>
      <c r="E953" s="7"/>
      <c r="F953" s="7"/>
      <c r="G953" s="7"/>
    </row>
    <row r="954" ht="15.75" customHeight="1">
      <c r="B954" s="7"/>
      <c r="C954" s="7"/>
      <c r="D954" s="7"/>
      <c r="E954" s="7"/>
      <c r="F954" s="7"/>
      <c r="G954" s="7"/>
    </row>
    <row r="955" ht="15.75" customHeight="1">
      <c r="B955" s="7"/>
      <c r="C955" s="7"/>
      <c r="D955" s="7"/>
      <c r="E955" s="7"/>
      <c r="F955" s="7"/>
      <c r="G955" s="7"/>
    </row>
    <row r="956" ht="15.75" customHeight="1">
      <c r="B956" s="7"/>
      <c r="C956" s="7"/>
      <c r="D956" s="7"/>
      <c r="E956" s="7"/>
      <c r="F956" s="7"/>
      <c r="G956" s="7"/>
    </row>
    <row r="957" ht="15.75" customHeight="1">
      <c r="B957" s="7"/>
      <c r="C957" s="7"/>
      <c r="D957" s="7"/>
      <c r="E957" s="7"/>
      <c r="F957" s="7"/>
      <c r="G957" s="7"/>
    </row>
    <row r="958" ht="15.75" customHeight="1">
      <c r="B958" s="7"/>
      <c r="C958" s="7"/>
      <c r="D958" s="7"/>
      <c r="E958" s="7"/>
      <c r="F958" s="7"/>
      <c r="G958" s="7"/>
    </row>
    <row r="959" ht="15.75" customHeight="1">
      <c r="B959" s="7"/>
      <c r="C959" s="7"/>
      <c r="D959" s="7"/>
      <c r="E959" s="7"/>
      <c r="F959" s="7"/>
      <c r="G959" s="7"/>
    </row>
    <row r="960" ht="15.75" customHeight="1">
      <c r="B960" s="7"/>
      <c r="C960" s="7"/>
      <c r="D960" s="7"/>
      <c r="E960" s="7"/>
      <c r="F960" s="7"/>
      <c r="G960" s="7"/>
    </row>
    <row r="961" ht="15.75" customHeight="1">
      <c r="B961" s="7"/>
      <c r="C961" s="7"/>
      <c r="D961" s="7"/>
      <c r="E961" s="7"/>
      <c r="F961" s="7"/>
      <c r="G961" s="7"/>
    </row>
    <row r="962" ht="15.75" customHeight="1">
      <c r="B962" s="7"/>
      <c r="C962" s="7"/>
      <c r="D962" s="7"/>
      <c r="E962" s="7"/>
      <c r="F962" s="7"/>
      <c r="G962" s="7"/>
    </row>
    <row r="963" ht="15.75" customHeight="1">
      <c r="B963" s="7"/>
      <c r="C963" s="7"/>
      <c r="D963" s="7"/>
      <c r="E963" s="7"/>
      <c r="F963" s="7"/>
      <c r="G963" s="7"/>
    </row>
    <row r="964" ht="15.75" customHeight="1">
      <c r="B964" s="7"/>
      <c r="C964" s="7"/>
      <c r="D964" s="7"/>
      <c r="E964" s="7"/>
      <c r="F964" s="7"/>
      <c r="G964" s="7"/>
    </row>
    <row r="965" ht="15.75" customHeight="1">
      <c r="B965" s="7"/>
      <c r="C965" s="7"/>
      <c r="D965" s="7"/>
      <c r="E965" s="7"/>
      <c r="F965" s="7"/>
      <c r="G965" s="7"/>
    </row>
    <row r="966" ht="15.75" customHeight="1">
      <c r="B966" s="7"/>
      <c r="C966" s="7"/>
      <c r="D966" s="7"/>
      <c r="E966" s="7"/>
      <c r="F966" s="7"/>
      <c r="G966" s="7"/>
    </row>
    <row r="967" ht="15.75" customHeight="1">
      <c r="B967" s="7"/>
      <c r="C967" s="7"/>
      <c r="D967" s="7"/>
      <c r="E967" s="7"/>
      <c r="F967" s="7"/>
      <c r="G967" s="7"/>
    </row>
    <row r="968" ht="15.75" customHeight="1">
      <c r="B968" s="7"/>
      <c r="C968" s="7"/>
      <c r="D968" s="7"/>
      <c r="E968" s="7"/>
      <c r="F968" s="7"/>
      <c r="G968" s="7"/>
    </row>
    <row r="969" ht="15.75" customHeight="1">
      <c r="B969" s="7"/>
      <c r="C969" s="7"/>
      <c r="D969" s="7"/>
      <c r="E969" s="7"/>
      <c r="F969" s="7"/>
      <c r="G969" s="7"/>
    </row>
    <row r="970" ht="15.75" customHeight="1">
      <c r="B970" s="7"/>
      <c r="C970" s="7"/>
      <c r="D970" s="7"/>
      <c r="E970" s="7"/>
      <c r="F970" s="7"/>
      <c r="G970" s="7"/>
    </row>
    <row r="971" ht="15.75" customHeight="1">
      <c r="B971" s="7"/>
      <c r="C971" s="7"/>
      <c r="D971" s="7"/>
      <c r="E971" s="7"/>
      <c r="F971" s="7"/>
      <c r="G971" s="7"/>
    </row>
    <row r="972" ht="15.75" customHeight="1">
      <c r="B972" s="7"/>
      <c r="C972" s="7"/>
      <c r="D972" s="7"/>
      <c r="E972" s="7"/>
      <c r="F972" s="7"/>
      <c r="G972" s="7"/>
    </row>
    <row r="973" ht="15.75" customHeight="1">
      <c r="B973" s="7"/>
      <c r="C973" s="7"/>
      <c r="D973" s="7"/>
      <c r="E973" s="7"/>
      <c r="F973" s="7"/>
      <c r="G973" s="7"/>
    </row>
    <row r="974" ht="15.75" customHeight="1">
      <c r="B974" s="7"/>
      <c r="C974" s="7"/>
      <c r="D974" s="7"/>
      <c r="E974" s="7"/>
      <c r="F974" s="7"/>
      <c r="G974" s="7"/>
    </row>
    <row r="975" ht="15.75" customHeight="1">
      <c r="B975" s="7"/>
      <c r="C975" s="7"/>
      <c r="D975" s="7"/>
      <c r="E975" s="7"/>
      <c r="F975" s="7"/>
      <c r="G975" s="7"/>
    </row>
    <row r="976" ht="15.75" customHeight="1">
      <c r="B976" s="7"/>
      <c r="C976" s="7"/>
      <c r="D976" s="7"/>
      <c r="E976" s="7"/>
      <c r="F976" s="7"/>
      <c r="G976" s="7"/>
    </row>
    <row r="977" ht="15.75" customHeight="1">
      <c r="B977" s="7"/>
      <c r="C977" s="7"/>
      <c r="D977" s="7"/>
      <c r="E977" s="7"/>
      <c r="F977" s="7"/>
      <c r="G977" s="7"/>
    </row>
    <row r="978" ht="15.75" customHeight="1">
      <c r="B978" s="7"/>
      <c r="C978" s="7"/>
      <c r="D978" s="7"/>
      <c r="E978" s="7"/>
      <c r="F978" s="7"/>
      <c r="G978" s="7"/>
    </row>
    <row r="979" ht="15.75" customHeight="1">
      <c r="B979" s="7"/>
      <c r="C979" s="7"/>
      <c r="D979" s="7"/>
      <c r="E979" s="7"/>
      <c r="F979" s="7"/>
      <c r="G979" s="7"/>
    </row>
    <row r="980" ht="15.75" customHeight="1">
      <c r="B980" s="7"/>
      <c r="C980" s="7"/>
      <c r="D980" s="7"/>
      <c r="E980" s="7"/>
      <c r="F980" s="7"/>
      <c r="G980" s="7"/>
    </row>
    <row r="981" ht="15.75" customHeight="1">
      <c r="B981" s="7"/>
      <c r="C981" s="7"/>
      <c r="D981" s="7"/>
      <c r="E981" s="7"/>
      <c r="F981" s="7"/>
      <c r="G981" s="7"/>
    </row>
    <row r="982" ht="15.75" customHeight="1">
      <c r="B982" s="7"/>
      <c r="C982" s="7"/>
      <c r="D982" s="7"/>
      <c r="E982" s="7"/>
      <c r="F982" s="7"/>
      <c r="G982" s="7"/>
    </row>
    <row r="983" ht="15.75" customHeight="1">
      <c r="B983" s="7"/>
      <c r="C983" s="7"/>
      <c r="D983" s="7"/>
      <c r="E983" s="7"/>
      <c r="F983" s="7"/>
      <c r="G983" s="7"/>
    </row>
    <row r="984" ht="15.75" customHeight="1">
      <c r="B984" s="7"/>
      <c r="C984" s="7"/>
      <c r="D984" s="7"/>
      <c r="E984" s="7"/>
      <c r="F984" s="7"/>
      <c r="G984" s="7"/>
    </row>
    <row r="985" ht="15.75" customHeight="1">
      <c r="B985" s="7"/>
      <c r="C985" s="7"/>
      <c r="D985" s="7"/>
      <c r="E985" s="7"/>
      <c r="F985" s="7"/>
      <c r="G985" s="7"/>
    </row>
    <row r="986" ht="15.75" customHeight="1">
      <c r="B986" s="7"/>
      <c r="C986" s="7"/>
      <c r="D986" s="7"/>
      <c r="E986" s="7"/>
      <c r="F986" s="7"/>
      <c r="G986" s="7"/>
    </row>
    <row r="987" ht="15.75" customHeight="1">
      <c r="B987" s="7"/>
      <c r="C987" s="7"/>
      <c r="D987" s="7"/>
      <c r="E987" s="7"/>
      <c r="F987" s="7"/>
      <c r="G987" s="7"/>
    </row>
    <row r="988" ht="15.75" customHeight="1">
      <c r="B988" s="7"/>
      <c r="C988" s="7"/>
      <c r="D988" s="7"/>
      <c r="E988" s="7"/>
      <c r="F988" s="7"/>
      <c r="G988" s="7"/>
    </row>
    <row r="989" ht="15.75" customHeight="1">
      <c r="B989" s="7"/>
      <c r="C989" s="7"/>
      <c r="D989" s="7"/>
      <c r="E989" s="7"/>
      <c r="F989" s="7"/>
      <c r="G989" s="7"/>
    </row>
    <row r="990" ht="15.75" customHeight="1">
      <c r="B990" s="7"/>
      <c r="C990" s="7"/>
      <c r="D990" s="7"/>
      <c r="E990" s="7"/>
      <c r="F990" s="7"/>
      <c r="G990" s="7"/>
    </row>
    <row r="991" ht="15.75" customHeight="1">
      <c r="B991" s="7"/>
      <c r="C991" s="7"/>
      <c r="D991" s="7"/>
      <c r="E991" s="7"/>
      <c r="F991" s="7"/>
      <c r="G991" s="7"/>
    </row>
    <row r="992" ht="15.75" customHeight="1">
      <c r="B992" s="7"/>
      <c r="C992" s="7"/>
      <c r="D992" s="7"/>
      <c r="E992" s="7"/>
      <c r="F992" s="7"/>
      <c r="G992" s="7"/>
    </row>
    <row r="993" ht="15.75" customHeight="1">
      <c r="B993" s="7"/>
      <c r="C993" s="7"/>
      <c r="D993" s="7"/>
      <c r="E993" s="7"/>
      <c r="F993" s="7"/>
      <c r="G993" s="7"/>
    </row>
    <row r="994" ht="15.75" customHeight="1">
      <c r="B994" s="7"/>
      <c r="C994" s="7"/>
      <c r="D994" s="7"/>
      <c r="E994" s="7"/>
      <c r="F994" s="7"/>
      <c r="G994" s="7"/>
    </row>
    <row r="995" ht="15.75" customHeight="1">
      <c r="B995" s="7"/>
      <c r="C995" s="7"/>
      <c r="D995" s="7"/>
      <c r="E995" s="7"/>
      <c r="F995" s="7"/>
      <c r="G995" s="7"/>
    </row>
    <row r="996" ht="15.75" customHeight="1">
      <c r="B996" s="7"/>
      <c r="C996" s="7"/>
      <c r="D996" s="7"/>
      <c r="E996" s="7"/>
      <c r="F996" s="7"/>
      <c r="G996" s="7"/>
    </row>
    <row r="997" ht="15.75" customHeight="1">
      <c r="B997" s="7"/>
      <c r="C997" s="7"/>
      <c r="D997" s="7"/>
      <c r="E997" s="7"/>
      <c r="F997" s="7"/>
      <c r="G997" s="7"/>
    </row>
    <row r="998" ht="15.75" customHeight="1">
      <c r="B998" s="7"/>
      <c r="C998" s="7"/>
      <c r="D998" s="7"/>
      <c r="E998" s="7"/>
      <c r="F998" s="7"/>
      <c r="G998" s="7"/>
    </row>
  </sheetData>
  <mergeCells count="13">
    <mergeCell ref="G1:Q1"/>
    <mergeCell ref="A3:A22"/>
    <mergeCell ref="A23:A37"/>
    <mergeCell ref="A38:A45"/>
    <mergeCell ref="A46:A57"/>
    <mergeCell ref="A58:A62"/>
    <mergeCell ref="R1:W1"/>
    <mergeCell ref="Y1:AE1"/>
    <mergeCell ref="AF1:AL1"/>
    <mergeCell ref="AM1:AS1"/>
    <mergeCell ref="AT1:AV1"/>
    <mergeCell ref="AW1:AY1"/>
    <mergeCell ref="AZ1:BC1"/>
  </mergeCell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cols>
    <col customWidth="1" min="3" max="3" width="16.38"/>
    <col customWidth="1" min="4" max="4" width="17.63"/>
    <col customWidth="1" min="5" max="5" width="15.88"/>
    <col customWidth="1" min="6" max="6" width="8.25"/>
    <col customWidth="1" min="7" max="7" width="35.38"/>
    <col customWidth="1" min="8" max="8" width="17.63"/>
    <col customWidth="1" min="9" max="9" width="21.38"/>
    <col customWidth="1" min="10" max="10" width="22.38"/>
    <col customWidth="1" min="11" max="11" width="22.88"/>
    <col customWidth="1" min="12" max="12" width="22.75"/>
    <col customWidth="1" min="13" max="13" width="30.88"/>
    <col customWidth="1" min="14" max="15" width="23.75"/>
    <col customWidth="1" min="16" max="16" width="24.38"/>
    <col customWidth="1" min="18" max="18" width="14.75"/>
    <col customWidth="1" min="19" max="19" width="17.75"/>
    <col customWidth="1" min="20" max="20" width="17.13"/>
    <col customWidth="1" min="21" max="21" width="23.75"/>
    <col customWidth="1" min="22" max="22" width="19.38"/>
    <col customWidth="1" min="23" max="23" width="23.88"/>
    <col customWidth="1" min="24" max="24" width="32.38"/>
    <col customWidth="1" min="25" max="25" width="17.75"/>
    <col customWidth="1" min="26" max="27" width="24.38"/>
    <col customWidth="1" min="28" max="28" width="24.63"/>
    <col customWidth="1" min="29" max="29" width="25.25"/>
    <col customWidth="1" min="30" max="30" width="23.13"/>
    <col customWidth="1" min="31" max="31" width="28.13"/>
    <col customWidth="1" min="32" max="32" width="14.13"/>
    <col customWidth="1" min="33" max="33" width="22.63"/>
    <col customWidth="1" min="34" max="34" width="20.63"/>
    <col customWidth="1" min="35" max="35" width="22.88"/>
    <col customWidth="1" min="36" max="36" width="23.75"/>
    <col customWidth="1" min="37" max="37" width="20.88"/>
    <col customWidth="1" min="38" max="38" width="24.88"/>
    <col customWidth="1" min="39" max="39" width="16.88"/>
    <col customWidth="1" min="40" max="40" width="27.88"/>
    <col customWidth="1" min="41" max="41" width="25.63"/>
    <col customWidth="1" min="42" max="42" width="23.13"/>
    <col customWidth="1" min="43" max="43" width="29.75"/>
    <col customWidth="1" min="44" max="44" width="22.25"/>
    <col customWidth="1" min="45" max="45" width="27.38"/>
    <col customWidth="1" min="46" max="46" width="14.13"/>
    <col customWidth="1" min="47" max="47" width="25.25"/>
    <col customWidth="1" min="48" max="48" width="24.38"/>
    <col customWidth="1" min="49" max="49" width="13.63"/>
    <col customWidth="1" min="50" max="51" width="23.75"/>
    <col customWidth="1" min="52" max="52" width="33.38"/>
    <col customWidth="1" min="53" max="53" width="40.63"/>
    <col customWidth="1" min="54" max="54" width="33.38"/>
    <col customWidth="1" min="55" max="55" width="17.63"/>
  </cols>
  <sheetData>
    <row r="1" ht="27.0" customHeight="1">
      <c r="A1" s="126" t="s">
        <v>0</v>
      </c>
      <c r="B1" s="126" t="s">
        <v>405</v>
      </c>
      <c r="C1" s="127" t="s">
        <v>406</v>
      </c>
      <c r="D1" s="128" t="s">
        <v>3</v>
      </c>
      <c r="E1" s="128" t="s">
        <v>4</v>
      </c>
      <c r="F1" s="128" t="s">
        <v>8</v>
      </c>
      <c r="G1" s="30" t="s">
        <v>407</v>
      </c>
      <c r="H1" s="31"/>
      <c r="I1" s="31"/>
      <c r="J1" s="31"/>
      <c r="K1" s="31"/>
      <c r="L1" s="31"/>
      <c r="M1" s="31"/>
      <c r="N1" s="31"/>
      <c r="O1" s="31"/>
      <c r="P1" s="31"/>
      <c r="Q1" s="32"/>
      <c r="R1" s="33" t="s">
        <v>408</v>
      </c>
      <c r="S1" s="34"/>
      <c r="T1" s="34"/>
      <c r="U1" s="34"/>
      <c r="V1" s="34"/>
      <c r="W1" s="35"/>
      <c r="X1" s="36" t="s">
        <v>409</v>
      </c>
      <c r="Y1" s="33" t="s">
        <v>410</v>
      </c>
      <c r="Z1" s="34"/>
      <c r="AA1" s="34"/>
      <c r="AB1" s="34"/>
      <c r="AC1" s="34"/>
      <c r="AD1" s="34"/>
      <c r="AE1" s="35"/>
      <c r="AF1" s="37" t="s">
        <v>411</v>
      </c>
      <c r="AG1" s="38"/>
      <c r="AH1" s="38"/>
      <c r="AI1" s="38"/>
      <c r="AJ1" s="38"/>
      <c r="AK1" s="38"/>
      <c r="AL1" s="39"/>
      <c r="AM1" s="40" t="s">
        <v>412</v>
      </c>
      <c r="AN1" s="38"/>
      <c r="AO1" s="38"/>
      <c r="AP1" s="38"/>
      <c r="AQ1" s="38"/>
      <c r="AR1" s="38"/>
      <c r="AS1" s="39"/>
      <c r="AT1" s="37" t="s">
        <v>413</v>
      </c>
      <c r="AU1" s="38"/>
      <c r="AV1" s="39"/>
      <c r="AW1" s="37" t="s">
        <v>414</v>
      </c>
      <c r="AX1" s="38"/>
      <c r="AY1" s="39"/>
      <c r="AZ1" s="41" t="s">
        <v>415</v>
      </c>
      <c r="BA1" s="42"/>
      <c r="BB1" s="42"/>
      <c r="BC1" s="43"/>
    </row>
    <row r="2" ht="54.0" customHeight="1">
      <c r="A2" s="26"/>
      <c r="B2" s="25"/>
      <c r="C2" s="25"/>
      <c r="D2" s="7"/>
      <c r="E2" s="7"/>
      <c r="F2" s="7"/>
      <c r="G2" s="46" t="s">
        <v>416</v>
      </c>
      <c r="H2" s="47" t="s">
        <v>417</v>
      </c>
      <c r="I2" s="48" t="s">
        <v>418</v>
      </c>
      <c r="J2" s="48" t="s">
        <v>419</v>
      </c>
      <c r="K2" s="49" t="s">
        <v>420</v>
      </c>
      <c r="L2" s="45" t="s">
        <v>421</v>
      </c>
      <c r="M2" s="50" t="s">
        <v>644</v>
      </c>
      <c r="N2" s="51" t="s">
        <v>645</v>
      </c>
      <c r="O2" s="52" t="s">
        <v>424</v>
      </c>
      <c r="P2" s="53" t="s">
        <v>646</v>
      </c>
      <c r="Q2" s="114" t="s">
        <v>426</v>
      </c>
      <c r="R2" s="55" t="s">
        <v>427</v>
      </c>
      <c r="S2" s="52" t="s">
        <v>428</v>
      </c>
      <c r="T2" s="52" t="s">
        <v>429</v>
      </c>
      <c r="U2" s="56" t="s">
        <v>430</v>
      </c>
      <c r="V2" s="45" t="s">
        <v>431</v>
      </c>
      <c r="W2" s="57" t="s">
        <v>432</v>
      </c>
      <c r="X2" s="58" t="s">
        <v>433</v>
      </c>
      <c r="Y2" s="55" t="s">
        <v>434</v>
      </c>
      <c r="Z2" s="59" t="s">
        <v>435</v>
      </c>
      <c r="AA2" s="52" t="s">
        <v>436</v>
      </c>
      <c r="AB2" s="56" t="s">
        <v>437</v>
      </c>
      <c r="AC2" s="49" t="s">
        <v>438</v>
      </c>
      <c r="AD2" s="49" t="s">
        <v>439</v>
      </c>
      <c r="AE2" s="60" t="s">
        <v>440</v>
      </c>
      <c r="AF2" s="55" t="s">
        <v>441</v>
      </c>
      <c r="AG2" s="59" t="s">
        <v>442</v>
      </c>
      <c r="AH2" s="52" t="s">
        <v>443</v>
      </c>
      <c r="AI2" s="56" t="s">
        <v>444</v>
      </c>
      <c r="AJ2" s="45" t="s">
        <v>445</v>
      </c>
      <c r="AK2" s="45" t="s">
        <v>446</v>
      </c>
      <c r="AL2" s="61" t="s">
        <v>447</v>
      </c>
      <c r="AM2" s="55" t="s">
        <v>448</v>
      </c>
      <c r="AN2" s="52" t="s">
        <v>449</v>
      </c>
      <c r="AO2" s="52" t="s">
        <v>450</v>
      </c>
      <c r="AP2" s="56" t="s">
        <v>451</v>
      </c>
      <c r="AQ2" s="45" t="s">
        <v>452</v>
      </c>
      <c r="AR2" s="45" t="s">
        <v>453</v>
      </c>
      <c r="AS2" s="61" t="s">
        <v>454</v>
      </c>
      <c r="AT2" s="55" t="s">
        <v>455</v>
      </c>
      <c r="AU2" s="52" t="s">
        <v>456</v>
      </c>
      <c r="AV2" s="61" t="s">
        <v>457</v>
      </c>
      <c r="AW2" s="55" t="s">
        <v>458</v>
      </c>
      <c r="AX2" s="52" t="s">
        <v>459</v>
      </c>
      <c r="AY2" s="61" t="s">
        <v>460</v>
      </c>
      <c r="AZ2" s="62" t="s">
        <v>461</v>
      </c>
      <c r="BA2" s="63" t="s">
        <v>647</v>
      </c>
      <c r="BB2" s="64" t="s">
        <v>648</v>
      </c>
      <c r="BC2" s="65" t="s">
        <v>649</v>
      </c>
    </row>
    <row r="3" ht="15.75" customHeight="1">
      <c r="A3" s="66" t="s">
        <v>13</v>
      </c>
      <c r="B3" s="67" t="s">
        <v>14</v>
      </c>
      <c r="C3" s="67" t="s">
        <v>15</v>
      </c>
      <c r="D3" s="9" t="s">
        <v>16</v>
      </c>
      <c r="E3" s="9" t="s">
        <v>17</v>
      </c>
      <c r="F3" s="9" t="s">
        <v>20</v>
      </c>
      <c r="G3" s="9" t="s">
        <v>650</v>
      </c>
      <c r="H3" s="9">
        <v>7.0</v>
      </c>
      <c r="I3" s="9"/>
      <c r="J3" s="9"/>
      <c r="K3" s="9"/>
      <c r="L3" s="9">
        <v>700.0</v>
      </c>
      <c r="M3" s="9">
        <f t="shared" ref="M3:M55" si="1">if(P3&lt;500,0,P3/H3)</f>
        <v>0</v>
      </c>
      <c r="N3" s="9">
        <f t="shared" ref="N3:N55" si="2">4%*P3</f>
        <v>0</v>
      </c>
      <c r="O3" s="9">
        <v>1.0</v>
      </c>
      <c r="P3" s="9">
        <f t="shared" ref="P3:P55" si="3">(I3*O3)+(J3*Q3)</f>
        <v>0</v>
      </c>
      <c r="Q3" s="9">
        <v>8.0</v>
      </c>
      <c r="R3" s="129">
        <v>14.0</v>
      </c>
      <c r="S3" s="9">
        <v>20.0</v>
      </c>
      <c r="T3" s="9">
        <v>550.0</v>
      </c>
      <c r="U3" s="9">
        <f t="shared" ref="U3:U55" si="4">S3*T3*Q3</f>
        <v>88000</v>
      </c>
      <c r="V3" s="9">
        <f t="shared" ref="V3:V55" si="5">S3*(1+R3%)</f>
        <v>22.8</v>
      </c>
      <c r="W3" s="11">
        <f t="shared" ref="W3:W55" si="6">V3*T3</f>
        <v>12540</v>
      </c>
      <c r="X3" s="72">
        <f t="shared" ref="X3:X55" si="7">(W3*Q3)-U3</f>
        <v>12320</v>
      </c>
      <c r="Y3" s="71">
        <v>0.0</v>
      </c>
      <c r="Z3" s="9">
        <v>550.0</v>
      </c>
      <c r="AA3" s="9">
        <v>1.4</v>
      </c>
      <c r="AB3" s="9">
        <f t="shared" ref="AB3:AB55" si="8">AA3*Z3</f>
        <v>770</v>
      </c>
      <c r="AC3" s="9">
        <f t="shared" ref="AC3:AC55" si="9">Z3*(1-Y3%)</f>
        <v>550</v>
      </c>
      <c r="AD3" s="9">
        <f t="shared" ref="AD3:AD55" si="10">AB3-(AC3*AA3)</f>
        <v>0</v>
      </c>
      <c r="AE3" s="73">
        <f t="shared" ref="AE3:AE55" si="11">AD3*Q3</f>
        <v>0</v>
      </c>
      <c r="AF3" s="75">
        <v>42.0</v>
      </c>
      <c r="AG3" s="9">
        <v>1200.0</v>
      </c>
      <c r="AH3" s="74">
        <v>0.6</v>
      </c>
      <c r="AI3" s="9">
        <f t="shared" ref="AI3:AI55" si="12">AH3*AG3</f>
        <v>720</v>
      </c>
      <c r="AJ3" s="9">
        <f t="shared" ref="AJ3:AJ55" si="13">AG3*(1-AF3%)</f>
        <v>696</v>
      </c>
      <c r="AK3" s="9">
        <f t="shared" ref="AK3:AK55" si="14">AI3-(AJ3*AH3)</f>
        <v>302.4</v>
      </c>
      <c r="AL3" s="11">
        <f t="shared" ref="AL3:AL55" si="15">AK3*Q3</f>
        <v>2419.2</v>
      </c>
      <c r="AM3" s="76">
        <v>0.0</v>
      </c>
      <c r="AN3" s="74">
        <v>3.2</v>
      </c>
      <c r="AO3" s="74">
        <v>21.0</v>
      </c>
      <c r="AP3" s="9">
        <f t="shared" ref="AP3:AP55" si="16">AO3*AN3</f>
        <v>67.2</v>
      </c>
      <c r="AQ3" s="9">
        <f t="shared" ref="AQ3:AQ55" si="17">AN3*(1-AM3%)</f>
        <v>3.2</v>
      </c>
      <c r="AR3" s="9">
        <f t="shared" ref="AR3:AR55" si="18">AP3-(AQ3*AO3)</f>
        <v>0</v>
      </c>
      <c r="AS3" s="11">
        <f t="shared" ref="AS3:AS55" si="19">AR3*Q3</f>
        <v>0</v>
      </c>
      <c r="AT3" s="76">
        <v>0.0</v>
      </c>
      <c r="AU3" s="74">
        <v>20000.0</v>
      </c>
      <c r="AV3" s="11">
        <f t="shared" ref="AV3:AV55" si="20">AU3-(AU3*(1-AT3%))</f>
        <v>0</v>
      </c>
      <c r="AW3" s="71">
        <v>10.0</v>
      </c>
      <c r="AX3" s="74">
        <v>7000.0</v>
      </c>
      <c r="AY3" s="11">
        <f t="shared" ref="AY3:AY55" si="21">AX3-(AX3*(1-AW3%))</f>
        <v>700</v>
      </c>
      <c r="AZ3" s="75">
        <f t="shared" ref="AZ3:AZ55" si="22">(AY3+AV3+AS3+AL3+AE3+X3)-(L3*O3)-M3-N3</f>
        <v>14739.2</v>
      </c>
      <c r="BA3" s="120" t="str">
        <f t="shared" ref="BA3:BA55" si="23">IF(P3&gt;0,AZ3/P3,"The DAT is free")</f>
        <v>The DAT is free</v>
      </c>
      <c r="BB3" s="11">
        <f t="shared" ref="BB3:BB55" si="24">if(AZ3&gt;0,P3/AZ3,"Payback period not applicable: the investment does not recover its cost under current conditions.")</f>
        <v>0</v>
      </c>
      <c r="BC3" s="11" t="str">
        <f t="shared" ref="BC3:BC55" si="25">IF(BB3&lt;6, "YES", "NO")</f>
        <v>YES</v>
      </c>
    </row>
    <row r="4" ht="15.75" customHeight="1">
      <c r="A4" s="12"/>
      <c r="B4" s="26" t="s">
        <v>14</v>
      </c>
      <c r="C4" s="26" t="s">
        <v>91</v>
      </c>
      <c r="D4" s="7" t="s">
        <v>473</v>
      </c>
      <c r="E4" s="7" t="s">
        <v>474</v>
      </c>
      <c r="F4" s="7" t="s">
        <v>51</v>
      </c>
      <c r="G4" s="7" t="s">
        <v>475</v>
      </c>
      <c r="H4" s="7">
        <v>7.0</v>
      </c>
      <c r="I4" s="7"/>
      <c r="J4" s="7"/>
      <c r="L4" s="7">
        <v>180.0</v>
      </c>
      <c r="M4" s="9">
        <f t="shared" si="1"/>
        <v>0</v>
      </c>
      <c r="N4" s="9">
        <f t="shared" si="2"/>
        <v>0</v>
      </c>
      <c r="O4" s="7">
        <v>1.0</v>
      </c>
      <c r="P4" s="9">
        <f t="shared" si="3"/>
        <v>0</v>
      </c>
      <c r="Q4" s="7">
        <v>8.0</v>
      </c>
      <c r="R4" s="16">
        <v>14.0</v>
      </c>
      <c r="S4" s="7">
        <v>20.0</v>
      </c>
      <c r="T4" s="7">
        <v>550.0</v>
      </c>
      <c r="U4" s="7">
        <f t="shared" si="4"/>
        <v>88000</v>
      </c>
      <c r="V4" s="7">
        <f t="shared" si="5"/>
        <v>22.8</v>
      </c>
      <c r="W4" s="14">
        <f t="shared" si="6"/>
        <v>12540</v>
      </c>
      <c r="X4" s="94">
        <f t="shared" si="7"/>
        <v>12320</v>
      </c>
      <c r="Y4" s="80">
        <v>12.5</v>
      </c>
      <c r="Z4" s="7">
        <v>550.0</v>
      </c>
      <c r="AA4" s="7">
        <v>1.4</v>
      </c>
      <c r="AB4" s="7">
        <f t="shared" si="8"/>
        <v>770</v>
      </c>
      <c r="AC4" s="7">
        <f t="shared" si="9"/>
        <v>481.25</v>
      </c>
      <c r="AD4" s="7">
        <f t="shared" si="10"/>
        <v>96.25</v>
      </c>
      <c r="AE4" s="83">
        <f t="shared" si="11"/>
        <v>770</v>
      </c>
      <c r="AF4" s="82">
        <v>0.0</v>
      </c>
      <c r="AG4" s="7">
        <v>1200.0</v>
      </c>
      <c r="AH4" s="78">
        <v>0.6</v>
      </c>
      <c r="AI4" s="7">
        <f t="shared" si="12"/>
        <v>720</v>
      </c>
      <c r="AJ4" s="7">
        <f t="shared" si="13"/>
        <v>1200</v>
      </c>
      <c r="AK4" s="7">
        <f t="shared" si="14"/>
        <v>0</v>
      </c>
      <c r="AL4" s="14">
        <f t="shared" si="15"/>
        <v>0</v>
      </c>
      <c r="AM4" s="84">
        <v>35.0</v>
      </c>
      <c r="AN4" s="78">
        <v>3.2</v>
      </c>
      <c r="AO4" s="78">
        <v>21.0</v>
      </c>
      <c r="AP4" s="7">
        <f t="shared" si="16"/>
        <v>67.2</v>
      </c>
      <c r="AQ4" s="7">
        <f t="shared" si="17"/>
        <v>2.08</v>
      </c>
      <c r="AR4" s="7">
        <f t="shared" si="18"/>
        <v>23.52</v>
      </c>
      <c r="AS4" s="14">
        <f t="shared" si="19"/>
        <v>188.16</v>
      </c>
      <c r="AT4" s="82">
        <v>0.0</v>
      </c>
      <c r="AU4" s="78">
        <v>22000.0</v>
      </c>
      <c r="AV4" s="14">
        <f t="shared" si="20"/>
        <v>0</v>
      </c>
      <c r="AW4" s="80">
        <v>10.0</v>
      </c>
      <c r="AX4" s="78">
        <v>7000.0</v>
      </c>
      <c r="AY4" s="14">
        <f t="shared" si="21"/>
        <v>700</v>
      </c>
      <c r="AZ4" s="75">
        <f t="shared" si="22"/>
        <v>13798.16</v>
      </c>
      <c r="BA4" s="120" t="str">
        <f t="shared" si="23"/>
        <v>The DAT is free</v>
      </c>
      <c r="BB4" s="11">
        <f t="shared" si="24"/>
        <v>0</v>
      </c>
      <c r="BC4" s="11" t="str">
        <f t="shared" si="25"/>
        <v>YES</v>
      </c>
    </row>
    <row r="5" ht="15.75" customHeight="1">
      <c r="A5" s="12"/>
      <c r="B5" s="45" t="s">
        <v>14</v>
      </c>
      <c r="C5" s="45" t="s">
        <v>91</v>
      </c>
      <c r="D5" s="7" t="s">
        <v>476</v>
      </c>
      <c r="E5" s="7" t="s">
        <v>474</v>
      </c>
      <c r="F5" s="7" t="s">
        <v>51</v>
      </c>
      <c r="G5" s="7" t="s">
        <v>651</v>
      </c>
      <c r="H5" s="7">
        <v>7.0</v>
      </c>
      <c r="I5" s="7"/>
      <c r="J5" s="7"/>
      <c r="K5" s="7"/>
      <c r="L5" s="7">
        <v>340.0</v>
      </c>
      <c r="M5" s="9">
        <f t="shared" si="1"/>
        <v>0</v>
      </c>
      <c r="N5" s="9">
        <f t="shared" si="2"/>
        <v>0</v>
      </c>
      <c r="O5" s="116">
        <v>1.0</v>
      </c>
      <c r="P5" s="9">
        <f t="shared" si="3"/>
        <v>0</v>
      </c>
      <c r="Q5" s="7">
        <v>8.0</v>
      </c>
      <c r="R5" s="16">
        <v>14.0</v>
      </c>
      <c r="S5" s="7">
        <v>20.0</v>
      </c>
      <c r="T5" s="7">
        <v>550.0</v>
      </c>
      <c r="U5" s="116">
        <f t="shared" si="4"/>
        <v>88000</v>
      </c>
      <c r="V5" s="116">
        <f t="shared" si="5"/>
        <v>22.8</v>
      </c>
      <c r="W5" s="117">
        <f t="shared" si="6"/>
        <v>12540</v>
      </c>
      <c r="X5" s="118">
        <f t="shared" si="7"/>
        <v>12320</v>
      </c>
      <c r="Y5" s="80">
        <v>12.5</v>
      </c>
      <c r="Z5" s="7">
        <v>550.0</v>
      </c>
      <c r="AA5" s="7">
        <v>1.4</v>
      </c>
      <c r="AB5" s="116">
        <f t="shared" si="8"/>
        <v>770</v>
      </c>
      <c r="AC5" s="116">
        <f t="shared" si="9"/>
        <v>481.25</v>
      </c>
      <c r="AD5" s="116">
        <f t="shared" si="10"/>
        <v>96.25</v>
      </c>
      <c r="AE5" s="117">
        <f t="shared" si="11"/>
        <v>770</v>
      </c>
      <c r="AF5" s="130">
        <v>0.0</v>
      </c>
      <c r="AG5" s="7">
        <v>1200.0</v>
      </c>
      <c r="AH5" s="78">
        <v>0.6</v>
      </c>
      <c r="AI5" s="116">
        <f t="shared" si="12"/>
        <v>720</v>
      </c>
      <c r="AJ5" s="116">
        <f t="shared" si="13"/>
        <v>1200</v>
      </c>
      <c r="AK5" s="116">
        <f t="shared" si="14"/>
        <v>0</v>
      </c>
      <c r="AL5" s="117">
        <f t="shared" si="15"/>
        <v>0</v>
      </c>
      <c r="AM5" s="84">
        <v>35.0</v>
      </c>
      <c r="AN5" s="78">
        <v>3.2</v>
      </c>
      <c r="AO5" s="78">
        <v>21.0</v>
      </c>
      <c r="AP5" s="116">
        <f t="shared" si="16"/>
        <v>67.2</v>
      </c>
      <c r="AQ5" s="116">
        <f t="shared" si="17"/>
        <v>2.08</v>
      </c>
      <c r="AR5" s="116">
        <f t="shared" si="18"/>
        <v>23.52</v>
      </c>
      <c r="AS5" s="117">
        <f t="shared" si="19"/>
        <v>188.16</v>
      </c>
      <c r="AT5" s="82">
        <v>0.0</v>
      </c>
      <c r="AU5" s="78">
        <v>22000.0</v>
      </c>
      <c r="AV5" s="117">
        <f t="shared" si="20"/>
        <v>0</v>
      </c>
      <c r="AW5" s="80">
        <v>10.0</v>
      </c>
      <c r="AX5" s="78">
        <v>7000.0</v>
      </c>
      <c r="AY5" s="117">
        <f t="shared" si="21"/>
        <v>700</v>
      </c>
      <c r="AZ5" s="75">
        <f t="shared" si="22"/>
        <v>13638.16</v>
      </c>
      <c r="BA5" s="120" t="str">
        <f t="shared" si="23"/>
        <v>The DAT is free</v>
      </c>
      <c r="BB5" s="11">
        <f t="shared" si="24"/>
        <v>0</v>
      </c>
      <c r="BC5" s="11" t="str">
        <f t="shared" si="25"/>
        <v>YES</v>
      </c>
    </row>
    <row r="6" ht="15.75" customHeight="1">
      <c r="A6" s="12"/>
      <c r="B6" s="26" t="s">
        <v>14</v>
      </c>
      <c r="C6" s="26" t="s">
        <v>91</v>
      </c>
      <c r="D6" s="7" t="s">
        <v>97</v>
      </c>
      <c r="E6" s="7" t="s">
        <v>479</v>
      </c>
      <c r="F6" s="7" t="s">
        <v>51</v>
      </c>
      <c r="G6" s="7" t="s">
        <v>480</v>
      </c>
      <c r="H6" s="7">
        <v>7.0</v>
      </c>
      <c r="I6" s="7"/>
      <c r="J6" s="7"/>
      <c r="K6" s="78">
        <v>20.0</v>
      </c>
      <c r="L6" s="7">
        <f>K6*12</f>
        <v>240</v>
      </c>
      <c r="M6" s="9">
        <f t="shared" si="1"/>
        <v>0</v>
      </c>
      <c r="N6" s="9">
        <f t="shared" si="2"/>
        <v>0</v>
      </c>
      <c r="O6" s="7">
        <v>1.0</v>
      </c>
      <c r="P6" s="9">
        <f t="shared" si="3"/>
        <v>0</v>
      </c>
      <c r="Q6" s="7">
        <v>8.0</v>
      </c>
      <c r="R6" s="16">
        <v>14.0</v>
      </c>
      <c r="S6" s="7">
        <v>20.0</v>
      </c>
      <c r="T6" s="7">
        <v>550.0</v>
      </c>
      <c r="U6" s="7">
        <f t="shared" si="4"/>
        <v>88000</v>
      </c>
      <c r="V6" s="7">
        <f t="shared" si="5"/>
        <v>22.8</v>
      </c>
      <c r="W6" s="14">
        <f t="shared" si="6"/>
        <v>12540</v>
      </c>
      <c r="X6" s="94">
        <f t="shared" si="7"/>
        <v>12320</v>
      </c>
      <c r="Y6" s="80">
        <v>12.5</v>
      </c>
      <c r="Z6" s="7">
        <v>550.0</v>
      </c>
      <c r="AA6" s="7">
        <v>1.4</v>
      </c>
      <c r="AB6" s="7">
        <f t="shared" si="8"/>
        <v>770</v>
      </c>
      <c r="AC6" s="7">
        <f t="shared" si="9"/>
        <v>481.25</v>
      </c>
      <c r="AD6" s="7">
        <f t="shared" si="10"/>
        <v>96.25</v>
      </c>
      <c r="AE6" s="83">
        <f t="shared" si="11"/>
        <v>770</v>
      </c>
      <c r="AF6" s="82">
        <v>0.0</v>
      </c>
      <c r="AG6" s="7">
        <v>1200.0</v>
      </c>
      <c r="AH6" s="78">
        <v>0.6</v>
      </c>
      <c r="AI6" s="7">
        <f t="shared" si="12"/>
        <v>720</v>
      </c>
      <c r="AJ6" s="7">
        <f t="shared" si="13"/>
        <v>1200</v>
      </c>
      <c r="AK6" s="7">
        <f t="shared" si="14"/>
        <v>0</v>
      </c>
      <c r="AL6" s="14">
        <f t="shared" si="15"/>
        <v>0</v>
      </c>
      <c r="AM6" s="84">
        <v>35.0</v>
      </c>
      <c r="AN6" s="78">
        <v>3.2</v>
      </c>
      <c r="AO6" s="78">
        <v>21.0</v>
      </c>
      <c r="AP6" s="7">
        <f t="shared" si="16"/>
        <v>67.2</v>
      </c>
      <c r="AQ6" s="7">
        <f t="shared" si="17"/>
        <v>2.08</v>
      </c>
      <c r="AR6" s="7">
        <f t="shared" si="18"/>
        <v>23.52</v>
      </c>
      <c r="AS6" s="14">
        <f t="shared" si="19"/>
        <v>188.16</v>
      </c>
      <c r="AT6" s="82">
        <v>0.0</v>
      </c>
      <c r="AU6" s="78">
        <v>22000.0</v>
      </c>
      <c r="AV6" s="14">
        <f t="shared" si="20"/>
        <v>0</v>
      </c>
      <c r="AW6" s="80">
        <v>10.0</v>
      </c>
      <c r="AX6" s="78">
        <v>7000.0</v>
      </c>
      <c r="AY6" s="14">
        <f t="shared" si="21"/>
        <v>700</v>
      </c>
      <c r="AZ6" s="75">
        <f t="shared" si="22"/>
        <v>13738.16</v>
      </c>
      <c r="BA6" s="120" t="str">
        <f t="shared" si="23"/>
        <v>The DAT is free</v>
      </c>
      <c r="BB6" s="11">
        <f t="shared" si="24"/>
        <v>0</v>
      </c>
      <c r="BC6" s="11" t="str">
        <f t="shared" si="25"/>
        <v>YES</v>
      </c>
    </row>
    <row r="7" ht="15.75" customHeight="1">
      <c r="A7" s="12"/>
      <c r="B7" s="26" t="s">
        <v>14</v>
      </c>
      <c r="C7" s="26" t="s">
        <v>91</v>
      </c>
      <c r="D7" s="7" t="s">
        <v>108</v>
      </c>
      <c r="E7" s="7" t="s">
        <v>652</v>
      </c>
      <c r="F7" s="7" t="s">
        <v>51</v>
      </c>
      <c r="G7" s="7" t="s">
        <v>112</v>
      </c>
      <c r="H7" s="7">
        <v>7.0</v>
      </c>
      <c r="I7" s="7">
        <v>3300.0</v>
      </c>
      <c r="J7" s="7"/>
      <c r="L7" s="7"/>
      <c r="M7" s="9">
        <f t="shared" si="1"/>
        <v>471.4285714</v>
      </c>
      <c r="N7" s="9">
        <f t="shared" si="2"/>
        <v>132</v>
      </c>
      <c r="O7" s="7">
        <v>1.0</v>
      </c>
      <c r="P7" s="9">
        <f t="shared" si="3"/>
        <v>3300</v>
      </c>
      <c r="Q7" s="7">
        <v>8.0</v>
      </c>
      <c r="R7" s="16">
        <v>14.0</v>
      </c>
      <c r="S7" s="7">
        <v>20.0</v>
      </c>
      <c r="T7" s="7">
        <v>550.0</v>
      </c>
      <c r="U7" s="7">
        <f t="shared" si="4"/>
        <v>88000</v>
      </c>
      <c r="V7" s="7">
        <f t="shared" si="5"/>
        <v>22.8</v>
      </c>
      <c r="W7" s="14">
        <f t="shared" si="6"/>
        <v>12540</v>
      </c>
      <c r="X7" s="94">
        <f t="shared" si="7"/>
        <v>12320</v>
      </c>
      <c r="Y7" s="80">
        <v>12.5</v>
      </c>
      <c r="Z7" s="7">
        <v>550.0</v>
      </c>
      <c r="AA7" s="7">
        <v>1.4</v>
      </c>
      <c r="AB7" s="7">
        <f t="shared" si="8"/>
        <v>770</v>
      </c>
      <c r="AC7" s="7">
        <f t="shared" si="9"/>
        <v>481.25</v>
      </c>
      <c r="AD7" s="7">
        <f t="shared" si="10"/>
        <v>96.25</v>
      </c>
      <c r="AE7" s="83">
        <f t="shared" si="11"/>
        <v>770</v>
      </c>
      <c r="AF7" s="82">
        <v>0.0</v>
      </c>
      <c r="AG7" s="7">
        <v>1200.0</v>
      </c>
      <c r="AH7" s="78">
        <v>0.6</v>
      </c>
      <c r="AI7" s="7">
        <f t="shared" si="12"/>
        <v>720</v>
      </c>
      <c r="AJ7" s="7">
        <f t="shared" si="13"/>
        <v>1200</v>
      </c>
      <c r="AK7" s="7">
        <f t="shared" si="14"/>
        <v>0</v>
      </c>
      <c r="AL7" s="14">
        <f t="shared" si="15"/>
        <v>0</v>
      </c>
      <c r="AM7" s="84">
        <v>35.0</v>
      </c>
      <c r="AN7" s="78">
        <v>3.2</v>
      </c>
      <c r="AO7" s="78">
        <v>21.0</v>
      </c>
      <c r="AP7" s="7">
        <f t="shared" si="16"/>
        <v>67.2</v>
      </c>
      <c r="AQ7" s="7">
        <f t="shared" si="17"/>
        <v>2.08</v>
      </c>
      <c r="AR7" s="7">
        <f t="shared" si="18"/>
        <v>23.52</v>
      </c>
      <c r="AS7" s="14">
        <f t="shared" si="19"/>
        <v>188.16</v>
      </c>
      <c r="AT7" s="82">
        <v>0.0</v>
      </c>
      <c r="AU7" s="78">
        <v>22000.0</v>
      </c>
      <c r="AV7" s="14">
        <f t="shared" si="20"/>
        <v>0</v>
      </c>
      <c r="AW7" s="80">
        <v>10.0</v>
      </c>
      <c r="AX7" s="78">
        <v>7000.0</v>
      </c>
      <c r="AY7" s="14">
        <f t="shared" si="21"/>
        <v>700</v>
      </c>
      <c r="AZ7" s="75">
        <f t="shared" si="22"/>
        <v>13374.73143</v>
      </c>
      <c r="BA7" s="120">
        <f t="shared" si="23"/>
        <v>4.052948918</v>
      </c>
      <c r="BB7" s="11">
        <f t="shared" si="24"/>
        <v>0.2467339264</v>
      </c>
      <c r="BC7" s="11" t="str">
        <f t="shared" si="25"/>
        <v>YES</v>
      </c>
    </row>
    <row r="8" ht="15.75" customHeight="1">
      <c r="A8" s="12"/>
      <c r="B8" s="26" t="s">
        <v>14</v>
      </c>
      <c r="C8" s="26" t="s">
        <v>91</v>
      </c>
      <c r="D8" s="7" t="s">
        <v>113</v>
      </c>
      <c r="E8" s="7" t="s">
        <v>652</v>
      </c>
      <c r="F8" s="7" t="s">
        <v>51</v>
      </c>
      <c r="G8" s="7" t="s">
        <v>496</v>
      </c>
      <c r="H8" s="7">
        <v>7.0</v>
      </c>
      <c r="I8" s="7">
        <v>6300.0</v>
      </c>
      <c r="J8" s="7"/>
      <c r="L8" s="7"/>
      <c r="M8" s="9">
        <f t="shared" si="1"/>
        <v>900</v>
      </c>
      <c r="N8" s="9">
        <f t="shared" si="2"/>
        <v>252</v>
      </c>
      <c r="O8" s="7">
        <v>1.0</v>
      </c>
      <c r="P8" s="9">
        <f t="shared" si="3"/>
        <v>6300</v>
      </c>
      <c r="Q8" s="7">
        <v>8.0</v>
      </c>
      <c r="R8" s="16">
        <v>14.0</v>
      </c>
      <c r="S8" s="7">
        <v>20.0</v>
      </c>
      <c r="T8" s="7">
        <v>550.0</v>
      </c>
      <c r="U8" s="7">
        <f t="shared" si="4"/>
        <v>88000</v>
      </c>
      <c r="V8" s="7">
        <f t="shared" si="5"/>
        <v>22.8</v>
      </c>
      <c r="W8" s="14">
        <f t="shared" si="6"/>
        <v>12540</v>
      </c>
      <c r="X8" s="94">
        <f t="shared" si="7"/>
        <v>12320</v>
      </c>
      <c r="Y8" s="80">
        <v>12.5</v>
      </c>
      <c r="Z8" s="7">
        <v>550.0</v>
      </c>
      <c r="AA8" s="7">
        <v>1.4</v>
      </c>
      <c r="AB8" s="7">
        <f t="shared" si="8"/>
        <v>770</v>
      </c>
      <c r="AC8" s="7">
        <f t="shared" si="9"/>
        <v>481.25</v>
      </c>
      <c r="AD8" s="7">
        <f t="shared" si="10"/>
        <v>96.25</v>
      </c>
      <c r="AE8" s="83">
        <f t="shared" si="11"/>
        <v>770</v>
      </c>
      <c r="AF8" s="82">
        <v>0.0</v>
      </c>
      <c r="AG8" s="7">
        <v>1200.0</v>
      </c>
      <c r="AH8" s="78">
        <v>0.6</v>
      </c>
      <c r="AI8" s="7">
        <f t="shared" si="12"/>
        <v>720</v>
      </c>
      <c r="AJ8" s="7">
        <f t="shared" si="13"/>
        <v>1200</v>
      </c>
      <c r="AK8" s="7">
        <f t="shared" si="14"/>
        <v>0</v>
      </c>
      <c r="AL8" s="14">
        <f t="shared" si="15"/>
        <v>0</v>
      </c>
      <c r="AM8" s="84">
        <v>35.0</v>
      </c>
      <c r="AN8" s="78">
        <v>3.2</v>
      </c>
      <c r="AO8" s="78">
        <v>21.0</v>
      </c>
      <c r="AP8" s="7">
        <f t="shared" si="16"/>
        <v>67.2</v>
      </c>
      <c r="AQ8" s="7">
        <f t="shared" si="17"/>
        <v>2.08</v>
      </c>
      <c r="AR8" s="7">
        <f t="shared" si="18"/>
        <v>23.52</v>
      </c>
      <c r="AS8" s="14">
        <f t="shared" si="19"/>
        <v>188.16</v>
      </c>
      <c r="AT8" s="82">
        <v>0.0</v>
      </c>
      <c r="AU8" s="78">
        <v>22000.0</v>
      </c>
      <c r="AV8" s="14">
        <f t="shared" si="20"/>
        <v>0</v>
      </c>
      <c r="AW8" s="80">
        <v>10.0</v>
      </c>
      <c r="AX8" s="78">
        <v>7000.0</v>
      </c>
      <c r="AY8" s="14">
        <f t="shared" si="21"/>
        <v>700</v>
      </c>
      <c r="AZ8" s="75">
        <f t="shared" si="22"/>
        <v>12826.16</v>
      </c>
      <c r="BA8" s="120">
        <f t="shared" si="23"/>
        <v>2.035898413</v>
      </c>
      <c r="BB8" s="11">
        <f t="shared" si="24"/>
        <v>0.4911836434</v>
      </c>
      <c r="BC8" s="11" t="str">
        <f t="shared" si="25"/>
        <v>YES</v>
      </c>
    </row>
    <row r="9" ht="15.75" customHeight="1">
      <c r="A9" s="12"/>
      <c r="B9" s="26" t="s">
        <v>14</v>
      </c>
      <c r="C9" s="26" t="s">
        <v>15</v>
      </c>
      <c r="D9" s="7" t="s">
        <v>124</v>
      </c>
      <c r="E9" s="7" t="s">
        <v>125</v>
      </c>
      <c r="F9" s="7" t="s">
        <v>51</v>
      </c>
      <c r="G9" s="7" t="s">
        <v>128</v>
      </c>
      <c r="H9" s="7">
        <v>7.0</v>
      </c>
      <c r="I9" s="7"/>
      <c r="J9" s="7"/>
      <c r="L9" s="7">
        <v>400.0</v>
      </c>
      <c r="M9" s="9">
        <f t="shared" si="1"/>
        <v>0</v>
      </c>
      <c r="N9" s="9">
        <f t="shared" si="2"/>
        <v>0</v>
      </c>
      <c r="O9" s="7">
        <v>1.0</v>
      </c>
      <c r="P9" s="9">
        <f t="shared" si="3"/>
        <v>0</v>
      </c>
      <c r="Q9" s="7">
        <v>8.0</v>
      </c>
      <c r="R9" s="16">
        <v>14.0</v>
      </c>
      <c r="S9" s="7">
        <v>20.0</v>
      </c>
      <c r="T9" s="7">
        <v>550.0</v>
      </c>
      <c r="U9" s="7">
        <f t="shared" si="4"/>
        <v>88000</v>
      </c>
      <c r="V9" s="7">
        <f t="shared" si="5"/>
        <v>22.8</v>
      </c>
      <c r="W9" s="14">
        <f t="shared" si="6"/>
        <v>12540</v>
      </c>
      <c r="X9" s="94">
        <f t="shared" si="7"/>
        <v>12320</v>
      </c>
      <c r="Y9" s="80">
        <v>0.0</v>
      </c>
      <c r="Z9" s="7">
        <v>550.0</v>
      </c>
      <c r="AA9" s="7">
        <v>1.4</v>
      </c>
      <c r="AB9" s="7">
        <f t="shared" si="8"/>
        <v>770</v>
      </c>
      <c r="AC9" s="7">
        <f t="shared" si="9"/>
        <v>550</v>
      </c>
      <c r="AD9" s="7">
        <f t="shared" si="10"/>
        <v>0</v>
      </c>
      <c r="AE9" s="83">
        <f t="shared" si="11"/>
        <v>0</v>
      </c>
      <c r="AF9" s="84">
        <v>42.0</v>
      </c>
      <c r="AG9" s="7">
        <v>1200.0</v>
      </c>
      <c r="AH9" s="78">
        <v>0.6</v>
      </c>
      <c r="AI9" s="7">
        <f t="shared" si="12"/>
        <v>720</v>
      </c>
      <c r="AJ9" s="7">
        <f t="shared" si="13"/>
        <v>696</v>
      </c>
      <c r="AK9" s="7">
        <f t="shared" si="14"/>
        <v>302.4</v>
      </c>
      <c r="AL9" s="14">
        <f t="shared" si="15"/>
        <v>2419.2</v>
      </c>
      <c r="AM9" s="82">
        <v>0.0</v>
      </c>
      <c r="AN9" s="78">
        <v>3.2</v>
      </c>
      <c r="AO9" s="78">
        <v>21.0</v>
      </c>
      <c r="AP9" s="7">
        <f t="shared" si="16"/>
        <v>67.2</v>
      </c>
      <c r="AQ9" s="7">
        <f t="shared" si="17"/>
        <v>3.2</v>
      </c>
      <c r="AR9" s="7">
        <f t="shared" si="18"/>
        <v>0</v>
      </c>
      <c r="AS9" s="14">
        <f t="shared" si="19"/>
        <v>0</v>
      </c>
      <c r="AT9" s="82">
        <v>0.0</v>
      </c>
      <c r="AU9" s="78">
        <v>22000.0</v>
      </c>
      <c r="AV9" s="14">
        <f t="shared" si="20"/>
        <v>0</v>
      </c>
      <c r="AW9" s="80">
        <v>10.0</v>
      </c>
      <c r="AX9" s="78">
        <v>7000.0</v>
      </c>
      <c r="AY9" s="14">
        <f t="shared" si="21"/>
        <v>700</v>
      </c>
      <c r="AZ9" s="75">
        <f t="shared" si="22"/>
        <v>15039.2</v>
      </c>
      <c r="BA9" s="120" t="str">
        <f t="shared" si="23"/>
        <v>The DAT is free</v>
      </c>
      <c r="BB9" s="11">
        <f t="shared" si="24"/>
        <v>0</v>
      </c>
      <c r="BC9" s="11" t="str">
        <f t="shared" si="25"/>
        <v>YES</v>
      </c>
    </row>
    <row r="10" ht="15.75" customHeight="1">
      <c r="A10" s="12"/>
      <c r="B10" s="26" t="s">
        <v>36</v>
      </c>
      <c r="C10" s="26" t="s">
        <v>91</v>
      </c>
      <c r="D10" s="7" t="s">
        <v>46</v>
      </c>
      <c r="E10" s="7" t="s">
        <v>47</v>
      </c>
      <c r="F10" s="7" t="s">
        <v>51</v>
      </c>
      <c r="G10" s="7" t="s">
        <v>52</v>
      </c>
      <c r="H10" s="7">
        <v>7.0</v>
      </c>
      <c r="I10" s="7">
        <v>4900.0</v>
      </c>
      <c r="J10" s="7"/>
      <c r="K10" s="7">
        <v>150.0</v>
      </c>
      <c r="L10" s="7">
        <f t="shared" ref="L10:L11" si="26">K10*12</f>
        <v>1800</v>
      </c>
      <c r="M10" s="9">
        <f t="shared" si="1"/>
        <v>700</v>
      </c>
      <c r="N10" s="9">
        <f t="shared" si="2"/>
        <v>196</v>
      </c>
      <c r="O10" s="7">
        <v>1.0</v>
      </c>
      <c r="P10" s="9">
        <f t="shared" si="3"/>
        <v>4900</v>
      </c>
      <c r="Q10" s="7">
        <v>8.0</v>
      </c>
      <c r="R10" s="16">
        <v>14.0</v>
      </c>
      <c r="S10" s="7">
        <v>20.0</v>
      </c>
      <c r="T10" s="7">
        <v>550.0</v>
      </c>
      <c r="U10" s="7">
        <f t="shared" si="4"/>
        <v>88000</v>
      </c>
      <c r="V10" s="7">
        <f t="shared" si="5"/>
        <v>22.8</v>
      </c>
      <c r="W10" s="14">
        <f t="shared" si="6"/>
        <v>12540</v>
      </c>
      <c r="X10" s="94">
        <f t="shared" si="7"/>
        <v>12320</v>
      </c>
      <c r="Y10" s="80">
        <v>12.5</v>
      </c>
      <c r="Z10" s="7">
        <v>550.0</v>
      </c>
      <c r="AA10" s="7">
        <v>1.4</v>
      </c>
      <c r="AB10" s="7">
        <f t="shared" si="8"/>
        <v>770</v>
      </c>
      <c r="AC10" s="7">
        <f t="shared" si="9"/>
        <v>481.25</v>
      </c>
      <c r="AD10" s="7">
        <f t="shared" si="10"/>
        <v>96.25</v>
      </c>
      <c r="AE10" s="83">
        <f t="shared" si="11"/>
        <v>770</v>
      </c>
      <c r="AF10" s="84">
        <v>0.0</v>
      </c>
      <c r="AG10" s="7">
        <v>1200.0</v>
      </c>
      <c r="AH10" s="78">
        <v>0.6</v>
      </c>
      <c r="AI10" s="7">
        <f t="shared" si="12"/>
        <v>720</v>
      </c>
      <c r="AJ10" s="7">
        <f t="shared" si="13"/>
        <v>1200</v>
      </c>
      <c r="AK10" s="7">
        <f t="shared" si="14"/>
        <v>0</v>
      </c>
      <c r="AL10" s="14">
        <f t="shared" si="15"/>
        <v>0</v>
      </c>
      <c r="AM10" s="84">
        <v>35.0</v>
      </c>
      <c r="AN10" s="78">
        <v>3.2</v>
      </c>
      <c r="AO10" s="78">
        <v>21.0</v>
      </c>
      <c r="AP10" s="7">
        <f t="shared" si="16"/>
        <v>67.2</v>
      </c>
      <c r="AQ10" s="7">
        <f t="shared" si="17"/>
        <v>2.08</v>
      </c>
      <c r="AR10" s="7">
        <f t="shared" si="18"/>
        <v>23.52</v>
      </c>
      <c r="AS10" s="14">
        <f t="shared" si="19"/>
        <v>188.16</v>
      </c>
      <c r="AT10" s="82">
        <v>0.0</v>
      </c>
      <c r="AU10" s="78">
        <v>22000.0</v>
      </c>
      <c r="AV10" s="14">
        <f t="shared" si="20"/>
        <v>0</v>
      </c>
      <c r="AW10" s="80">
        <v>10.0</v>
      </c>
      <c r="AX10" s="78">
        <v>7000.0</v>
      </c>
      <c r="AY10" s="14">
        <f t="shared" si="21"/>
        <v>700</v>
      </c>
      <c r="AZ10" s="75">
        <f t="shared" si="22"/>
        <v>11282.16</v>
      </c>
      <c r="BA10" s="120">
        <f t="shared" si="23"/>
        <v>2.302481633</v>
      </c>
      <c r="BB10" s="11">
        <f t="shared" si="24"/>
        <v>0.4343139966</v>
      </c>
      <c r="BC10" s="11" t="str">
        <f t="shared" si="25"/>
        <v>YES</v>
      </c>
    </row>
    <row r="11" ht="15.75" customHeight="1">
      <c r="A11" s="12"/>
      <c r="B11" s="26" t="s">
        <v>36</v>
      </c>
      <c r="C11" s="26" t="s">
        <v>91</v>
      </c>
      <c r="D11" s="7" t="s">
        <v>53</v>
      </c>
      <c r="E11" s="7" t="s">
        <v>54</v>
      </c>
      <c r="F11" s="7" t="s">
        <v>51</v>
      </c>
      <c r="G11" s="7" t="s">
        <v>58</v>
      </c>
      <c r="H11" s="7">
        <v>7.0</v>
      </c>
      <c r="I11" s="7"/>
      <c r="J11" s="7"/>
      <c r="K11" s="7">
        <v>30.0</v>
      </c>
      <c r="L11" s="7">
        <f t="shared" si="26"/>
        <v>360</v>
      </c>
      <c r="M11" s="9">
        <f t="shared" si="1"/>
        <v>0</v>
      </c>
      <c r="N11" s="9">
        <f t="shared" si="2"/>
        <v>0</v>
      </c>
      <c r="O11" s="7">
        <v>1.0</v>
      </c>
      <c r="P11" s="9">
        <f t="shared" si="3"/>
        <v>0</v>
      </c>
      <c r="Q11" s="7">
        <v>8.0</v>
      </c>
      <c r="R11" s="16">
        <v>14.0</v>
      </c>
      <c r="S11" s="7">
        <v>20.0</v>
      </c>
      <c r="T11" s="7">
        <v>550.0</v>
      </c>
      <c r="U11" s="7">
        <f t="shared" si="4"/>
        <v>88000</v>
      </c>
      <c r="V11" s="7">
        <f t="shared" si="5"/>
        <v>22.8</v>
      </c>
      <c r="W11" s="14">
        <f t="shared" si="6"/>
        <v>12540</v>
      </c>
      <c r="X11" s="94">
        <f t="shared" si="7"/>
        <v>12320</v>
      </c>
      <c r="Y11" s="80">
        <v>12.5</v>
      </c>
      <c r="Z11" s="7">
        <v>550.0</v>
      </c>
      <c r="AA11" s="7">
        <v>1.4</v>
      </c>
      <c r="AB11" s="7">
        <f t="shared" si="8"/>
        <v>770</v>
      </c>
      <c r="AC11" s="7">
        <f t="shared" si="9"/>
        <v>481.25</v>
      </c>
      <c r="AD11" s="7">
        <f t="shared" si="10"/>
        <v>96.25</v>
      </c>
      <c r="AE11" s="83">
        <f t="shared" si="11"/>
        <v>770</v>
      </c>
      <c r="AF11" s="84">
        <v>0.0</v>
      </c>
      <c r="AG11" s="7">
        <v>1200.0</v>
      </c>
      <c r="AH11" s="78">
        <v>0.6</v>
      </c>
      <c r="AI11" s="7">
        <f t="shared" si="12"/>
        <v>720</v>
      </c>
      <c r="AJ11" s="7">
        <f t="shared" si="13"/>
        <v>1200</v>
      </c>
      <c r="AK11" s="7">
        <f t="shared" si="14"/>
        <v>0</v>
      </c>
      <c r="AL11" s="14">
        <f t="shared" si="15"/>
        <v>0</v>
      </c>
      <c r="AM11" s="84">
        <v>35.0</v>
      </c>
      <c r="AN11" s="78">
        <v>3.2</v>
      </c>
      <c r="AO11" s="78">
        <v>21.0</v>
      </c>
      <c r="AP11" s="7">
        <f t="shared" si="16"/>
        <v>67.2</v>
      </c>
      <c r="AQ11" s="7">
        <f t="shared" si="17"/>
        <v>2.08</v>
      </c>
      <c r="AR11" s="7">
        <f t="shared" si="18"/>
        <v>23.52</v>
      </c>
      <c r="AS11" s="14">
        <f t="shared" si="19"/>
        <v>188.16</v>
      </c>
      <c r="AT11" s="82">
        <v>0.0</v>
      </c>
      <c r="AU11" s="78">
        <v>22000.0</v>
      </c>
      <c r="AV11" s="14">
        <f t="shared" si="20"/>
        <v>0</v>
      </c>
      <c r="AW11" s="80">
        <v>10.0</v>
      </c>
      <c r="AX11" s="78">
        <v>7000.0</v>
      </c>
      <c r="AY11" s="14">
        <f t="shared" si="21"/>
        <v>700</v>
      </c>
      <c r="AZ11" s="75">
        <f t="shared" si="22"/>
        <v>13618.16</v>
      </c>
      <c r="BA11" s="120" t="str">
        <f t="shared" si="23"/>
        <v>The DAT is free</v>
      </c>
      <c r="BB11" s="11">
        <f t="shared" si="24"/>
        <v>0</v>
      </c>
      <c r="BC11" s="11" t="str">
        <f t="shared" si="25"/>
        <v>YES</v>
      </c>
    </row>
    <row r="12" ht="15.75" customHeight="1">
      <c r="A12" s="12"/>
      <c r="B12" s="26" t="s">
        <v>36</v>
      </c>
      <c r="C12" s="26" t="s">
        <v>91</v>
      </c>
      <c r="D12" s="7" t="s">
        <v>59</v>
      </c>
      <c r="E12" s="7" t="s">
        <v>60</v>
      </c>
      <c r="F12" s="7" t="s">
        <v>51</v>
      </c>
      <c r="G12" s="7" t="s">
        <v>64</v>
      </c>
      <c r="H12" s="7">
        <v>7.0</v>
      </c>
      <c r="I12" s="7"/>
      <c r="J12" s="7"/>
      <c r="L12" s="7">
        <v>250.0</v>
      </c>
      <c r="M12" s="9">
        <f t="shared" si="1"/>
        <v>0</v>
      </c>
      <c r="N12" s="9">
        <f t="shared" si="2"/>
        <v>0</v>
      </c>
      <c r="O12" s="7">
        <v>1.0</v>
      </c>
      <c r="P12" s="9">
        <f t="shared" si="3"/>
        <v>0</v>
      </c>
      <c r="Q12" s="7">
        <v>8.0</v>
      </c>
      <c r="R12" s="16">
        <v>14.0</v>
      </c>
      <c r="S12" s="7">
        <v>20.0</v>
      </c>
      <c r="T12" s="7">
        <v>550.0</v>
      </c>
      <c r="U12" s="7">
        <f t="shared" si="4"/>
        <v>88000</v>
      </c>
      <c r="V12" s="7">
        <f t="shared" si="5"/>
        <v>22.8</v>
      </c>
      <c r="W12" s="14">
        <f t="shared" si="6"/>
        <v>12540</v>
      </c>
      <c r="X12" s="94">
        <f t="shared" si="7"/>
        <v>12320</v>
      </c>
      <c r="Y12" s="80">
        <v>12.5</v>
      </c>
      <c r="Z12" s="7">
        <v>550.0</v>
      </c>
      <c r="AA12" s="7">
        <v>1.4</v>
      </c>
      <c r="AB12" s="7">
        <f t="shared" si="8"/>
        <v>770</v>
      </c>
      <c r="AC12" s="7">
        <f t="shared" si="9"/>
        <v>481.25</v>
      </c>
      <c r="AD12" s="7">
        <f t="shared" si="10"/>
        <v>96.25</v>
      </c>
      <c r="AE12" s="83">
        <f t="shared" si="11"/>
        <v>770</v>
      </c>
      <c r="AF12" s="84">
        <v>0.0</v>
      </c>
      <c r="AG12" s="7">
        <v>1200.0</v>
      </c>
      <c r="AH12" s="78">
        <v>0.6</v>
      </c>
      <c r="AI12" s="7">
        <f t="shared" si="12"/>
        <v>720</v>
      </c>
      <c r="AJ12" s="7">
        <f t="shared" si="13"/>
        <v>1200</v>
      </c>
      <c r="AK12" s="7">
        <f t="shared" si="14"/>
        <v>0</v>
      </c>
      <c r="AL12" s="14">
        <f t="shared" si="15"/>
        <v>0</v>
      </c>
      <c r="AM12" s="84">
        <v>35.0</v>
      </c>
      <c r="AN12" s="78">
        <v>3.2</v>
      </c>
      <c r="AO12" s="78">
        <v>21.0</v>
      </c>
      <c r="AP12" s="7">
        <f t="shared" si="16"/>
        <v>67.2</v>
      </c>
      <c r="AQ12" s="7">
        <f t="shared" si="17"/>
        <v>2.08</v>
      </c>
      <c r="AR12" s="7">
        <f t="shared" si="18"/>
        <v>23.52</v>
      </c>
      <c r="AS12" s="14">
        <f t="shared" si="19"/>
        <v>188.16</v>
      </c>
      <c r="AT12" s="82">
        <v>0.0</v>
      </c>
      <c r="AU12" s="78">
        <v>22000.0</v>
      </c>
      <c r="AV12" s="14">
        <f t="shared" si="20"/>
        <v>0</v>
      </c>
      <c r="AW12" s="80">
        <v>10.0</v>
      </c>
      <c r="AX12" s="78">
        <v>7000.0</v>
      </c>
      <c r="AY12" s="14">
        <f t="shared" si="21"/>
        <v>700</v>
      </c>
      <c r="AZ12" s="75">
        <f t="shared" si="22"/>
        <v>13728.16</v>
      </c>
      <c r="BA12" s="120" t="str">
        <f t="shared" si="23"/>
        <v>The DAT is free</v>
      </c>
      <c r="BB12" s="11">
        <f t="shared" si="24"/>
        <v>0</v>
      </c>
      <c r="BC12" s="11" t="str">
        <f t="shared" si="25"/>
        <v>YES</v>
      </c>
    </row>
    <row r="13" ht="15.75" customHeight="1">
      <c r="A13" s="12"/>
      <c r="B13" s="26" t="s">
        <v>36</v>
      </c>
      <c r="C13" s="26" t="s">
        <v>91</v>
      </c>
      <c r="D13" s="7" t="s">
        <v>488</v>
      </c>
      <c r="E13" s="7"/>
      <c r="F13" s="7" t="s">
        <v>51</v>
      </c>
      <c r="G13" s="7" t="s">
        <v>490</v>
      </c>
      <c r="H13" s="7">
        <v>7.0</v>
      </c>
      <c r="I13" s="7"/>
      <c r="J13" s="7"/>
      <c r="L13" s="7">
        <v>950.0</v>
      </c>
      <c r="M13" s="9">
        <f t="shared" si="1"/>
        <v>0</v>
      </c>
      <c r="N13" s="9">
        <f t="shared" si="2"/>
        <v>0</v>
      </c>
      <c r="O13" s="7">
        <v>1.0</v>
      </c>
      <c r="P13" s="9">
        <f t="shared" si="3"/>
        <v>0</v>
      </c>
      <c r="Q13" s="7">
        <v>8.0</v>
      </c>
      <c r="R13" s="16">
        <v>14.0</v>
      </c>
      <c r="S13" s="7">
        <v>20.0</v>
      </c>
      <c r="T13" s="7">
        <v>550.0</v>
      </c>
      <c r="U13" s="7">
        <f t="shared" si="4"/>
        <v>88000</v>
      </c>
      <c r="V13" s="7">
        <f t="shared" si="5"/>
        <v>22.8</v>
      </c>
      <c r="W13" s="14">
        <f t="shared" si="6"/>
        <v>12540</v>
      </c>
      <c r="X13" s="94">
        <f t="shared" si="7"/>
        <v>12320</v>
      </c>
      <c r="Y13" s="80">
        <v>12.5</v>
      </c>
      <c r="Z13" s="7">
        <v>550.0</v>
      </c>
      <c r="AA13" s="7">
        <v>1.4</v>
      </c>
      <c r="AB13" s="7">
        <f t="shared" si="8"/>
        <v>770</v>
      </c>
      <c r="AC13" s="7">
        <f t="shared" si="9"/>
        <v>481.25</v>
      </c>
      <c r="AD13" s="7">
        <f t="shared" si="10"/>
        <v>96.25</v>
      </c>
      <c r="AE13" s="83">
        <f t="shared" si="11"/>
        <v>770</v>
      </c>
      <c r="AF13" s="84">
        <v>0.0</v>
      </c>
      <c r="AG13" s="7">
        <v>1200.0</v>
      </c>
      <c r="AH13" s="78">
        <v>0.6</v>
      </c>
      <c r="AI13" s="7">
        <f t="shared" si="12"/>
        <v>720</v>
      </c>
      <c r="AJ13" s="7">
        <f t="shared" si="13"/>
        <v>1200</v>
      </c>
      <c r="AK13" s="7">
        <f t="shared" si="14"/>
        <v>0</v>
      </c>
      <c r="AL13" s="14">
        <f t="shared" si="15"/>
        <v>0</v>
      </c>
      <c r="AM13" s="84">
        <v>35.0</v>
      </c>
      <c r="AN13" s="78">
        <v>3.2</v>
      </c>
      <c r="AO13" s="78">
        <v>21.0</v>
      </c>
      <c r="AP13" s="7">
        <f t="shared" si="16"/>
        <v>67.2</v>
      </c>
      <c r="AQ13" s="7">
        <f t="shared" si="17"/>
        <v>2.08</v>
      </c>
      <c r="AR13" s="7">
        <f t="shared" si="18"/>
        <v>23.52</v>
      </c>
      <c r="AS13" s="14">
        <f t="shared" si="19"/>
        <v>188.16</v>
      </c>
      <c r="AT13" s="82">
        <v>0.0</v>
      </c>
      <c r="AU13" s="78">
        <v>22000.0</v>
      </c>
      <c r="AV13" s="14">
        <f t="shared" si="20"/>
        <v>0</v>
      </c>
      <c r="AW13" s="80">
        <v>10.0</v>
      </c>
      <c r="AX13" s="78">
        <v>7000.0</v>
      </c>
      <c r="AY13" s="14">
        <f t="shared" si="21"/>
        <v>700</v>
      </c>
      <c r="AZ13" s="75">
        <f t="shared" si="22"/>
        <v>13028.16</v>
      </c>
      <c r="BA13" s="120" t="str">
        <f t="shared" si="23"/>
        <v>The DAT is free</v>
      </c>
      <c r="BB13" s="11">
        <f t="shared" si="24"/>
        <v>0</v>
      </c>
      <c r="BC13" s="11" t="str">
        <f t="shared" si="25"/>
        <v>YES</v>
      </c>
    </row>
    <row r="14" ht="15.75" customHeight="1">
      <c r="A14" s="12"/>
      <c r="B14" s="26" t="s">
        <v>36</v>
      </c>
      <c r="C14" s="26" t="s">
        <v>91</v>
      </c>
      <c r="D14" s="7" t="s">
        <v>71</v>
      </c>
      <c r="E14" s="7" t="s">
        <v>72</v>
      </c>
      <c r="F14" s="7" t="s">
        <v>51</v>
      </c>
      <c r="G14" s="7" t="s">
        <v>492</v>
      </c>
      <c r="H14" s="7">
        <v>7.0</v>
      </c>
      <c r="I14" s="7"/>
      <c r="J14" s="7"/>
      <c r="L14" s="7">
        <v>60.0</v>
      </c>
      <c r="M14" s="9">
        <f t="shared" si="1"/>
        <v>0</v>
      </c>
      <c r="N14" s="9">
        <f t="shared" si="2"/>
        <v>0</v>
      </c>
      <c r="O14" s="7">
        <v>1.0</v>
      </c>
      <c r="P14" s="9">
        <f t="shared" si="3"/>
        <v>0</v>
      </c>
      <c r="Q14" s="7">
        <v>8.0</v>
      </c>
      <c r="R14" s="16">
        <v>14.0</v>
      </c>
      <c r="S14" s="7">
        <v>20.0</v>
      </c>
      <c r="T14" s="7">
        <v>550.0</v>
      </c>
      <c r="U14" s="7">
        <f t="shared" si="4"/>
        <v>88000</v>
      </c>
      <c r="V14" s="7">
        <f t="shared" si="5"/>
        <v>22.8</v>
      </c>
      <c r="W14" s="14">
        <f t="shared" si="6"/>
        <v>12540</v>
      </c>
      <c r="X14" s="94">
        <f t="shared" si="7"/>
        <v>12320</v>
      </c>
      <c r="Y14" s="80">
        <v>0.0</v>
      </c>
      <c r="Z14" s="7">
        <v>550.0</v>
      </c>
      <c r="AA14" s="7">
        <v>1.4</v>
      </c>
      <c r="AB14" s="7">
        <f t="shared" si="8"/>
        <v>770</v>
      </c>
      <c r="AC14" s="7">
        <f t="shared" si="9"/>
        <v>550</v>
      </c>
      <c r="AD14" s="7">
        <f t="shared" si="10"/>
        <v>0</v>
      </c>
      <c r="AE14" s="83">
        <f t="shared" si="11"/>
        <v>0</v>
      </c>
      <c r="AF14" s="80">
        <v>42.0</v>
      </c>
      <c r="AG14" s="7">
        <v>1200.0</v>
      </c>
      <c r="AH14" s="78">
        <v>0.6</v>
      </c>
      <c r="AI14" s="7">
        <f t="shared" si="12"/>
        <v>720</v>
      </c>
      <c r="AJ14" s="7">
        <f t="shared" si="13"/>
        <v>696</v>
      </c>
      <c r="AK14" s="7">
        <f t="shared" si="14"/>
        <v>302.4</v>
      </c>
      <c r="AL14" s="14">
        <f t="shared" si="15"/>
        <v>2419.2</v>
      </c>
      <c r="AM14" s="80">
        <v>0.0</v>
      </c>
      <c r="AN14" s="78">
        <v>3.2</v>
      </c>
      <c r="AO14" s="78">
        <v>21.0</v>
      </c>
      <c r="AP14" s="7">
        <f t="shared" si="16"/>
        <v>67.2</v>
      </c>
      <c r="AQ14" s="7">
        <f t="shared" si="17"/>
        <v>3.2</v>
      </c>
      <c r="AR14" s="7">
        <f t="shared" si="18"/>
        <v>0</v>
      </c>
      <c r="AS14" s="14">
        <f t="shared" si="19"/>
        <v>0</v>
      </c>
      <c r="AT14" s="82">
        <v>0.0</v>
      </c>
      <c r="AU14" s="78">
        <v>22000.0</v>
      </c>
      <c r="AV14" s="14">
        <f t="shared" si="20"/>
        <v>0</v>
      </c>
      <c r="AW14" s="80">
        <v>10.0</v>
      </c>
      <c r="AX14" s="78">
        <v>7000.0</v>
      </c>
      <c r="AY14" s="14">
        <f t="shared" si="21"/>
        <v>700</v>
      </c>
      <c r="AZ14" s="75">
        <f t="shared" si="22"/>
        <v>15379.2</v>
      </c>
      <c r="BA14" s="120" t="str">
        <f t="shared" si="23"/>
        <v>The DAT is free</v>
      </c>
      <c r="BB14" s="11">
        <f t="shared" si="24"/>
        <v>0</v>
      </c>
      <c r="BC14" s="11" t="str">
        <f t="shared" si="25"/>
        <v>YES</v>
      </c>
    </row>
    <row r="15" ht="15.75" customHeight="1">
      <c r="A15" s="12"/>
      <c r="B15" s="26" t="s">
        <v>503</v>
      </c>
      <c r="C15" s="26" t="s">
        <v>91</v>
      </c>
      <c r="D15" s="7" t="s">
        <v>79</v>
      </c>
      <c r="E15" s="7" t="s">
        <v>80</v>
      </c>
      <c r="F15" s="7" t="s">
        <v>51</v>
      </c>
      <c r="G15" s="7" t="s">
        <v>493</v>
      </c>
      <c r="H15" s="7">
        <v>7.0</v>
      </c>
      <c r="I15" s="7"/>
      <c r="J15" s="7">
        <v>6.0</v>
      </c>
      <c r="L15" s="7"/>
      <c r="M15" s="9">
        <f t="shared" si="1"/>
        <v>0</v>
      </c>
      <c r="N15" s="9">
        <f t="shared" si="2"/>
        <v>1.92</v>
      </c>
      <c r="O15" s="7">
        <v>1.0</v>
      </c>
      <c r="P15" s="9">
        <f t="shared" si="3"/>
        <v>48</v>
      </c>
      <c r="Q15" s="7">
        <v>8.0</v>
      </c>
      <c r="R15" s="16">
        <v>14.0</v>
      </c>
      <c r="S15" s="7">
        <v>20.0</v>
      </c>
      <c r="T15" s="7">
        <v>550.0</v>
      </c>
      <c r="U15" s="7">
        <f t="shared" si="4"/>
        <v>88000</v>
      </c>
      <c r="V15" s="7">
        <f t="shared" si="5"/>
        <v>22.8</v>
      </c>
      <c r="W15" s="14">
        <f t="shared" si="6"/>
        <v>12540</v>
      </c>
      <c r="X15" s="94">
        <f t="shared" si="7"/>
        <v>12320</v>
      </c>
      <c r="Y15" s="80">
        <v>12.5</v>
      </c>
      <c r="Z15" s="7">
        <v>550.0</v>
      </c>
      <c r="AA15" s="7">
        <v>1.4</v>
      </c>
      <c r="AB15" s="7">
        <f t="shared" si="8"/>
        <v>770</v>
      </c>
      <c r="AC15" s="7">
        <f t="shared" si="9"/>
        <v>481.25</v>
      </c>
      <c r="AD15" s="7">
        <f t="shared" si="10"/>
        <v>96.25</v>
      </c>
      <c r="AE15" s="83">
        <f t="shared" si="11"/>
        <v>770</v>
      </c>
      <c r="AF15" s="84">
        <v>0.0</v>
      </c>
      <c r="AG15" s="7">
        <v>1200.0</v>
      </c>
      <c r="AH15" s="78">
        <v>0.6</v>
      </c>
      <c r="AI15" s="7">
        <f t="shared" si="12"/>
        <v>720</v>
      </c>
      <c r="AJ15" s="7">
        <f t="shared" si="13"/>
        <v>1200</v>
      </c>
      <c r="AK15" s="7">
        <f t="shared" si="14"/>
        <v>0</v>
      </c>
      <c r="AL15" s="14">
        <f t="shared" si="15"/>
        <v>0</v>
      </c>
      <c r="AM15" s="84">
        <v>35.0</v>
      </c>
      <c r="AN15" s="78">
        <v>3.2</v>
      </c>
      <c r="AO15" s="78">
        <v>21.0</v>
      </c>
      <c r="AP15" s="7">
        <f t="shared" si="16"/>
        <v>67.2</v>
      </c>
      <c r="AQ15" s="7">
        <f t="shared" si="17"/>
        <v>2.08</v>
      </c>
      <c r="AR15" s="7">
        <f t="shared" si="18"/>
        <v>23.52</v>
      </c>
      <c r="AS15" s="14">
        <f t="shared" si="19"/>
        <v>188.16</v>
      </c>
      <c r="AT15" s="82">
        <v>0.0</v>
      </c>
      <c r="AU15" s="78">
        <v>22000.0</v>
      </c>
      <c r="AV15" s="14">
        <f t="shared" si="20"/>
        <v>0</v>
      </c>
      <c r="AW15" s="80">
        <v>10.0</v>
      </c>
      <c r="AX15" s="78">
        <v>7000.0</v>
      </c>
      <c r="AY15" s="14">
        <f t="shared" si="21"/>
        <v>700</v>
      </c>
      <c r="AZ15" s="75">
        <f t="shared" si="22"/>
        <v>13976.24</v>
      </c>
      <c r="BA15" s="120">
        <f t="shared" si="23"/>
        <v>291.1716667</v>
      </c>
      <c r="BB15" s="11">
        <f t="shared" si="24"/>
        <v>0.003434400096</v>
      </c>
      <c r="BC15" s="11" t="str">
        <f t="shared" si="25"/>
        <v>YES</v>
      </c>
    </row>
    <row r="16" ht="15.75" customHeight="1">
      <c r="A16" s="12"/>
      <c r="B16" s="26" t="s">
        <v>14</v>
      </c>
      <c r="C16" s="26" t="s">
        <v>37</v>
      </c>
      <c r="D16" s="7" t="s">
        <v>653</v>
      </c>
      <c r="E16" s="7" t="s">
        <v>136</v>
      </c>
      <c r="F16" s="7" t="s">
        <v>51</v>
      </c>
      <c r="G16" s="7" t="s">
        <v>581</v>
      </c>
      <c r="H16" s="7">
        <v>7.0</v>
      </c>
      <c r="I16" s="7"/>
      <c r="J16" s="7"/>
      <c r="L16" s="7">
        <v>1000.0</v>
      </c>
      <c r="M16" s="9">
        <f t="shared" si="1"/>
        <v>0</v>
      </c>
      <c r="N16" s="9">
        <f t="shared" si="2"/>
        <v>0</v>
      </c>
      <c r="O16" s="7">
        <v>1.0</v>
      </c>
      <c r="P16" s="9">
        <f t="shared" si="3"/>
        <v>0</v>
      </c>
      <c r="Q16" s="7">
        <v>8.0</v>
      </c>
      <c r="R16" s="16">
        <v>14.0</v>
      </c>
      <c r="S16" s="7">
        <v>20.0</v>
      </c>
      <c r="T16" s="7">
        <v>550.0</v>
      </c>
      <c r="U16" s="7">
        <f t="shared" si="4"/>
        <v>88000</v>
      </c>
      <c r="V16" s="7">
        <f t="shared" si="5"/>
        <v>22.8</v>
      </c>
      <c r="W16" s="14">
        <f t="shared" si="6"/>
        <v>12540</v>
      </c>
      <c r="X16" s="94">
        <f t="shared" si="7"/>
        <v>12320</v>
      </c>
      <c r="Y16" s="80">
        <v>12.5</v>
      </c>
      <c r="Z16" s="7">
        <v>550.0</v>
      </c>
      <c r="AA16" s="7">
        <v>1.4</v>
      </c>
      <c r="AB16" s="7">
        <f t="shared" si="8"/>
        <v>770</v>
      </c>
      <c r="AC16" s="7">
        <f t="shared" si="9"/>
        <v>481.25</v>
      </c>
      <c r="AD16" s="7">
        <f t="shared" si="10"/>
        <v>96.25</v>
      </c>
      <c r="AE16" s="83">
        <f t="shared" si="11"/>
        <v>770</v>
      </c>
      <c r="AF16" s="84">
        <v>42.0</v>
      </c>
      <c r="AG16" s="7">
        <v>1200.0</v>
      </c>
      <c r="AH16" s="78">
        <v>0.6</v>
      </c>
      <c r="AI16" s="7">
        <f t="shared" si="12"/>
        <v>720</v>
      </c>
      <c r="AJ16" s="7">
        <f t="shared" si="13"/>
        <v>696</v>
      </c>
      <c r="AK16" s="7">
        <f t="shared" si="14"/>
        <v>302.4</v>
      </c>
      <c r="AL16" s="14">
        <f t="shared" si="15"/>
        <v>2419.2</v>
      </c>
      <c r="AM16" s="84">
        <v>35.0</v>
      </c>
      <c r="AN16" s="78">
        <v>3.2</v>
      </c>
      <c r="AO16" s="78">
        <v>21.0</v>
      </c>
      <c r="AP16" s="7">
        <f t="shared" si="16"/>
        <v>67.2</v>
      </c>
      <c r="AQ16" s="7">
        <f t="shared" si="17"/>
        <v>2.08</v>
      </c>
      <c r="AR16" s="7">
        <f t="shared" si="18"/>
        <v>23.52</v>
      </c>
      <c r="AS16" s="14">
        <f t="shared" si="19"/>
        <v>188.16</v>
      </c>
      <c r="AT16" s="82">
        <v>0.0</v>
      </c>
      <c r="AU16" s="78">
        <v>22000.0</v>
      </c>
      <c r="AV16" s="14">
        <f t="shared" si="20"/>
        <v>0</v>
      </c>
      <c r="AW16" s="80">
        <v>10.0</v>
      </c>
      <c r="AX16" s="78">
        <v>7000.0</v>
      </c>
      <c r="AY16" s="14">
        <f t="shared" si="21"/>
        <v>700</v>
      </c>
      <c r="AZ16" s="75">
        <f t="shared" si="22"/>
        <v>15397.36</v>
      </c>
      <c r="BA16" s="120" t="str">
        <f t="shared" si="23"/>
        <v>The DAT is free</v>
      </c>
      <c r="BB16" s="11">
        <f t="shared" si="24"/>
        <v>0</v>
      </c>
      <c r="BC16" s="11" t="str">
        <f t="shared" si="25"/>
        <v>YES</v>
      </c>
    </row>
    <row r="17" ht="15.75" customHeight="1">
      <c r="A17" s="18"/>
      <c r="B17" s="85" t="s">
        <v>14</v>
      </c>
      <c r="C17" s="85" t="s">
        <v>37</v>
      </c>
      <c r="D17" s="19" t="s">
        <v>130</v>
      </c>
      <c r="E17" s="19" t="s">
        <v>130</v>
      </c>
      <c r="F17" s="19" t="s">
        <v>51</v>
      </c>
      <c r="G17" s="19" t="s">
        <v>494</v>
      </c>
      <c r="H17" s="19">
        <v>7.0</v>
      </c>
      <c r="I17" s="19"/>
      <c r="J17" s="19"/>
      <c r="K17" s="19"/>
      <c r="L17" s="19">
        <v>500.0</v>
      </c>
      <c r="M17" s="9">
        <f t="shared" si="1"/>
        <v>0</v>
      </c>
      <c r="N17" s="9">
        <f t="shared" si="2"/>
        <v>0</v>
      </c>
      <c r="O17" s="19">
        <v>1.0</v>
      </c>
      <c r="P17" s="9">
        <f t="shared" si="3"/>
        <v>0</v>
      </c>
      <c r="Q17" s="19">
        <v>8.0</v>
      </c>
      <c r="R17" s="99">
        <v>14.0</v>
      </c>
      <c r="S17" s="19">
        <v>20.0</v>
      </c>
      <c r="T17" s="19">
        <v>550.0</v>
      </c>
      <c r="U17" s="19">
        <f t="shared" si="4"/>
        <v>88000</v>
      </c>
      <c r="V17" s="19">
        <f t="shared" si="5"/>
        <v>22.8</v>
      </c>
      <c r="W17" s="21">
        <f t="shared" si="6"/>
        <v>12540</v>
      </c>
      <c r="X17" s="89">
        <f t="shared" si="7"/>
        <v>12320</v>
      </c>
      <c r="Y17" s="90">
        <v>12.5</v>
      </c>
      <c r="Z17" s="19">
        <v>550.0</v>
      </c>
      <c r="AA17" s="19">
        <v>1.4</v>
      </c>
      <c r="AB17" s="19">
        <f t="shared" si="8"/>
        <v>770</v>
      </c>
      <c r="AC17" s="19">
        <f t="shared" si="9"/>
        <v>481.25</v>
      </c>
      <c r="AD17" s="19">
        <f t="shared" si="10"/>
        <v>96.25</v>
      </c>
      <c r="AE17" s="91">
        <f t="shared" si="11"/>
        <v>770</v>
      </c>
      <c r="AF17" s="88">
        <v>42.0</v>
      </c>
      <c r="AG17" s="19">
        <v>1200.0</v>
      </c>
      <c r="AH17" s="93">
        <v>0.6</v>
      </c>
      <c r="AI17" s="19">
        <f t="shared" si="12"/>
        <v>720</v>
      </c>
      <c r="AJ17" s="19">
        <f t="shared" si="13"/>
        <v>696</v>
      </c>
      <c r="AK17" s="19">
        <f t="shared" si="14"/>
        <v>302.4</v>
      </c>
      <c r="AL17" s="21">
        <f t="shared" si="15"/>
        <v>2419.2</v>
      </c>
      <c r="AM17" s="88">
        <v>35.0</v>
      </c>
      <c r="AN17" s="93">
        <v>3.2</v>
      </c>
      <c r="AO17" s="93">
        <v>21.0</v>
      </c>
      <c r="AP17" s="19">
        <f t="shared" si="16"/>
        <v>67.2</v>
      </c>
      <c r="AQ17" s="19">
        <f t="shared" si="17"/>
        <v>2.08</v>
      </c>
      <c r="AR17" s="19">
        <f t="shared" si="18"/>
        <v>23.52</v>
      </c>
      <c r="AS17" s="21">
        <f t="shared" si="19"/>
        <v>188.16</v>
      </c>
      <c r="AT17" s="92">
        <v>0.0</v>
      </c>
      <c r="AU17" s="93">
        <v>22000.0</v>
      </c>
      <c r="AV17" s="21">
        <f t="shared" si="20"/>
        <v>0</v>
      </c>
      <c r="AW17" s="90">
        <v>10.0</v>
      </c>
      <c r="AX17" s="93">
        <v>7000.0</v>
      </c>
      <c r="AY17" s="21">
        <f t="shared" si="21"/>
        <v>700</v>
      </c>
      <c r="AZ17" s="75">
        <f t="shared" si="22"/>
        <v>15897.36</v>
      </c>
      <c r="BA17" s="120" t="str">
        <f t="shared" si="23"/>
        <v>The DAT is free</v>
      </c>
      <c r="BB17" s="11">
        <f t="shared" si="24"/>
        <v>0</v>
      </c>
      <c r="BC17" s="11" t="str">
        <f t="shared" si="25"/>
        <v>YES</v>
      </c>
    </row>
    <row r="18" ht="15.75" customHeight="1">
      <c r="A18" s="66" t="s">
        <v>140</v>
      </c>
      <c r="B18" s="67" t="s">
        <v>14</v>
      </c>
      <c r="C18" s="67" t="s">
        <v>141</v>
      </c>
      <c r="D18" s="9" t="s">
        <v>142</v>
      </c>
      <c r="E18" s="9" t="s">
        <v>143</v>
      </c>
      <c r="F18" s="9" t="s">
        <v>51</v>
      </c>
      <c r="G18" s="9" t="s">
        <v>146</v>
      </c>
      <c r="H18" s="9">
        <v>7.0</v>
      </c>
      <c r="I18" s="9">
        <v>6290.0</v>
      </c>
      <c r="J18" s="9"/>
      <c r="K18" s="9"/>
      <c r="L18" s="9"/>
      <c r="M18" s="9">
        <f t="shared" si="1"/>
        <v>898.5714286</v>
      </c>
      <c r="N18" s="9">
        <f t="shared" si="2"/>
        <v>251.6</v>
      </c>
      <c r="O18" s="9">
        <v>1.0</v>
      </c>
      <c r="P18" s="9">
        <f t="shared" si="3"/>
        <v>6290</v>
      </c>
      <c r="Q18" s="9">
        <v>8.0</v>
      </c>
      <c r="R18" s="9">
        <v>16.0</v>
      </c>
      <c r="S18" s="9">
        <v>20.0</v>
      </c>
      <c r="T18" s="9">
        <v>550.0</v>
      </c>
      <c r="U18" s="9">
        <f t="shared" si="4"/>
        <v>88000</v>
      </c>
      <c r="V18" s="9">
        <f t="shared" si="5"/>
        <v>23.2</v>
      </c>
      <c r="W18" s="11">
        <f t="shared" si="6"/>
        <v>12760</v>
      </c>
      <c r="X18" s="72">
        <f t="shared" si="7"/>
        <v>14080</v>
      </c>
      <c r="Y18" s="75">
        <v>13.0</v>
      </c>
      <c r="Z18" s="9">
        <v>550.0</v>
      </c>
      <c r="AA18" s="9">
        <v>1.4</v>
      </c>
      <c r="AB18" s="9">
        <f t="shared" si="8"/>
        <v>770</v>
      </c>
      <c r="AC18" s="9">
        <f t="shared" si="9"/>
        <v>478.5</v>
      </c>
      <c r="AD18" s="9">
        <f t="shared" si="10"/>
        <v>100.1</v>
      </c>
      <c r="AE18" s="73">
        <f t="shared" si="11"/>
        <v>800.8</v>
      </c>
      <c r="AF18" s="71">
        <v>34.5</v>
      </c>
      <c r="AG18" s="9">
        <v>1200.0</v>
      </c>
      <c r="AH18" s="74">
        <v>0.6</v>
      </c>
      <c r="AI18" s="9">
        <f t="shared" si="12"/>
        <v>720</v>
      </c>
      <c r="AJ18" s="9">
        <f t="shared" si="13"/>
        <v>786</v>
      </c>
      <c r="AK18" s="9">
        <f t="shared" si="14"/>
        <v>248.4</v>
      </c>
      <c r="AL18" s="11">
        <f t="shared" si="15"/>
        <v>1987.2</v>
      </c>
      <c r="AM18" s="75">
        <v>4.0</v>
      </c>
      <c r="AN18" s="74">
        <v>3.2</v>
      </c>
      <c r="AO18" s="74">
        <v>21.0</v>
      </c>
      <c r="AP18" s="9">
        <f t="shared" si="16"/>
        <v>67.2</v>
      </c>
      <c r="AQ18" s="9">
        <f t="shared" si="17"/>
        <v>3.072</v>
      </c>
      <c r="AR18" s="9">
        <f t="shared" si="18"/>
        <v>2.688</v>
      </c>
      <c r="AS18" s="11">
        <f t="shared" si="19"/>
        <v>21.504</v>
      </c>
      <c r="AT18" s="71">
        <v>6.5</v>
      </c>
      <c r="AU18" s="9">
        <v>22000.0</v>
      </c>
      <c r="AV18" s="11">
        <f t="shared" si="20"/>
        <v>1430</v>
      </c>
      <c r="AW18" s="75">
        <v>26.0</v>
      </c>
      <c r="AX18" s="9">
        <v>7000.0</v>
      </c>
      <c r="AY18" s="11">
        <f t="shared" si="21"/>
        <v>1820</v>
      </c>
      <c r="AZ18" s="75">
        <f t="shared" si="22"/>
        <v>18989.33257</v>
      </c>
      <c r="BA18" s="120">
        <f t="shared" si="23"/>
        <v>3.018971792</v>
      </c>
      <c r="BB18" s="11">
        <f t="shared" si="24"/>
        <v>0.3312386034</v>
      </c>
      <c r="BC18" s="11" t="str">
        <f t="shared" si="25"/>
        <v>YES</v>
      </c>
    </row>
    <row r="19" ht="15.75" customHeight="1">
      <c r="A19" s="12"/>
      <c r="B19" s="26" t="s">
        <v>14</v>
      </c>
      <c r="C19" s="26" t="s">
        <v>141</v>
      </c>
      <c r="D19" s="7" t="s">
        <v>147</v>
      </c>
      <c r="E19" s="7" t="s">
        <v>148</v>
      </c>
      <c r="F19" s="7" t="s">
        <v>51</v>
      </c>
      <c r="G19" s="7" t="s">
        <v>151</v>
      </c>
      <c r="H19" s="7">
        <v>7.0</v>
      </c>
      <c r="I19" s="7">
        <v>5100.0</v>
      </c>
      <c r="J19" s="7"/>
      <c r="L19" s="7"/>
      <c r="M19" s="9">
        <f t="shared" si="1"/>
        <v>728.5714286</v>
      </c>
      <c r="N19" s="9">
        <f t="shared" si="2"/>
        <v>204</v>
      </c>
      <c r="O19" s="7">
        <v>1.0</v>
      </c>
      <c r="P19" s="9">
        <f t="shared" si="3"/>
        <v>5100</v>
      </c>
      <c r="Q19" s="7">
        <v>8.0</v>
      </c>
      <c r="R19" s="7">
        <v>16.0</v>
      </c>
      <c r="S19" s="7">
        <v>20.0</v>
      </c>
      <c r="T19" s="7">
        <v>550.0</v>
      </c>
      <c r="U19" s="7">
        <f t="shared" si="4"/>
        <v>88000</v>
      </c>
      <c r="V19" s="7">
        <f t="shared" si="5"/>
        <v>23.2</v>
      </c>
      <c r="W19" s="14">
        <f t="shared" si="6"/>
        <v>12760</v>
      </c>
      <c r="X19" s="94">
        <f t="shared" si="7"/>
        <v>14080</v>
      </c>
      <c r="Y19" s="84">
        <v>13.0</v>
      </c>
      <c r="Z19" s="7">
        <v>550.0</v>
      </c>
      <c r="AA19" s="7">
        <v>1.4</v>
      </c>
      <c r="AB19" s="7">
        <f t="shared" si="8"/>
        <v>770</v>
      </c>
      <c r="AC19" s="7">
        <f t="shared" si="9"/>
        <v>478.5</v>
      </c>
      <c r="AD19" s="7">
        <f t="shared" si="10"/>
        <v>100.1</v>
      </c>
      <c r="AE19" s="83">
        <f t="shared" si="11"/>
        <v>800.8</v>
      </c>
      <c r="AF19" s="80">
        <v>34.5</v>
      </c>
      <c r="AG19" s="7">
        <v>1200.0</v>
      </c>
      <c r="AH19" s="78">
        <v>0.6</v>
      </c>
      <c r="AI19" s="7">
        <f t="shared" si="12"/>
        <v>720</v>
      </c>
      <c r="AJ19" s="7">
        <f t="shared" si="13"/>
        <v>786</v>
      </c>
      <c r="AK19" s="7">
        <f t="shared" si="14"/>
        <v>248.4</v>
      </c>
      <c r="AL19" s="14">
        <f t="shared" si="15"/>
        <v>1987.2</v>
      </c>
      <c r="AM19" s="84">
        <v>4.0</v>
      </c>
      <c r="AN19" s="78">
        <v>3.2</v>
      </c>
      <c r="AO19" s="78">
        <v>21.0</v>
      </c>
      <c r="AP19" s="7">
        <f t="shared" si="16"/>
        <v>67.2</v>
      </c>
      <c r="AQ19" s="7">
        <f t="shared" si="17"/>
        <v>3.072</v>
      </c>
      <c r="AR19" s="7">
        <f t="shared" si="18"/>
        <v>2.688</v>
      </c>
      <c r="AS19" s="14">
        <f t="shared" si="19"/>
        <v>21.504</v>
      </c>
      <c r="AT19" s="80">
        <v>6.5</v>
      </c>
      <c r="AU19" s="7">
        <v>22000.0</v>
      </c>
      <c r="AV19" s="14">
        <f t="shared" si="20"/>
        <v>1430</v>
      </c>
      <c r="AW19" s="84">
        <v>26.0</v>
      </c>
      <c r="AX19" s="7">
        <v>7000.0</v>
      </c>
      <c r="AY19" s="14">
        <f t="shared" si="21"/>
        <v>1820</v>
      </c>
      <c r="AZ19" s="75">
        <f t="shared" si="22"/>
        <v>19206.93257</v>
      </c>
      <c r="BA19" s="120">
        <f t="shared" si="23"/>
        <v>3.76606521</v>
      </c>
      <c r="BB19" s="11">
        <f t="shared" si="24"/>
        <v>0.265529125</v>
      </c>
      <c r="BC19" s="11" t="str">
        <f t="shared" si="25"/>
        <v>YES</v>
      </c>
    </row>
    <row r="20" ht="15.75" customHeight="1">
      <c r="A20" s="12"/>
      <c r="B20" s="26" t="s">
        <v>14</v>
      </c>
      <c r="C20" s="26" t="s">
        <v>610</v>
      </c>
      <c r="D20" s="7" t="s">
        <v>160</v>
      </c>
      <c r="E20" s="7" t="s">
        <v>161</v>
      </c>
      <c r="F20" s="7" t="s">
        <v>51</v>
      </c>
      <c r="G20" s="7" t="s">
        <v>164</v>
      </c>
      <c r="H20" s="7">
        <v>7.0</v>
      </c>
      <c r="I20" s="7">
        <v>1500.0</v>
      </c>
      <c r="J20" s="7"/>
      <c r="L20" s="7"/>
      <c r="M20" s="9">
        <f t="shared" si="1"/>
        <v>214.2857143</v>
      </c>
      <c r="N20" s="9">
        <f t="shared" si="2"/>
        <v>60</v>
      </c>
      <c r="O20" s="7">
        <v>1.0</v>
      </c>
      <c r="P20" s="9">
        <f t="shared" si="3"/>
        <v>1500</v>
      </c>
      <c r="Q20" s="7">
        <v>8.0</v>
      </c>
      <c r="R20" s="7">
        <v>16.0</v>
      </c>
      <c r="S20" s="7">
        <v>20.0</v>
      </c>
      <c r="T20" s="7">
        <v>550.0</v>
      </c>
      <c r="U20" s="7">
        <f t="shared" si="4"/>
        <v>88000</v>
      </c>
      <c r="V20" s="7">
        <f t="shared" si="5"/>
        <v>23.2</v>
      </c>
      <c r="W20" s="14">
        <f t="shared" si="6"/>
        <v>12760</v>
      </c>
      <c r="X20" s="94">
        <f t="shared" si="7"/>
        <v>14080</v>
      </c>
      <c r="Y20" s="84">
        <v>13.0</v>
      </c>
      <c r="Z20" s="7">
        <v>550.0</v>
      </c>
      <c r="AA20" s="7">
        <v>1.4</v>
      </c>
      <c r="AB20" s="7">
        <f t="shared" si="8"/>
        <v>770</v>
      </c>
      <c r="AC20" s="7">
        <f t="shared" si="9"/>
        <v>478.5</v>
      </c>
      <c r="AD20" s="7">
        <f t="shared" si="10"/>
        <v>100.1</v>
      </c>
      <c r="AE20" s="83">
        <f t="shared" si="11"/>
        <v>800.8</v>
      </c>
      <c r="AF20" s="80">
        <v>34.5</v>
      </c>
      <c r="AG20" s="7">
        <v>1200.0</v>
      </c>
      <c r="AH20" s="78">
        <v>0.6</v>
      </c>
      <c r="AI20" s="7">
        <f t="shared" si="12"/>
        <v>720</v>
      </c>
      <c r="AJ20" s="7">
        <f t="shared" si="13"/>
        <v>786</v>
      </c>
      <c r="AK20" s="7">
        <f t="shared" si="14"/>
        <v>248.4</v>
      </c>
      <c r="AL20" s="14">
        <f t="shared" si="15"/>
        <v>1987.2</v>
      </c>
      <c r="AM20" s="84">
        <v>4.0</v>
      </c>
      <c r="AN20" s="78">
        <v>3.2</v>
      </c>
      <c r="AO20" s="78">
        <v>21.0</v>
      </c>
      <c r="AP20" s="7">
        <f t="shared" si="16"/>
        <v>67.2</v>
      </c>
      <c r="AQ20" s="7">
        <f t="shared" si="17"/>
        <v>3.072</v>
      </c>
      <c r="AR20" s="7">
        <f t="shared" si="18"/>
        <v>2.688</v>
      </c>
      <c r="AS20" s="14">
        <f t="shared" si="19"/>
        <v>21.504</v>
      </c>
      <c r="AT20" s="80">
        <v>6.5</v>
      </c>
      <c r="AU20" s="7">
        <v>22000.0</v>
      </c>
      <c r="AV20" s="14">
        <f t="shared" si="20"/>
        <v>1430</v>
      </c>
      <c r="AW20" s="84">
        <v>26.0</v>
      </c>
      <c r="AX20" s="7">
        <v>7000.0</v>
      </c>
      <c r="AY20" s="14">
        <f t="shared" si="21"/>
        <v>1820</v>
      </c>
      <c r="AZ20" s="75">
        <f t="shared" si="22"/>
        <v>19865.21829</v>
      </c>
      <c r="BA20" s="120">
        <f t="shared" si="23"/>
        <v>13.24347886</v>
      </c>
      <c r="BB20" s="11">
        <f t="shared" si="24"/>
        <v>0.07550886068</v>
      </c>
      <c r="BC20" s="11" t="str">
        <f t="shared" si="25"/>
        <v>YES</v>
      </c>
    </row>
    <row r="21" ht="15.75" customHeight="1">
      <c r="A21" s="12"/>
      <c r="B21" s="26" t="s">
        <v>503</v>
      </c>
      <c r="C21" s="26" t="s">
        <v>141</v>
      </c>
      <c r="D21" s="7" t="s">
        <v>654</v>
      </c>
      <c r="E21" s="7" t="s">
        <v>172</v>
      </c>
      <c r="F21" s="7" t="s">
        <v>51</v>
      </c>
      <c r="G21" s="7" t="s">
        <v>176</v>
      </c>
      <c r="H21" s="7">
        <v>7.0</v>
      </c>
      <c r="I21" s="7">
        <v>12500.0</v>
      </c>
      <c r="J21" s="7"/>
      <c r="L21" s="7"/>
      <c r="M21" s="9">
        <f t="shared" si="1"/>
        <v>1785.714286</v>
      </c>
      <c r="N21" s="9">
        <f t="shared" si="2"/>
        <v>500</v>
      </c>
      <c r="O21" s="7">
        <v>1.0</v>
      </c>
      <c r="P21" s="9">
        <f t="shared" si="3"/>
        <v>12500</v>
      </c>
      <c r="Q21" s="7">
        <v>8.0</v>
      </c>
      <c r="R21" s="7">
        <v>16.0</v>
      </c>
      <c r="S21" s="7">
        <v>20.0</v>
      </c>
      <c r="T21" s="7">
        <v>550.0</v>
      </c>
      <c r="U21" s="7">
        <f t="shared" si="4"/>
        <v>88000</v>
      </c>
      <c r="V21" s="7">
        <f t="shared" si="5"/>
        <v>23.2</v>
      </c>
      <c r="W21" s="14">
        <f t="shared" si="6"/>
        <v>12760</v>
      </c>
      <c r="X21" s="94">
        <f t="shared" si="7"/>
        <v>14080</v>
      </c>
      <c r="Y21" s="84">
        <v>13.0</v>
      </c>
      <c r="Z21" s="7">
        <v>550.0</v>
      </c>
      <c r="AA21" s="7">
        <v>1.4</v>
      </c>
      <c r="AB21" s="7">
        <f t="shared" si="8"/>
        <v>770</v>
      </c>
      <c r="AC21" s="7">
        <f t="shared" si="9"/>
        <v>478.5</v>
      </c>
      <c r="AD21" s="7">
        <f t="shared" si="10"/>
        <v>100.1</v>
      </c>
      <c r="AE21" s="83">
        <f t="shared" si="11"/>
        <v>800.8</v>
      </c>
      <c r="AF21" s="80">
        <v>34.5</v>
      </c>
      <c r="AG21" s="7">
        <v>1200.0</v>
      </c>
      <c r="AH21" s="78">
        <v>0.6</v>
      </c>
      <c r="AI21" s="7">
        <f t="shared" si="12"/>
        <v>720</v>
      </c>
      <c r="AJ21" s="7">
        <f t="shared" si="13"/>
        <v>786</v>
      </c>
      <c r="AK21" s="7">
        <f t="shared" si="14"/>
        <v>248.4</v>
      </c>
      <c r="AL21" s="14">
        <f t="shared" si="15"/>
        <v>1987.2</v>
      </c>
      <c r="AM21" s="84">
        <v>4.0</v>
      </c>
      <c r="AN21" s="78">
        <v>3.2</v>
      </c>
      <c r="AO21" s="78">
        <v>21.0</v>
      </c>
      <c r="AP21" s="7">
        <f t="shared" si="16"/>
        <v>67.2</v>
      </c>
      <c r="AQ21" s="7">
        <f t="shared" si="17"/>
        <v>3.072</v>
      </c>
      <c r="AR21" s="7">
        <f t="shared" si="18"/>
        <v>2.688</v>
      </c>
      <c r="AS21" s="14">
        <f t="shared" si="19"/>
        <v>21.504</v>
      </c>
      <c r="AT21" s="80">
        <v>6.5</v>
      </c>
      <c r="AU21" s="7">
        <v>22000.0</v>
      </c>
      <c r="AV21" s="14">
        <f t="shared" si="20"/>
        <v>1430</v>
      </c>
      <c r="AW21" s="84">
        <v>26.0</v>
      </c>
      <c r="AX21" s="7">
        <v>7000.0</v>
      </c>
      <c r="AY21" s="14">
        <f t="shared" si="21"/>
        <v>1820</v>
      </c>
      <c r="AZ21" s="75">
        <f t="shared" si="22"/>
        <v>17853.78971</v>
      </c>
      <c r="BA21" s="120">
        <f t="shared" si="23"/>
        <v>1.428303177</v>
      </c>
      <c r="BB21" s="11">
        <f t="shared" si="24"/>
        <v>0.7001314679</v>
      </c>
      <c r="BC21" s="11" t="str">
        <f t="shared" si="25"/>
        <v>YES</v>
      </c>
    </row>
    <row r="22" ht="15.75" customHeight="1">
      <c r="A22" s="12"/>
      <c r="B22" s="26" t="s">
        <v>503</v>
      </c>
      <c r="C22" s="26" t="s">
        <v>655</v>
      </c>
      <c r="D22" s="7" t="s">
        <v>505</v>
      </c>
      <c r="E22" s="7" t="s">
        <v>172</v>
      </c>
      <c r="F22" s="7" t="s">
        <v>51</v>
      </c>
      <c r="G22" s="7"/>
      <c r="H22" s="7">
        <v>7.0</v>
      </c>
      <c r="I22" s="7">
        <v>17500.0</v>
      </c>
      <c r="J22" s="7"/>
      <c r="L22" s="7"/>
      <c r="M22" s="9">
        <f t="shared" si="1"/>
        <v>2500</v>
      </c>
      <c r="N22" s="9">
        <f t="shared" si="2"/>
        <v>700</v>
      </c>
      <c r="O22" s="7">
        <v>1.0</v>
      </c>
      <c r="P22" s="9">
        <f t="shared" si="3"/>
        <v>17500</v>
      </c>
      <c r="Q22" s="7">
        <v>8.0</v>
      </c>
      <c r="R22" s="7">
        <v>16.0</v>
      </c>
      <c r="S22" s="7">
        <v>20.0</v>
      </c>
      <c r="T22" s="7">
        <v>550.0</v>
      </c>
      <c r="U22" s="7">
        <f t="shared" si="4"/>
        <v>88000</v>
      </c>
      <c r="V22" s="7">
        <f t="shared" si="5"/>
        <v>23.2</v>
      </c>
      <c r="W22" s="14">
        <f t="shared" si="6"/>
        <v>12760</v>
      </c>
      <c r="X22" s="94">
        <f t="shared" si="7"/>
        <v>14080</v>
      </c>
      <c r="Y22" s="84">
        <v>13.0</v>
      </c>
      <c r="Z22" s="7">
        <v>550.0</v>
      </c>
      <c r="AA22" s="7">
        <v>1.4</v>
      </c>
      <c r="AB22" s="7">
        <f t="shared" si="8"/>
        <v>770</v>
      </c>
      <c r="AC22" s="7">
        <f t="shared" si="9"/>
        <v>478.5</v>
      </c>
      <c r="AD22" s="7">
        <f t="shared" si="10"/>
        <v>100.1</v>
      </c>
      <c r="AE22" s="83">
        <f t="shared" si="11"/>
        <v>800.8</v>
      </c>
      <c r="AF22" s="80">
        <v>34.5</v>
      </c>
      <c r="AG22" s="7">
        <v>850.0</v>
      </c>
      <c r="AH22" s="78">
        <v>0.7</v>
      </c>
      <c r="AI22" s="7">
        <f t="shared" si="12"/>
        <v>595</v>
      </c>
      <c r="AJ22" s="7">
        <f t="shared" si="13"/>
        <v>556.75</v>
      </c>
      <c r="AK22" s="7">
        <f t="shared" si="14"/>
        <v>205.275</v>
      </c>
      <c r="AL22" s="14">
        <f t="shared" si="15"/>
        <v>1642.2</v>
      </c>
      <c r="AM22" s="84">
        <v>4.0</v>
      </c>
      <c r="AN22" s="78">
        <v>3.2</v>
      </c>
      <c r="AO22" s="78">
        <v>21.0</v>
      </c>
      <c r="AP22" s="7">
        <f t="shared" si="16"/>
        <v>67.2</v>
      </c>
      <c r="AQ22" s="7">
        <f t="shared" si="17"/>
        <v>3.072</v>
      </c>
      <c r="AR22" s="7">
        <f t="shared" si="18"/>
        <v>2.688</v>
      </c>
      <c r="AS22" s="14">
        <f t="shared" si="19"/>
        <v>21.504</v>
      </c>
      <c r="AT22" s="80">
        <v>6.5</v>
      </c>
      <c r="AU22" s="7">
        <v>22000.0</v>
      </c>
      <c r="AV22" s="14">
        <f t="shared" si="20"/>
        <v>1430</v>
      </c>
      <c r="AW22" s="84">
        <v>26.0</v>
      </c>
      <c r="AX22" s="7">
        <v>7000.0</v>
      </c>
      <c r="AY22" s="14">
        <f t="shared" si="21"/>
        <v>1820</v>
      </c>
      <c r="AZ22" s="75">
        <f t="shared" si="22"/>
        <v>16594.504</v>
      </c>
      <c r="BA22" s="120">
        <f t="shared" si="23"/>
        <v>0.9482573714</v>
      </c>
      <c r="BB22" s="11">
        <f t="shared" si="24"/>
        <v>1.054566018</v>
      </c>
      <c r="BC22" s="11" t="str">
        <f t="shared" si="25"/>
        <v>YES</v>
      </c>
    </row>
    <row r="23" ht="15.75" customHeight="1">
      <c r="A23" s="12"/>
      <c r="B23" s="26" t="s">
        <v>14</v>
      </c>
      <c r="C23" s="26" t="s">
        <v>506</v>
      </c>
      <c r="D23" s="131" t="s">
        <v>166</v>
      </c>
      <c r="E23" s="7" t="s">
        <v>167</v>
      </c>
      <c r="F23" s="7" t="s">
        <v>51</v>
      </c>
      <c r="G23" s="7" t="s">
        <v>170</v>
      </c>
      <c r="H23" s="7">
        <v>7.0</v>
      </c>
      <c r="I23" s="7">
        <v>1100.0</v>
      </c>
      <c r="J23" s="7"/>
      <c r="L23" s="7"/>
      <c r="M23" s="9">
        <f t="shared" si="1"/>
        <v>157.1428571</v>
      </c>
      <c r="N23" s="9">
        <f t="shared" si="2"/>
        <v>44</v>
      </c>
      <c r="O23" s="7">
        <v>1.0</v>
      </c>
      <c r="P23" s="9">
        <f t="shared" si="3"/>
        <v>1100</v>
      </c>
      <c r="Q23" s="7">
        <v>8.0</v>
      </c>
      <c r="R23" s="7">
        <v>16.0</v>
      </c>
      <c r="S23" s="7">
        <v>20.0</v>
      </c>
      <c r="T23" s="7">
        <v>550.0</v>
      </c>
      <c r="U23" s="7">
        <f t="shared" si="4"/>
        <v>88000</v>
      </c>
      <c r="V23" s="7">
        <f t="shared" si="5"/>
        <v>23.2</v>
      </c>
      <c r="W23" s="14">
        <f t="shared" si="6"/>
        <v>12760</v>
      </c>
      <c r="X23" s="94">
        <f t="shared" si="7"/>
        <v>14080</v>
      </c>
      <c r="Y23" s="84">
        <v>13.0</v>
      </c>
      <c r="Z23" s="7">
        <v>550.0</v>
      </c>
      <c r="AA23" s="7">
        <v>1.4</v>
      </c>
      <c r="AB23" s="7">
        <f t="shared" si="8"/>
        <v>770</v>
      </c>
      <c r="AC23" s="7">
        <f t="shared" si="9"/>
        <v>478.5</v>
      </c>
      <c r="AD23" s="7">
        <f t="shared" si="10"/>
        <v>100.1</v>
      </c>
      <c r="AE23" s="83">
        <f t="shared" si="11"/>
        <v>800.8</v>
      </c>
      <c r="AF23" s="80">
        <v>34.5</v>
      </c>
      <c r="AG23" s="7">
        <v>850.0</v>
      </c>
      <c r="AH23" s="78">
        <v>0.7</v>
      </c>
      <c r="AI23" s="7">
        <f t="shared" si="12"/>
        <v>595</v>
      </c>
      <c r="AJ23" s="7">
        <f t="shared" si="13"/>
        <v>556.75</v>
      </c>
      <c r="AK23" s="7">
        <f t="shared" si="14"/>
        <v>205.275</v>
      </c>
      <c r="AL23" s="14">
        <f t="shared" si="15"/>
        <v>1642.2</v>
      </c>
      <c r="AM23" s="84">
        <v>4.0</v>
      </c>
      <c r="AN23" s="78">
        <v>3.2</v>
      </c>
      <c r="AO23" s="78">
        <v>21.0</v>
      </c>
      <c r="AP23" s="7">
        <f t="shared" si="16"/>
        <v>67.2</v>
      </c>
      <c r="AQ23" s="7">
        <f t="shared" si="17"/>
        <v>3.072</v>
      </c>
      <c r="AR23" s="7">
        <f t="shared" si="18"/>
        <v>2.688</v>
      </c>
      <c r="AS23" s="14">
        <f t="shared" si="19"/>
        <v>21.504</v>
      </c>
      <c r="AT23" s="80">
        <v>6.5</v>
      </c>
      <c r="AU23" s="7">
        <v>22000.0</v>
      </c>
      <c r="AV23" s="14">
        <f t="shared" si="20"/>
        <v>1430</v>
      </c>
      <c r="AW23" s="84">
        <v>26.0</v>
      </c>
      <c r="AX23" s="7">
        <v>7000.0</v>
      </c>
      <c r="AY23" s="14">
        <f t="shared" si="21"/>
        <v>1820</v>
      </c>
      <c r="AZ23" s="75">
        <f t="shared" si="22"/>
        <v>19593.36114</v>
      </c>
      <c r="BA23" s="120">
        <f t="shared" si="23"/>
        <v>17.81214649</v>
      </c>
      <c r="BB23" s="11">
        <f t="shared" si="24"/>
        <v>0.05614146506</v>
      </c>
      <c r="BC23" s="11" t="str">
        <f t="shared" si="25"/>
        <v>YES</v>
      </c>
    </row>
    <row r="24" ht="15.75" customHeight="1">
      <c r="A24" s="12"/>
      <c r="B24" s="26" t="s">
        <v>14</v>
      </c>
      <c r="C24" s="26" t="s">
        <v>509</v>
      </c>
      <c r="D24" s="7" t="s">
        <v>182</v>
      </c>
      <c r="E24" s="7" t="s">
        <v>167</v>
      </c>
      <c r="F24" s="7" t="s">
        <v>51</v>
      </c>
      <c r="G24" s="7" t="s">
        <v>185</v>
      </c>
      <c r="H24" s="7">
        <v>7.0</v>
      </c>
      <c r="I24" s="7">
        <v>4320.0</v>
      </c>
      <c r="J24" s="7"/>
      <c r="L24" s="7"/>
      <c r="M24" s="9">
        <f t="shared" si="1"/>
        <v>617.1428571</v>
      </c>
      <c r="N24" s="9">
        <f t="shared" si="2"/>
        <v>172.8</v>
      </c>
      <c r="O24" s="7">
        <v>1.0</v>
      </c>
      <c r="P24" s="9">
        <f t="shared" si="3"/>
        <v>4320</v>
      </c>
      <c r="Q24" s="7">
        <v>8.0</v>
      </c>
      <c r="R24" s="7">
        <v>16.0</v>
      </c>
      <c r="S24" s="7">
        <v>20.0</v>
      </c>
      <c r="T24" s="7">
        <v>550.0</v>
      </c>
      <c r="U24" s="7">
        <f t="shared" si="4"/>
        <v>88000</v>
      </c>
      <c r="V24" s="7">
        <f t="shared" si="5"/>
        <v>23.2</v>
      </c>
      <c r="W24" s="14">
        <f t="shared" si="6"/>
        <v>12760</v>
      </c>
      <c r="X24" s="94">
        <f t="shared" si="7"/>
        <v>14080</v>
      </c>
      <c r="Y24" s="84">
        <v>13.0</v>
      </c>
      <c r="Z24" s="7">
        <v>550.0</v>
      </c>
      <c r="AA24" s="7">
        <v>1.4</v>
      </c>
      <c r="AB24" s="7">
        <f t="shared" si="8"/>
        <v>770</v>
      </c>
      <c r="AC24" s="7">
        <f t="shared" si="9"/>
        <v>478.5</v>
      </c>
      <c r="AD24" s="7">
        <f t="shared" si="10"/>
        <v>100.1</v>
      </c>
      <c r="AE24" s="83">
        <f t="shared" si="11"/>
        <v>800.8</v>
      </c>
      <c r="AF24" s="80">
        <v>34.5</v>
      </c>
      <c r="AG24" s="7">
        <v>850.0</v>
      </c>
      <c r="AH24" s="78">
        <v>0.7</v>
      </c>
      <c r="AI24" s="7">
        <f t="shared" si="12"/>
        <v>595</v>
      </c>
      <c r="AJ24" s="7">
        <f t="shared" si="13"/>
        <v>556.75</v>
      </c>
      <c r="AK24" s="7">
        <f t="shared" si="14"/>
        <v>205.275</v>
      </c>
      <c r="AL24" s="14">
        <f t="shared" si="15"/>
        <v>1642.2</v>
      </c>
      <c r="AM24" s="84">
        <v>4.0</v>
      </c>
      <c r="AN24" s="78">
        <v>3.2</v>
      </c>
      <c r="AO24" s="78">
        <v>21.0</v>
      </c>
      <c r="AP24" s="7">
        <f t="shared" si="16"/>
        <v>67.2</v>
      </c>
      <c r="AQ24" s="7">
        <f t="shared" si="17"/>
        <v>3.072</v>
      </c>
      <c r="AR24" s="7">
        <f t="shared" si="18"/>
        <v>2.688</v>
      </c>
      <c r="AS24" s="14">
        <f t="shared" si="19"/>
        <v>21.504</v>
      </c>
      <c r="AT24" s="80">
        <v>6.5</v>
      </c>
      <c r="AU24" s="7">
        <v>22000.0</v>
      </c>
      <c r="AV24" s="14">
        <f t="shared" si="20"/>
        <v>1430</v>
      </c>
      <c r="AW24" s="84">
        <v>26.0</v>
      </c>
      <c r="AX24" s="7">
        <v>7000.0</v>
      </c>
      <c r="AY24" s="14">
        <f t="shared" si="21"/>
        <v>1820</v>
      </c>
      <c r="AZ24" s="75">
        <f t="shared" si="22"/>
        <v>19004.56114</v>
      </c>
      <c r="BA24" s="120">
        <f t="shared" si="23"/>
        <v>4.399203968</v>
      </c>
      <c r="BB24" s="11">
        <f t="shared" si="24"/>
        <v>0.2273138521</v>
      </c>
      <c r="BC24" s="11" t="str">
        <f t="shared" si="25"/>
        <v>YES</v>
      </c>
    </row>
    <row r="25" ht="15.75" customHeight="1">
      <c r="A25" s="12"/>
      <c r="B25" s="26" t="s">
        <v>14</v>
      </c>
      <c r="C25" s="26" t="s">
        <v>177</v>
      </c>
      <c r="D25" s="7" t="s">
        <v>186</v>
      </c>
      <c r="E25" s="7" t="s">
        <v>187</v>
      </c>
      <c r="F25" s="7" t="s">
        <v>51</v>
      </c>
      <c r="G25" s="7" t="s">
        <v>190</v>
      </c>
      <c r="H25" s="7">
        <v>7.0</v>
      </c>
      <c r="I25" s="7">
        <v>4100.0</v>
      </c>
      <c r="J25" s="7"/>
      <c r="L25" s="7"/>
      <c r="M25" s="9">
        <f t="shared" si="1"/>
        <v>585.7142857</v>
      </c>
      <c r="N25" s="9">
        <f t="shared" si="2"/>
        <v>164</v>
      </c>
      <c r="O25" s="7">
        <v>1.0</v>
      </c>
      <c r="P25" s="9">
        <f t="shared" si="3"/>
        <v>4100</v>
      </c>
      <c r="Q25" s="7">
        <v>8.0</v>
      </c>
      <c r="R25" s="7">
        <v>16.0</v>
      </c>
      <c r="S25" s="7">
        <v>20.0</v>
      </c>
      <c r="T25" s="7">
        <v>550.0</v>
      </c>
      <c r="U25" s="7">
        <f t="shared" si="4"/>
        <v>88000</v>
      </c>
      <c r="V25" s="7">
        <f t="shared" si="5"/>
        <v>23.2</v>
      </c>
      <c r="W25" s="14">
        <f t="shared" si="6"/>
        <v>12760</v>
      </c>
      <c r="X25" s="94">
        <f t="shared" si="7"/>
        <v>14080</v>
      </c>
      <c r="Y25" s="84">
        <v>13.0</v>
      </c>
      <c r="Z25" s="7">
        <v>550.0</v>
      </c>
      <c r="AA25" s="7">
        <v>1.4</v>
      </c>
      <c r="AB25" s="7">
        <f t="shared" si="8"/>
        <v>770</v>
      </c>
      <c r="AC25" s="7">
        <f t="shared" si="9"/>
        <v>478.5</v>
      </c>
      <c r="AD25" s="7">
        <f t="shared" si="10"/>
        <v>100.1</v>
      </c>
      <c r="AE25" s="83">
        <f t="shared" si="11"/>
        <v>800.8</v>
      </c>
      <c r="AF25" s="80">
        <v>34.5</v>
      </c>
      <c r="AG25" s="7">
        <v>850.0</v>
      </c>
      <c r="AH25" s="78">
        <v>0.7</v>
      </c>
      <c r="AI25" s="7">
        <f t="shared" si="12"/>
        <v>595</v>
      </c>
      <c r="AJ25" s="7">
        <f t="shared" si="13"/>
        <v>556.75</v>
      </c>
      <c r="AK25" s="7">
        <f t="shared" si="14"/>
        <v>205.275</v>
      </c>
      <c r="AL25" s="14">
        <f t="shared" si="15"/>
        <v>1642.2</v>
      </c>
      <c r="AM25" s="84">
        <v>4.0</v>
      </c>
      <c r="AN25" s="78">
        <v>3.2</v>
      </c>
      <c r="AO25" s="78">
        <v>21.0</v>
      </c>
      <c r="AP25" s="7">
        <f t="shared" si="16"/>
        <v>67.2</v>
      </c>
      <c r="AQ25" s="7">
        <f t="shared" si="17"/>
        <v>3.072</v>
      </c>
      <c r="AR25" s="7">
        <f t="shared" si="18"/>
        <v>2.688</v>
      </c>
      <c r="AS25" s="14">
        <f t="shared" si="19"/>
        <v>21.504</v>
      </c>
      <c r="AT25" s="80">
        <v>6.5</v>
      </c>
      <c r="AU25" s="7">
        <v>22000.0</v>
      </c>
      <c r="AV25" s="14">
        <f t="shared" si="20"/>
        <v>1430</v>
      </c>
      <c r="AW25" s="84">
        <v>26.0</v>
      </c>
      <c r="AX25" s="7">
        <v>7000.0</v>
      </c>
      <c r="AY25" s="14">
        <f t="shared" si="21"/>
        <v>1820</v>
      </c>
      <c r="AZ25" s="75">
        <f t="shared" si="22"/>
        <v>19044.78971</v>
      </c>
      <c r="BA25" s="120">
        <f t="shared" si="23"/>
        <v>4.645070662</v>
      </c>
      <c r="BB25" s="11">
        <f t="shared" si="24"/>
        <v>0.215281978</v>
      </c>
      <c r="BC25" s="11" t="str">
        <f t="shared" si="25"/>
        <v>YES</v>
      </c>
    </row>
    <row r="26" ht="15.75" customHeight="1">
      <c r="A26" s="12"/>
      <c r="B26" s="26" t="s">
        <v>14</v>
      </c>
      <c r="C26" s="26" t="s">
        <v>586</v>
      </c>
      <c r="D26" s="7" t="s">
        <v>587</v>
      </c>
      <c r="E26" s="7" t="s">
        <v>513</v>
      </c>
      <c r="F26" s="7" t="s">
        <v>51</v>
      </c>
      <c r="G26" s="7" t="s">
        <v>514</v>
      </c>
      <c r="H26" s="7">
        <v>7.0</v>
      </c>
      <c r="I26" s="7">
        <v>20000.0</v>
      </c>
      <c r="J26" s="7"/>
      <c r="L26" s="7"/>
      <c r="M26" s="9">
        <f t="shared" si="1"/>
        <v>2857.142857</v>
      </c>
      <c r="N26" s="9">
        <f t="shared" si="2"/>
        <v>800</v>
      </c>
      <c r="O26" s="7">
        <v>1.0</v>
      </c>
      <c r="P26" s="9">
        <f t="shared" si="3"/>
        <v>20000</v>
      </c>
      <c r="Q26" s="7">
        <v>8.0</v>
      </c>
      <c r="R26" s="7">
        <v>16.0</v>
      </c>
      <c r="S26" s="7">
        <v>20.0</v>
      </c>
      <c r="T26" s="7">
        <v>550.0</v>
      </c>
      <c r="U26" s="7">
        <f t="shared" si="4"/>
        <v>88000</v>
      </c>
      <c r="V26" s="7">
        <f t="shared" si="5"/>
        <v>23.2</v>
      </c>
      <c r="W26" s="14">
        <f t="shared" si="6"/>
        <v>12760</v>
      </c>
      <c r="X26" s="94">
        <f t="shared" si="7"/>
        <v>14080</v>
      </c>
      <c r="Y26" s="84">
        <v>13.0</v>
      </c>
      <c r="Z26" s="7">
        <v>550.0</v>
      </c>
      <c r="AA26" s="7">
        <v>1.4</v>
      </c>
      <c r="AB26" s="7">
        <f t="shared" si="8"/>
        <v>770</v>
      </c>
      <c r="AC26" s="7">
        <f t="shared" si="9"/>
        <v>478.5</v>
      </c>
      <c r="AD26" s="7">
        <f t="shared" si="10"/>
        <v>100.1</v>
      </c>
      <c r="AE26" s="83">
        <f t="shared" si="11"/>
        <v>800.8</v>
      </c>
      <c r="AF26" s="80">
        <v>34.5</v>
      </c>
      <c r="AG26" s="7">
        <v>850.0</v>
      </c>
      <c r="AH26" s="78">
        <v>0.7</v>
      </c>
      <c r="AI26" s="7">
        <f t="shared" si="12"/>
        <v>595</v>
      </c>
      <c r="AJ26" s="7">
        <f t="shared" si="13"/>
        <v>556.75</v>
      </c>
      <c r="AK26" s="7">
        <f t="shared" si="14"/>
        <v>205.275</v>
      </c>
      <c r="AL26" s="14">
        <f t="shared" si="15"/>
        <v>1642.2</v>
      </c>
      <c r="AM26" s="84">
        <v>4.0</v>
      </c>
      <c r="AN26" s="78">
        <v>3.2</v>
      </c>
      <c r="AO26" s="78">
        <v>21.0</v>
      </c>
      <c r="AP26" s="7">
        <f t="shared" si="16"/>
        <v>67.2</v>
      </c>
      <c r="AQ26" s="7">
        <f t="shared" si="17"/>
        <v>3.072</v>
      </c>
      <c r="AR26" s="7">
        <f t="shared" si="18"/>
        <v>2.688</v>
      </c>
      <c r="AS26" s="14">
        <f t="shared" si="19"/>
        <v>21.504</v>
      </c>
      <c r="AT26" s="80">
        <v>6.5</v>
      </c>
      <c r="AU26" s="7">
        <v>22000.0</v>
      </c>
      <c r="AV26" s="14">
        <f t="shared" si="20"/>
        <v>1430</v>
      </c>
      <c r="AW26" s="84">
        <v>26.0</v>
      </c>
      <c r="AX26" s="7">
        <v>7000.0</v>
      </c>
      <c r="AY26" s="14">
        <f t="shared" si="21"/>
        <v>1820</v>
      </c>
      <c r="AZ26" s="75">
        <f t="shared" si="22"/>
        <v>16137.36114</v>
      </c>
      <c r="BA26" s="120">
        <f t="shared" si="23"/>
        <v>0.8068680571</v>
      </c>
      <c r="BB26" s="11">
        <f t="shared" si="24"/>
        <v>1.239360006</v>
      </c>
      <c r="BC26" s="11" t="str">
        <f t="shared" si="25"/>
        <v>YES</v>
      </c>
    </row>
    <row r="27" ht="15.75" customHeight="1">
      <c r="A27" s="12"/>
      <c r="B27" s="26" t="s">
        <v>14</v>
      </c>
      <c r="C27" s="26" t="s">
        <v>141</v>
      </c>
      <c r="D27" s="7" t="s">
        <v>212</v>
      </c>
      <c r="E27" s="7" t="s">
        <v>656</v>
      </c>
      <c r="F27" s="7" t="s">
        <v>51</v>
      </c>
      <c r="G27" s="7" t="s">
        <v>181</v>
      </c>
      <c r="H27" s="7">
        <v>7.0</v>
      </c>
      <c r="I27" s="7">
        <v>17500.0</v>
      </c>
      <c r="J27" s="7"/>
      <c r="L27" s="7"/>
      <c r="M27" s="9">
        <f t="shared" si="1"/>
        <v>2500</v>
      </c>
      <c r="N27" s="9">
        <f t="shared" si="2"/>
        <v>700</v>
      </c>
      <c r="O27" s="7">
        <v>1.0</v>
      </c>
      <c r="P27" s="9">
        <f t="shared" si="3"/>
        <v>17500</v>
      </c>
      <c r="Q27" s="7">
        <v>8.0</v>
      </c>
      <c r="R27" s="7">
        <v>16.0</v>
      </c>
      <c r="S27" s="7">
        <v>20.0</v>
      </c>
      <c r="T27" s="7">
        <v>550.0</v>
      </c>
      <c r="U27" s="7">
        <f t="shared" si="4"/>
        <v>88000</v>
      </c>
      <c r="V27" s="7">
        <f t="shared" si="5"/>
        <v>23.2</v>
      </c>
      <c r="W27" s="14">
        <f t="shared" si="6"/>
        <v>12760</v>
      </c>
      <c r="X27" s="94">
        <f t="shared" si="7"/>
        <v>14080</v>
      </c>
      <c r="Y27" s="84">
        <v>13.0</v>
      </c>
      <c r="Z27" s="7">
        <v>550.0</v>
      </c>
      <c r="AA27" s="7">
        <v>1.4</v>
      </c>
      <c r="AB27" s="7">
        <f t="shared" si="8"/>
        <v>770</v>
      </c>
      <c r="AC27" s="7">
        <f t="shared" si="9"/>
        <v>478.5</v>
      </c>
      <c r="AD27" s="7">
        <f t="shared" si="10"/>
        <v>100.1</v>
      </c>
      <c r="AE27" s="83">
        <f t="shared" si="11"/>
        <v>800.8</v>
      </c>
      <c r="AF27" s="80">
        <v>34.5</v>
      </c>
      <c r="AG27" s="7">
        <v>850.0</v>
      </c>
      <c r="AH27" s="78">
        <v>0.7</v>
      </c>
      <c r="AI27" s="7">
        <f t="shared" si="12"/>
        <v>595</v>
      </c>
      <c r="AJ27" s="7">
        <f t="shared" si="13"/>
        <v>556.75</v>
      </c>
      <c r="AK27" s="7">
        <f t="shared" si="14"/>
        <v>205.275</v>
      </c>
      <c r="AL27" s="14">
        <f t="shared" si="15"/>
        <v>1642.2</v>
      </c>
      <c r="AM27" s="84">
        <v>4.0</v>
      </c>
      <c r="AN27" s="78">
        <v>3.2</v>
      </c>
      <c r="AO27" s="78">
        <v>21.0</v>
      </c>
      <c r="AP27" s="7">
        <f t="shared" si="16"/>
        <v>67.2</v>
      </c>
      <c r="AQ27" s="7">
        <f t="shared" si="17"/>
        <v>3.072</v>
      </c>
      <c r="AR27" s="7">
        <f t="shared" si="18"/>
        <v>2.688</v>
      </c>
      <c r="AS27" s="14">
        <f t="shared" si="19"/>
        <v>21.504</v>
      </c>
      <c r="AT27" s="80">
        <v>6.5</v>
      </c>
      <c r="AU27" s="7">
        <v>22000.0</v>
      </c>
      <c r="AV27" s="14">
        <f t="shared" si="20"/>
        <v>1430</v>
      </c>
      <c r="AW27" s="84">
        <v>26.0</v>
      </c>
      <c r="AX27" s="7">
        <v>7000.0</v>
      </c>
      <c r="AY27" s="14">
        <f t="shared" si="21"/>
        <v>1820</v>
      </c>
      <c r="AZ27" s="75">
        <f t="shared" si="22"/>
        <v>16594.504</v>
      </c>
      <c r="BA27" s="120">
        <f t="shared" si="23"/>
        <v>0.9482573714</v>
      </c>
      <c r="BB27" s="11">
        <f t="shared" si="24"/>
        <v>1.054566018</v>
      </c>
      <c r="BC27" s="11" t="str">
        <f t="shared" si="25"/>
        <v>YES</v>
      </c>
    </row>
    <row r="28" ht="15.75" customHeight="1">
      <c r="A28" s="12"/>
      <c r="B28" s="26" t="s">
        <v>14</v>
      </c>
      <c r="C28" s="26" t="s">
        <v>141</v>
      </c>
      <c r="D28" s="7" t="s">
        <v>216</v>
      </c>
      <c r="E28" s="7" t="s">
        <v>172</v>
      </c>
      <c r="F28" s="7" t="s">
        <v>51</v>
      </c>
      <c r="G28" s="7" t="s">
        <v>181</v>
      </c>
      <c r="H28" s="7">
        <v>7.0</v>
      </c>
      <c r="I28" s="7">
        <v>17500.0</v>
      </c>
      <c r="J28" s="7"/>
      <c r="L28" s="7"/>
      <c r="M28" s="9">
        <f t="shared" si="1"/>
        <v>2500</v>
      </c>
      <c r="N28" s="9">
        <f t="shared" si="2"/>
        <v>700</v>
      </c>
      <c r="O28" s="7">
        <v>1.0</v>
      </c>
      <c r="P28" s="9">
        <f t="shared" si="3"/>
        <v>17500</v>
      </c>
      <c r="Q28" s="7">
        <v>8.0</v>
      </c>
      <c r="R28" s="7">
        <v>16.0</v>
      </c>
      <c r="S28" s="7">
        <v>20.0</v>
      </c>
      <c r="T28" s="7">
        <v>550.0</v>
      </c>
      <c r="U28" s="7">
        <f t="shared" si="4"/>
        <v>88000</v>
      </c>
      <c r="V28" s="7">
        <f t="shared" si="5"/>
        <v>23.2</v>
      </c>
      <c r="W28" s="14">
        <f t="shared" si="6"/>
        <v>12760</v>
      </c>
      <c r="X28" s="94">
        <f t="shared" si="7"/>
        <v>14080</v>
      </c>
      <c r="Y28" s="84">
        <v>13.0</v>
      </c>
      <c r="Z28" s="7">
        <v>550.0</v>
      </c>
      <c r="AA28" s="7">
        <v>1.4</v>
      </c>
      <c r="AB28" s="7">
        <f t="shared" si="8"/>
        <v>770</v>
      </c>
      <c r="AC28" s="7">
        <f t="shared" si="9"/>
        <v>478.5</v>
      </c>
      <c r="AD28" s="7">
        <f t="shared" si="10"/>
        <v>100.1</v>
      </c>
      <c r="AE28" s="83">
        <f t="shared" si="11"/>
        <v>800.8</v>
      </c>
      <c r="AF28" s="80">
        <v>34.5</v>
      </c>
      <c r="AG28" s="7">
        <v>850.0</v>
      </c>
      <c r="AH28" s="78">
        <v>0.7</v>
      </c>
      <c r="AI28" s="7">
        <f t="shared" si="12"/>
        <v>595</v>
      </c>
      <c r="AJ28" s="7">
        <f t="shared" si="13"/>
        <v>556.75</v>
      </c>
      <c r="AK28" s="7">
        <f t="shared" si="14"/>
        <v>205.275</v>
      </c>
      <c r="AL28" s="14">
        <f t="shared" si="15"/>
        <v>1642.2</v>
      </c>
      <c r="AM28" s="84">
        <v>4.0</v>
      </c>
      <c r="AN28" s="78">
        <v>3.2</v>
      </c>
      <c r="AO28" s="78">
        <v>21.0</v>
      </c>
      <c r="AP28" s="7">
        <f t="shared" si="16"/>
        <v>67.2</v>
      </c>
      <c r="AQ28" s="7">
        <f t="shared" si="17"/>
        <v>3.072</v>
      </c>
      <c r="AR28" s="7">
        <f t="shared" si="18"/>
        <v>2.688</v>
      </c>
      <c r="AS28" s="14">
        <f t="shared" si="19"/>
        <v>21.504</v>
      </c>
      <c r="AT28" s="80">
        <v>6.5</v>
      </c>
      <c r="AU28" s="7">
        <v>22000.0</v>
      </c>
      <c r="AV28" s="14">
        <f t="shared" si="20"/>
        <v>1430</v>
      </c>
      <c r="AW28" s="84">
        <v>26.0</v>
      </c>
      <c r="AX28" s="7">
        <v>7000.0</v>
      </c>
      <c r="AY28" s="14">
        <f t="shared" si="21"/>
        <v>1820</v>
      </c>
      <c r="AZ28" s="75">
        <f t="shared" si="22"/>
        <v>16594.504</v>
      </c>
      <c r="BA28" s="120">
        <f t="shared" si="23"/>
        <v>0.9482573714</v>
      </c>
      <c r="BB28" s="11">
        <f t="shared" si="24"/>
        <v>1.054566018</v>
      </c>
      <c r="BC28" s="11" t="str">
        <f t="shared" si="25"/>
        <v>YES</v>
      </c>
    </row>
    <row r="29" ht="15.75" customHeight="1">
      <c r="A29" s="12"/>
      <c r="B29" s="26" t="s">
        <v>14</v>
      </c>
      <c r="C29" s="26" t="s">
        <v>141</v>
      </c>
      <c r="D29" s="7" t="s">
        <v>191</v>
      </c>
      <c r="E29" s="7" t="s">
        <v>187</v>
      </c>
      <c r="F29" s="7" t="s">
        <v>51</v>
      </c>
      <c r="G29" s="7" t="s">
        <v>193</v>
      </c>
      <c r="H29" s="7">
        <v>7.0</v>
      </c>
      <c r="I29" s="7">
        <v>15000.0</v>
      </c>
      <c r="J29" s="7"/>
      <c r="L29" s="7"/>
      <c r="M29" s="9">
        <f t="shared" si="1"/>
        <v>2142.857143</v>
      </c>
      <c r="N29" s="9">
        <f t="shared" si="2"/>
        <v>600</v>
      </c>
      <c r="O29" s="7">
        <v>1.0</v>
      </c>
      <c r="P29" s="9">
        <f t="shared" si="3"/>
        <v>15000</v>
      </c>
      <c r="Q29" s="7">
        <v>8.0</v>
      </c>
      <c r="R29" s="7">
        <v>16.0</v>
      </c>
      <c r="S29" s="7">
        <v>20.0</v>
      </c>
      <c r="T29" s="7">
        <v>550.0</v>
      </c>
      <c r="U29" s="7">
        <f t="shared" si="4"/>
        <v>88000</v>
      </c>
      <c r="V29" s="7">
        <f t="shared" si="5"/>
        <v>23.2</v>
      </c>
      <c r="W29" s="14">
        <f t="shared" si="6"/>
        <v>12760</v>
      </c>
      <c r="X29" s="94">
        <f t="shared" si="7"/>
        <v>14080</v>
      </c>
      <c r="Y29" s="84">
        <v>13.0</v>
      </c>
      <c r="Z29" s="7">
        <v>550.0</v>
      </c>
      <c r="AA29" s="7">
        <v>1.4</v>
      </c>
      <c r="AB29" s="7">
        <f t="shared" si="8"/>
        <v>770</v>
      </c>
      <c r="AC29" s="7">
        <f t="shared" si="9"/>
        <v>478.5</v>
      </c>
      <c r="AD29" s="7">
        <f t="shared" si="10"/>
        <v>100.1</v>
      </c>
      <c r="AE29" s="83">
        <f t="shared" si="11"/>
        <v>800.8</v>
      </c>
      <c r="AF29" s="80">
        <v>34.5</v>
      </c>
      <c r="AG29" s="7">
        <v>850.0</v>
      </c>
      <c r="AH29" s="78">
        <v>0.7</v>
      </c>
      <c r="AI29" s="7">
        <f t="shared" si="12"/>
        <v>595</v>
      </c>
      <c r="AJ29" s="7">
        <f t="shared" si="13"/>
        <v>556.75</v>
      </c>
      <c r="AK29" s="7">
        <f t="shared" si="14"/>
        <v>205.275</v>
      </c>
      <c r="AL29" s="14">
        <f t="shared" si="15"/>
        <v>1642.2</v>
      </c>
      <c r="AM29" s="84">
        <v>4.0</v>
      </c>
      <c r="AN29" s="78">
        <v>3.2</v>
      </c>
      <c r="AO29" s="78">
        <v>21.0</v>
      </c>
      <c r="AP29" s="7">
        <f t="shared" si="16"/>
        <v>67.2</v>
      </c>
      <c r="AQ29" s="7">
        <f t="shared" si="17"/>
        <v>3.072</v>
      </c>
      <c r="AR29" s="7">
        <f t="shared" si="18"/>
        <v>2.688</v>
      </c>
      <c r="AS29" s="14">
        <f t="shared" si="19"/>
        <v>21.504</v>
      </c>
      <c r="AT29" s="80">
        <v>6.5</v>
      </c>
      <c r="AU29" s="7">
        <v>22000.0</v>
      </c>
      <c r="AV29" s="14">
        <f t="shared" si="20"/>
        <v>1430</v>
      </c>
      <c r="AW29" s="84">
        <v>26.0</v>
      </c>
      <c r="AX29" s="7">
        <v>7000.0</v>
      </c>
      <c r="AY29" s="14">
        <f t="shared" si="21"/>
        <v>1820</v>
      </c>
      <c r="AZ29" s="75">
        <f t="shared" si="22"/>
        <v>17051.64686</v>
      </c>
      <c r="BA29" s="120">
        <f t="shared" si="23"/>
        <v>1.136776457</v>
      </c>
      <c r="BB29" s="11">
        <f t="shared" si="24"/>
        <v>0.8796804277</v>
      </c>
      <c r="BC29" s="11" t="str">
        <f t="shared" si="25"/>
        <v>YES</v>
      </c>
    </row>
    <row r="30" ht="15.75" customHeight="1">
      <c r="A30" s="12"/>
      <c r="B30" s="26" t="s">
        <v>14</v>
      </c>
      <c r="C30" s="26" t="s">
        <v>141</v>
      </c>
      <c r="D30" s="7" t="s">
        <v>194</v>
      </c>
      <c r="E30" s="7" t="s">
        <v>583</v>
      </c>
      <c r="F30" s="7" t="s">
        <v>51</v>
      </c>
      <c r="G30" s="7" t="s">
        <v>197</v>
      </c>
      <c r="H30" s="7">
        <v>7.0</v>
      </c>
      <c r="I30" s="7">
        <v>6000.0</v>
      </c>
      <c r="J30" s="7"/>
      <c r="L30" s="7"/>
      <c r="M30" s="9">
        <f t="shared" si="1"/>
        <v>857.1428571</v>
      </c>
      <c r="N30" s="9">
        <f t="shared" si="2"/>
        <v>240</v>
      </c>
      <c r="O30" s="7">
        <v>1.0</v>
      </c>
      <c r="P30" s="9">
        <f t="shared" si="3"/>
        <v>6000</v>
      </c>
      <c r="Q30" s="7">
        <v>8.0</v>
      </c>
      <c r="R30" s="7">
        <v>16.0</v>
      </c>
      <c r="S30" s="7">
        <v>20.0</v>
      </c>
      <c r="T30" s="7">
        <v>550.0</v>
      </c>
      <c r="U30" s="7">
        <f t="shared" si="4"/>
        <v>88000</v>
      </c>
      <c r="V30" s="7">
        <f t="shared" si="5"/>
        <v>23.2</v>
      </c>
      <c r="W30" s="14">
        <f t="shared" si="6"/>
        <v>12760</v>
      </c>
      <c r="X30" s="94">
        <f t="shared" si="7"/>
        <v>14080</v>
      </c>
      <c r="Y30" s="84">
        <v>13.0</v>
      </c>
      <c r="Z30" s="7">
        <v>550.0</v>
      </c>
      <c r="AA30" s="7">
        <v>1.4</v>
      </c>
      <c r="AB30" s="7">
        <f t="shared" si="8"/>
        <v>770</v>
      </c>
      <c r="AC30" s="7">
        <f t="shared" si="9"/>
        <v>478.5</v>
      </c>
      <c r="AD30" s="7">
        <f t="shared" si="10"/>
        <v>100.1</v>
      </c>
      <c r="AE30" s="83">
        <f t="shared" si="11"/>
        <v>800.8</v>
      </c>
      <c r="AF30" s="80">
        <v>34.5</v>
      </c>
      <c r="AG30" s="7">
        <v>850.0</v>
      </c>
      <c r="AH30" s="78">
        <v>0.7</v>
      </c>
      <c r="AI30" s="7">
        <f t="shared" si="12"/>
        <v>595</v>
      </c>
      <c r="AJ30" s="7">
        <f t="shared" si="13"/>
        <v>556.75</v>
      </c>
      <c r="AK30" s="7">
        <f t="shared" si="14"/>
        <v>205.275</v>
      </c>
      <c r="AL30" s="14">
        <f t="shared" si="15"/>
        <v>1642.2</v>
      </c>
      <c r="AM30" s="84">
        <v>4.0</v>
      </c>
      <c r="AN30" s="78">
        <v>3.2</v>
      </c>
      <c r="AO30" s="78">
        <v>21.0</v>
      </c>
      <c r="AP30" s="7">
        <f t="shared" si="16"/>
        <v>67.2</v>
      </c>
      <c r="AQ30" s="7">
        <f t="shared" si="17"/>
        <v>3.072</v>
      </c>
      <c r="AR30" s="7">
        <f t="shared" si="18"/>
        <v>2.688</v>
      </c>
      <c r="AS30" s="14">
        <f t="shared" si="19"/>
        <v>21.504</v>
      </c>
      <c r="AT30" s="80">
        <v>6.5</v>
      </c>
      <c r="AU30" s="7">
        <v>22000.0</v>
      </c>
      <c r="AV30" s="14">
        <f t="shared" si="20"/>
        <v>1430</v>
      </c>
      <c r="AW30" s="84">
        <v>26.0</v>
      </c>
      <c r="AX30" s="7">
        <v>7000.0</v>
      </c>
      <c r="AY30" s="14">
        <f t="shared" si="21"/>
        <v>1820</v>
      </c>
      <c r="AZ30" s="75">
        <f t="shared" si="22"/>
        <v>18697.36114</v>
      </c>
      <c r="BA30" s="120">
        <f t="shared" si="23"/>
        <v>3.116226857</v>
      </c>
      <c r="BB30" s="11">
        <f t="shared" si="24"/>
        <v>0.320900899</v>
      </c>
      <c r="BC30" s="11" t="str">
        <f t="shared" si="25"/>
        <v>YES</v>
      </c>
    </row>
    <row r="31" ht="15.75" customHeight="1">
      <c r="A31" s="12"/>
      <c r="B31" s="26" t="s">
        <v>14</v>
      </c>
      <c r="C31" s="26" t="s">
        <v>141</v>
      </c>
      <c r="D31" s="7" t="s">
        <v>198</v>
      </c>
      <c r="E31" s="7" t="s">
        <v>583</v>
      </c>
      <c r="F31" s="7" t="s">
        <v>51</v>
      </c>
      <c r="G31" s="7" t="s">
        <v>200</v>
      </c>
      <c r="H31" s="7">
        <v>7.0</v>
      </c>
      <c r="I31" s="7">
        <v>7000.0</v>
      </c>
      <c r="J31" s="7"/>
      <c r="L31" s="7"/>
      <c r="M31" s="9">
        <f t="shared" si="1"/>
        <v>1000</v>
      </c>
      <c r="N31" s="9">
        <f t="shared" si="2"/>
        <v>280</v>
      </c>
      <c r="O31" s="7">
        <v>1.0</v>
      </c>
      <c r="P31" s="9">
        <f t="shared" si="3"/>
        <v>7000</v>
      </c>
      <c r="Q31" s="7">
        <v>8.0</v>
      </c>
      <c r="R31" s="7">
        <v>16.0</v>
      </c>
      <c r="S31" s="7">
        <v>20.0</v>
      </c>
      <c r="T31" s="7">
        <v>550.0</v>
      </c>
      <c r="U31" s="7">
        <f t="shared" si="4"/>
        <v>88000</v>
      </c>
      <c r="V31" s="7">
        <f t="shared" si="5"/>
        <v>23.2</v>
      </c>
      <c r="W31" s="14">
        <f t="shared" si="6"/>
        <v>12760</v>
      </c>
      <c r="X31" s="94">
        <f t="shared" si="7"/>
        <v>14080</v>
      </c>
      <c r="Y31" s="84">
        <v>13.0</v>
      </c>
      <c r="Z31" s="7">
        <v>550.0</v>
      </c>
      <c r="AA31" s="7">
        <v>1.4</v>
      </c>
      <c r="AB31" s="7">
        <f t="shared" si="8"/>
        <v>770</v>
      </c>
      <c r="AC31" s="7">
        <f t="shared" si="9"/>
        <v>478.5</v>
      </c>
      <c r="AD31" s="7">
        <f t="shared" si="10"/>
        <v>100.1</v>
      </c>
      <c r="AE31" s="83">
        <f t="shared" si="11"/>
        <v>800.8</v>
      </c>
      <c r="AF31" s="80">
        <v>34.5</v>
      </c>
      <c r="AG31" s="7">
        <v>850.0</v>
      </c>
      <c r="AH31" s="78">
        <v>0.7</v>
      </c>
      <c r="AI31" s="7">
        <f t="shared" si="12"/>
        <v>595</v>
      </c>
      <c r="AJ31" s="7">
        <f t="shared" si="13"/>
        <v>556.75</v>
      </c>
      <c r="AK31" s="7">
        <f t="shared" si="14"/>
        <v>205.275</v>
      </c>
      <c r="AL31" s="14">
        <f t="shared" si="15"/>
        <v>1642.2</v>
      </c>
      <c r="AM31" s="84">
        <v>4.0</v>
      </c>
      <c r="AN31" s="78">
        <v>3.2</v>
      </c>
      <c r="AO31" s="78">
        <v>21.0</v>
      </c>
      <c r="AP31" s="7">
        <f t="shared" si="16"/>
        <v>67.2</v>
      </c>
      <c r="AQ31" s="7">
        <f t="shared" si="17"/>
        <v>3.072</v>
      </c>
      <c r="AR31" s="7">
        <f t="shared" si="18"/>
        <v>2.688</v>
      </c>
      <c r="AS31" s="14">
        <f t="shared" si="19"/>
        <v>21.504</v>
      </c>
      <c r="AT31" s="80">
        <v>6.5</v>
      </c>
      <c r="AU31" s="7">
        <v>22000.0</v>
      </c>
      <c r="AV31" s="14">
        <f t="shared" si="20"/>
        <v>1430</v>
      </c>
      <c r="AW31" s="84">
        <v>26.0</v>
      </c>
      <c r="AX31" s="7">
        <v>7000.0</v>
      </c>
      <c r="AY31" s="14">
        <f t="shared" si="21"/>
        <v>1820</v>
      </c>
      <c r="AZ31" s="75">
        <f t="shared" si="22"/>
        <v>18514.504</v>
      </c>
      <c r="BA31" s="120">
        <f t="shared" si="23"/>
        <v>2.644929143</v>
      </c>
      <c r="BB31" s="11">
        <f t="shared" si="24"/>
        <v>0.3780819621</v>
      </c>
      <c r="BC31" s="11" t="str">
        <f t="shared" si="25"/>
        <v>YES</v>
      </c>
    </row>
    <row r="32" ht="15.75" customHeight="1">
      <c r="A32" s="18"/>
      <c r="B32" s="85" t="s">
        <v>14</v>
      </c>
      <c r="C32" s="85" t="s">
        <v>141</v>
      </c>
      <c r="D32" s="19" t="s">
        <v>201</v>
      </c>
      <c r="E32" s="19" t="s">
        <v>202</v>
      </c>
      <c r="F32" s="19" t="s">
        <v>51</v>
      </c>
      <c r="G32" s="19" t="s">
        <v>205</v>
      </c>
      <c r="H32" s="19">
        <v>7.0</v>
      </c>
      <c r="I32" s="19">
        <v>10000.0</v>
      </c>
      <c r="J32" s="19"/>
      <c r="K32" s="19"/>
      <c r="L32" s="19"/>
      <c r="M32" s="9">
        <f t="shared" si="1"/>
        <v>1428.571429</v>
      </c>
      <c r="N32" s="9">
        <f t="shared" si="2"/>
        <v>400</v>
      </c>
      <c r="O32" s="19">
        <v>1.0</v>
      </c>
      <c r="P32" s="9">
        <f t="shared" si="3"/>
        <v>10000</v>
      </c>
      <c r="Q32" s="19">
        <v>8.0</v>
      </c>
      <c r="R32" s="19">
        <v>16.0</v>
      </c>
      <c r="S32" s="19">
        <v>20.0</v>
      </c>
      <c r="T32" s="19">
        <v>550.0</v>
      </c>
      <c r="U32" s="19">
        <f t="shared" si="4"/>
        <v>88000</v>
      </c>
      <c r="V32" s="19">
        <f t="shared" si="5"/>
        <v>23.2</v>
      </c>
      <c r="W32" s="21">
        <f t="shared" si="6"/>
        <v>12760</v>
      </c>
      <c r="X32" s="89">
        <f t="shared" si="7"/>
        <v>14080</v>
      </c>
      <c r="Y32" s="88">
        <v>13.0</v>
      </c>
      <c r="Z32" s="19">
        <v>550.0</v>
      </c>
      <c r="AA32" s="19">
        <v>1.4</v>
      </c>
      <c r="AB32" s="19">
        <f t="shared" si="8"/>
        <v>770</v>
      </c>
      <c r="AC32" s="19">
        <f t="shared" si="9"/>
        <v>478.5</v>
      </c>
      <c r="AD32" s="19">
        <f t="shared" si="10"/>
        <v>100.1</v>
      </c>
      <c r="AE32" s="91">
        <f t="shared" si="11"/>
        <v>800.8</v>
      </c>
      <c r="AF32" s="90">
        <v>34.5</v>
      </c>
      <c r="AG32" s="19">
        <v>850.0</v>
      </c>
      <c r="AH32" s="93">
        <v>0.7</v>
      </c>
      <c r="AI32" s="19">
        <f t="shared" si="12"/>
        <v>595</v>
      </c>
      <c r="AJ32" s="19">
        <f t="shared" si="13"/>
        <v>556.75</v>
      </c>
      <c r="AK32" s="19">
        <f t="shared" si="14"/>
        <v>205.275</v>
      </c>
      <c r="AL32" s="21">
        <f t="shared" si="15"/>
        <v>1642.2</v>
      </c>
      <c r="AM32" s="88">
        <v>4.0</v>
      </c>
      <c r="AN32" s="93">
        <v>3.2</v>
      </c>
      <c r="AO32" s="93">
        <v>21.0</v>
      </c>
      <c r="AP32" s="19">
        <f t="shared" si="16"/>
        <v>67.2</v>
      </c>
      <c r="AQ32" s="19">
        <f t="shared" si="17"/>
        <v>3.072</v>
      </c>
      <c r="AR32" s="19">
        <f t="shared" si="18"/>
        <v>2.688</v>
      </c>
      <c r="AS32" s="21">
        <f t="shared" si="19"/>
        <v>21.504</v>
      </c>
      <c r="AT32" s="90">
        <v>6.5</v>
      </c>
      <c r="AU32" s="19">
        <v>22000.0</v>
      </c>
      <c r="AV32" s="21">
        <f t="shared" si="20"/>
        <v>1430</v>
      </c>
      <c r="AW32" s="88">
        <v>26.0</v>
      </c>
      <c r="AX32" s="19">
        <v>7000.0</v>
      </c>
      <c r="AY32" s="21">
        <f t="shared" si="21"/>
        <v>1820</v>
      </c>
      <c r="AZ32" s="75">
        <f t="shared" si="22"/>
        <v>17965.93257</v>
      </c>
      <c r="BA32" s="120">
        <f t="shared" si="23"/>
        <v>1.796593257</v>
      </c>
      <c r="BB32" s="11">
        <f t="shared" si="24"/>
        <v>0.5566090132</v>
      </c>
      <c r="BC32" s="11" t="str">
        <f t="shared" si="25"/>
        <v>YES</v>
      </c>
    </row>
    <row r="33" ht="15.75" customHeight="1">
      <c r="A33" s="66" t="s">
        <v>219</v>
      </c>
      <c r="B33" s="67" t="s">
        <v>14</v>
      </c>
      <c r="C33" s="67" t="s">
        <v>519</v>
      </c>
      <c r="D33" s="9" t="s">
        <v>220</v>
      </c>
      <c r="E33" s="9" t="s">
        <v>221</v>
      </c>
      <c r="F33" s="9" t="s">
        <v>51</v>
      </c>
      <c r="G33" s="9" t="s">
        <v>224</v>
      </c>
      <c r="H33" s="9">
        <v>7.0</v>
      </c>
      <c r="I33" s="9">
        <v>12500.0</v>
      </c>
      <c r="J33" s="9"/>
      <c r="K33" s="9"/>
      <c r="L33" s="9">
        <v>260.0</v>
      </c>
      <c r="M33" s="9">
        <f t="shared" si="1"/>
        <v>1785.714286</v>
      </c>
      <c r="N33" s="9">
        <f t="shared" si="2"/>
        <v>500</v>
      </c>
      <c r="O33" s="9">
        <v>1.0</v>
      </c>
      <c r="P33" s="9">
        <f t="shared" si="3"/>
        <v>12500</v>
      </c>
      <c r="Q33" s="9">
        <v>8.0</v>
      </c>
      <c r="R33" s="9">
        <v>21.0</v>
      </c>
      <c r="S33" s="9">
        <v>20.0</v>
      </c>
      <c r="T33" s="9">
        <v>550.0</v>
      </c>
      <c r="U33" s="9">
        <f t="shared" si="4"/>
        <v>88000</v>
      </c>
      <c r="V33" s="9">
        <f t="shared" si="5"/>
        <v>24.2</v>
      </c>
      <c r="W33" s="11">
        <f t="shared" si="6"/>
        <v>13310</v>
      </c>
      <c r="X33" s="72">
        <f t="shared" si="7"/>
        <v>18480</v>
      </c>
      <c r="Y33" s="75">
        <v>25.0</v>
      </c>
      <c r="Z33" s="9">
        <v>550.0</v>
      </c>
      <c r="AA33" s="9">
        <v>1.4</v>
      </c>
      <c r="AB33" s="9">
        <f t="shared" si="8"/>
        <v>770</v>
      </c>
      <c r="AC33" s="9">
        <f t="shared" si="9"/>
        <v>412.5</v>
      </c>
      <c r="AD33" s="9">
        <f t="shared" si="10"/>
        <v>192.5</v>
      </c>
      <c r="AE33" s="73">
        <f t="shared" si="11"/>
        <v>1540</v>
      </c>
      <c r="AF33" s="76">
        <v>0.0</v>
      </c>
      <c r="AG33" s="9">
        <v>850.0</v>
      </c>
      <c r="AH33" s="74">
        <v>0.7</v>
      </c>
      <c r="AI33" s="9">
        <f t="shared" si="12"/>
        <v>595</v>
      </c>
      <c r="AJ33" s="9">
        <f t="shared" si="13"/>
        <v>850</v>
      </c>
      <c r="AK33" s="9">
        <f t="shared" si="14"/>
        <v>0</v>
      </c>
      <c r="AL33" s="11">
        <f t="shared" si="15"/>
        <v>0</v>
      </c>
      <c r="AM33" s="75">
        <v>70.0</v>
      </c>
      <c r="AN33" s="74">
        <v>3.2</v>
      </c>
      <c r="AO33" s="74">
        <v>21.0</v>
      </c>
      <c r="AP33" s="9">
        <f t="shared" si="16"/>
        <v>67.2</v>
      </c>
      <c r="AQ33" s="9">
        <f t="shared" si="17"/>
        <v>0.96</v>
      </c>
      <c r="AR33" s="9">
        <f t="shared" si="18"/>
        <v>47.04</v>
      </c>
      <c r="AS33" s="11">
        <f t="shared" si="19"/>
        <v>376.32</v>
      </c>
      <c r="AT33" s="71">
        <v>2.8</v>
      </c>
      <c r="AU33" s="9">
        <v>22000.0</v>
      </c>
      <c r="AV33" s="11">
        <f t="shared" si="20"/>
        <v>616</v>
      </c>
      <c r="AW33" s="71">
        <v>28.0</v>
      </c>
      <c r="AX33" s="9">
        <v>7000.0</v>
      </c>
      <c r="AY33" s="11">
        <f t="shared" si="21"/>
        <v>1960</v>
      </c>
      <c r="AZ33" s="75">
        <f t="shared" si="22"/>
        <v>20426.60571</v>
      </c>
      <c r="BA33" s="120">
        <f t="shared" si="23"/>
        <v>1.634128457</v>
      </c>
      <c r="BB33" s="11">
        <f t="shared" si="24"/>
        <v>0.6119469957</v>
      </c>
      <c r="BC33" s="11" t="str">
        <f t="shared" si="25"/>
        <v>YES</v>
      </c>
    </row>
    <row r="34" ht="15.75" customHeight="1">
      <c r="A34" s="12"/>
      <c r="B34" s="26" t="s">
        <v>14</v>
      </c>
      <c r="C34" s="26" t="s">
        <v>225</v>
      </c>
      <c r="D34" s="7" t="s">
        <v>226</v>
      </c>
      <c r="E34" s="7" t="s">
        <v>227</v>
      </c>
      <c r="F34" s="7" t="s">
        <v>51</v>
      </c>
      <c r="G34" s="7" t="s">
        <v>230</v>
      </c>
      <c r="H34" s="7">
        <v>7.0</v>
      </c>
      <c r="I34" s="7">
        <v>22300.0</v>
      </c>
      <c r="J34" s="7"/>
      <c r="L34" s="7"/>
      <c r="M34" s="9">
        <f t="shared" si="1"/>
        <v>3185.714286</v>
      </c>
      <c r="N34" s="9">
        <f t="shared" si="2"/>
        <v>892</v>
      </c>
      <c r="O34" s="7">
        <v>1.0</v>
      </c>
      <c r="P34" s="9">
        <f t="shared" si="3"/>
        <v>22300</v>
      </c>
      <c r="Q34" s="7">
        <v>8.0</v>
      </c>
      <c r="R34" s="7">
        <v>21.0</v>
      </c>
      <c r="S34" s="7">
        <v>20.0</v>
      </c>
      <c r="T34" s="7">
        <v>550.0</v>
      </c>
      <c r="U34" s="7">
        <f t="shared" si="4"/>
        <v>88000</v>
      </c>
      <c r="V34" s="7">
        <f t="shared" si="5"/>
        <v>24.2</v>
      </c>
      <c r="W34" s="14">
        <f t="shared" si="6"/>
        <v>13310</v>
      </c>
      <c r="X34" s="94">
        <f t="shared" si="7"/>
        <v>18480</v>
      </c>
      <c r="Y34" s="84">
        <v>25.0</v>
      </c>
      <c r="Z34" s="7">
        <v>550.0</v>
      </c>
      <c r="AA34" s="7">
        <v>1.4</v>
      </c>
      <c r="AB34" s="7">
        <f t="shared" si="8"/>
        <v>770</v>
      </c>
      <c r="AC34" s="7">
        <f t="shared" si="9"/>
        <v>412.5</v>
      </c>
      <c r="AD34" s="7">
        <f t="shared" si="10"/>
        <v>192.5</v>
      </c>
      <c r="AE34" s="83">
        <f t="shared" si="11"/>
        <v>1540</v>
      </c>
      <c r="AF34" s="82">
        <v>0.0</v>
      </c>
      <c r="AG34" s="7">
        <v>850.0</v>
      </c>
      <c r="AH34" s="78">
        <v>0.7</v>
      </c>
      <c r="AI34" s="7">
        <f t="shared" si="12"/>
        <v>595</v>
      </c>
      <c r="AJ34" s="7">
        <f t="shared" si="13"/>
        <v>850</v>
      </c>
      <c r="AK34" s="7">
        <f t="shared" si="14"/>
        <v>0</v>
      </c>
      <c r="AL34" s="14">
        <f t="shared" si="15"/>
        <v>0</v>
      </c>
      <c r="AM34" s="82">
        <v>0.0</v>
      </c>
      <c r="AN34" s="78">
        <v>3.2</v>
      </c>
      <c r="AO34" s="78">
        <v>21.0</v>
      </c>
      <c r="AP34" s="7">
        <f t="shared" si="16"/>
        <v>67.2</v>
      </c>
      <c r="AQ34" s="7">
        <f t="shared" si="17"/>
        <v>3.2</v>
      </c>
      <c r="AR34" s="7">
        <f t="shared" si="18"/>
        <v>0</v>
      </c>
      <c r="AS34" s="14">
        <f t="shared" si="19"/>
        <v>0</v>
      </c>
      <c r="AT34" s="80">
        <v>2.8</v>
      </c>
      <c r="AU34" s="7">
        <v>22000.0</v>
      </c>
      <c r="AV34" s="14">
        <f t="shared" si="20"/>
        <v>616</v>
      </c>
      <c r="AW34" s="80">
        <v>28.0</v>
      </c>
      <c r="AX34" s="7">
        <v>7000.0</v>
      </c>
      <c r="AY34" s="14">
        <f t="shared" si="21"/>
        <v>1960</v>
      </c>
      <c r="AZ34" s="75">
        <f t="shared" si="22"/>
        <v>18518.28571</v>
      </c>
      <c r="BA34" s="120">
        <f t="shared" si="23"/>
        <v>0.8304163997</v>
      </c>
      <c r="BB34" s="11">
        <f t="shared" si="24"/>
        <v>1.204215139</v>
      </c>
      <c r="BC34" s="11" t="str">
        <f t="shared" si="25"/>
        <v>YES</v>
      </c>
    </row>
    <row r="35" ht="15.75" customHeight="1">
      <c r="A35" s="12"/>
      <c r="B35" s="26" t="s">
        <v>14</v>
      </c>
      <c r="C35" s="26" t="s">
        <v>238</v>
      </c>
      <c r="D35" s="7" t="s">
        <v>239</v>
      </c>
      <c r="E35" s="7" t="s">
        <v>187</v>
      </c>
      <c r="F35" s="7" t="s">
        <v>51</v>
      </c>
      <c r="G35" s="7" t="s">
        <v>242</v>
      </c>
      <c r="H35" s="7">
        <v>7.0</v>
      </c>
      <c r="I35" s="7">
        <v>3000.0</v>
      </c>
      <c r="J35" s="7"/>
      <c r="L35" s="7"/>
      <c r="M35" s="9">
        <f t="shared" si="1"/>
        <v>428.5714286</v>
      </c>
      <c r="N35" s="9">
        <f t="shared" si="2"/>
        <v>120</v>
      </c>
      <c r="O35" s="7">
        <v>1.0</v>
      </c>
      <c r="P35" s="9">
        <f t="shared" si="3"/>
        <v>3000</v>
      </c>
      <c r="Q35" s="7">
        <v>8.0</v>
      </c>
      <c r="R35" s="7">
        <v>21.0</v>
      </c>
      <c r="S35" s="7">
        <v>20.0</v>
      </c>
      <c r="T35" s="7">
        <v>550.0</v>
      </c>
      <c r="U35" s="7">
        <f t="shared" si="4"/>
        <v>88000</v>
      </c>
      <c r="V35" s="7">
        <f t="shared" si="5"/>
        <v>24.2</v>
      </c>
      <c r="W35" s="14">
        <f t="shared" si="6"/>
        <v>13310</v>
      </c>
      <c r="X35" s="94">
        <f t="shared" si="7"/>
        <v>18480</v>
      </c>
      <c r="Y35" s="82">
        <v>0.0</v>
      </c>
      <c r="Z35" s="7">
        <v>550.0</v>
      </c>
      <c r="AA35" s="7">
        <v>1.4</v>
      </c>
      <c r="AB35" s="7">
        <f t="shared" si="8"/>
        <v>770</v>
      </c>
      <c r="AC35" s="7">
        <f t="shared" si="9"/>
        <v>550</v>
      </c>
      <c r="AD35" s="7">
        <f t="shared" si="10"/>
        <v>0</v>
      </c>
      <c r="AE35" s="83">
        <f t="shared" si="11"/>
        <v>0</v>
      </c>
      <c r="AF35" s="82">
        <v>0.0</v>
      </c>
      <c r="AG35" s="7">
        <v>850.0</v>
      </c>
      <c r="AH35" s="78">
        <v>0.7</v>
      </c>
      <c r="AI35" s="7">
        <f t="shared" si="12"/>
        <v>595</v>
      </c>
      <c r="AJ35" s="7">
        <f t="shared" si="13"/>
        <v>850</v>
      </c>
      <c r="AK35" s="7">
        <f t="shared" si="14"/>
        <v>0</v>
      </c>
      <c r="AL35" s="14">
        <f t="shared" si="15"/>
        <v>0</v>
      </c>
      <c r="AM35" s="84">
        <v>70.0</v>
      </c>
      <c r="AN35" s="78">
        <v>3.2</v>
      </c>
      <c r="AO35" s="78">
        <v>21.0</v>
      </c>
      <c r="AP35" s="7">
        <f t="shared" si="16"/>
        <v>67.2</v>
      </c>
      <c r="AQ35" s="7">
        <f t="shared" si="17"/>
        <v>0.96</v>
      </c>
      <c r="AR35" s="7">
        <f t="shared" si="18"/>
        <v>47.04</v>
      </c>
      <c r="AS35" s="14">
        <f t="shared" si="19"/>
        <v>376.32</v>
      </c>
      <c r="AT35" s="80">
        <v>2.8</v>
      </c>
      <c r="AU35" s="7">
        <v>22000.0</v>
      </c>
      <c r="AV35" s="14">
        <f t="shared" si="20"/>
        <v>616</v>
      </c>
      <c r="AW35" s="80">
        <v>28.0</v>
      </c>
      <c r="AX35" s="7">
        <v>7000.0</v>
      </c>
      <c r="AY35" s="14">
        <f t="shared" si="21"/>
        <v>1960</v>
      </c>
      <c r="AZ35" s="75">
        <f t="shared" si="22"/>
        <v>20883.74857</v>
      </c>
      <c r="BA35" s="120">
        <f t="shared" si="23"/>
        <v>6.961249524</v>
      </c>
      <c r="BB35" s="11">
        <f t="shared" si="24"/>
        <v>0.1436523711</v>
      </c>
      <c r="BC35" s="11" t="str">
        <f t="shared" si="25"/>
        <v>YES</v>
      </c>
    </row>
    <row r="36" ht="15.75" customHeight="1">
      <c r="A36" s="12"/>
      <c r="B36" s="26" t="s">
        <v>14</v>
      </c>
      <c r="C36" s="26" t="s">
        <v>238</v>
      </c>
      <c r="D36" s="7" t="s">
        <v>243</v>
      </c>
      <c r="E36" s="7" t="s">
        <v>244</v>
      </c>
      <c r="F36" s="7" t="s">
        <v>51</v>
      </c>
      <c r="G36" s="7" t="s">
        <v>247</v>
      </c>
      <c r="H36" s="7">
        <v>7.0</v>
      </c>
      <c r="I36" s="7">
        <v>2500.0</v>
      </c>
      <c r="J36" s="7"/>
      <c r="K36" s="7"/>
      <c r="L36" s="7"/>
      <c r="M36" s="9">
        <f t="shared" si="1"/>
        <v>357.1428571</v>
      </c>
      <c r="N36" s="9">
        <f t="shared" si="2"/>
        <v>100</v>
      </c>
      <c r="O36" s="7">
        <v>1.0</v>
      </c>
      <c r="P36" s="9">
        <f t="shared" si="3"/>
        <v>2500</v>
      </c>
      <c r="Q36" s="7">
        <v>8.0</v>
      </c>
      <c r="R36" s="7">
        <v>21.0</v>
      </c>
      <c r="S36" s="7">
        <v>20.0</v>
      </c>
      <c r="T36" s="7">
        <v>550.0</v>
      </c>
      <c r="U36" s="7">
        <f t="shared" si="4"/>
        <v>88000</v>
      </c>
      <c r="V36" s="7">
        <f t="shared" si="5"/>
        <v>24.2</v>
      </c>
      <c r="W36" s="14">
        <f t="shared" si="6"/>
        <v>13310</v>
      </c>
      <c r="X36" s="94">
        <f t="shared" si="7"/>
        <v>18480</v>
      </c>
      <c r="Y36" s="82">
        <v>0.0</v>
      </c>
      <c r="Z36" s="7">
        <v>550.0</v>
      </c>
      <c r="AA36" s="7">
        <v>1.4</v>
      </c>
      <c r="AB36" s="7">
        <f t="shared" si="8"/>
        <v>770</v>
      </c>
      <c r="AC36" s="7">
        <f t="shared" si="9"/>
        <v>550</v>
      </c>
      <c r="AD36" s="7">
        <f t="shared" si="10"/>
        <v>0</v>
      </c>
      <c r="AE36" s="83">
        <f t="shared" si="11"/>
        <v>0</v>
      </c>
      <c r="AF36" s="82">
        <v>0.0</v>
      </c>
      <c r="AG36" s="7">
        <v>850.0</v>
      </c>
      <c r="AH36" s="78">
        <v>0.7</v>
      </c>
      <c r="AI36" s="7">
        <f t="shared" si="12"/>
        <v>595</v>
      </c>
      <c r="AJ36" s="7">
        <f t="shared" si="13"/>
        <v>850</v>
      </c>
      <c r="AK36" s="7">
        <f t="shared" si="14"/>
        <v>0</v>
      </c>
      <c r="AL36" s="14">
        <f t="shared" si="15"/>
        <v>0</v>
      </c>
      <c r="AM36" s="84">
        <v>70.0</v>
      </c>
      <c r="AN36" s="78">
        <v>3.2</v>
      </c>
      <c r="AO36" s="78">
        <v>21.0</v>
      </c>
      <c r="AP36" s="7">
        <f t="shared" si="16"/>
        <v>67.2</v>
      </c>
      <c r="AQ36" s="7">
        <f t="shared" si="17"/>
        <v>0.96</v>
      </c>
      <c r="AR36" s="7">
        <f t="shared" si="18"/>
        <v>47.04</v>
      </c>
      <c r="AS36" s="14">
        <f t="shared" si="19"/>
        <v>376.32</v>
      </c>
      <c r="AT36" s="80">
        <v>2.8</v>
      </c>
      <c r="AU36" s="7">
        <v>22000.0</v>
      </c>
      <c r="AV36" s="14">
        <f t="shared" si="20"/>
        <v>616</v>
      </c>
      <c r="AW36" s="80">
        <v>28.0</v>
      </c>
      <c r="AX36" s="7">
        <v>7000.0</v>
      </c>
      <c r="AY36" s="14">
        <f t="shared" si="21"/>
        <v>1960</v>
      </c>
      <c r="AZ36" s="75">
        <f t="shared" si="22"/>
        <v>20975.17714</v>
      </c>
      <c r="BA36" s="120">
        <f t="shared" si="23"/>
        <v>8.390070857</v>
      </c>
      <c r="BB36" s="11">
        <f t="shared" si="24"/>
        <v>0.1191885047</v>
      </c>
      <c r="BC36" s="11" t="str">
        <f t="shared" si="25"/>
        <v>YES</v>
      </c>
    </row>
    <row r="37" ht="15.75" customHeight="1">
      <c r="A37" s="12"/>
      <c r="B37" s="26" t="s">
        <v>14</v>
      </c>
      <c r="C37" s="26" t="s">
        <v>589</v>
      </c>
      <c r="D37" s="7" t="s">
        <v>262</v>
      </c>
      <c r="E37" s="7" t="s">
        <v>172</v>
      </c>
      <c r="F37" s="7" t="s">
        <v>51</v>
      </c>
      <c r="G37" s="7" t="s">
        <v>525</v>
      </c>
      <c r="H37" s="7">
        <v>7.0</v>
      </c>
      <c r="I37" s="7">
        <v>9500.0</v>
      </c>
      <c r="J37" s="7"/>
      <c r="K37" s="7"/>
      <c r="L37" s="7"/>
      <c r="M37" s="9">
        <f t="shared" si="1"/>
        <v>1357.142857</v>
      </c>
      <c r="N37" s="9">
        <f t="shared" si="2"/>
        <v>380</v>
      </c>
      <c r="O37" s="7">
        <v>1.0</v>
      </c>
      <c r="P37" s="9">
        <f t="shared" si="3"/>
        <v>9500</v>
      </c>
      <c r="Q37" s="7">
        <v>8.0</v>
      </c>
      <c r="R37" s="7">
        <v>21.0</v>
      </c>
      <c r="S37" s="7">
        <v>20.0</v>
      </c>
      <c r="T37" s="7">
        <v>550.0</v>
      </c>
      <c r="U37" s="7">
        <f t="shared" si="4"/>
        <v>88000</v>
      </c>
      <c r="V37" s="7">
        <f t="shared" si="5"/>
        <v>24.2</v>
      </c>
      <c r="W37" s="14">
        <f t="shared" si="6"/>
        <v>13310</v>
      </c>
      <c r="X37" s="94">
        <f t="shared" si="7"/>
        <v>18480</v>
      </c>
      <c r="Y37" s="84">
        <v>25.0</v>
      </c>
      <c r="Z37" s="7">
        <v>550.0</v>
      </c>
      <c r="AA37" s="7">
        <v>1.4</v>
      </c>
      <c r="AB37" s="7">
        <f t="shared" si="8"/>
        <v>770</v>
      </c>
      <c r="AC37" s="7">
        <f t="shared" si="9"/>
        <v>412.5</v>
      </c>
      <c r="AD37" s="7">
        <f t="shared" si="10"/>
        <v>192.5</v>
      </c>
      <c r="AE37" s="83">
        <f t="shared" si="11"/>
        <v>1540</v>
      </c>
      <c r="AF37" s="82">
        <v>0.0</v>
      </c>
      <c r="AG37" s="7">
        <v>850.0</v>
      </c>
      <c r="AH37" s="78">
        <v>0.7</v>
      </c>
      <c r="AI37" s="7">
        <f t="shared" si="12"/>
        <v>595</v>
      </c>
      <c r="AJ37" s="7">
        <f t="shared" si="13"/>
        <v>850</v>
      </c>
      <c r="AK37" s="7">
        <f t="shared" si="14"/>
        <v>0</v>
      </c>
      <c r="AL37" s="14">
        <f t="shared" si="15"/>
        <v>0</v>
      </c>
      <c r="AM37" s="84">
        <v>70.0</v>
      </c>
      <c r="AN37" s="78">
        <v>3.2</v>
      </c>
      <c r="AO37" s="78">
        <v>21.0</v>
      </c>
      <c r="AP37" s="7">
        <f t="shared" si="16"/>
        <v>67.2</v>
      </c>
      <c r="AQ37" s="7">
        <f t="shared" si="17"/>
        <v>0.96</v>
      </c>
      <c r="AR37" s="7">
        <f t="shared" si="18"/>
        <v>47.04</v>
      </c>
      <c r="AS37" s="14">
        <f t="shared" si="19"/>
        <v>376.32</v>
      </c>
      <c r="AT37" s="80">
        <v>2.8</v>
      </c>
      <c r="AU37" s="7">
        <v>22000.0</v>
      </c>
      <c r="AV37" s="14">
        <f t="shared" si="20"/>
        <v>616</v>
      </c>
      <c r="AW37" s="80">
        <v>28.0</v>
      </c>
      <c r="AX37" s="7">
        <v>7000.0</v>
      </c>
      <c r="AY37" s="14">
        <f t="shared" si="21"/>
        <v>1960</v>
      </c>
      <c r="AZ37" s="75">
        <f t="shared" si="22"/>
        <v>21235.17714</v>
      </c>
      <c r="BA37" s="120">
        <f t="shared" si="23"/>
        <v>2.235281805</v>
      </c>
      <c r="BB37" s="11">
        <f t="shared" si="24"/>
        <v>0.4473708854</v>
      </c>
      <c r="BC37" s="11" t="str">
        <f t="shared" si="25"/>
        <v>YES</v>
      </c>
    </row>
    <row r="38" ht="15.75" customHeight="1">
      <c r="A38" s="12"/>
      <c r="B38" s="26" t="s">
        <v>14</v>
      </c>
      <c r="C38" s="26" t="s">
        <v>534</v>
      </c>
      <c r="D38" s="97" t="s">
        <v>591</v>
      </c>
      <c r="E38" s="7" t="s">
        <v>513</v>
      </c>
      <c r="F38" s="7" t="s">
        <v>51</v>
      </c>
      <c r="G38" s="7" t="s">
        <v>536</v>
      </c>
      <c r="H38" s="7">
        <v>7.0</v>
      </c>
      <c r="I38" s="124">
        <v>7500.0</v>
      </c>
      <c r="J38" s="7"/>
      <c r="K38" s="7"/>
      <c r="L38" s="7"/>
      <c r="M38" s="9">
        <f t="shared" si="1"/>
        <v>1071.428571</v>
      </c>
      <c r="N38" s="9">
        <f t="shared" si="2"/>
        <v>300</v>
      </c>
      <c r="O38" s="7">
        <v>1.0</v>
      </c>
      <c r="P38" s="9">
        <f t="shared" si="3"/>
        <v>7500</v>
      </c>
      <c r="Q38" s="7">
        <v>8.0</v>
      </c>
      <c r="R38" s="7">
        <v>21.0</v>
      </c>
      <c r="S38" s="7">
        <v>20.0</v>
      </c>
      <c r="T38" s="7">
        <v>550.0</v>
      </c>
      <c r="U38" s="7">
        <f t="shared" si="4"/>
        <v>88000</v>
      </c>
      <c r="V38" s="7">
        <f t="shared" si="5"/>
        <v>24.2</v>
      </c>
      <c r="W38" s="14">
        <f t="shared" si="6"/>
        <v>13310</v>
      </c>
      <c r="X38" s="94">
        <f t="shared" si="7"/>
        <v>18480</v>
      </c>
      <c r="Y38" s="84">
        <v>25.0</v>
      </c>
      <c r="Z38" s="7">
        <v>550.0</v>
      </c>
      <c r="AA38" s="7">
        <v>1.4</v>
      </c>
      <c r="AB38" s="7">
        <f t="shared" si="8"/>
        <v>770</v>
      </c>
      <c r="AC38" s="7">
        <f t="shared" si="9"/>
        <v>412.5</v>
      </c>
      <c r="AD38" s="7">
        <f t="shared" si="10"/>
        <v>192.5</v>
      </c>
      <c r="AE38" s="83">
        <f t="shared" si="11"/>
        <v>1540</v>
      </c>
      <c r="AF38" s="82">
        <v>0.0</v>
      </c>
      <c r="AG38" s="7">
        <v>850.0</v>
      </c>
      <c r="AH38" s="78">
        <v>0.7</v>
      </c>
      <c r="AI38" s="7">
        <f t="shared" si="12"/>
        <v>595</v>
      </c>
      <c r="AJ38" s="7">
        <f t="shared" si="13"/>
        <v>850</v>
      </c>
      <c r="AK38" s="7">
        <f t="shared" si="14"/>
        <v>0</v>
      </c>
      <c r="AL38" s="14">
        <f t="shared" si="15"/>
        <v>0</v>
      </c>
      <c r="AM38" s="84">
        <v>70.0</v>
      </c>
      <c r="AN38" s="78">
        <v>3.2</v>
      </c>
      <c r="AO38" s="78">
        <v>21.0</v>
      </c>
      <c r="AP38" s="7">
        <f t="shared" si="16"/>
        <v>67.2</v>
      </c>
      <c r="AQ38" s="7">
        <f t="shared" si="17"/>
        <v>0.96</v>
      </c>
      <c r="AR38" s="7">
        <f t="shared" si="18"/>
        <v>47.04</v>
      </c>
      <c r="AS38" s="14">
        <f t="shared" si="19"/>
        <v>376.32</v>
      </c>
      <c r="AT38" s="80">
        <v>2.8</v>
      </c>
      <c r="AU38" s="7">
        <v>22000.0</v>
      </c>
      <c r="AV38" s="14">
        <f t="shared" si="20"/>
        <v>616</v>
      </c>
      <c r="AW38" s="80">
        <v>28.0</v>
      </c>
      <c r="AX38" s="7">
        <v>7000.0</v>
      </c>
      <c r="AY38" s="14">
        <f t="shared" si="21"/>
        <v>1960</v>
      </c>
      <c r="AZ38" s="75">
        <f t="shared" si="22"/>
        <v>21600.89143</v>
      </c>
      <c r="BA38" s="120">
        <f t="shared" si="23"/>
        <v>2.880118857</v>
      </c>
      <c r="BB38" s="11">
        <f t="shared" si="24"/>
        <v>0.347207893</v>
      </c>
      <c r="BC38" s="11" t="str">
        <f t="shared" si="25"/>
        <v>YES</v>
      </c>
    </row>
    <row r="39" ht="15.75" customHeight="1">
      <c r="A39" s="18"/>
      <c r="B39" s="85" t="s">
        <v>503</v>
      </c>
      <c r="C39" s="85" t="s">
        <v>657</v>
      </c>
      <c r="D39" s="19" t="s">
        <v>538</v>
      </c>
      <c r="E39" s="19" t="s">
        <v>233</v>
      </c>
      <c r="F39" s="19" t="s">
        <v>51</v>
      </c>
      <c r="G39" s="19" t="s">
        <v>237</v>
      </c>
      <c r="H39" s="19">
        <v>7.0</v>
      </c>
      <c r="I39" s="19">
        <v>750.0</v>
      </c>
      <c r="J39" s="19"/>
      <c r="K39" s="19"/>
      <c r="L39" s="19"/>
      <c r="M39" s="9">
        <f t="shared" si="1"/>
        <v>107.1428571</v>
      </c>
      <c r="N39" s="9">
        <f t="shared" si="2"/>
        <v>30</v>
      </c>
      <c r="O39" s="19">
        <v>1.0</v>
      </c>
      <c r="P39" s="9">
        <f t="shared" si="3"/>
        <v>750</v>
      </c>
      <c r="Q39" s="19">
        <v>8.0</v>
      </c>
      <c r="R39" s="19">
        <v>21.0</v>
      </c>
      <c r="S39" s="19">
        <v>20.0</v>
      </c>
      <c r="T39" s="19">
        <v>550.0</v>
      </c>
      <c r="U39" s="19">
        <f t="shared" si="4"/>
        <v>88000</v>
      </c>
      <c r="V39" s="19">
        <f t="shared" si="5"/>
        <v>24.2</v>
      </c>
      <c r="W39" s="21">
        <f t="shared" si="6"/>
        <v>13310</v>
      </c>
      <c r="X39" s="89">
        <f t="shared" si="7"/>
        <v>18480</v>
      </c>
      <c r="Y39" s="92">
        <v>0.0</v>
      </c>
      <c r="Z39" s="19">
        <v>550.0</v>
      </c>
      <c r="AA39" s="19">
        <v>1.4</v>
      </c>
      <c r="AB39" s="19">
        <f t="shared" si="8"/>
        <v>770</v>
      </c>
      <c r="AC39" s="19">
        <f t="shared" si="9"/>
        <v>550</v>
      </c>
      <c r="AD39" s="19">
        <f t="shared" si="10"/>
        <v>0</v>
      </c>
      <c r="AE39" s="91">
        <f t="shared" si="11"/>
        <v>0</v>
      </c>
      <c r="AF39" s="90">
        <v>50.0</v>
      </c>
      <c r="AG39" s="19">
        <v>850.0</v>
      </c>
      <c r="AH39" s="93">
        <v>0.7</v>
      </c>
      <c r="AI39" s="19">
        <f t="shared" si="12"/>
        <v>595</v>
      </c>
      <c r="AJ39" s="19">
        <f t="shared" si="13"/>
        <v>425</v>
      </c>
      <c r="AK39" s="19">
        <f t="shared" si="14"/>
        <v>297.5</v>
      </c>
      <c r="AL39" s="21">
        <f t="shared" si="15"/>
        <v>2380</v>
      </c>
      <c r="AM39" s="92">
        <v>0.0</v>
      </c>
      <c r="AN39" s="93">
        <v>3.2</v>
      </c>
      <c r="AO39" s="93">
        <v>21.0</v>
      </c>
      <c r="AP39" s="19">
        <f t="shared" si="16"/>
        <v>67.2</v>
      </c>
      <c r="AQ39" s="19">
        <f t="shared" si="17"/>
        <v>3.2</v>
      </c>
      <c r="AR39" s="19">
        <f t="shared" si="18"/>
        <v>0</v>
      </c>
      <c r="AS39" s="21">
        <f t="shared" si="19"/>
        <v>0</v>
      </c>
      <c r="AT39" s="90">
        <v>2.8</v>
      </c>
      <c r="AU39" s="19">
        <v>22000.0</v>
      </c>
      <c r="AV39" s="21">
        <f t="shared" si="20"/>
        <v>616</v>
      </c>
      <c r="AW39" s="92">
        <v>0.0</v>
      </c>
      <c r="AX39" s="19">
        <v>7000.0</v>
      </c>
      <c r="AY39" s="21">
        <f t="shared" si="21"/>
        <v>0</v>
      </c>
      <c r="AZ39" s="75">
        <f t="shared" si="22"/>
        <v>21338.85714</v>
      </c>
      <c r="BA39" s="120">
        <f t="shared" si="23"/>
        <v>28.45180952</v>
      </c>
      <c r="BB39" s="11">
        <f t="shared" si="24"/>
        <v>0.0351471494</v>
      </c>
      <c r="BC39" s="11" t="str">
        <f t="shared" si="25"/>
        <v>YES</v>
      </c>
    </row>
    <row r="40" ht="15.75" customHeight="1">
      <c r="A40" s="66" t="s">
        <v>270</v>
      </c>
      <c r="B40" s="67" t="s">
        <v>14</v>
      </c>
      <c r="C40" s="9" t="s">
        <v>271</v>
      </c>
      <c r="D40" s="9" t="s">
        <v>272</v>
      </c>
      <c r="E40" s="9" t="s">
        <v>273</v>
      </c>
      <c r="F40" s="9" t="s">
        <v>51</v>
      </c>
      <c r="G40" s="9" t="s">
        <v>276</v>
      </c>
      <c r="H40" s="9">
        <v>7.0</v>
      </c>
      <c r="I40" s="9">
        <v>15750.0</v>
      </c>
      <c r="J40" s="9"/>
      <c r="K40" s="9"/>
      <c r="L40" s="9"/>
      <c r="M40" s="9">
        <f t="shared" si="1"/>
        <v>2250</v>
      </c>
      <c r="N40" s="9">
        <f t="shared" si="2"/>
        <v>630</v>
      </c>
      <c r="O40" s="9">
        <v>1.0</v>
      </c>
      <c r="P40" s="9">
        <f t="shared" si="3"/>
        <v>15750</v>
      </c>
      <c r="Q40" s="9">
        <v>8.0</v>
      </c>
      <c r="R40" s="105">
        <v>0.0</v>
      </c>
      <c r="S40" s="9">
        <v>20.0</v>
      </c>
      <c r="T40" s="9">
        <v>550.0</v>
      </c>
      <c r="U40" s="9">
        <f t="shared" si="4"/>
        <v>88000</v>
      </c>
      <c r="V40" s="9">
        <f t="shared" si="5"/>
        <v>20</v>
      </c>
      <c r="W40" s="11">
        <f t="shared" si="6"/>
        <v>11000</v>
      </c>
      <c r="X40" s="72">
        <f t="shared" si="7"/>
        <v>0</v>
      </c>
      <c r="Y40" s="75">
        <v>38.0</v>
      </c>
      <c r="Z40" s="9">
        <v>550.0</v>
      </c>
      <c r="AA40" s="9">
        <v>1.4</v>
      </c>
      <c r="AB40" s="9">
        <f t="shared" si="8"/>
        <v>770</v>
      </c>
      <c r="AC40" s="9">
        <f t="shared" si="9"/>
        <v>341</v>
      </c>
      <c r="AD40" s="9">
        <f t="shared" si="10"/>
        <v>292.6</v>
      </c>
      <c r="AE40" s="73">
        <f t="shared" si="11"/>
        <v>2340.8</v>
      </c>
      <c r="AF40" s="71">
        <v>24.0</v>
      </c>
      <c r="AG40" s="9">
        <v>850.0</v>
      </c>
      <c r="AH40" s="74">
        <v>0.7</v>
      </c>
      <c r="AI40" s="9">
        <f t="shared" si="12"/>
        <v>595</v>
      </c>
      <c r="AJ40" s="9">
        <f t="shared" si="13"/>
        <v>646</v>
      </c>
      <c r="AK40" s="9">
        <f t="shared" si="14"/>
        <v>142.8</v>
      </c>
      <c r="AL40" s="11">
        <f t="shared" si="15"/>
        <v>1142.4</v>
      </c>
      <c r="AM40" s="71">
        <v>29.5</v>
      </c>
      <c r="AN40" s="74">
        <v>3.2</v>
      </c>
      <c r="AO40" s="74">
        <v>21.0</v>
      </c>
      <c r="AP40" s="9">
        <f t="shared" si="16"/>
        <v>67.2</v>
      </c>
      <c r="AQ40" s="9">
        <f t="shared" si="17"/>
        <v>2.256</v>
      </c>
      <c r="AR40" s="9">
        <f t="shared" si="18"/>
        <v>19.824</v>
      </c>
      <c r="AS40" s="11">
        <f t="shared" si="19"/>
        <v>158.592</v>
      </c>
      <c r="AT40" s="132">
        <v>0.0</v>
      </c>
      <c r="AU40" s="9">
        <v>22000.0</v>
      </c>
      <c r="AV40" s="11">
        <f t="shared" si="20"/>
        <v>0</v>
      </c>
      <c r="AW40" s="132">
        <v>0.0</v>
      </c>
      <c r="AX40" s="9">
        <v>7000.0</v>
      </c>
      <c r="AY40" s="11">
        <f t="shared" si="21"/>
        <v>0</v>
      </c>
      <c r="AZ40" s="75">
        <f t="shared" si="22"/>
        <v>761.792</v>
      </c>
      <c r="BA40" s="120">
        <f t="shared" si="23"/>
        <v>0.04836774603</v>
      </c>
      <c r="BB40" s="11">
        <f t="shared" si="24"/>
        <v>20.67493489</v>
      </c>
      <c r="BC40" s="11" t="str">
        <f t="shared" si="25"/>
        <v>NO</v>
      </c>
    </row>
    <row r="41" ht="15.75" customHeight="1">
      <c r="A41" s="12"/>
      <c r="B41" s="26" t="s">
        <v>14</v>
      </c>
      <c r="C41" s="7" t="s">
        <v>271</v>
      </c>
      <c r="D41" s="7" t="s">
        <v>277</v>
      </c>
      <c r="E41" s="7" t="s">
        <v>273</v>
      </c>
      <c r="F41" s="7" t="s">
        <v>51</v>
      </c>
      <c r="G41" s="7" t="s">
        <v>279</v>
      </c>
      <c r="H41" s="7">
        <v>7.0</v>
      </c>
      <c r="I41" s="7">
        <v>9500.0</v>
      </c>
      <c r="J41" s="7"/>
      <c r="K41" s="7"/>
      <c r="L41" s="7"/>
      <c r="M41" s="9">
        <f t="shared" si="1"/>
        <v>1357.142857</v>
      </c>
      <c r="N41" s="9">
        <f t="shared" si="2"/>
        <v>380</v>
      </c>
      <c r="O41" s="7">
        <v>1.0</v>
      </c>
      <c r="P41" s="9">
        <f t="shared" si="3"/>
        <v>9500</v>
      </c>
      <c r="Q41" s="7">
        <v>8.0</v>
      </c>
      <c r="R41" s="106">
        <v>0.0</v>
      </c>
      <c r="S41" s="7">
        <v>20.0</v>
      </c>
      <c r="T41" s="7">
        <v>550.0</v>
      </c>
      <c r="U41" s="7">
        <f t="shared" si="4"/>
        <v>88000</v>
      </c>
      <c r="V41" s="7">
        <f t="shared" si="5"/>
        <v>20</v>
      </c>
      <c r="W41" s="14">
        <f t="shared" si="6"/>
        <v>11000</v>
      </c>
      <c r="X41" s="94">
        <f t="shared" si="7"/>
        <v>0</v>
      </c>
      <c r="Y41" s="84">
        <v>38.0</v>
      </c>
      <c r="Z41" s="7">
        <v>550.0</v>
      </c>
      <c r="AA41" s="7">
        <v>1.4</v>
      </c>
      <c r="AB41" s="7">
        <f t="shared" si="8"/>
        <v>770</v>
      </c>
      <c r="AC41" s="7">
        <f t="shared" si="9"/>
        <v>341</v>
      </c>
      <c r="AD41" s="7">
        <f t="shared" si="10"/>
        <v>292.6</v>
      </c>
      <c r="AE41" s="83">
        <f t="shared" si="11"/>
        <v>2340.8</v>
      </c>
      <c r="AF41" s="80">
        <v>24.0</v>
      </c>
      <c r="AG41" s="7">
        <v>850.0</v>
      </c>
      <c r="AH41" s="78">
        <v>0.7</v>
      </c>
      <c r="AI41" s="7">
        <f t="shared" si="12"/>
        <v>595</v>
      </c>
      <c r="AJ41" s="7">
        <f t="shared" si="13"/>
        <v>646</v>
      </c>
      <c r="AK41" s="7">
        <f t="shared" si="14"/>
        <v>142.8</v>
      </c>
      <c r="AL41" s="14">
        <f t="shared" si="15"/>
        <v>1142.4</v>
      </c>
      <c r="AM41" s="80">
        <v>29.5</v>
      </c>
      <c r="AN41" s="78">
        <v>3.2</v>
      </c>
      <c r="AO41" s="78">
        <v>21.0</v>
      </c>
      <c r="AP41" s="7">
        <f t="shared" si="16"/>
        <v>67.2</v>
      </c>
      <c r="AQ41" s="7">
        <f t="shared" si="17"/>
        <v>2.256</v>
      </c>
      <c r="AR41" s="7">
        <f t="shared" si="18"/>
        <v>19.824</v>
      </c>
      <c r="AS41" s="14">
        <f t="shared" si="19"/>
        <v>158.592</v>
      </c>
      <c r="AT41" s="130">
        <v>0.0</v>
      </c>
      <c r="AU41" s="7">
        <v>22000.0</v>
      </c>
      <c r="AV41" s="14">
        <f t="shared" si="20"/>
        <v>0</v>
      </c>
      <c r="AW41" s="130">
        <v>0.0</v>
      </c>
      <c r="AX41" s="7">
        <v>7000.0</v>
      </c>
      <c r="AY41" s="14">
        <f t="shared" si="21"/>
        <v>0</v>
      </c>
      <c r="AZ41" s="75">
        <f t="shared" si="22"/>
        <v>1904.649143</v>
      </c>
      <c r="BA41" s="120">
        <f t="shared" si="23"/>
        <v>0.2004893835</v>
      </c>
      <c r="BB41" s="11">
        <f t="shared" si="24"/>
        <v>4.987795277</v>
      </c>
      <c r="BC41" s="11" t="str">
        <f t="shared" si="25"/>
        <v>YES</v>
      </c>
    </row>
    <row r="42" ht="15.75" customHeight="1">
      <c r="A42" s="12"/>
      <c r="B42" s="26" t="s">
        <v>14</v>
      </c>
      <c r="C42" s="7" t="s">
        <v>542</v>
      </c>
      <c r="D42" s="7" t="s">
        <v>280</v>
      </c>
      <c r="E42" s="7" t="s">
        <v>281</v>
      </c>
      <c r="F42" s="7" t="s">
        <v>51</v>
      </c>
      <c r="G42" s="7" t="s">
        <v>284</v>
      </c>
      <c r="H42" s="7">
        <v>7.0</v>
      </c>
      <c r="I42" s="7">
        <v>1800.0</v>
      </c>
      <c r="J42" s="7"/>
      <c r="K42" s="7"/>
      <c r="L42" s="7"/>
      <c r="M42" s="9">
        <f t="shared" si="1"/>
        <v>257.1428571</v>
      </c>
      <c r="N42" s="9">
        <f t="shared" si="2"/>
        <v>72</v>
      </c>
      <c r="O42" s="7">
        <v>1.0</v>
      </c>
      <c r="P42" s="9">
        <f t="shared" si="3"/>
        <v>1800</v>
      </c>
      <c r="Q42" s="7">
        <v>8.0</v>
      </c>
      <c r="R42" s="106">
        <v>0.0</v>
      </c>
      <c r="S42" s="7">
        <v>20.0</v>
      </c>
      <c r="T42" s="7">
        <v>550.0</v>
      </c>
      <c r="U42" s="7">
        <f t="shared" si="4"/>
        <v>88000</v>
      </c>
      <c r="V42" s="7">
        <f t="shared" si="5"/>
        <v>20</v>
      </c>
      <c r="W42" s="14">
        <f t="shared" si="6"/>
        <v>11000</v>
      </c>
      <c r="X42" s="94">
        <f t="shared" si="7"/>
        <v>0</v>
      </c>
      <c r="Y42" s="84">
        <v>38.0</v>
      </c>
      <c r="Z42" s="7">
        <v>550.0</v>
      </c>
      <c r="AA42" s="7">
        <v>1.4</v>
      </c>
      <c r="AB42" s="7">
        <f t="shared" si="8"/>
        <v>770</v>
      </c>
      <c r="AC42" s="7">
        <f t="shared" si="9"/>
        <v>341</v>
      </c>
      <c r="AD42" s="7">
        <f t="shared" si="10"/>
        <v>292.6</v>
      </c>
      <c r="AE42" s="83">
        <f t="shared" si="11"/>
        <v>2340.8</v>
      </c>
      <c r="AF42" s="80">
        <v>24.0</v>
      </c>
      <c r="AG42" s="7">
        <v>850.0</v>
      </c>
      <c r="AH42" s="78">
        <v>0.7</v>
      </c>
      <c r="AI42" s="7">
        <f t="shared" si="12"/>
        <v>595</v>
      </c>
      <c r="AJ42" s="7">
        <f t="shared" si="13"/>
        <v>646</v>
      </c>
      <c r="AK42" s="7">
        <f t="shared" si="14"/>
        <v>142.8</v>
      </c>
      <c r="AL42" s="14">
        <f t="shared" si="15"/>
        <v>1142.4</v>
      </c>
      <c r="AM42" s="80">
        <v>29.5</v>
      </c>
      <c r="AN42" s="78">
        <v>3.2</v>
      </c>
      <c r="AO42" s="78">
        <v>21.0</v>
      </c>
      <c r="AP42" s="7">
        <f t="shared" si="16"/>
        <v>67.2</v>
      </c>
      <c r="AQ42" s="7">
        <f t="shared" si="17"/>
        <v>2.256</v>
      </c>
      <c r="AR42" s="7">
        <f t="shared" si="18"/>
        <v>19.824</v>
      </c>
      <c r="AS42" s="14">
        <f t="shared" si="19"/>
        <v>158.592</v>
      </c>
      <c r="AT42" s="130">
        <v>0.0</v>
      </c>
      <c r="AU42" s="7">
        <v>22000.0</v>
      </c>
      <c r="AV42" s="14">
        <f t="shared" si="20"/>
        <v>0</v>
      </c>
      <c r="AW42" s="80">
        <v>6.3</v>
      </c>
      <c r="AX42" s="7">
        <v>7000.0</v>
      </c>
      <c r="AY42" s="14">
        <f t="shared" si="21"/>
        <v>441</v>
      </c>
      <c r="AZ42" s="75">
        <f t="shared" si="22"/>
        <v>3753.649143</v>
      </c>
      <c r="BA42" s="120">
        <f t="shared" si="23"/>
        <v>2.085360635</v>
      </c>
      <c r="BB42" s="11">
        <f t="shared" si="24"/>
        <v>0.4795333638</v>
      </c>
      <c r="BC42" s="11" t="str">
        <f t="shared" si="25"/>
        <v>YES</v>
      </c>
    </row>
    <row r="43" ht="15.75" customHeight="1">
      <c r="A43" s="12"/>
      <c r="B43" s="26" t="s">
        <v>14</v>
      </c>
      <c r="C43" s="7" t="s">
        <v>271</v>
      </c>
      <c r="D43" s="7" t="s">
        <v>295</v>
      </c>
      <c r="E43" s="133" t="s">
        <v>296</v>
      </c>
      <c r="F43" s="7" t="s">
        <v>51</v>
      </c>
      <c r="G43" s="7" t="s">
        <v>299</v>
      </c>
      <c r="H43" s="7">
        <v>7.0</v>
      </c>
      <c r="I43" s="7">
        <v>6500.0</v>
      </c>
      <c r="J43" s="7"/>
      <c r="K43" s="7"/>
      <c r="L43" s="7"/>
      <c r="M43" s="9">
        <f t="shared" si="1"/>
        <v>928.5714286</v>
      </c>
      <c r="N43" s="9">
        <f t="shared" si="2"/>
        <v>260</v>
      </c>
      <c r="O43" s="7">
        <v>1.0</v>
      </c>
      <c r="P43" s="9">
        <f t="shared" si="3"/>
        <v>6500</v>
      </c>
      <c r="Q43" s="7">
        <v>8.0</v>
      </c>
      <c r="R43" s="106">
        <v>0.0</v>
      </c>
      <c r="S43" s="7">
        <v>20.0</v>
      </c>
      <c r="T43" s="7">
        <v>550.0</v>
      </c>
      <c r="U43" s="7">
        <f t="shared" si="4"/>
        <v>88000</v>
      </c>
      <c r="V43" s="7">
        <f t="shared" si="5"/>
        <v>20</v>
      </c>
      <c r="W43" s="14">
        <f t="shared" si="6"/>
        <v>11000</v>
      </c>
      <c r="X43" s="94">
        <f t="shared" si="7"/>
        <v>0</v>
      </c>
      <c r="Y43" s="84">
        <v>38.0</v>
      </c>
      <c r="Z43" s="7">
        <v>550.0</v>
      </c>
      <c r="AA43" s="7">
        <v>1.4</v>
      </c>
      <c r="AB43" s="7">
        <f t="shared" si="8"/>
        <v>770</v>
      </c>
      <c r="AC43" s="7">
        <f t="shared" si="9"/>
        <v>341</v>
      </c>
      <c r="AD43" s="7">
        <f t="shared" si="10"/>
        <v>292.6</v>
      </c>
      <c r="AE43" s="83">
        <f t="shared" si="11"/>
        <v>2340.8</v>
      </c>
      <c r="AF43" s="80">
        <v>24.0</v>
      </c>
      <c r="AG43" s="7">
        <v>850.0</v>
      </c>
      <c r="AH43" s="78">
        <v>0.7</v>
      </c>
      <c r="AI43" s="7">
        <f t="shared" si="12"/>
        <v>595</v>
      </c>
      <c r="AJ43" s="7">
        <f t="shared" si="13"/>
        <v>646</v>
      </c>
      <c r="AK43" s="7">
        <f t="shared" si="14"/>
        <v>142.8</v>
      </c>
      <c r="AL43" s="14">
        <f t="shared" si="15"/>
        <v>1142.4</v>
      </c>
      <c r="AM43" s="80">
        <v>29.5</v>
      </c>
      <c r="AN43" s="78">
        <v>3.2</v>
      </c>
      <c r="AO43" s="78">
        <v>21.0</v>
      </c>
      <c r="AP43" s="7">
        <f t="shared" si="16"/>
        <v>67.2</v>
      </c>
      <c r="AQ43" s="7">
        <f t="shared" si="17"/>
        <v>2.256</v>
      </c>
      <c r="AR43" s="7">
        <f t="shared" si="18"/>
        <v>19.824</v>
      </c>
      <c r="AS43" s="14">
        <f t="shared" si="19"/>
        <v>158.592</v>
      </c>
      <c r="AT43" s="130">
        <v>0.0</v>
      </c>
      <c r="AU43" s="7">
        <v>22000.0</v>
      </c>
      <c r="AV43" s="14">
        <f t="shared" si="20"/>
        <v>0</v>
      </c>
      <c r="AW43" s="80">
        <v>6.3</v>
      </c>
      <c r="AX43" s="7">
        <v>7000.0</v>
      </c>
      <c r="AY43" s="14">
        <f t="shared" si="21"/>
        <v>441</v>
      </c>
      <c r="AZ43" s="75">
        <f t="shared" si="22"/>
        <v>2894.220571</v>
      </c>
      <c r="BA43" s="120">
        <f t="shared" si="23"/>
        <v>0.4452647033</v>
      </c>
      <c r="BB43" s="11">
        <f t="shared" si="24"/>
        <v>2.245855089</v>
      </c>
      <c r="BC43" s="11" t="str">
        <f t="shared" si="25"/>
        <v>YES</v>
      </c>
    </row>
    <row r="44" ht="15.75" customHeight="1">
      <c r="A44" s="12"/>
      <c r="B44" s="26" t="s">
        <v>14</v>
      </c>
      <c r="C44" s="7" t="s">
        <v>300</v>
      </c>
      <c r="D44" s="7" t="s">
        <v>301</v>
      </c>
      <c r="E44" s="7" t="s">
        <v>302</v>
      </c>
      <c r="F44" s="7" t="s">
        <v>51</v>
      </c>
      <c r="G44" s="7" t="s">
        <v>305</v>
      </c>
      <c r="H44" s="7">
        <v>7.0</v>
      </c>
      <c r="I44" s="7">
        <v>12000.0</v>
      </c>
      <c r="J44" s="7"/>
      <c r="K44" s="7"/>
      <c r="L44" s="7"/>
      <c r="M44" s="9">
        <f t="shared" si="1"/>
        <v>1714.285714</v>
      </c>
      <c r="N44" s="9">
        <f t="shared" si="2"/>
        <v>480</v>
      </c>
      <c r="O44" s="7">
        <v>1.0</v>
      </c>
      <c r="P44" s="9">
        <f t="shared" si="3"/>
        <v>12000</v>
      </c>
      <c r="Q44" s="7">
        <v>8.0</v>
      </c>
      <c r="R44" s="106">
        <v>0.0</v>
      </c>
      <c r="S44" s="7">
        <v>20.0</v>
      </c>
      <c r="T44" s="7">
        <v>550.0</v>
      </c>
      <c r="U44" s="7">
        <f t="shared" si="4"/>
        <v>88000</v>
      </c>
      <c r="V44" s="7">
        <f t="shared" si="5"/>
        <v>20</v>
      </c>
      <c r="W44" s="14">
        <f t="shared" si="6"/>
        <v>11000</v>
      </c>
      <c r="X44" s="94">
        <f t="shared" si="7"/>
        <v>0</v>
      </c>
      <c r="Y44" s="84">
        <v>38.0</v>
      </c>
      <c r="Z44" s="7">
        <v>550.0</v>
      </c>
      <c r="AA44" s="7">
        <v>1.4</v>
      </c>
      <c r="AB44" s="7">
        <f t="shared" si="8"/>
        <v>770</v>
      </c>
      <c r="AC44" s="7">
        <f t="shared" si="9"/>
        <v>341</v>
      </c>
      <c r="AD44" s="7">
        <f t="shared" si="10"/>
        <v>292.6</v>
      </c>
      <c r="AE44" s="83">
        <f t="shared" si="11"/>
        <v>2340.8</v>
      </c>
      <c r="AF44" s="80">
        <v>24.0</v>
      </c>
      <c r="AG44" s="7">
        <v>850.0</v>
      </c>
      <c r="AH44" s="78">
        <v>0.7</v>
      </c>
      <c r="AI44" s="7">
        <f t="shared" si="12"/>
        <v>595</v>
      </c>
      <c r="AJ44" s="7">
        <f t="shared" si="13"/>
        <v>646</v>
      </c>
      <c r="AK44" s="7">
        <f t="shared" si="14"/>
        <v>142.8</v>
      </c>
      <c r="AL44" s="14">
        <f t="shared" si="15"/>
        <v>1142.4</v>
      </c>
      <c r="AM44" s="80">
        <v>29.5</v>
      </c>
      <c r="AN44" s="78">
        <v>3.2</v>
      </c>
      <c r="AO44" s="78">
        <v>21.0</v>
      </c>
      <c r="AP44" s="7">
        <f t="shared" si="16"/>
        <v>67.2</v>
      </c>
      <c r="AQ44" s="7">
        <f t="shared" si="17"/>
        <v>2.256</v>
      </c>
      <c r="AR44" s="7">
        <f t="shared" si="18"/>
        <v>19.824</v>
      </c>
      <c r="AS44" s="14">
        <f t="shared" si="19"/>
        <v>158.592</v>
      </c>
      <c r="AT44" s="130">
        <v>0.0</v>
      </c>
      <c r="AU44" s="7">
        <v>22000.0</v>
      </c>
      <c r="AV44" s="14">
        <f t="shared" si="20"/>
        <v>0</v>
      </c>
      <c r="AW44" s="80">
        <v>6.3</v>
      </c>
      <c r="AX44" s="7">
        <v>7000.0</v>
      </c>
      <c r="AY44" s="14">
        <f t="shared" si="21"/>
        <v>441</v>
      </c>
      <c r="AZ44" s="75">
        <f t="shared" si="22"/>
        <v>1888.506286</v>
      </c>
      <c r="BA44" s="120">
        <f t="shared" si="23"/>
        <v>0.1573755238</v>
      </c>
      <c r="BB44" s="11">
        <f t="shared" si="24"/>
        <v>6.354228255</v>
      </c>
      <c r="BC44" s="11" t="str">
        <f t="shared" si="25"/>
        <v>NO</v>
      </c>
    </row>
    <row r="45" ht="15.75" customHeight="1">
      <c r="A45" s="12"/>
      <c r="B45" s="26" t="s">
        <v>14</v>
      </c>
      <c r="C45" s="7" t="s">
        <v>289</v>
      </c>
      <c r="D45" s="7" t="s">
        <v>306</v>
      </c>
      <c r="E45" s="7" t="s">
        <v>548</v>
      </c>
      <c r="F45" s="7" t="s">
        <v>51</v>
      </c>
      <c r="G45" s="7" t="s">
        <v>200</v>
      </c>
      <c r="H45" s="7">
        <v>7.0</v>
      </c>
      <c r="I45" s="7">
        <v>7000.0</v>
      </c>
      <c r="J45" s="7"/>
      <c r="K45" s="7"/>
      <c r="L45" s="7"/>
      <c r="M45" s="9">
        <f t="shared" si="1"/>
        <v>1000</v>
      </c>
      <c r="N45" s="9">
        <f t="shared" si="2"/>
        <v>280</v>
      </c>
      <c r="O45" s="7">
        <v>1.0</v>
      </c>
      <c r="P45" s="9">
        <f t="shared" si="3"/>
        <v>7000</v>
      </c>
      <c r="Q45" s="7">
        <v>8.0</v>
      </c>
      <c r="R45" s="106">
        <v>0.0</v>
      </c>
      <c r="S45" s="7">
        <v>20.0</v>
      </c>
      <c r="T45" s="7">
        <v>550.0</v>
      </c>
      <c r="U45" s="7">
        <f t="shared" si="4"/>
        <v>88000</v>
      </c>
      <c r="V45" s="7">
        <f t="shared" si="5"/>
        <v>20</v>
      </c>
      <c r="W45" s="14">
        <f t="shared" si="6"/>
        <v>11000</v>
      </c>
      <c r="X45" s="94">
        <f t="shared" si="7"/>
        <v>0</v>
      </c>
      <c r="Y45" s="84">
        <v>38.0</v>
      </c>
      <c r="Z45" s="7">
        <v>550.0</v>
      </c>
      <c r="AA45" s="7">
        <v>1.4</v>
      </c>
      <c r="AB45" s="7">
        <f t="shared" si="8"/>
        <v>770</v>
      </c>
      <c r="AC45" s="7">
        <f t="shared" si="9"/>
        <v>341</v>
      </c>
      <c r="AD45" s="7">
        <f t="shared" si="10"/>
        <v>292.6</v>
      </c>
      <c r="AE45" s="83">
        <f t="shared" si="11"/>
        <v>2340.8</v>
      </c>
      <c r="AF45" s="80">
        <v>24.0</v>
      </c>
      <c r="AG45" s="7">
        <v>850.0</v>
      </c>
      <c r="AH45" s="78">
        <v>0.7</v>
      </c>
      <c r="AI45" s="7">
        <f t="shared" si="12"/>
        <v>595</v>
      </c>
      <c r="AJ45" s="7">
        <f t="shared" si="13"/>
        <v>646</v>
      </c>
      <c r="AK45" s="7">
        <f t="shared" si="14"/>
        <v>142.8</v>
      </c>
      <c r="AL45" s="14">
        <f t="shared" si="15"/>
        <v>1142.4</v>
      </c>
      <c r="AM45" s="80">
        <v>29.5</v>
      </c>
      <c r="AN45" s="78">
        <v>3.2</v>
      </c>
      <c r="AO45" s="78">
        <v>21.0</v>
      </c>
      <c r="AP45" s="7">
        <f t="shared" si="16"/>
        <v>67.2</v>
      </c>
      <c r="AQ45" s="7">
        <f t="shared" si="17"/>
        <v>2.256</v>
      </c>
      <c r="AR45" s="7">
        <f t="shared" si="18"/>
        <v>19.824</v>
      </c>
      <c r="AS45" s="14">
        <f t="shared" si="19"/>
        <v>158.592</v>
      </c>
      <c r="AT45" s="130">
        <v>0.0</v>
      </c>
      <c r="AU45" s="7">
        <v>22000.0</v>
      </c>
      <c r="AV45" s="14">
        <f t="shared" si="20"/>
        <v>0</v>
      </c>
      <c r="AW45" s="130">
        <v>0.0</v>
      </c>
      <c r="AX45" s="7">
        <v>7000.0</v>
      </c>
      <c r="AY45" s="14">
        <f t="shared" si="21"/>
        <v>0</v>
      </c>
      <c r="AZ45" s="75">
        <f t="shared" si="22"/>
        <v>2361.792</v>
      </c>
      <c r="BA45" s="120">
        <f t="shared" si="23"/>
        <v>0.3373988571</v>
      </c>
      <c r="BB45" s="11">
        <f t="shared" si="24"/>
        <v>2.963851177</v>
      </c>
      <c r="BC45" s="11" t="str">
        <f t="shared" si="25"/>
        <v>YES</v>
      </c>
    </row>
    <row r="46" ht="15.75" customHeight="1">
      <c r="A46" s="12"/>
      <c r="B46" s="26" t="s">
        <v>14</v>
      </c>
      <c r="C46" s="7" t="s">
        <v>289</v>
      </c>
      <c r="D46" s="7" t="s">
        <v>310</v>
      </c>
      <c r="E46" s="7" t="s">
        <v>311</v>
      </c>
      <c r="F46" s="7" t="s">
        <v>51</v>
      </c>
      <c r="G46" s="7" t="s">
        <v>247</v>
      </c>
      <c r="H46" s="7">
        <v>7.0</v>
      </c>
      <c r="I46" s="7">
        <v>2500.0</v>
      </c>
      <c r="J46" s="7"/>
      <c r="K46" s="7"/>
      <c r="L46" s="7"/>
      <c r="M46" s="9">
        <f t="shared" si="1"/>
        <v>357.1428571</v>
      </c>
      <c r="N46" s="9">
        <f t="shared" si="2"/>
        <v>100</v>
      </c>
      <c r="O46" s="7">
        <v>1.0</v>
      </c>
      <c r="P46" s="9">
        <f t="shared" si="3"/>
        <v>2500</v>
      </c>
      <c r="Q46" s="7">
        <v>8.0</v>
      </c>
      <c r="R46" s="106">
        <v>0.0</v>
      </c>
      <c r="S46" s="7">
        <v>20.0</v>
      </c>
      <c r="T46" s="7">
        <v>550.0</v>
      </c>
      <c r="U46" s="7">
        <f t="shared" si="4"/>
        <v>88000</v>
      </c>
      <c r="V46" s="7">
        <f t="shared" si="5"/>
        <v>20</v>
      </c>
      <c r="W46" s="14">
        <f t="shared" si="6"/>
        <v>11000</v>
      </c>
      <c r="X46" s="94">
        <f t="shared" si="7"/>
        <v>0</v>
      </c>
      <c r="Y46" s="84">
        <v>38.0</v>
      </c>
      <c r="Z46" s="7">
        <v>550.0</v>
      </c>
      <c r="AA46" s="7">
        <v>1.4</v>
      </c>
      <c r="AB46" s="7">
        <f t="shared" si="8"/>
        <v>770</v>
      </c>
      <c r="AC46" s="7">
        <f t="shared" si="9"/>
        <v>341</v>
      </c>
      <c r="AD46" s="7">
        <f t="shared" si="10"/>
        <v>292.6</v>
      </c>
      <c r="AE46" s="83">
        <f t="shared" si="11"/>
        <v>2340.8</v>
      </c>
      <c r="AF46" s="80">
        <v>24.0</v>
      </c>
      <c r="AG46" s="7">
        <v>850.0</v>
      </c>
      <c r="AH46" s="78">
        <v>0.7</v>
      </c>
      <c r="AI46" s="7">
        <f t="shared" si="12"/>
        <v>595</v>
      </c>
      <c r="AJ46" s="7">
        <f t="shared" si="13"/>
        <v>646</v>
      </c>
      <c r="AK46" s="7">
        <f t="shared" si="14"/>
        <v>142.8</v>
      </c>
      <c r="AL46" s="14">
        <f t="shared" si="15"/>
        <v>1142.4</v>
      </c>
      <c r="AM46" s="80">
        <v>29.5</v>
      </c>
      <c r="AN46" s="78">
        <v>3.2</v>
      </c>
      <c r="AO46" s="78">
        <v>21.0</v>
      </c>
      <c r="AP46" s="7">
        <f t="shared" si="16"/>
        <v>67.2</v>
      </c>
      <c r="AQ46" s="7">
        <f t="shared" si="17"/>
        <v>2.256</v>
      </c>
      <c r="AR46" s="7">
        <f t="shared" si="18"/>
        <v>19.824</v>
      </c>
      <c r="AS46" s="14">
        <f t="shared" si="19"/>
        <v>158.592</v>
      </c>
      <c r="AT46" s="130">
        <v>0.0</v>
      </c>
      <c r="AU46" s="7">
        <v>22000.0</v>
      </c>
      <c r="AV46" s="14">
        <f t="shared" si="20"/>
        <v>0</v>
      </c>
      <c r="AW46" s="130">
        <v>0.0</v>
      </c>
      <c r="AX46" s="7">
        <v>7000.0</v>
      </c>
      <c r="AY46" s="14">
        <f t="shared" si="21"/>
        <v>0</v>
      </c>
      <c r="AZ46" s="75">
        <f t="shared" si="22"/>
        <v>3184.649143</v>
      </c>
      <c r="BA46" s="120">
        <f t="shared" si="23"/>
        <v>1.273859657</v>
      </c>
      <c r="BB46" s="11">
        <f t="shared" si="24"/>
        <v>0.7850158331</v>
      </c>
      <c r="BC46" s="11" t="str">
        <f t="shared" si="25"/>
        <v>YES</v>
      </c>
    </row>
    <row r="47" ht="15.75" customHeight="1">
      <c r="A47" s="12"/>
      <c r="B47" s="26" t="s">
        <v>14</v>
      </c>
      <c r="C47" s="7" t="s">
        <v>271</v>
      </c>
      <c r="D47" s="7" t="s">
        <v>314</v>
      </c>
      <c r="E47" s="7" t="s">
        <v>315</v>
      </c>
      <c r="F47" s="7" t="s">
        <v>51</v>
      </c>
      <c r="G47" s="7" t="s">
        <v>318</v>
      </c>
      <c r="H47" s="7">
        <v>7.0</v>
      </c>
      <c r="I47" s="7">
        <v>165.0</v>
      </c>
      <c r="J47" s="7"/>
      <c r="K47" s="7"/>
      <c r="L47" s="7"/>
      <c r="M47" s="9">
        <f t="shared" si="1"/>
        <v>0</v>
      </c>
      <c r="N47" s="9">
        <f t="shared" si="2"/>
        <v>6.6</v>
      </c>
      <c r="O47" s="7">
        <v>1.0</v>
      </c>
      <c r="P47" s="9">
        <f t="shared" si="3"/>
        <v>165</v>
      </c>
      <c r="Q47" s="7">
        <v>8.0</v>
      </c>
      <c r="R47" s="106">
        <v>0.0</v>
      </c>
      <c r="S47" s="7">
        <v>20.0</v>
      </c>
      <c r="T47" s="7">
        <v>550.0</v>
      </c>
      <c r="U47" s="7">
        <f t="shared" si="4"/>
        <v>88000</v>
      </c>
      <c r="V47" s="7">
        <f t="shared" si="5"/>
        <v>20</v>
      </c>
      <c r="W47" s="14">
        <f t="shared" si="6"/>
        <v>11000</v>
      </c>
      <c r="X47" s="94">
        <f t="shared" si="7"/>
        <v>0</v>
      </c>
      <c r="Y47" s="84">
        <v>38.0</v>
      </c>
      <c r="Z47" s="7">
        <v>550.0</v>
      </c>
      <c r="AA47" s="7">
        <v>1.4</v>
      </c>
      <c r="AB47" s="7">
        <f t="shared" si="8"/>
        <v>770</v>
      </c>
      <c r="AC47" s="7">
        <f t="shared" si="9"/>
        <v>341</v>
      </c>
      <c r="AD47" s="7">
        <f t="shared" si="10"/>
        <v>292.6</v>
      </c>
      <c r="AE47" s="83">
        <f t="shared" si="11"/>
        <v>2340.8</v>
      </c>
      <c r="AF47" s="80">
        <v>24.0</v>
      </c>
      <c r="AG47" s="7">
        <v>850.0</v>
      </c>
      <c r="AH47" s="78">
        <v>0.7</v>
      </c>
      <c r="AI47" s="7">
        <f t="shared" si="12"/>
        <v>595</v>
      </c>
      <c r="AJ47" s="7">
        <f t="shared" si="13"/>
        <v>646</v>
      </c>
      <c r="AK47" s="7">
        <f t="shared" si="14"/>
        <v>142.8</v>
      </c>
      <c r="AL47" s="14">
        <f t="shared" si="15"/>
        <v>1142.4</v>
      </c>
      <c r="AM47" s="80">
        <v>29.5</v>
      </c>
      <c r="AN47" s="78">
        <v>3.2</v>
      </c>
      <c r="AO47" s="78">
        <v>21.0</v>
      </c>
      <c r="AP47" s="7">
        <f t="shared" si="16"/>
        <v>67.2</v>
      </c>
      <c r="AQ47" s="7">
        <f t="shared" si="17"/>
        <v>2.256</v>
      </c>
      <c r="AR47" s="7">
        <f t="shared" si="18"/>
        <v>19.824</v>
      </c>
      <c r="AS47" s="14">
        <f t="shared" si="19"/>
        <v>158.592</v>
      </c>
      <c r="AT47" s="130">
        <v>0.0</v>
      </c>
      <c r="AU47" s="7">
        <v>22000.0</v>
      </c>
      <c r="AV47" s="14">
        <f t="shared" si="20"/>
        <v>0</v>
      </c>
      <c r="AW47" s="130">
        <v>0.0</v>
      </c>
      <c r="AX47" s="7">
        <v>7000.0</v>
      </c>
      <c r="AY47" s="14">
        <f t="shared" si="21"/>
        <v>0</v>
      </c>
      <c r="AZ47" s="75">
        <f t="shared" si="22"/>
        <v>3635.192</v>
      </c>
      <c r="BA47" s="120">
        <f t="shared" si="23"/>
        <v>22.03146667</v>
      </c>
      <c r="BB47" s="11">
        <f t="shared" si="24"/>
        <v>0.04538962454</v>
      </c>
      <c r="BC47" s="11" t="str">
        <f t="shared" si="25"/>
        <v>YES</v>
      </c>
    </row>
    <row r="48" ht="15.75" customHeight="1">
      <c r="A48" s="12"/>
      <c r="B48" s="26" t="s">
        <v>14</v>
      </c>
      <c r="C48" s="7" t="s">
        <v>271</v>
      </c>
      <c r="D48" s="7" t="s">
        <v>319</v>
      </c>
      <c r="E48" s="7" t="s">
        <v>315</v>
      </c>
      <c r="F48" s="7" t="s">
        <v>51</v>
      </c>
      <c r="G48" s="7" t="s">
        <v>322</v>
      </c>
      <c r="H48" s="7">
        <v>7.0</v>
      </c>
      <c r="I48" s="7">
        <v>900.0</v>
      </c>
      <c r="J48" s="7"/>
      <c r="K48" s="7"/>
      <c r="L48" s="7"/>
      <c r="M48" s="9">
        <f t="shared" si="1"/>
        <v>128.5714286</v>
      </c>
      <c r="N48" s="9">
        <f t="shared" si="2"/>
        <v>36</v>
      </c>
      <c r="O48" s="7">
        <v>1.0</v>
      </c>
      <c r="P48" s="9">
        <f t="shared" si="3"/>
        <v>900</v>
      </c>
      <c r="Q48" s="7">
        <v>8.0</v>
      </c>
      <c r="R48" s="106">
        <v>0.0</v>
      </c>
      <c r="S48" s="7">
        <v>20.0</v>
      </c>
      <c r="T48" s="7">
        <v>550.0</v>
      </c>
      <c r="U48" s="7">
        <f t="shared" si="4"/>
        <v>88000</v>
      </c>
      <c r="V48" s="7">
        <f t="shared" si="5"/>
        <v>20</v>
      </c>
      <c r="W48" s="14">
        <f t="shared" si="6"/>
        <v>11000</v>
      </c>
      <c r="X48" s="94">
        <f t="shared" si="7"/>
        <v>0</v>
      </c>
      <c r="Y48" s="84">
        <v>38.0</v>
      </c>
      <c r="Z48" s="7">
        <v>550.0</v>
      </c>
      <c r="AA48" s="7">
        <v>1.4</v>
      </c>
      <c r="AB48" s="7">
        <f t="shared" si="8"/>
        <v>770</v>
      </c>
      <c r="AC48" s="7">
        <f t="shared" si="9"/>
        <v>341</v>
      </c>
      <c r="AD48" s="7">
        <f t="shared" si="10"/>
        <v>292.6</v>
      </c>
      <c r="AE48" s="83">
        <f t="shared" si="11"/>
        <v>2340.8</v>
      </c>
      <c r="AF48" s="80">
        <v>24.0</v>
      </c>
      <c r="AG48" s="7">
        <v>850.0</v>
      </c>
      <c r="AH48" s="78">
        <v>0.7</v>
      </c>
      <c r="AI48" s="7">
        <f t="shared" si="12"/>
        <v>595</v>
      </c>
      <c r="AJ48" s="7">
        <f t="shared" si="13"/>
        <v>646</v>
      </c>
      <c r="AK48" s="7">
        <f t="shared" si="14"/>
        <v>142.8</v>
      </c>
      <c r="AL48" s="14">
        <f t="shared" si="15"/>
        <v>1142.4</v>
      </c>
      <c r="AM48" s="80">
        <v>29.5</v>
      </c>
      <c r="AN48" s="78">
        <v>3.2</v>
      </c>
      <c r="AO48" s="78">
        <v>21.0</v>
      </c>
      <c r="AP48" s="7">
        <f t="shared" si="16"/>
        <v>67.2</v>
      </c>
      <c r="AQ48" s="7">
        <f t="shared" si="17"/>
        <v>2.256</v>
      </c>
      <c r="AR48" s="7">
        <f t="shared" si="18"/>
        <v>19.824</v>
      </c>
      <c r="AS48" s="14">
        <f t="shared" si="19"/>
        <v>158.592</v>
      </c>
      <c r="AT48" s="130">
        <v>0.0</v>
      </c>
      <c r="AU48" s="7">
        <v>22000.0</v>
      </c>
      <c r="AV48" s="14">
        <f t="shared" si="20"/>
        <v>0</v>
      </c>
      <c r="AW48" s="130">
        <v>0.0</v>
      </c>
      <c r="AX48" s="7">
        <v>7000.0</v>
      </c>
      <c r="AY48" s="14">
        <f t="shared" si="21"/>
        <v>0</v>
      </c>
      <c r="AZ48" s="75">
        <f t="shared" si="22"/>
        <v>3477.220571</v>
      </c>
      <c r="BA48" s="120">
        <f t="shared" si="23"/>
        <v>3.863578413</v>
      </c>
      <c r="BB48" s="11">
        <f t="shared" si="24"/>
        <v>0.2588274116</v>
      </c>
      <c r="BC48" s="11" t="str">
        <f t="shared" si="25"/>
        <v>YES</v>
      </c>
    </row>
    <row r="49" ht="15.75" customHeight="1">
      <c r="A49" s="12"/>
      <c r="B49" s="26" t="s">
        <v>36</v>
      </c>
      <c r="C49" s="7" t="s">
        <v>271</v>
      </c>
      <c r="D49" s="7" t="s">
        <v>547</v>
      </c>
      <c r="E49" s="7" t="s">
        <v>285</v>
      </c>
      <c r="F49" s="7" t="s">
        <v>51</v>
      </c>
      <c r="G49" s="7" t="s">
        <v>44</v>
      </c>
      <c r="H49" s="7">
        <v>7.0</v>
      </c>
      <c r="I49" s="7">
        <v>0.0</v>
      </c>
      <c r="J49" s="7"/>
      <c r="K49" s="7"/>
      <c r="L49" s="7"/>
      <c r="M49" s="9">
        <f t="shared" si="1"/>
        <v>0</v>
      </c>
      <c r="N49" s="9">
        <f t="shared" si="2"/>
        <v>0</v>
      </c>
      <c r="O49" s="7">
        <v>1.0</v>
      </c>
      <c r="P49" s="9">
        <f t="shared" si="3"/>
        <v>0</v>
      </c>
      <c r="Q49" s="7">
        <v>8.0</v>
      </c>
      <c r="R49" s="106">
        <v>0.0</v>
      </c>
      <c r="S49" s="7">
        <v>20.0</v>
      </c>
      <c r="T49" s="7">
        <v>550.0</v>
      </c>
      <c r="U49" s="7">
        <f t="shared" si="4"/>
        <v>88000</v>
      </c>
      <c r="V49" s="7">
        <f t="shared" si="5"/>
        <v>20</v>
      </c>
      <c r="W49" s="14">
        <f t="shared" si="6"/>
        <v>11000</v>
      </c>
      <c r="X49" s="94">
        <f t="shared" si="7"/>
        <v>0</v>
      </c>
      <c r="Y49" s="84">
        <v>38.0</v>
      </c>
      <c r="Z49" s="7">
        <v>550.0</v>
      </c>
      <c r="AA49" s="7">
        <v>1.4</v>
      </c>
      <c r="AB49" s="7">
        <f t="shared" si="8"/>
        <v>770</v>
      </c>
      <c r="AC49" s="7">
        <f t="shared" si="9"/>
        <v>341</v>
      </c>
      <c r="AD49" s="7">
        <f t="shared" si="10"/>
        <v>292.6</v>
      </c>
      <c r="AE49" s="83">
        <f t="shared" si="11"/>
        <v>2340.8</v>
      </c>
      <c r="AF49" s="80">
        <v>24.0</v>
      </c>
      <c r="AG49" s="7">
        <v>850.0</v>
      </c>
      <c r="AH49" s="78">
        <v>0.7</v>
      </c>
      <c r="AI49" s="7">
        <f t="shared" si="12"/>
        <v>595</v>
      </c>
      <c r="AJ49" s="7">
        <f t="shared" si="13"/>
        <v>646</v>
      </c>
      <c r="AK49" s="7">
        <f t="shared" si="14"/>
        <v>142.8</v>
      </c>
      <c r="AL49" s="14">
        <f t="shared" si="15"/>
        <v>1142.4</v>
      </c>
      <c r="AM49" s="80">
        <v>29.5</v>
      </c>
      <c r="AN49" s="78">
        <v>3.2</v>
      </c>
      <c r="AO49" s="78">
        <v>21.0</v>
      </c>
      <c r="AP49" s="7">
        <f t="shared" si="16"/>
        <v>67.2</v>
      </c>
      <c r="AQ49" s="7">
        <f t="shared" si="17"/>
        <v>2.256</v>
      </c>
      <c r="AR49" s="7">
        <f t="shared" si="18"/>
        <v>19.824</v>
      </c>
      <c r="AS49" s="14">
        <f t="shared" si="19"/>
        <v>158.592</v>
      </c>
      <c r="AT49" s="130">
        <v>0.0</v>
      </c>
      <c r="AU49" s="7">
        <v>22000.0</v>
      </c>
      <c r="AV49" s="14">
        <f t="shared" si="20"/>
        <v>0</v>
      </c>
      <c r="AW49" s="130">
        <v>0.0</v>
      </c>
      <c r="AX49" s="7">
        <v>7000.0</v>
      </c>
      <c r="AY49" s="14">
        <f t="shared" si="21"/>
        <v>0</v>
      </c>
      <c r="AZ49" s="75">
        <f t="shared" si="22"/>
        <v>3641.792</v>
      </c>
      <c r="BA49" s="120" t="str">
        <f t="shared" si="23"/>
        <v>The DAT is free</v>
      </c>
      <c r="BB49" s="11">
        <f t="shared" si="24"/>
        <v>0</v>
      </c>
      <c r="BC49" s="11" t="str">
        <f t="shared" si="25"/>
        <v>YES</v>
      </c>
    </row>
    <row r="50" ht="15.75" customHeight="1">
      <c r="A50" s="12"/>
      <c r="B50" s="26" t="s">
        <v>14</v>
      </c>
      <c r="C50" s="7" t="s">
        <v>658</v>
      </c>
      <c r="D50" s="7" t="s">
        <v>659</v>
      </c>
      <c r="E50" s="7" t="s">
        <v>660</v>
      </c>
      <c r="F50" s="7" t="s">
        <v>51</v>
      </c>
      <c r="G50" s="7" t="s">
        <v>294</v>
      </c>
      <c r="H50" s="7">
        <v>7.0</v>
      </c>
      <c r="I50" s="7">
        <v>220.0</v>
      </c>
      <c r="J50" s="7"/>
      <c r="K50" s="7"/>
      <c r="L50" s="7"/>
      <c r="M50" s="9">
        <f t="shared" si="1"/>
        <v>0</v>
      </c>
      <c r="N50" s="9">
        <f t="shared" si="2"/>
        <v>8.8</v>
      </c>
      <c r="O50" s="7">
        <v>1.0</v>
      </c>
      <c r="P50" s="9">
        <f t="shared" si="3"/>
        <v>220</v>
      </c>
      <c r="Q50" s="7">
        <v>8.0</v>
      </c>
      <c r="R50" s="106">
        <v>0.0</v>
      </c>
      <c r="S50" s="7">
        <v>20.0</v>
      </c>
      <c r="T50" s="7">
        <v>550.0</v>
      </c>
      <c r="U50" s="7">
        <f t="shared" si="4"/>
        <v>88000</v>
      </c>
      <c r="V50" s="7">
        <f t="shared" si="5"/>
        <v>20</v>
      </c>
      <c r="W50" s="14">
        <f t="shared" si="6"/>
        <v>11000</v>
      </c>
      <c r="X50" s="94">
        <f t="shared" si="7"/>
        <v>0</v>
      </c>
      <c r="Y50" s="84">
        <v>38.0</v>
      </c>
      <c r="Z50" s="7">
        <v>550.0</v>
      </c>
      <c r="AA50" s="7">
        <v>1.4</v>
      </c>
      <c r="AB50" s="7">
        <f t="shared" si="8"/>
        <v>770</v>
      </c>
      <c r="AC50" s="7">
        <f t="shared" si="9"/>
        <v>341</v>
      </c>
      <c r="AD50" s="7">
        <f t="shared" si="10"/>
        <v>292.6</v>
      </c>
      <c r="AE50" s="83">
        <f t="shared" si="11"/>
        <v>2340.8</v>
      </c>
      <c r="AF50" s="80">
        <v>24.0</v>
      </c>
      <c r="AG50" s="7">
        <v>850.0</v>
      </c>
      <c r="AH50" s="78">
        <v>0.7</v>
      </c>
      <c r="AI50" s="7">
        <f t="shared" si="12"/>
        <v>595</v>
      </c>
      <c r="AJ50" s="7">
        <f t="shared" si="13"/>
        <v>646</v>
      </c>
      <c r="AK50" s="7">
        <f t="shared" si="14"/>
        <v>142.8</v>
      </c>
      <c r="AL50" s="14">
        <f t="shared" si="15"/>
        <v>1142.4</v>
      </c>
      <c r="AM50" s="80">
        <v>29.5</v>
      </c>
      <c r="AN50" s="78">
        <v>3.2</v>
      </c>
      <c r="AO50" s="78">
        <v>21.0</v>
      </c>
      <c r="AP50" s="7">
        <f t="shared" si="16"/>
        <v>67.2</v>
      </c>
      <c r="AQ50" s="7">
        <f t="shared" si="17"/>
        <v>2.256</v>
      </c>
      <c r="AR50" s="7">
        <f t="shared" si="18"/>
        <v>19.824</v>
      </c>
      <c r="AS50" s="14">
        <f t="shared" si="19"/>
        <v>158.592</v>
      </c>
      <c r="AT50" s="130">
        <v>0.0</v>
      </c>
      <c r="AU50" s="7">
        <v>22000.0</v>
      </c>
      <c r="AV50" s="14">
        <f t="shared" si="20"/>
        <v>0</v>
      </c>
      <c r="AW50" s="130">
        <v>0.0</v>
      </c>
      <c r="AX50" s="7">
        <v>7000.0</v>
      </c>
      <c r="AY50" s="14">
        <f t="shared" si="21"/>
        <v>0</v>
      </c>
      <c r="AZ50" s="75">
        <f t="shared" si="22"/>
        <v>3632.992</v>
      </c>
      <c r="BA50" s="120">
        <f t="shared" si="23"/>
        <v>16.5136</v>
      </c>
      <c r="BB50" s="11">
        <f t="shared" si="24"/>
        <v>0.06055614766</v>
      </c>
      <c r="BC50" s="11" t="str">
        <f t="shared" si="25"/>
        <v>YES</v>
      </c>
    </row>
    <row r="51" ht="15.75" customHeight="1">
      <c r="A51" s="18"/>
      <c r="B51" s="85" t="s">
        <v>14</v>
      </c>
      <c r="C51" s="19" t="s">
        <v>271</v>
      </c>
      <c r="D51" s="19" t="s">
        <v>323</v>
      </c>
      <c r="E51" s="19" t="s">
        <v>324</v>
      </c>
      <c r="F51" s="19" t="s">
        <v>51</v>
      </c>
      <c r="G51" s="19" t="s">
        <v>327</v>
      </c>
      <c r="H51" s="19">
        <v>7.0</v>
      </c>
      <c r="I51" s="19">
        <v>115.0</v>
      </c>
      <c r="J51" s="19"/>
      <c r="K51" s="19"/>
      <c r="L51" s="19"/>
      <c r="M51" s="9">
        <f t="shared" si="1"/>
        <v>0</v>
      </c>
      <c r="N51" s="9">
        <f t="shared" si="2"/>
        <v>4.6</v>
      </c>
      <c r="O51" s="19">
        <v>1.0</v>
      </c>
      <c r="P51" s="9">
        <f t="shared" si="3"/>
        <v>115</v>
      </c>
      <c r="Q51" s="19">
        <v>8.0</v>
      </c>
      <c r="R51" s="107">
        <v>0.0</v>
      </c>
      <c r="S51" s="19">
        <v>20.0</v>
      </c>
      <c r="T51" s="19">
        <v>550.0</v>
      </c>
      <c r="U51" s="19">
        <f t="shared" si="4"/>
        <v>88000</v>
      </c>
      <c r="V51" s="19">
        <f t="shared" si="5"/>
        <v>20</v>
      </c>
      <c r="W51" s="21">
        <f t="shared" si="6"/>
        <v>11000</v>
      </c>
      <c r="X51" s="89">
        <f t="shared" si="7"/>
        <v>0</v>
      </c>
      <c r="Y51" s="88">
        <v>38.0</v>
      </c>
      <c r="Z51" s="19">
        <v>550.0</v>
      </c>
      <c r="AA51" s="19">
        <v>1.4</v>
      </c>
      <c r="AB51" s="19">
        <f t="shared" si="8"/>
        <v>770</v>
      </c>
      <c r="AC51" s="19">
        <f t="shared" si="9"/>
        <v>341</v>
      </c>
      <c r="AD51" s="19">
        <f t="shared" si="10"/>
        <v>292.6</v>
      </c>
      <c r="AE51" s="91">
        <f t="shared" si="11"/>
        <v>2340.8</v>
      </c>
      <c r="AF51" s="90">
        <v>24.0</v>
      </c>
      <c r="AG51" s="19">
        <v>850.0</v>
      </c>
      <c r="AH51" s="93">
        <v>0.7</v>
      </c>
      <c r="AI51" s="19">
        <f t="shared" si="12"/>
        <v>595</v>
      </c>
      <c r="AJ51" s="19">
        <f t="shared" si="13"/>
        <v>646</v>
      </c>
      <c r="AK51" s="19">
        <f t="shared" si="14"/>
        <v>142.8</v>
      </c>
      <c r="AL51" s="21">
        <f t="shared" si="15"/>
        <v>1142.4</v>
      </c>
      <c r="AM51" s="90">
        <v>29.5</v>
      </c>
      <c r="AN51" s="93">
        <v>3.2</v>
      </c>
      <c r="AO51" s="93">
        <v>21.0</v>
      </c>
      <c r="AP51" s="19">
        <f t="shared" si="16"/>
        <v>67.2</v>
      </c>
      <c r="AQ51" s="19">
        <f t="shared" si="17"/>
        <v>2.256</v>
      </c>
      <c r="AR51" s="19">
        <f t="shared" si="18"/>
        <v>19.824</v>
      </c>
      <c r="AS51" s="21">
        <f t="shared" si="19"/>
        <v>158.592</v>
      </c>
      <c r="AT51" s="134">
        <v>0.0</v>
      </c>
      <c r="AU51" s="19">
        <v>22000.0</v>
      </c>
      <c r="AV51" s="21">
        <f t="shared" si="20"/>
        <v>0</v>
      </c>
      <c r="AW51" s="134">
        <v>0.0</v>
      </c>
      <c r="AX51" s="19">
        <v>7000.0</v>
      </c>
      <c r="AY51" s="21">
        <f t="shared" si="21"/>
        <v>0</v>
      </c>
      <c r="AZ51" s="75">
        <f t="shared" si="22"/>
        <v>3637.192</v>
      </c>
      <c r="BA51" s="120">
        <f t="shared" si="23"/>
        <v>31.62775652</v>
      </c>
      <c r="BB51" s="11">
        <f t="shared" si="24"/>
        <v>0.03161779747</v>
      </c>
      <c r="BC51" s="11" t="str">
        <f t="shared" si="25"/>
        <v>YES</v>
      </c>
    </row>
    <row r="52" ht="15.75" customHeight="1">
      <c r="A52" s="66" t="s">
        <v>328</v>
      </c>
      <c r="B52" s="67" t="s">
        <v>14</v>
      </c>
      <c r="C52" s="67" t="s">
        <v>329</v>
      </c>
      <c r="D52" s="9" t="s">
        <v>330</v>
      </c>
      <c r="E52" s="9" t="s">
        <v>554</v>
      </c>
      <c r="F52" s="9" t="s">
        <v>51</v>
      </c>
      <c r="G52" s="9" t="s">
        <v>555</v>
      </c>
      <c r="H52" s="9">
        <v>7.0</v>
      </c>
      <c r="I52" s="9">
        <v>18000.0</v>
      </c>
      <c r="J52" s="9"/>
      <c r="K52" s="9"/>
      <c r="L52" s="9"/>
      <c r="M52" s="9">
        <f t="shared" si="1"/>
        <v>2571.428571</v>
      </c>
      <c r="N52" s="9">
        <f t="shared" si="2"/>
        <v>720</v>
      </c>
      <c r="O52" s="9">
        <v>1.0</v>
      </c>
      <c r="P52" s="9">
        <f t="shared" si="3"/>
        <v>18000</v>
      </c>
      <c r="Q52" s="9">
        <v>8.0</v>
      </c>
      <c r="R52" s="105">
        <v>0.0</v>
      </c>
      <c r="S52" s="9">
        <v>20.0</v>
      </c>
      <c r="T52" s="9">
        <v>550.0</v>
      </c>
      <c r="U52" s="9">
        <f t="shared" si="4"/>
        <v>88000</v>
      </c>
      <c r="V52" s="9">
        <f t="shared" si="5"/>
        <v>20</v>
      </c>
      <c r="W52" s="11">
        <f t="shared" si="6"/>
        <v>11000</v>
      </c>
      <c r="X52" s="72">
        <f t="shared" si="7"/>
        <v>0</v>
      </c>
      <c r="Y52" s="76">
        <v>0.0</v>
      </c>
      <c r="Z52" s="9">
        <v>550.0</v>
      </c>
      <c r="AA52" s="9">
        <v>1.4</v>
      </c>
      <c r="AB52" s="9">
        <f t="shared" si="8"/>
        <v>770</v>
      </c>
      <c r="AC52" s="9">
        <f t="shared" si="9"/>
        <v>550</v>
      </c>
      <c r="AD52" s="9">
        <f t="shared" si="10"/>
        <v>0</v>
      </c>
      <c r="AE52" s="73">
        <f t="shared" si="11"/>
        <v>0</v>
      </c>
      <c r="AF52" s="76">
        <v>0.0</v>
      </c>
      <c r="AG52" s="9">
        <v>850.0</v>
      </c>
      <c r="AH52" s="74">
        <v>0.7</v>
      </c>
      <c r="AI52" s="9">
        <f t="shared" si="12"/>
        <v>595</v>
      </c>
      <c r="AJ52" s="9">
        <f t="shared" si="13"/>
        <v>850</v>
      </c>
      <c r="AK52" s="9">
        <f t="shared" si="14"/>
        <v>0</v>
      </c>
      <c r="AL52" s="11">
        <f t="shared" si="15"/>
        <v>0</v>
      </c>
      <c r="AM52" s="75">
        <v>53.0</v>
      </c>
      <c r="AN52" s="74">
        <v>3.2</v>
      </c>
      <c r="AO52" s="74">
        <v>21.0</v>
      </c>
      <c r="AP52" s="9">
        <f t="shared" si="16"/>
        <v>67.2</v>
      </c>
      <c r="AQ52" s="9">
        <f t="shared" si="17"/>
        <v>1.504</v>
      </c>
      <c r="AR52" s="9">
        <f t="shared" si="18"/>
        <v>35.616</v>
      </c>
      <c r="AS52" s="11">
        <f t="shared" si="19"/>
        <v>284.928</v>
      </c>
      <c r="AT52" s="71">
        <v>52.5</v>
      </c>
      <c r="AU52" s="9">
        <v>22000.0</v>
      </c>
      <c r="AV52" s="11">
        <f t="shared" si="20"/>
        <v>11550</v>
      </c>
      <c r="AW52" s="71">
        <v>26.0</v>
      </c>
      <c r="AX52" s="9">
        <v>7000.0</v>
      </c>
      <c r="AY52" s="11">
        <f t="shared" si="21"/>
        <v>1820</v>
      </c>
      <c r="AZ52" s="75">
        <f t="shared" si="22"/>
        <v>10363.49943</v>
      </c>
      <c r="BA52" s="120">
        <f t="shared" si="23"/>
        <v>0.5757499683</v>
      </c>
      <c r="BB52" s="11">
        <f t="shared" si="24"/>
        <v>1.736865055</v>
      </c>
      <c r="BC52" s="11" t="str">
        <f t="shared" si="25"/>
        <v>YES</v>
      </c>
    </row>
    <row r="53" ht="15.75" customHeight="1">
      <c r="A53" s="12"/>
      <c r="B53" s="26" t="s">
        <v>14</v>
      </c>
      <c r="C53" s="26" t="s">
        <v>329</v>
      </c>
      <c r="D53" s="7" t="s">
        <v>567</v>
      </c>
      <c r="E53" s="7" t="s">
        <v>618</v>
      </c>
      <c r="F53" s="7" t="s">
        <v>51</v>
      </c>
      <c r="G53" s="7" t="s">
        <v>569</v>
      </c>
      <c r="H53" s="7">
        <v>7.0</v>
      </c>
      <c r="I53" s="7"/>
      <c r="J53" s="7"/>
      <c r="K53" s="7">
        <v>415.0</v>
      </c>
      <c r="L53" s="7">
        <f>K53*12</f>
        <v>4980</v>
      </c>
      <c r="M53" s="9">
        <f t="shared" si="1"/>
        <v>0</v>
      </c>
      <c r="N53" s="9">
        <f t="shared" si="2"/>
        <v>0</v>
      </c>
      <c r="O53" s="7">
        <v>1.0</v>
      </c>
      <c r="P53" s="9">
        <f t="shared" si="3"/>
        <v>0</v>
      </c>
      <c r="Q53" s="7">
        <v>8.0</v>
      </c>
      <c r="R53" s="106">
        <v>0.0</v>
      </c>
      <c r="S53" s="7">
        <v>20.0</v>
      </c>
      <c r="T53" s="7">
        <v>550.0</v>
      </c>
      <c r="U53" s="7">
        <f t="shared" si="4"/>
        <v>88000</v>
      </c>
      <c r="V53" s="7">
        <f t="shared" si="5"/>
        <v>20</v>
      </c>
      <c r="W53" s="14">
        <f t="shared" si="6"/>
        <v>11000</v>
      </c>
      <c r="X53" s="94">
        <f t="shared" si="7"/>
        <v>0</v>
      </c>
      <c r="Y53" s="82">
        <v>0.0</v>
      </c>
      <c r="Z53" s="7">
        <v>550.0</v>
      </c>
      <c r="AA53" s="7">
        <v>1.4</v>
      </c>
      <c r="AB53" s="7">
        <f t="shared" si="8"/>
        <v>770</v>
      </c>
      <c r="AC53" s="7">
        <f t="shared" si="9"/>
        <v>550</v>
      </c>
      <c r="AD53" s="7">
        <f t="shared" si="10"/>
        <v>0</v>
      </c>
      <c r="AE53" s="83">
        <f t="shared" si="11"/>
        <v>0</v>
      </c>
      <c r="AF53" s="82">
        <v>0.0</v>
      </c>
      <c r="AG53" s="7">
        <v>850.0</v>
      </c>
      <c r="AH53" s="78">
        <v>0.7</v>
      </c>
      <c r="AI53" s="7">
        <f t="shared" si="12"/>
        <v>595</v>
      </c>
      <c r="AJ53" s="7">
        <f t="shared" si="13"/>
        <v>850</v>
      </c>
      <c r="AK53" s="7">
        <f t="shared" si="14"/>
        <v>0</v>
      </c>
      <c r="AL53" s="14">
        <f t="shared" si="15"/>
        <v>0</v>
      </c>
      <c r="AM53" s="84">
        <v>53.0</v>
      </c>
      <c r="AN53" s="78">
        <v>3.2</v>
      </c>
      <c r="AO53" s="78">
        <v>21.0</v>
      </c>
      <c r="AP53" s="7">
        <f t="shared" si="16"/>
        <v>67.2</v>
      </c>
      <c r="AQ53" s="7">
        <f t="shared" si="17"/>
        <v>1.504</v>
      </c>
      <c r="AR53" s="7">
        <f t="shared" si="18"/>
        <v>35.616</v>
      </c>
      <c r="AS53" s="14">
        <f t="shared" si="19"/>
        <v>284.928</v>
      </c>
      <c r="AT53" s="80">
        <v>52.5</v>
      </c>
      <c r="AU53" s="7">
        <v>22000.0</v>
      </c>
      <c r="AV53" s="14">
        <f t="shared" si="20"/>
        <v>11550</v>
      </c>
      <c r="AW53" s="80">
        <v>26.0</v>
      </c>
      <c r="AX53" s="7">
        <v>7000.0</v>
      </c>
      <c r="AY53" s="14">
        <f t="shared" si="21"/>
        <v>1820</v>
      </c>
      <c r="AZ53" s="75">
        <f t="shared" si="22"/>
        <v>8674.928</v>
      </c>
      <c r="BA53" s="120" t="str">
        <f t="shared" si="23"/>
        <v>The DAT is free</v>
      </c>
      <c r="BB53" s="11">
        <f t="shared" si="24"/>
        <v>0</v>
      </c>
      <c r="BC53" s="11" t="str">
        <f t="shared" si="25"/>
        <v>YES</v>
      </c>
    </row>
    <row r="54" ht="15.75" customHeight="1">
      <c r="A54" s="12"/>
      <c r="B54" s="26" t="s">
        <v>14</v>
      </c>
      <c r="C54" s="26" t="s">
        <v>238</v>
      </c>
      <c r="D54" s="7" t="s">
        <v>382</v>
      </c>
      <c r="E54" s="7" t="s">
        <v>187</v>
      </c>
      <c r="F54" s="7" t="s">
        <v>51</v>
      </c>
      <c r="G54" s="7" t="s">
        <v>595</v>
      </c>
      <c r="H54" s="7">
        <v>7.0</v>
      </c>
      <c r="I54" s="7">
        <v>30000.0</v>
      </c>
      <c r="J54" s="7"/>
      <c r="K54" s="7"/>
      <c r="L54" s="7"/>
      <c r="M54" s="9">
        <f t="shared" si="1"/>
        <v>4285.714286</v>
      </c>
      <c r="N54" s="9">
        <f t="shared" si="2"/>
        <v>1200</v>
      </c>
      <c r="O54" s="7">
        <v>1.0</v>
      </c>
      <c r="P54" s="9">
        <f t="shared" si="3"/>
        <v>30000</v>
      </c>
      <c r="Q54" s="7">
        <v>8.0</v>
      </c>
      <c r="R54" s="16">
        <v>20.0</v>
      </c>
      <c r="S54" s="7">
        <v>20.0</v>
      </c>
      <c r="T54" s="7">
        <v>550.0</v>
      </c>
      <c r="U54" s="7">
        <f t="shared" si="4"/>
        <v>88000</v>
      </c>
      <c r="V54" s="7">
        <f t="shared" si="5"/>
        <v>24</v>
      </c>
      <c r="W54" s="14">
        <f t="shared" si="6"/>
        <v>13200</v>
      </c>
      <c r="X54" s="94">
        <f t="shared" si="7"/>
        <v>17600</v>
      </c>
      <c r="Y54" s="82">
        <v>0.0</v>
      </c>
      <c r="Z54" s="7">
        <v>550.0</v>
      </c>
      <c r="AA54" s="7">
        <v>1.4</v>
      </c>
      <c r="AB54" s="7">
        <f t="shared" si="8"/>
        <v>770</v>
      </c>
      <c r="AC54" s="7">
        <f t="shared" si="9"/>
        <v>550</v>
      </c>
      <c r="AD54" s="7">
        <f t="shared" si="10"/>
        <v>0</v>
      </c>
      <c r="AE54" s="83">
        <f t="shared" si="11"/>
        <v>0</v>
      </c>
      <c r="AF54" s="82">
        <v>0.0</v>
      </c>
      <c r="AG54" s="7">
        <v>850.0</v>
      </c>
      <c r="AH54" s="78">
        <v>0.7</v>
      </c>
      <c r="AI54" s="7">
        <f t="shared" si="12"/>
        <v>595</v>
      </c>
      <c r="AJ54" s="7">
        <f t="shared" si="13"/>
        <v>850</v>
      </c>
      <c r="AK54" s="7">
        <f t="shared" si="14"/>
        <v>0</v>
      </c>
      <c r="AL54" s="14">
        <f t="shared" si="15"/>
        <v>0</v>
      </c>
      <c r="AM54" s="84">
        <v>53.0</v>
      </c>
      <c r="AN54" s="78">
        <v>3.2</v>
      </c>
      <c r="AO54" s="78">
        <v>21.0</v>
      </c>
      <c r="AP54" s="7">
        <f t="shared" si="16"/>
        <v>67.2</v>
      </c>
      <c r="AQ54" s="7">
        <f t="shared" si="17"/>
        <v>1.504</v>
      </c>
      <c r="AR54" s="7">
        <f t="shared" si="18"/>
        <v>35.616</v>
      </c>
      <c r="AS54" s="14">
        <f t="shared" si="19"/>
        <v>284.928</v>
      </c>
      <c r="AT54" s="80">
        <v>52.5</v>
      </c>
      <c r="AU54" s="7">
        <v>22000.0</v>
      </c>
      <c r="AV54" s="14">
        <f t="shared" si="20"/>
        <v>11550</v>
      </c>
      <c r="AW54" s="80">
        <v>26.0</v>
      </c>
      <c r="AX54" s="7">
        <v>7000.0</v>
      </c>
      <c r="AY54" s="14">
        <f t="shared" si="21"/>
        <v>1820</v>
      </c>
      <c r="AZ54" s="75">
        <f t="shared" si="22"/>
        <v>25769.21371</v>
      </c>
      <c r="BA54" s="120">
        <f t="shared" si="23"/>
        <v>0.8589737905</v>
      </c>
      <c r="BB54" s="11">
        <f t="shared" si="24"/>
        <v>1.164179875</v>
      </c>
      <c r="BC54" s="11" t="str">
        <f t="shared" si="25"/>
        <v>YES</v>
      </c>
    </row>
    <row r="55" ht="15.75" customHeight="1">
      <c r="A55" s="18"/>
      <c r="B55" s="85" t="s">
        <v>14</v>
      </c>
      <c r="C55" s="85" t="s">
        <v>392</v>
      </c>
      <c r="D55" s="19" t="s">
        <v>393</v>
      </c>
      <c r="E55" s="19" t="s">
        <v>394</v>
      </c>
      <c r="F55" s="19" t="s">
        <v>51</v>
      </c>
      <c r="G55" s="19" t="s">
        <v>559</v>
      </c>
      <c r="H55" s="19">
        <v>7.0</v>
      </c>
      <c r="I55" s="19">
        <v>950.0</v>
      </c>
      <c r="J55" s="19"/>
      <c r="K55" s="19"/>
      <c r="L55" s="19"/>
      <c r="M55" s="9">
        <f t="shared" si="1"/>
        <v>135.7142857</v>
      </c>
      <c r="N55" s="9">
        <f t="shared" si="2"/>
        <v>38</v>
      </c>
      <c r="O55" s="19">
        <v>1.0</v>
      </c>
      <c r="P55" s="9">
        <f t="shared" si="3"/>
        <v>950</v>
      </c>
      <c r="Q55" s="19">
        <v>8.0</v>
      </c>
      <c r="R55" s="107">
        <v>0.0</v>
      </c>
      <c r="S55" s="19">
        <v>20.0</v>
      </c>
      <c r="T55" s="19">
        <v>550.0</v>
      </c>
      <c r="U55" s="19">
        <f t="shared" si="4"/>
        <v>88000</v>
      </c>
      <c r="V55" s="19">
        <f t="shared" si="5"/>
        <v>20</v>
      </c>
      <c r="W55" s="21">
        <f t="shared" si="6"/>
        <v>11000</v>
      </c>
      <c r="X55" s="89">
        <f t="shared" si="7"/>
        <v>0</v>
      </c>
      <c r="Y55" s="92">
        <v>0.0</v>
      </c>
      <c r="Z55" s="19">
        <v>550.0</v>
      </c>
      <c r="AA55" s="19">
        <v>1.4</v>
      </c>
      <c r="AB55" s="19">
        <f t="shared" si="8"/>
        <v>770</v>
      </c>
      <c r="AC55" s="19">
        <f t="shared" si="9"/>
        <v>550</v>
      </c>
      <c r="AD55" s="19">
        <f t="shared" si="10"/>
        <v>0</v>
      </c>
      <c r="AE55" s="91">
        <f t="shared" si="11"/>
        <v>0</v>
      </c>
      <c r="AF55" s="92">
        <v>0.0</v>
      </c>
      <c r="AG55" s="19">
        <v>850.0</v>
      </c>
      <c r="AH55" s="93">
        <v>0.7</v>
      </c>
      <c r="AI55" s="19">
        <f t="shared" si="12"/>
        <v>595</v>
      </c>
      <c r="AJ55" s="19">
        <f t="shared" si="13"/>
        <v>850</v>
      </c>
      <c r="AK55" s="19">
        <f t="shared" si="14"/>
        <v>0</v>
      </c>
      <c r="AL55" s="21">
        <f t="shared" si="15"/>
        <v>0</v>
      </c>
      <c r="AM55" s="90">
        <v>0.0</v>
      </c>
      <c r="AN55" s="93">
        <v>3.2</v>
      </c>
      <c r="AO55" s="93">
        <v>21.0</v>
      </c>
      <c r="AP55" s="19">
        <f t="shared" si="16"/>
        <v>67.2</v>
      </c>
      <c r="AQ55" s="19">
        <f t="shared" si="17"/>
        <v>3.2</v>
      </c>
      <c r="AR55" s="19">
        <f t="shared" si="18"/>
        <v>0</v>
      </c>
      <c r="AS55" s="21">
        <f t="shared" si="19"/>
        <v>0</v>
      </c>
      <c r="AT55" s="90">
        <v>52.5</v>
      </c>
      <c r="AU55" s="19">
        <v>22000.0</v>
      </c>
      <c r="AV55" s="21">
        <f t="shared" si="20"/>
        <v>11550</v>
      </c>
      <c r="AW55" s="90">
        <v>26.0</v>
      </c>
      <c r="AX55" s="19">
        <v>7000.0</v>
      </c>
      <c r="AY55" s="21">
        <f t="shared" si="21"/>
        <v>1820</v>
      </c>
      <c r="AZ55" s="75">
        <f t="shared" si="22"/>
        <v>13196.28571</v>
      </c>
      <c r="BA55" s="120">
        <f t="shared" si="23"/>
        <v>13.89082707</v>
      </c>
      <c r="BB55" s="11">
        <f t="shared" si="24"/>
        <v>0.07198995388</v>
      </c>
      <c r="BC55" s="11" t="str">
        <f t="shared" si="25"/>
        <v>YES</v>
      </c>
    </row>
    <row r="56" ht="15.75" customHeight="1">
      <c r="A56" s="26"/>
      <c r="B56" s="26"/>
      <c r="C56" s="26"/>
      <c r="G56" s="7"/>
      <c r="H56" s="7"/>
      <c r="I56" s="7"/>
      <c r="J56" s="7"/>
      <c r="K56" s="7"/>
      <c r="L56" s="7"/>
      <c r="M56" s="7"/>
      <c r="N56" s="7"/>
      <c r="O56" s="7"/>
      <c r="P56" s="7"/>
      <c r="U56" s="7"/>
      <c r="V56" s="7"/>
      <c r="W56" s="7"/>
      <c r="X56" s="78"/>
      <c r="AD56" s="7"/>
      <c r="AE56" s="78"/>
    </row>
    <row r="57" ht="15.75" customHeight="1">
      <c r="A57" s="26"/>
      <c r="B57" s="26"/>
      <c r="C57" s="26"/>
      <c r="G57" s="7"/>
      <c r="H57" s="7"/>
      <c r="I57" s="7"/>
      <c r="J57" s="7"/>
      <c r="K57" s="7"/>
      <c r="L57" s="7"/>
      <c r="M57" s="7"/>
      <c r="N57" s="7"/>
      <c r="O57" s="7"/>
      <c r="P57" s="7"/>
      <c r="U57" s="7"/>
      <c r="V57" s="7"/>
      <c r="W57" s="7"/>
      <c r="X57" s="78"/>
      <c r="AD57" s="7"/>
      <c r="AE57" s="78"/>
    </row>
    <row r="58" ht="15.75" customHeight="1">
      <c r="A58" s="26"/>
      <c r="B58" s="26"/>
      <c r="C58" s="26"/>
      <c r="G58" s="7"/>
      <c r="H58" s="7"/>
      <c r="I58" s="7"/>
      <c r="J58" s="7"/>
      <c r="K58" s="7"/>
      <c r="L58" s="7"/>
      <c r="M58" s="7"/>
      <c r="N58" s="7"/>
      <c r="O58" s="7"/>
      <c r="P58" s="7"/>
      <c r="U58" s="7"/>
      <c r="V58" s="7"/>
      <c r="W58" s="7"/>
      <c r="X58" s="78"/>
      <c r="AD58" s="7"/>
      <c r="AE58" s="78"/>
    </row>
    <row r="59" ht="15.75" customHeight="1">
      <c r="A59" s="26"/>
      <c r="B59" s="26"/>
      <c r="C59" s="26"/>
      <c r="G59" s="7"/>
      <c r="H59" s="7"/>
      <c r="I59" s="7"/>
      <c r="J59" s="7"/>
      <c r="K59" s="7"/>
      <c r="L59" s="7"/>
      <c r="M59" s="7"/>
      <c r="N59" s="7"/>
      <c r="O59" s="7"/>
      <c r="P59" s="7"/>
      <c r="U59" s="7"/>
      <c r="V59" s="7"/>
      <c r="W59" s="7"/>
      <c r="X59" s="78"/>
      <c r="AD59" s="7"/>
      <c r="AE59" s="78"/>
    </row>
    <row r="60" ht="15.75" customHeight="1">
      <c r="A60" s="26"/>
      <c r="B60" s="26"/>
      <c r="C60" s="26"/>
      <c r="G60" s="7"/>
      <c r="H60" s="7"/>
      <c r="I60" s="7"/>
      <c r="J60" s="7"/>
      <c r="K60" s="7"/>
      <c r="L60" s="7"/>
      <c r="M60" s="7"/>
      <c r="N60" s="7"/>
      <c r="O60" s="7"/>
      <c r="P60" s="7"/>
      <c r="U60" s="7"/>
      <c r="V60" s="7"/>
      <c r="W60" s="7"/>
      <c r="X60" s="78"/>
      <c r="AD60" s="7"/>
      <c r="AE60" s="78"/>
    </row>
    <row r="61" ht="15.75" customHeight="1">
      <c r="A61" s="26"/>
      <c r="B61" s="26"/>
      <c r="C61" s="26"/>
      <c r="G61" s="7"/>
      <c r="H61" s="7"/>
      <c r="I61" s="7"/>
      <c r="J61" s="7"/>
      <c r="K61" s="7"/>
      <c r="L61" s="7"/>
      <c r="M61" s="7"/>
      <c r="N61" s="7"/>
      <c r="O61" s="7"/>
      <c r="P61" s="7"/>
      <c r="U61" s="7"/>
      <c r="V61" s="7"/>
      <c r="W61" s="7"/>
      <c r="X61" s="78"/>
      <c r="AD61" s="7"/>
      <c r="AE61" s="78"/>
    </row>
    <row r="62" ht="15.75" customHeight="1">
      <c r="A62" s="26"/>
      <c r="B62" s="26"/>
      <c r="C62" s="26"/>
      <c r="G62" s="7"/>
    </row>
    <row r="63" ht="15.75" customHeight="1">
      <c r="A63" s="26"/>
      <c r="B63" s="26"/>
      <c r="C63" s="26"/>
      <c r="G63" s="7"/>
    </row>
    <row r="64" ht="15.75" customHeight="1">
      <c r="A64" s="26"/>
      <c r="B64" s="26"/>
      <c r="C64" s="26"/>
      <c r="G64" s="7"/>
    </row>
    <row r="65" ht="15.75" customHeight="1">
      <c r="G65" s="7"/>
    </row>
    <row r="66" ht="15.75" customHeight="1">
      <c r="G66" s="7"/>
    </row>
    <row r="67" ht="15.75" customHeight="1">
      <c r="G67" s="7"/>
    </row>
    <row r="68" ht="15.75" customHeight="1">
      <c r="G68" s="7"/>
    </row>
    <row r="69" ht="15.75" customHeight="1">
      <c r="G69" s="7"/>
    </row>
    <row r="70" ht="15.75" customHeight="1">
      <c r="G70" s="7"/>
    </row>
    <row r="71" ht="15.75" customHeight="1">
      <c r="G71" s="7"/>
    </row>
    <row r="72" ht="15.75" customHeight="1">
      <c r="G72" s="7"/>
    </row>
    <row r="73" ht="15.75" customHeight="1">
      <c r="G73" s="7"/>
    </row>
    <row r="74" ht="15.75" customHeight="1">
      <c r="G74" s="7"/>
    </row>
    <row r="75" ht="15.75" customHeight="1">
      <c r="G75" s="7"/>
    </row>
    <row r="76" ht="15.75" customHeight="1">
      <c r="G76" s="7"/>
    </row>
    <row r="77" ht="15.75" customHeight="1">
      <c r="G77" s="7"/>
    </row>
    <row r="78" ht="15.75" customHeight="1">
      <c r="G78" s="7"/>
    </row>
    <row r="79" ht="15.75" customHeight="1">
      <c r="G79" s="7"/>
    </row>
    <row r="80" ht="15.75" customHeight="1">
      <c r="G80" s="7"/>
    </row>
    <row r="81" ht="15.75" customHeight="1">
      <c r="G81" s="7"/>
    </row>
    <row r="82" ht="15.75" customHeight="1">
      <c r="G82" s="7"/>
    </row>
    <row r="83" ht="15.75" customHeight="1">
      <c r="G83" s="7"/>
    </row>
    <row r="84" ht="15.75" customHeight="1">
      <c r="G84" s="7"/>
    </row>
    <row r="85" ht="15.75" customHeight="1">
      <c r="G85" s="7"/>
    </row>
    <row r="86" ht="15.75" customHeight="1">
      <c r="G86" s="7"/>
    </row>
    <row r="87" ht="15.75" customHeight="1">
      <c r="G87" s="7"/>
    </row>
    <row r="88" ht="15.75" customHeight="1">
      <c r="G88" s="7"/>
    </row>
    <row r="89" ht="15.75" customHeight="1">
      <c r="G89" s="7"/>
    </row>
    <row r="90" ht="15.75" customHeight="1">
      <c r="G90" s="7"/>
    </row>
    <row r="91" ht="15.75" customHeight="1">
      <c r="G91" s="7"/>
    </row>
    <row r="92" ht="15.75" customHeight="1">
      <c r="G92" s="7"/>
    </row>
    <row r="93" ht="15.75" customHeight="1">
      <c r="G93" s="7"/>
    </row>
    <row r="94" ht="15.75" customHeight="1">
      <c r="G94" s="7"/>
    </row>
    <row r="95" ht="15.75" customHeight="1">
      <c r="G95" s="7"/>
    </row>
    <row r="96" ht="15.75" customHeight="1">
      <c r="G96" s="7"/>
    </row>
    <row r="97" ht="15.75" customHeight="1">
      <c r="G97" s="7"/>
    </row>
    <row r="98" ht="15.75" customHeight="1">
      <c r="G98" s="7"/>
    </row>
    <row r="99" ht="15.75" customHeight="1">
      <c r="G99" s="7"/>
    </row>
    <row r="100" ht="15.75" customHeight="1">
      <c r="G100" s="7"/>
    </row>
    <row r="101" ht="15.75" customHeight="1">
      <c r="G101" s="7"/>
    </row>
    <row r="102" ht="15.75" customHeight="1">
      <c r="G102" s="7"/>
    </row>
    <row r="103" ht="15.75" customHeight="1">
      <c r="G103" s="7"/>
    </row>
    <row r="104" ht="15.75" customHeight="1">
      <c r="G104" s="7"/>
    </row>
    <row r="105" ht="15.75" customHeight="1">
      <c r="G105" s="7"/>
    </row>
    <row r="106" ht="15.75" customHeight="1">
      <c r="G106" s="7"/>
    </row>
    <row r="107" ht="15.75" customHeight="1">
      <c r="G107" s="7"/>
    </row>
    <row r="108" ht="15.75" customHeight="1">
      <c r="G108" s="7"/>
    </row>
    <row r="109" ht="15.75" customHeight="1">
      <c r="G109" s="7"/>
    </row>
    <row r="110" ht="15.75" customHeight="1">
      <c r="G110" s="7"/>
    </row>
    <row r="111" ht="15.75" customHeight="1">
      <c r="G111" s="7"/>
    </row>
    <row r="112" ht="15.75" customHeight="1">
      <c r="G112" s="7"/>
    </row>
    <row r="113" ht="15.75" customHeight="1">
      <c r="G113" s="7"/>
    </row>
    <row r="114" ht="15.75" customHeight="1">
      <c r="G114" s="7"/>
    </row>
    <row r="115" ht="15.75" customHeight="1">
      <c r="G115" s="7"/>
    </row>
    <row r="116" ht="15.75" customHeight="1">
      <c r="G116" s="7"/>
    </row>
    <row r="117" ht="15.75" customHeight="1">
      <c r="G117" s="7"/>
    </row>
    <row r="118" ht="15.75" customHeight="1">
      <c r="G118" s="7"/>
    </row>
    <row r="119" ht="15.75" customHeight="1">
      <c r="G119" s="7"/>
    </row>
    <row r="120" ht="15.75" customHeight="1">
      <c r="G120" s="7"/>
    </row>
    <row r="121" ht="15.75" customHeight="1">
      <c r="G121" s="7"/>
    </row>
    <row r="122" ht="15.75" customHeight="1">
      <c r="G122" s="7"/>
    </row>
    <row r="123" ht="15.75" customHeight="1">
      <c r="G123" s="7"/>
    </row>
    <row r="124" ht="15.75" customHeight="1">
      <c r="G124" s="7"/>
    </row>
    <row r="125" ht="15.75" customHeight="1">
      <c r="G125" s="7"/>
    </row>
    <row r="126" ht="15.75" customHeight="1">
      <c r="G126" s="7"/>
    </row>
    <row r="127" ht="15.75" customHeight="1">
      <c r="G127" s="7"/>
    </row>
    <row r="128" ht="15.75" customHeight="1">
      <c r="G128" s="7"/>
    </row>
    <row r="129" ht="15.75" customHeight="1">
      <c r="G129" s="7"/>
    </row>
    <row r="130" ht="15.75" customHeight="1">
      <c r="G130" s="7"/>
    </row>
    <row r="131" ht="15.75" customHeight="1">
      <c r="G131" s="7"/>
    </row>
    <row r="132" ht="15.75" customHeight="1">
      <c r="G132" s="7"/>
    </row>
    <row r="133" ht="15.75" customHeight="1">
      <c r="G133" s="7"/>
    </row>
    <row r="134" ht="15.75" customHeight="1">
      <c r="G134" s="7"/>
    </row>
    <row r="135" ht="15.75" customHeight="1">
      <c r="G135" s="7"/>
    </row>
    <row r="136" ht="15.75" customHeight="1">
      <c r="G136" s="7"/>
    </row>
    <row r="137" ht="15.75" customHeight="1">
      <c r="G137" s="7"/>
    </row>
    <row r="138" ht="15.75" customHeight="1">
      <c r="G138" s="7"/>
    </row>
    <row r="139" ht="15.75" customHeight="1">
      <c r="G139" s="7"/>
    </row>
    <row r="140" ht="15.75" customHeight="1">
      <c r="G140" s="7"/>
    </row>
    <row r="141" ht="15.75" customHeight="1">
      <c r="G141" s="7"/>
    </row>
    <row r="142" ht="15.75" customHeight="1">
      <c r="G142" s="7"/>
    </row>
    <row r="143" ht="15.75" customHeight="1">
      <c r="G143" s="7"/>
    </row>
    <row r="144" ht="15.75" customHeight="1">
      <c r="G144" s="7"/>
    </row>
    <row r="145" ht="15.75" customHeight="1">
      <c r="G145" s="7"/>
    </row>
    <row r="146" ht="15.75" customHeight="1">
      <c r="G146" s="7"/>
    </row>
    <row r="147" ht="15.75" customHeight="1">
      <c r="G147" s="7"/>
    </row>
    <row r="148" ht="15.75" customHeight="1">
      <c r="G148" s="7"/>
    </row>
    <row r="149" ht="15.75" customHeight="1">
      <c r="G149" s="7"/>
    </row>
    <row r="150" ht="15.75" customHeight="1">
      <c r="G150" s="7"/>
    </row>
    <row r="151" ht="15.75" customHeight="1">
      <c r="G151" s="7"/>
    </row>
    <row r="152" ht="15.75" customHeight="1">
      <c r="G152" s="7"/>
    </row>
    <row r="153" ht="15.75" customHeight="1">
      <c r="G153" s="7"/>
    </row>
    <row r="154" ht="15.75" customHeight="1">
      <c r="G154" s="7"/>
    </row>
    <row r="155" ht="15.75" customHeight="1">
      <c r="G155" s="7"/>
    </row>
    <row r="156" ht="15.75" customHeight="1">
      <c r="G156" s="7"/>
    </row>
    <row r="157" ht="15.75" customHeight="1">
      <c r="G157" s="7"/>
    </row>
    <row r="158" ht="15.75" customHeight="1">
      <c r="G158" s="7"/>
    </row>
    <row r="159" ht="15.75" customHeight="1">
      <c r="G159" s="7"/>
    </row>
    <row r="160" ht="15.75" customHeight="1">
      <c r="G160" s="7"/>
    </row>
    <row r="161" ht="15.75" customHeight="1">
      <c r="G161" s="7"/>
    </row>
    <row r="162" ht="15.75" customHeight="1">
      <c r="G162" s="7"/>
    </row>
    <row r="163" ht="15.75" customHeight="1">
      <c r="G163" s="7"/>
    </row>
    <row r="164" ht="15.75" customHeight="1">
      <c r="G164" s="7"/>
    </row>
    <row r="165" ht="15.75" customHeight="1">
      <c r="G165" s="7"/>
    </row>
    <row r="166" ht="15.75" customHeight="1">
      <c r="G166" s="7"/>
    </row>
    <row r="167" ht="15.75" customHeight="1">
      <c r="G167" s="7"/>
    </row>
    <row r="168" ht="15.75" customHeight="1">
      <c r="G168" s="7"/>
    </row>
    <row r="169" ht="15.75" customHeight="1">
      <c r="G169" s="7"/>
    </row>
    <row r="170" ht="15.75" customHeight="1">
      <c r="G170" s="7"/>
    </row>
    <row r="171" ht="15.75" customHeight="1">
      <c r="G171" s="7"/>
    </row>
    <row r="172" ht="15.75" customHeight="1">
      <c r="G172" s="7"/>
    </row>
    <row r="173" ht="15.75" customHeight="1">
      <c r="G173" s="7"/>
    </row>
    <row r="174" ht="15.75" customHeight="1">
      <c r="G174" s="7"/>
    </row>
    <row r="175" ht="15.75" customHeight="1">
      <c r="G175" s="7"/>
    </row>
    <row r="176" ht="15.75" customHeight="1">
      <c r="G176" s="7"/>
    </row>
    <row r="177" ht="15.75" customHeight="1">
      <c r="G177" s="7"/>
    </row>
    <row r="178" ht="15.75" customHeight="1">
      <c r="G178" s="7"/>
    </row>
    <row r="179" ht="15.75" customHeight="1">
      <c r="G179" s="7"/>
    </row>
    <row r="180" ht="15.75" customHeight="1">
      <c r="G180" s="7"/>
    </row>
    <row r="181" ht="15.75" customHeight="1">
      <c r="G181" s="7"/>
    </row>
    <row r="182" ht="15.75" customHeight="1">
      <c r="G182" s="7"/>
    </row>
    <row r="183" ht="15.75" customHeight="1">
      <c r="G183" s="7"/>
    </row>
    <row r="184" ht="15.75" customHeight="1">
      <c r="G184" s="7"/>
    </row>
    <row r="185" ht="15.75" customHeight="1">
      <c r="G185" s="7"/>
    </row>
    <row r="186" ht="15.75" customHeight="1">
      <c r="G186" s="7"/>
    </row>
    <row r="187" ht="15.75" customHeight="1">
      <c r="G187" s="7"/>
    </row>
    <row r="188" ht="15.75" customHeight="1">
      <c r="G188" s="7"/>
    </row>
    <row r="189" ht="15.75" customHeight="1">
      <c r="G189" s="7"/>
    </row>
    <row r="190" ht="15.75" customHeight="1">
      <c r="G190" s="7"/>
    </row>
    <row r="191" ht="15.75" customHeight="1">
      <c r="G191" s="7"/>
    </row>
    <row r="192" ht="15.75" customHeight="1">
      <c r="G192" s="7"/>
    </row>
    <row r="193" ht="15.75" customHeight="1">
      <c r="G193" s="7"/>
    </row>
    <row r="194" ht="15.75" customHeight="1">
      <c r="G194" s="7"/>
    </row>
    <row r="195" ht="15.75" customHeight="1">
      <c r="G195" s="7"/>
    </row>
    <row r="196" ht="15.75" customHeight="1">
      <c r="G196" s="7"/>
    </row>
    <row r="197" ht="15.75" customHeight="1">
      <c r="G197" s="7"/>
    </row>
    <row r="198" ht="15.75" customHeight="1">
      <c r="G198" s="7"/>
    </row>
    <row r="199" ht="15.75" customHeight="1">
      <c r="G199" s="7"/>
    </row>
    <row r="200" ht="15.75" customHeight="1">
      <c r="G200" s="7"/>
    </row>
    <row r="201" ht="15.75" customHeight="1">
      <c r="G201" s="7"/>
    </row>
    <row r="202" ht="15.75" customHeight="1">
      <c r="G202" s="7"/>
    </row>
    <row r="203" ht="15.75" customHeight="1">
      <c r="G203" s="7"/>
    </row>
    <row r="204" ht="15.75" customHeight="1">
      <c r="G204" s="7"/>
    </row>
    <row r="205" ht="15.75" customHeight="1">
      <c r="G205" s="7"/>
    </row>
    <row r="206" ht="15.75" customHeight="1">
      <c r="G206" s="7"/>
    </row>
    <row r="207" ht="15.75" customHeight="1">
      <c r="G207" s="7"/>
    </row>
    <row r="208" ht="15.75" customHeight="1">
      <c r="G208" s="7"/>
    </row>
    <row r="209" ht="15.75" customHeight="1">
      <c r="G209" s="7"/>
    </row>
    <row r="210" ht="15.75" customHeight="1">
      <c r="G210" s="7"/>
    </row>
    <row r="211" ht="15.75" customHeight="1">
      <c r="G211" s="7"/>
    </row>
    <row r="212" ht="15.75" customHeight="1">
      <c r="G212" s="7"/>
    </row>
    <row r="213" ht="15.75" customHeight="1">
      <c r="G213" s="7"/>
    </row>
    <row r="214" ht="15.75" customHeight="1">
      <c r="G214" s="7"/>
    </row>
    <row r="215" ht="15.75" customHeight="1">
      <c r="G215" s="7"/>
    </row>
    <row r="216" ht="15.75" customHeight="1">
      <c r="G216" s="7"/>
    </row>
    <row r="217" ht="15.75" customHeight="1">
      <c r="G217" s="7"/>
    </row>
    <row r="218" ht="15.75" customHeight="1">
      <c r="G218" s="7"/>
    </row>
    <row r="219" ht="15.75" customHeight="1">
      <c r="G219" s="7"/>
    </row>
    <row r="220" ht="15.75" customHeight="1">
      <c r="G220" s="7"/>
    </row>
    <row r="221" ht="15.75" customHeight="1">
      <c r="G221" s="7"/>
    </row>
    <row r="222" ht="15.75" customHeight="1">
      <c r="G222" s="7"/>
    </row>
    <row r="223" ht="15.75" customHeight="1">
      <c r="G223" s="7"/>
    </row>
    <row r="224" ht="15.75" customHeight="1">
      <c r="G224" s="7"/>
    </row>
    <row r="225" ht="15.75" customHeight="1">
      <c r="G225" s="7"/>
    </row>
    <row r="226" ht="15.75" customHeight="1">
      <c r="G226" s="7"/>
    </row>
    <row r="227" ht="15.75" customHeight="1">
      <c r="G227" s="7"/>
    </row>
    <row r="228" ht="15.75" customHeight="1">
      <c r="G228" s="7"/>
    </row>
    <row r="229" ht="15.75" customHeight="1">
      <c r="G229" s="7"/>
    </row>
    <row r="230" ht="15.75" customHeight="1">
      <c r="G230" s="7"/>
    </row>
    <row r="231" ht="15.75" customHeight="1">
      <c r="G231" s="7"/>
    </row>
    <row r="232" ht="15.75" customHeight="1">
      <c r="G232" s="7"/>
    </row>
    <row r="233" ht="15.75" customHeight="1">
      <c r="G233" s="7"/>
    </row>
    <row r="234" ht="15.75" customHeight="1">
      <c r="G234" s="7"/>
    </row>
    <row r="235" ht="15.75" customHeight="1">
      <c r="G235" s="7"/>
    </row>
    <row r="236" ht="15.75" customHeight="1">
      <c r="G236" s="7"/>
    </row>
    <row r="237" ht="15.75" customHeight="1">
      <c r="G237" s="7"/>
    </row>
    <row r="238" ht="15.75" customHeight="1">
      <c r="G238" s="7"/>
    </row>
    <row r="239" ht="15.75" customHeight="1">
      <c r="G239" s="7"/>
    </row>
    <row r="240" ht="15.75" customHeight="1">
      <c r="G240" s="7"/>
    </row>
    <row r="241" ht="15.75" customHeight="1">
      <c r="G241" s="7"/>
    </row>
    <row r="242" ht="15.75" customHeight="1">
      <c r="G242" s="7"/>
    </row>
    <row r="243" ht="15.75" customHeight="1">
      <c r="G243" s="7"/>
    </row>
    <row r="244" ht="15.75" customHeight="1">
      <c r="G244" s="7"/>
    </row>
    <row r="245" ht="15.75" customHeight="1">
      <c r="G245" s="7"/>
    </row>
    <row r="246" ht="15.75" customHeight="1">
      <c r="G246" s="7"/>
    </row>
    <row r="247" ht="15.75" customHeight="1">
      <c r="G247" s="7"/>
    </row>
    <row r="248" ht="15.75" customHeight="1">
      <c r="G248" s="7"/>
    </row>
    <row r="249" ht="15.75" customHeight="1">
      <c r="G249" s="7"/>
    </row>
    <row r="250" ht="15.75" customHeight="1">
      <c r="G250" s="7"/>
    </row>
    <row r="251" ht="15.75" customHeight="1">
      <c r="G251" s="7"/>
    </row>
    <row r="252" ht="15.75" customHeight="1">
      <c r="G252" s="7"/>
    </row>
    <row r="253" ht="15.75" customHeight="1">
      <c r="G253" s="7"/>
    </row>
    <row r="254" ht="15.75" customHeight="1">
      <c r="G254" s="7"/>
    </row>
    <row r="255" ht="15.75" customHeight="1">
      <c r="G255" s="7"/>
    </row>
    <row r="256" ht="15.75" customHeight="1">
      <c r="G256" s="7"/>
    </row>
    <row r="257" ht="15.75" customHeight="1">
      <c r="G257" s="7"/>
    </row>
    <row r="258" ht="15.75" customHeight="1">
      <c r="G258" s="7"/>
    </row>
    <row r="259" ht="15.75" customHeight="1">
      <c r="G259" s="7"/>
    </row>
    <row r="260" ht="15.75" customHeight="1">
      <c r="G260" s="7"/>
    </row>
    <row r="261" ht="15.75" customHeight="1">
      <c r="G261" s="7"/>
    </row>
    <row r="262" ht="15.75" customHeight="1">
      <c r="G262" s="7"/>
    </row>
    <row r="263" ht="15.75" customHeight="1">
      <c r="G263" s="7"/>
    </row>
    <row r="264" ht="15.75" customHeight="1">
      <c r="G264" s="7"/>
    </row>
    <row r="265" ht="15.75" customHeight="1">
      <c r="G265" s="7"/>
    </row>
    <row r="266" ht="15.75" customHeight="1">
      <c r="G266" s="7"/>
    </row>
    <row r="267" ht="15.75" customHeight="1">
      <c r="G267" s="7"/>
    </row>
    <row r="268" ht="15.75" customHeight="1">
      <c r="G268" s="7"/>
    </row>
    <row r="269" ht="15.75" customHeight="1">
      <c r="G269" s="7"/>
    </row>
    <row r="270" ht="15.75" customHeight="1">
      <c r="G270" s="7"/>
    </row>
    <row r="271" ht="15.75" customHeight="1">
      <c r="G271" s="7"/>
    </row>
    <row r="272" ht="15.75" customHeight="1">
      <c r="G272" s="7"/>
    </row>
    <row r="273" ht="15.75" customHeight="1">
      <c r="G273" s="7"/>
    </row>
    <row r="274" ht="15.75" customHeight="1">
      <c r="G274" s="7"/>
    </row>
    <row r="275" ht="15.75" customHeight="1">
      <c r="G275" s="7"/>
    </row>
    <row r="276" ht="15.75" customHeight="1">
      <c r="G276" s="7"/>
    </row>
    <row r="277" ht="15.75" customHeight="1">
      <c r="G277" s="7"/>
    </row>
    <row r="278" ht="15.75" customHeight="1">
      <c r="G278" s="7"/>
    </row>
    <row r="279" ht="15.75" customHeight="1">
      <c r="G279" s="7"/>
    </row>
    <row r="280" ht="15.75" customHeight="1">
      <c r="G280" s="7"/>
    </row>
    <row r="281" ht="15.75" customHeight="1">
      <c r="G281" s="7"/>
    </row>
    <row r="282" ht="15.75" customHeight="1">
      <c r="G282" s="7"/>
    </row>
    <row r="283" ht="15.75" customHeight="1">
      <c r="G283" s="7"/>
    </row>
    <row r="284" ht="15.75" customHeight="1">
      <c r="G284" s="7"/>
    </row>
    <row r="285" ht="15.75" customHeight="1">
      <c r="G285" s="7"/>
    </row>
    <row r="286" ht="15.75" customHeight="1">
      <c r="G286" s="7"/>
    </row>
    <row r="287" ht="15.75" customHeight="1">
      <c r="G287" s="7"/>
    </row>
    <row r="288" ht="15.75" customHeight="1">
      <c r="G288" s="7"/>
    </row>
    <row r="289" ht="15.75" customHeight="1">
      <c r="G289" s="7"/>
    </row>
    <row r="290" ht="15.75" customHeight="1">
      <c r="G290" s="7"/>
    </row>
    <row r="291" ht="15.75" customHeight="1">
      <c r="G291" s="7"/>
    </row>
    <row r="292" ht="15.75" customHeight="1">
      <c r="G292" s="7"/>
    </row>
    <row r="293" ht="15.75" customHeight="1">
      <c r="G293" s="7"/>
    </row>
    <row r="294" ht="15.75" customHeight="1">
      <c r="G294" s="7"/>
    </row>
    <row r="295" ht="15.75" customHeight="1">
      <c r="G295" s="7"/>
    </row>
    <row r="296" ht="15.75" customHeight="1">
      <c r="G296" s="7"/>
    </row>
    <row r="297" ht="15.75" customHeight="1">
      <c r="G297" s="7"/>
    </row>
    <row r="298" ht="15.75" customHeight="1">
      <c r="G298" s="7"/>
    </row>
    <row r="299" ht="15.75" customHeight="1">
      <c r="G299" s="7"/>
    </row>
    <row r="300" ht="15.75" customHeight="1">
      <c r="G300" s="7"/>
    </row>
    <row r="301" ht="15.75" customHeight="1">
      <c r="G301" s="7"/>
    </row>
    <row r="302" ht="15.75" customHeight="1">
      <c r="G302" s="7"/>
    </row>
    <row r="303" ht="15.75" customHeight="1">
      <c r="G303" s="7"/>
    </row>
    <row r="304" ht="15.75" customHeight="1">
      <c r="G304" s="7"/>
    </row>
    <row r="305" ht="15.75" customHeight="1">
      <c r="G305" s="7"/>
    </row>
    <row r="306" ht="15.75" customHeight="1">
      <c r="G306" s="7"/>
    </row>
    <row r="307" ht="15.75" customHeight="1">
      <c r="G307" s="7"/>
    </row>
    <row r="308" ht="15.75" customHeight="1">
      <c r="G308" s="7"/>
    </row>
    <row r="309" ht="15.75" customHeight="1">
      <c r="G309" s="7"/>
    </row>
    <row r="310" ht="15.75" customHeight="1">
      <c r="G310" s="7"/>
    </row>
    <row r="311" ht="15.75" customHeight="1">
      <c r="G311" s="7"/>
    </row>
    <row r="312" ht="15.75" customHeight="1">
      <c r="G312" s="7"/>
    </row>
    <row r="313" ht="15.75" customHeight="1">
      <c r="G313" s="7"/>
    </row>
    <row r="314" ht="15.75" customHeight="1">
      <c r="G314" s="7"/>
    </row>
    <row r="315" ht="15.75" customHeight="1">
      <c r="G315" s="7"/>
    </row>
    <row r="316" ht="15.75" customHeight="1">
      <c r="G316" s="7"/>
    </row>
    <row r="317" ht="15.75" customHeight="1">
      <c r="G317" s="7"/>
    </row>
    <row r="318" ht="15.75" customHeight="1">
      <c r="G318" s="7"/>
    </row>
    <row r="319" ht="15.75" customHeight="1">
      <c r="G319" s="7"/>
    </row>
    <row r="320" ht="15.75" customHeight="1">
      <c r="G320" s="7"/>
    </row>
    <row r="321" ht="15.75" customHeight="1">
      <c r="G321" s="7"/>
    </row>
    <row r="322" ht="15.75" customHeight="1">
      <c r="G322" s="7"/>
    </row>
    <row r="323" ht="15.75" customHeight="1">
      <c r="G323" s="7"/>
    </row>
    <row r="324" ht="15.75" customHeight="1">
      <c r="G324" s="7"/>
    </row>
    <row r="325" ht="15.75" customHeight="1">
      <c r="G325" s="7"/>
    </row>
    <row r="326" ht="15.75" customHeight="1">
      <c r="G326" s="7"/>
    </row>
    <row r="327" ht="15.75" customHeight="1">
      <c r="G327" s="7"/>
    </row>
    <row r="328" ht="15.75" customHeight="1">
      <c r="G328" s="7"/>
    </row>
    <row r="329" ht="15.75" customHeight="1">
      <c r="G329" s="7"/>
    </row>
    <row r="330" ht="15.75" customHeight="1">
      <c r="G330" s="7"/>
    </row>
    <row r="331" ht="15.75" customHeight="1">
      <c r="G331" s="7"/>
    </row>
    <row r="332" ht="15.75" customHeight="1">
      <c r="G332" s="7"/>
    </row>
    <row r="333" ht="15.75" customHeight="1">
      <c r="G333" s="7"/>
    </row>
    <row r="334" ht="15.75" customHeight="1">
      <c r="G334" s="7"/>
    </row>
    <row r="335" ht="15.75" customHeight="1">
      <c r="G335" s="7"/>
    </row>
    <row r="336" ht="15.75" customHeight="1">
      <c r="G336" s="7"/>
    </row>
    <row r="337" ht="15.75" customHeight="1">
      <c r="G337" s="7"/>
    </row>
    <row r="338" ht="15.75" customHeight="1">
      <c r="G338" s="7"/>
    </row>
    <row r="339" ht="15.75" customHeight="1">
      <c r="G339" s="7"/>
    </row>
    <row r="340" ht="15.75" customHeight="1">
      <c r="G340" s="7"/>
    </row>
    <row r="341" ht="15.75" customHeight="1">
      <c r="G341" s="7"/>
    </row>
    <row r="342" ht="15.75" customHeight="1">
      <c r="G342" s="7"/>
    </row>
    <row r="343" ht="15.75" customHeight="1">
      <c r="G343" s="7"/>
    </row>
    <row r="344" ht="15.75" customHeight="1">
      <c r="G344" s="7"/>
    </row>
    <row r="345" ht="15.75" customHeight="1">
      <c r="G345" s="7"/>
    </row>
    <row r="346" ht="15.75" customHeight="1">
      <c r="G346" s="7"/>
    </row>
    <row r="347" ht="15.75" customHeight="1">
      <c r="G347" s="7"/>
    </row>
    <row r="348" ht="15.75" customHeight="1">
      <c r="G348" s="7"/>
    </row>
    <row r="349" ht="15.75" customHeight="1">
      <c r="G349" s="7"/>
    </row>
    <row r="350" ht="15.75" customHeight="1">
      <c r="G350" s="7"/>
    </row>
    <row r="351" ht="15.75" customHeight="1">
      <c r="G351" s="7"/>
    </row>
    <row r="352" ht="15.75" customHeight="1">
      <c r="G352" s="7"/>
    </row>
    <row r="353" ht="15.75" customHeight="1">
      <c r="G353" s="7"/>
    </row>
    <row r="354" ht="15.75" customHeight="1">
      <c r="G354" s="7"/>
    </row>
    <row r="355" ht="15.75" customHeight="1">
      <c r="G355" s="7"/>
    </row>
    <row r="356" ht="15.75" customHeight="1">
      <c r="G356" s="7"/>
    </row>
    <row r="357" ht="15.75" customHeight="1">
      <c r="G357" s="7"/>
    </row>
    <row r="358" ht="15.75" customHeight="1">
      <c r="G358" s="7"/>
    </row>
    <row r="359" ht="15.75" customHeight="1">
      <c r="G359" s="7"/>
    </row>
    <row r="360" ht="15.75" customHeight="1">
      <c r="G360" s="7"/>
    </row>
    <row r="361" ht="15.75" customHeight="1">
      <c r="G361" s="7"/>
    </row>
    <row r="362" ht="15.75" customHeight="1">
      <c r="G362" s="7"/>
    </row>
    <row r="363" ht="15.75" customHeight="1">
      <c r="G363" s="7"/>
    </row>
    <row r="364" ht="15.75" customHeight="1">
      <c r="G364" s="7"/>
    </row>
    <row r="365" ht="15.75" customHeight="1">
      <c r="G365" s="7"/>
    </row>
    <row r="366" ht="15.75" customHeight="1">
      <c r="G366" s="7"/>
    </row>
    <row r="367" ht="15.75" customHeight="1">
      <c r="G367" s="7"/>
    </row>
    <row r="368" ht="15.75" customHeight="1">
      <c r="G368" s="7"/>
    </row>
    <row r="369" ht="15.75" customHeight="1">
      <c r="G369" s="7"/>
    </row>
    <row r="370" ht="15.75" customHeight="1">
      <c r="G370" s="7"/>
    </row>
    <row r="371" ht="15.75" customHeight="1">
      <c r="G371" s="7"/>
    </row>
    <row r="372" ht="15.75" customHeight="1">
      <c r="G372" s="7"/>
    </row>
    <row r="373" ht="15.75" customHeight="1">
      <c r="G373" s="7"/>
    </row>
    <row r="374" ht="15.75" customHeight="1">
      <c r="G374" s="7"/>
    </row>
    <row r="375" ht="15.75" customHeight="1">
      <c r="G375" s="7"/>
    </row>
    <row r="376" ht="15.75" customHeight="1">
      <c r="G376" s="7"/>
    </row>
    <row r="377" ht="15.75" customHeight="1">
      <c r="G377" s="7"/>
    </row>
    <row r="378" ht="15.75" customHeight="1">
      <c r="G378" s="7"/>
    </row>
    <row r="379" ht="15.75" customHeight="1">
      <c r="G379" s="7"/>
    </row>
    <row r="380" ht="15.75" customHeight="1">
      <c r="G380" s="7"/>
    </row>
    <row r="381" ht="15.75" customHeight="1">
      <c r="G381" s="7"/>
    </row>
    <row r="382" ht="15.75" customHeight="1">
      <c r="G382" s="7"/>
    </row>
    <row r="383" ht="15.75" customHeight="1">
      <c r="G383" s="7"/>
    </row>
    <row r="384" ht="15.75" customHeight="1">
      <c r="G384" s="7"/>
    </row>
    <row r="385" ht="15.75" customHeight="1">
      <c r="G385" s="7"/>
    </row>
    <row r="386" ht="15.75" customHeight="1">
      <c r="G386" s="7"/>
    </row>
    <row r="387" ht="15.75" customHeight="1">
      <c r="G387" s="7"/>
    </row>
    <row r="388" ht="15.75" customHeight="1">
      <c r="G388" s="7"/>
    </row>
    <row r="389" ht="15.75" customHeight="1">
      <c r="G389" s="7"/>
    </row>
    <row r="390" ht="15.75" customHeight="1">
      <c r="G390" s="7"/>
    </row>
    <row r="391" ht="15.75" customHeight="1">
      <c r="G391" s="7"/>
    </row>
    <row r="392" ht="15.75" customHeight="1">
      <c r="G392" s="7"/>
    </row>
    <row r="393" ht="15.75" customHeight="1">
      <c r="G393" s="7"/>
    </row>
    <row r="394" ht="15.75" customHeight="1">
      <c r="G394" s="7"/>
    </row>
    <row r="395" ht="15.75" customHeight="1">
      <c r="G395" s="7"/>
    </row>
    <row r="396" ht="15.75" customHeight="1">
      <c r="G396" s="7"/>
    </row>
    <row r="397" ht="15.75" customHeight="1">
      <c r="G397" s="7"/>
    </row>
    <row r="398" ht="15.75" customHeight="1">
      <c r="G398" s="7"/>
    </row>
    <row r="399" ht="15.75" customHeight="1">
      <c r="G399" s="7"/>
    </row>
    <row r="400" ht="15.75" customHeight="1">
      <c r="G400" s="7"/>
    </row>
    <row r="401" ht="15.75" customHeight="1">
      <c r="G401" s="7"/>
    </row>
    <row r="402" ht="15.75" customHeight="1">
      <c r="G402" s="7"/>
    </row>
    <row r="403" ht="15.75" customHeight="1">
      <c r="G403" s="7"/>
    </row>
    <row r="404" ht="15.75" customHeight="1">
      <c r="G404" s="7"/>
    </row>
    <row r="405" ht="15.75" customHeight="1">
      <c r="G405" s="7"/>
    </row>
    <row r="406" ht="15.75" customHeight="1">
      <c r="G406" s="7"/>
    </row>
    <row r="407" ht="15.75" customHeight="1">
      <c r="G407" s="7"/>
    </row>
    <row r="408" ht="15.75" customHeight="1">
      <c r="G408" s="7"/>
    </row>
    <row r="409" ht="15.75" customHeight="1">
      <c r="G409" s="7"/>
    </row>
    <row r="410" ht="15.75" customHeight="1">
      <c r="G410" s="7"/>
    </row>
    <row r="411" ht="15.75" customHeight="1">
      <c r="G411" s="7"/>
    </row>
    <row r="412" ht="15.75" customHeight="1">
      <c r="G412" s="7"/>
    </row>
    <row r="413" ht="15.75" customHeight="1">
      <c r="G413" s="7"/>
    </row>
    <row r="414" ht="15.75" customHeight="1">
      <c r="G414" s="7"/>
    </row>
    <row r="415" ht="15.75" customHeight="1">
      <c r="G415" s="7"/>
    </row>
    <row r="416" ht="15.75" customHeight="1">
      <c r="G416" s="7"/>
    </row>
    <row r="417" ht="15.75" customHeight="1">
      <c r="G417" s="7"/>
    </row>
    <row r="418" ht="15.75" customHeight="1">
      <c r="G418" s="7"/>
    </row>
    <row r="419" ht="15.75" customHeight="1">
      <c r="G419" s="7"/>
    </row>
    <row r="420" ht="15.75" customHeight="1">
      <c r="G420" s="7"/>
    </row>
    <row r="421" ht="15.75" customHeight="1">
      <c r="G421" s="7"/>
    </row>
    <row r="422" ht="15.75" customHeight="1">
      <c r="G422" s="7"/>
    </row>
    <row r="423" ht="15.75" customHeight="1">
      <c r="G423" s="7"/>
    </row>
    <row r="424" ht="15.75" customHeight="1">
      <c r="G424" s="7"/>
    </row>
    <row r="425" ht="15.75" customHeight="1">
      <c r="G425" s="7"/>
    </row>
    <row r="426" ht="15.75" customHeight="1">
      <c r="G426" s="7"/>
    </row>
    <row r="427" ht="15.75" customHeight="1">
      <c r="G427" s="7"/>
    </row>
    <row r="428" ht="15.75" customHeight="1">
      <c r="G428" s="7"/>
    </row>
    <row r="429" ht="15.75" customHeight="1">
      <c r="G429" s="7"/>
    </row>
    <row r="430" ht="15.75" customHeight="1">
      <c r="G430" s="7"/>
    </row>
    <row r="431" ht="15.75" customHeight="1">
      <c r="G431" s="7"/>
    </row>
    <row r="432" ht="15.75" customHeight="1">
      <c r="G432" s="7"/>
    </row>
    <row r="433" ht="15.75" customHeight="1">
      <c r="G433" s="7"/>
    </row>
    <row r="434" ht="15.75" customHeight="1">
      <c r="G434" s="7"/>
    </row>
    <row r="435" ht="15.75" customHeight="1">
      <c r="G435" s="7"/>
    </row>
    <row r="436" ht="15.75" customHeight="1">
      <c r="G436" s="7"/>
    </row>
    <row r="437" ht="15.75" customHeight="1">
      <c r="G437" s="7"/>
    </row>
    <row r="438" ht="15.75" customHeight="1">
      <c r="G438" s="7"/>
    </row>
    <row r="439" ht="15.75" customHeight="1">
      <c r="G439" s="7"/>
    </row>
    <row r="440" ht="15.75" customHeight="1">
      <c r="G440" s="7"/>
    </row>
    <row r="441" ht="15.75" customHeight="1">
      <c r="G441" s="7"/>
    </row>
    <row r="442" ht="15.75" customHeight="1">
      <c r="G442" s="7"/>
    </row>
    <row r="443" ht="15.75" customHeight="1">
      <c r="G443" s="7"/>
    </row>
    <row r="444" ht="15.75" customHeight="1">
      <c r="G444" s="7"/>
    </row>
    <row r="445" ht="15.75" customHeight="1">
      <c r="G445" s="7"/>
    </row>
    <row r="446" ht="15.75" customHeight="1">
      <c r="G446" s="7"/>
    </row>
    <row r="447" ht="15.75" customHeight="1">
      <c r="G447" s="7"/>
    </row>
    <row r="448" ht="15.75" customHeight="1">
      <c r="G448" s="7"/>
    </row>
    <row r="449" ht="15.75" customHeight="1">
      <c r="G449" s="7"/>
    </row>
    <row r="450" ht="15.75" customHeight="1">
      <c r="G450" s="7"/>
    </row>
    <row r="451" ht="15.75" customHeight="1">
      <c r="G451" s="7"/>
    </row>
    <row r="452" ht="15.75" customHeight="1">
      <c r="G452" s="7"/>
    </row>
    <row r="453" ht="15.75" customHeight="1">
      <c r="G453" s="7"/>
    </row>
    <row r="454" ht="15.75" customHeight="1">
      <c r="G454" s="7"/>
    </row>
    <row r="455" ht="15.75" customHeight="1">
      <c r="G455" s="7"/>
    </row>
    <row r="456" ht="15.75" customHeight="1">
      <c r="G456" s="7"/>
    </row>
    <row r="457" ht="15.75" customHeight="1">
      <c r="G457" s="7"/>
    </row>
    <row r="458" ht="15.75" customHeight="1">
      <c r="G458" s="7"/>
    </row>
    <row r="459" ht="15.75" customHeight="1">
      <c r="G459" s="7"/>
    </row>
    <row r="460" ht="15.75" customHeight="1">
      <c r="G460" s="7"/>
    </row>
    <row r="461" ht="15.75" customHeight="1">
      <c r="G461" s="7"/>
    </row>
    <row r="462" ht="15.75" customHeight="1">
      <c r="G462" s="7"/>
    </row>
    <row r="463" ht="15.75" customHeight="1">
      <c r="G463" s="7"/>
    </row>
    <row r="464" ht="15.75" customHeight="1">
      <c r="G464" s="7"/>
    </row>
    <row r="465" ht="15.75" customHeight="1">
      <c r="G465" s="7"/>
    </row>
    <row r="466" ht="15.75" customHeight="1">
      <c r="G466" s="7"/>
    </row>
    <row r="467" ht="15.75" customHeight="1">
      <c r="G467" s="7"/>
    </row>
    <row r="468" ht="15.75" customHeight="1">
      <c r="G468" s="7"/>
    </row>
    <row r="469" ht="15.75" customHeight="1">
      <c r="G469" s="7"/>
    </row>
    <row r="470" ht="15.75" customHeight="1">
      <c r="G470" s="7"/>
    </row>
    <row r="471" ht="15.75" customHeight="1">
      <c r="G471" s="7"/>
    </row>
    <row r="472" ht="15.75" customHeight="1">
      <c r="G472" s="7"/>
    </row>
    <row r="473" ht="15.75" customHeight="1">
      <c r="G473" s="7"/>
    </row>
    <row r="474" ht="15.75" customHeight="1">
      <c r="G474" s="7"/>
    </row>
    <row r="475" ht="15.75" customHeight="1">
      <c r="G475" s="7"/>
    </row>
    <row r="476" ht="15.75" customHeight="1">
      <c r="G476" s="7"/>
    </row>
    <row r="477" ht="15.75" customHeight="1">
      <c r="G477" s="7"/>
    </row>
    <row r="478" ht="15.75" customHeight="1">
      <c r="G478" s="7"/>
    </row>
    <row r="479" ht="15.75" customHeight="1">
      <c r="G479" s="7"/>
    </row>
    <row r="480" ht="15.75" customHeight="1">
      <c r="G480" s="7"/>
    </row>
    <row r="481" ht="15.75" customHeight="1">
      <c r="G481" s="7"/>
    </row>
    <row r="482" ht="15.75" customHeight="1">
      <c r="G482" s="7"/>
    </row>
    <row r="483" ht="15.75" customHeight="1">
      <c r="G483" s="7"/>
    </row>
    <row r="484" ht="15.75" customHeight="1">
      <c r="G484" s="7"/>
    </row>
    <row r="485" ht="15.75" customHeight="1">
      <c r="G485" s="7"/>
    </row>
    <row r="486" ht="15.75" customHeight="1">
      <c r="G486" s="7"/>
    </row>
    <row r="487" ht="15.75" customHeight="1">
      <c r="G487" s="7"/>
    </row>
    <row r="488" ht="15.75" customHeight="1">
      <c r="G488" s="7"/>
    </row>
    <row r="489" ht="15.75" customHeight="1">
      <c r="G489" s="7"/>
    </row>
    <row r="490" ht="15.75" customHeight="1">
      <c r="G490" s="7"/>
    </row>
    <row r="491" ht="15.75" customHeight="1">
      <c r="G491" s="7"/>
    </row>
    <row r="492" ht="15.75" customHeight="1">
      <c r="G492" s="7"/>
    </row>
    <row r="493" ht="15.75" customHeight="1">
      <c r="G493" s="7"/>
    </row>
    <row r="494" ht="15.75" customHeight="1">
      <c r="G494" s="7"/>
    </row>
    <row r="495" ht="15.75" customHeight="1">
      <c r="G495" s="7"/>
    </row>
    <row r="496" ht="15.75" customHeight="1">
      <c r="G496" s="7"/>
    </row>
    <row r="497" ht="15.75" customHeight="1">
      <c r="G497" s="7"/>
    </row>
    <row r="498" ht="15.75" customHeight="1">
      <c r="G498" s="7"/>
    </row>
    <row r="499" ht="15.75" customHeight="1">
      <c r="G499" s="7"/>
    </row>
    <row r="500" ht="15.75" customHeight="1">
      <c r="G500" s="7"/>
    </row>
    <row r="501" ht="15.75" customHeight="1">
      <c r="G501" s="7"/>
    </row>
    <row r="502" ht="15.75" customHeight="1">
      <c r="G502" s="7"/>
    </row>
    <row r="503" ht="15.75" customHeight="1">
      <c r="G503" s="7"/>
    </row>
    <row r="504" ht="15.75" customHeight="1">
      <c r="G504" s="7"/>
    </row>
    <row r="505" ht="15.75" customHeight="1">
      <c r="G505" s="7"/>
    </row>
    <row r="506" ht="15.75" customHeight="1">
      <c r="G506" s="7"/>
    </row>
    <row r="507" ht="15.75" customHeight="1">
      <c r="G507" s="7"/>
    </row>
    <row r="508" ht="15.75" customHeight="1">
      <c r="G508" s="7"/>
    </row>
    <row r="509" ht="15.75" customHeight="1">
      <c r="G509" s="7"/>
    </row>
    <row r="510" ht="15.75" customHeight="1">
      <c r="G510" s="7"/>
    </row>
    <row r="511" ht="15.75" customHeight="1">
      <c r="G511" s="7"/>
    </row>
    <row r="512" ht="15.75" customHeight="1">
      <c r="G512" s="7"/>
    </row>
    <row r="513" ht="15.75" customHeight="1">
      <c r="G513" s="7"/>
    </row>
    <row r="514" ht="15.75" customHeight="1">
      <c r="G514" s="7"/>
    </row>
    <row r="515" ht="15.75" customHeight="1">
      <c r="G515" s="7"/>
    </row>
    <row r="516" ht="15.75" customHeight="1">
      <c r="G516" s="7"/>
    </row>
    <row r="517" ht="15.75" customHeight="1">
      <c r="G517" s="7"/>
    </row>
    <row r="518" ht="15.75" customHeight="1">
      <c r="G518" s="7"/>
    </row>
    <row r="519" ht="15.75" customHeight="1">
      <c r="G519" s="7"/>
    </row>
    <row r="520" ht="15.75" customHeight="1">
      <c r="G520" s="7"/>
    </row>
    <row r="521" ht="15.75" customHeight="1">
      <c r="G521" s="7"/>
    </row>
    <row r="522" ht="15.75" customHeight="1">
      <c r="G522" s="7"/>
    </row>
    <row r="523" ht="15.75" customHeight="1">
      <c r="G523" s="7"/>
    </row>
    <row r="524" ht="15.75" customHeight="1">
      <c r="G524" s="7"/>
    </row>
    <row r="525" ht="15.75" customHeight="1">
      <c r="G525" s="7"/>
    </row>
    <row r="526" ht="15.75" customHeight="1">
      <c r="G526" s="7"/>
    </row>
    <row r="527" ht="15.75" customHeight="1">
      <c r="G527" s="7"/>
    </row>
    <row r="528" ht="15.75" customHeight="1">
      <c r="G528" s="7"/>
    </row>
    <row r="529" ht="15.75" customHeight="1">
      <c r="G529" s="7"/>
    </row>
    <row r="530" ht="15.75" customHeight="1">
      <c r="G530" s="7"/>
    </row>
    <row r="531" ht="15.75" customHeight="1">
      <c r="G531" s="7"/>
    </row>
    <row r="532" ht="15.75" customHeight="1">
      <c r="G532" s="7"/>
    </row>
    <row r="533" ht="15.75" customHeight="1">
      <c r="G533" s="7"/>
    </row>
    <row r="534" ht="15.75" customHeight="1">
      <c r="G534" s="7"/>
    </row>
    <row r="535" ht="15.75" customHeight="1">
      <c r="G535" s="7"/>
    </row>
    <row r="536" ht="15.75" customHeight="1">
      <c r="G536" s="7"/>
    </row>
    <row r="537" ht="15.75" customHeight="1">
      <c r="G537" s="7"/>
    </row>
    <row r="538" ht="15.75" customHeight="1">
      <c r="G538" s="7"/>
    </row>
    <row r="539" ht="15.75" customHeight="1">
      <c r="G539" s="7"/>
    </row>
    <row r="540" ht="15.75" customHeight="1">
      <c r="G540" s="7"/>
    </row>
    <row r="541" ht="15.75" customHeight="1">
      <c r="G541" s="7"/>
    </row>
    <row r="542" ht="15.75" customHeight="1">
      <c r="G542" s="7"/>
    </row>
    <row r="543" ht="15.75" customHeight="1">
      <c r="G543" s="7"/>
    </row>
    <row r="544" ht="15.75" customHeight="1">
      <c r="G544" s="7"/>
    </row>
    <row r="545" ht="15.75" customHeight="1">
      <c r="G545" s="7"/>
    </row>
    <row r="546" ht="15.75" customHeight="1">
      <c r="G546" s="7"/>
    </row>
    <row r="547" ht="15.75" customHeight="1">
      <c r="G547" s="7"/>
    </row>
    <row r="548" ht="15.75" customHeight="1">
      <c r="G548" s="7"/>
    </row>
    <row r="549" ht="15.75" customHeight="1">
      <c r="G549" s="7"/>
    </row>
    <row r="550" ht="15.75" customHeight="1">
      <c r="G550" s="7"/>
    </row>
    <row r="551" ht="15.75" customHeight="1">
      <c r="G551" s="7"/>
    </row>
    <row r="552" ht="15.75" customHeight="1">
      <c r="G552" s="7"/>
    </row>
    <row r="553" ht="15.75" customHeight="1">
      <c r="G553" s="7"/>
    </row>
    <row r="554" ht="15.75" customHeight="1">
      <c r="G554" s="7"/>
    </row>
    <row r="555" ht="15.75" customHeight="1">
      <c r="G555" s="7"/>
    </row>
    <row r="556" ht="15.75" customHeight="1">
      <c r="G556" s="7"/>
    </row>
    <row r="557" ht="15.75" customHeight="1">
      <c r="G557" s="7"/>
    </row>
    <row r="558" ht="15.75" customHeight="1">
      <c r="G558" s="7"/>
    </row>
    <row r="559" ht="15.75" customHeight="1">
      <c r="G559" s="7"/>
    </row>
    <row r="560" ht="15.75" customHeight="1">
      <c r="G560" s="7"/>
    </row>
    <row r="561" ht="15.75" customHeight="1">
      <c r="G561" s="7"/>
    </row>
    <row r="562" ht="15.75" customHeight="1">
      <c r="G562" s="7"/>
    </row>
    <row r="563" ht="15.75" customHeight="1">
      <c r="G563" s="7"/>
    </row>
    <row r="564" ht="15.75" customHeight="1">
      <c r="G564" s="7"/>
    </row>
    <row r="565" ht="15.75" customHeight="1">
      <c r="G565" s="7"/>
    </row>
    <row r="566" ht="15.75" customHeight="1">
      <c r="G566" s="7"/>
    </row>
    <row r="567" ht="15.75" customHeight="1">
      <c r="G567" s="7"/>
    </row>
    <row r="568" ht="15.75" customHeight="1">
      <c r="G568" s="7"/>
    </row>
    <row r="569" ht="15.75" customHeight="1">
      <c r="G569" s="7"/>
    </row>
    <row r="570" ht="15.75" customHeight="1">
      <c r="G570" s="7"/>
    </row>
    <row r="571" ht="15.75" customHeight="1">
      <c r="G571" s="7"/>
    </row>
    <row r="572" ht="15.75" customHeight="1">
      <c r="G572" s="7"/>
    </row>
    <row r="573" ht="15.75" customHeight="1">
      <c r="G573" s="7"/>
    </row>
    <row r="574" ht="15.75" customHeight="1">
      <c r="G574" s="7"/>
    </row>
    <row r="575" ht="15.75" customHeight="1">
      <c r="G575" s="7"/>
    </row>
    <row r="576" ht="15.75" customHeight="1">
      <c r="G576" s="7"/>
    </row>
    <row r="577" ht="15.75" customHeight="1">
      <c r="G577" s="7"/>
    </row>
    <row r="578" ht="15.75" customHeight="1">
      <c r="G578" s="7"/>
    </row>
    <row r="579" ht="15.75" customHeight="1">
      <c r="G579" s="7"/>
    </row>
    <row r="580" ht="15.75" customHeight="1">
      <c r="G580" s="7"/>
    </row>
    <row r="581" ht="15.75" customHeight="1">
      <c r="G581" s="7"/>
    </row>
    <row r="582" ht="15.75" customHeight="1">
      <c r="G582" s="7"/>
    </row>
    <row r="583" ht="15.75" customHeight="1">
      <c r="G583" s="7"/>
    </row>
    <row r="584" ht="15.75" customHeight="1">
      <c r="G584" s="7"/>
    </row>
    <row r="585" ht="15.75" customHeight="1">
      <c r="G585" s="7"/>
    </row>
    <row r="586" ht="15.75" customHeight="1">
      <c r="G586" s="7"/>
    </row>
    <row r="587" ht="15.75" customHeight="1">
      <c r="G587" s="7"/>
    </row>
    <row r="588" ht="15.75" customHeight="1">
      <c r="G588" s="7"/>
    </row>
    <row r="589" ht="15.75" customHeight="1">
      <c r="G589" s="7"/>
    </row>
    <row r="590" ht="15.75" customHeight="1">
      <c r="G590" s="7"/>
    </row>
    <row r="591" ht="15.75" customHeight="1">
      <c r="G591" s="7"/>
    </row>
    <row r="592" ht="15.75" customHeight="1">
      <c r="G592" s="7"/>
    </row>
    <row r="593" ht="15.75" customHeight="1">
      <c r="G593" s="7"/>
    </row>
    <row r="594" ht="15.75" customHeight="1">
      <c r="G594" s="7"/>
    </row>
    <row r="595" ht="15.75" customHeight="1">
      <c r="G595" s="7"/>
    </row>
    <row r="596" ht="15.75" customHeight="1">
      <c r="G596" s="7"/>
    </row>
    <row r="597" ht="15.75" customHeight="1">
      <c r="G597" s="7"/>
    </row>
    <row r="598" ht="15.75" customHeight="1">
      <c r="G598" s="7"/>
    </row>
    <row r="599" ht="15.75" customHeight="1">
      <c r="G599" s="7"/>
    </row>
    <row r="600" ht="15.75" customHeight="1">
      <c r="G600" s="7"/>
    </row>
    <row r="601" ht="15.75" customHeight="1">
      <c r="G601" s="7"/>
    </row>
    <row r="602" ht="15.75" customHeight="1">
      <c r="G602" s="7"/>
    </row>
    <row r="603" ht="15.75" customHeight="1">
      <c r="G603" s="7"/>
    </row>
    <row r="604" ht="15.75" customHeight="1">
      <c r="G604" s="7"/>
    </row>
    <row r="605" ht="15.75" customHeight="1">
      <c r="G605" s="7"/>
    </row>
    <row r="606" ht="15.75" customHeight="1">
      <c r="G606" s="7"/>
    </row>
    <row r="607" ht="15.75" customHeight="1">
      <c r="G607" s="7"/>
    </row>
    <row r="608" ht="15.75" customHeight="1">
      <c r="G608" s="7"/>
    </row>
    <row r="609" ht="15.75" customHeight="1">
      <c r="G609" s="7"/>
    </row>
    <row r="610" ht="15.75" customHeight="1">
      <c r="G610" s="7"/>
    </row>
    <row r="611" ht="15.75" customHeight="1">
      <c r="G611" s="7"/>
    </row>
    <row r="612" ht="15.75" customHeight="1">
      <c r="G612" s="7"/>
    </row>
    <row r="613" ht="15.75" customHeight="1">
      <c r="G613" s="7"/>
    </row>
    <row r="614" ht="15.75" customHeight="1">
      <c r="G614" s="7"/>
    </row>
    <row r="615" ht="15.75" customHeight="1">
      <c r="G615" s="7"/>
    </row>
    <row r="616" ht="15.75" customHeight="1">
      <c r="G616" s="7"/>
    </row>
    <row r="617" ht="15.75" customHeight="1">
      <c r="G617" s="7"/>
    </row>
    <row r="618" ht="15.75" customHeight="1">
      <c r="G618" s="7"/>
    </row>
    <row r="619" ht="15.75" customHeight="1">
      <c r="G619" s="7"/>
    </row>
    <row r="620" ht="15.75" customHeight="1">
      <c r="G620" s="7"/>
    </row>
    <row r="621" ht="15.75" customHeight="1">
      <c r="G621" s="7"/>
    </row>
    <row r="622" ht="15.75" customHeight="1">
      <c r="G622" s="7"/>
    </row>
    <row r="623" ht="15.75" customHeight="1">
      <c r="G623" s="7"/>
    </row>
    <row r="624" ht="15.75" customHeight="1">
      <c r="G624" s="7"/>
    </row>
    <row r="625" ht="15.75" customHeight="1">
      <c r="G625" s="7"/>
    </row>
    <row r="626" ht="15.75" customHeight="1">
      <c r="G626" s="7"/>
    </row>
    <row r="627" ht="15.75" customHeight="1">
      <c r="G627" s="7"/>
    </row>
    <row r="628" ht="15.75" customHeight="1">
      <c r="G628" s="7"/>
    </row>
    <row r="629" ht="15.75" customHeight="1">
      <c r="G629" s="7"/>
    </row>
    <row r="630" ht="15.75" customHeight="1">
      <c r="G630" s="7"/>
    </row>
    <row r="631" ht="15.75" customHeight="1">
      <c r="G631" s="7"/>
    </row>
    <row r="632" ht="15.75" customHeight="1">
      <c r="G632" s="7"/>
    </row>
    <row r="633" ht="15.75" customHeight="1">
      <c r="G633" s="7"/>
    </row>
    <row r="634" ht="15.75" customHeight="1">
      <c r="G634" s="7"/>
    </row>
    <row r="635" ht="15.75" customHeight="1">
      <c r="G635" s="7"/>
    </row>
    <row r="636" ht="15.75" customHeight="1">
      <c r="G636" s="7"/>
    </row>
    <row r="637" ht="15.75" customHeight="1">
      <c r="G637" s="7"/>
    </row>
    <row r="638" ht="15.75" customHeight="1">
      <c r="G638" s="7"/>
    </row>
    <row r="639" ht="15.75" customHeight="1">
      <c r="G639" s="7"/>
    </row>
    <row r="640" ht="15.75" customHeight="1">
      <c r="G640" s="7"/>
    </row>
    <row r="641" ht="15.75" customHeight="1">
      <c r="G641" s="7"/>
    </row>
    <row r="642" ht="15.75" customHeight="1">
      <c r="G642" s="7"/>
    </row>
    <row r="643" ht="15.75" customHeight="1">
      <c r="G643" s="7"/>
    </row>
    <row r="644" ht="15.75" customHeight="1">
      <c r="G644" s="7"/>
    </row>
    <row r="645" ht="15.75" customHeight="1">
      <c r="G645" s="7"/>
    </row>
    <row r="646" ht="15.75" customHeight="1">
      <c r="G646" s="7"/>
    </row>
    <row r="647" ht="15.75" customHeight="1">
      <c r="G647" s="7"/>
    </row>
    <row r="648" ht="15.75" customHeight="1">
      <c r="G648" s="7"/>
    </row>
    <row r="649" ht="15.75" customHeight="1">
      <c r="G649" s="7"/>
    </row>
    <row r="650" ht="15.75" customHeight="1">
      <c r="G650" s="7"/>
    </row>
    <row r="651" ht="15.75" customHeight="1">
      <c r="G651" s="7"/>
    </row>
    <row r="652" ht="15.75" customHeight="1">
      <c r="G652" s="7"/>
    </row>
    <row r="653" ht="15.75" customHeight="1">
      <c r="G653" s="7"/>
    </row>
    <row r="654" ht="15.75" customHeight="1">
      <c r="G654" s="7"/>
    </row>
    <row r="655" ht="15.75" customHeight="1">
      <c r="G655" s="7"/>
    </row>
    <row r="656" ht="15.75" customHeight="1">
      <c r="G656" s="7"/>
    </row>
    <row r="657" ht="15.75" customHeight="1">
      <c r="G657" s="7"/>
    </row>
    <row r="658" ht="15.75" customHeight="1">
      <c r="G658" s="7"/>
    </row>
    <row r="659" ht="15.75" customHeight="1">
      <c r="G659" s="7"/>
    </row>
    <row r="660" ht="15.75" customHeight="1">
      <c r="G660" s="7"/>
    </row>
    <row r="661" ht="15.75" customHeight="1">
      <c r="G661" s="7"/>
    </row>
    <row r="662" ht="15.75" customHeight="1">
      <c r="G662" s="7"/>
    </row>
    <row r="663" ht="15.75" customHeight="1">
      <c r="G663" s="7"/>
    </row>
    <row r="664" ht="15.75" customHeight="1">
      <c r="G664" s="7"/>
    </row>
    <row r="665" ht="15.75" customHeight="1">
      <c r="G665" s="7"/>
    </row>
    <row r="666" ht="15.75" customHeight="1">
      <c r="G666" s="7"/>
    </row>
    <row r="667" ht="15.75" customHeight="1">
      <c r="G667" s="7"/>
    </row>
    <row r="668" ht="15.75" customHeight="1">
      <c r="G668" s="7"/>
    </row>
    <row r="669" ht="15.75" customHeight="1">
      <c r="G669" s="7"/>
    </row>
    <row r="670" ht="15.75" customHeight="1">
      <c r="G670" s="7"/>
    </row>
    <row r="671" ht="15.75" customHeight="1">
      <c r="G671" s="7"/>
    </row>
    <row r="672" ht="15.75" customHeight="1">
      <c r="G672" s="7"/>
    </row>
    <row r="673" ht="15.75" customHeight="1">
      <c r="G673" s="7"/>
    </row>
    <row r="674" ht="15.75" customHeight="1">
      <c r="G674" s="7"/>
    </row>
    <row r="675" ht="15.75" customHeight="1">
      <c r="G675" s="7"/>
    </row>
    <row r="676" ht="15.75" customHeight="1">
      <c r="G676" s="7"/>
    </row>
    <row r="677" ht="15.75" customHeight="1">
      <c r="G677" s="7"/>
    </row>
    <row r="678" ht="15.75" customHeight="1">
      <c r="G678" s="7"/>
    </row>
    <row r="679" ht="15.75" customHeight="1">
      <c r="G679" s="7"/>
    </row>
    <row r="680" ht="15.75" customHeight="1">
      <c r="G680" s="7"/>
    </row>
    <row r="681" ht="15.75" customHeight="1">
      <c r="G681" s="7"/>
    </row>
    <row r="682" ht="15.75" customHeight="1">
      <c r="G682" s="7"/>
    </row>
    <row r="683" ht="15.75" customHeight="1">
      <c r="G683" s="7"/>
    </row>
    <row r="684" ht="15.75" customHeight="1">
      <c r="G684" s="7"/>
    </row>
    <row r="685" ht="15.75" customHeight="1">
      <c r="G685" s="7"/>
    </row>
    <row r="686" ht="15.75" customHeight="1">
      <c r="G686" s="7"/>
    </row>
    <row r="687" ht="15.75" customHeight="1">
      <c r="G687" s="7"/>
    </row>
    <row r="688" ht="15.75" customHeight="1">
      <c r="G688" s="7"/>
    </row>
    <row r="689" ht="15.75" customHeight="1">
      <c r="G689" s="7"/>
    </row>
    <row r="690" ht="15.75" customHeight="1">
      <c r="G690" s="7"/>
    </row>
    <row r="691" ht="15.75" customHeight="1">
      <c r="G691" s="7"/>
    </row>
    <row r="692" ht="15.75" customHeight="1">
      <c r="G692" s="7"/>
    </row>
    <row r="693" ht="15.75" customHeight="1">
      <c r="G693" s="7"/>
    </row>
    <row r="694" ht="15.75" customHeight="1">
      <c r="G694" s="7"/>
    </row>
    <row r="695" ht="15.75" customHeight="1">
      <c r="G695" s="7"/>
    </row>
    <row r="696" ht="15.75" customHeight="1">
      <c r="G696" s="7"/>
    </row>
    <row r="697" ht="15.75" customHeight="1">
      <c r="G697" s="7"/>
    </row>
    <row r="698" ht="15.75" customHeight="1">
      <c r="G698" s="7"/>
    </row>
    <row r="699" ht="15.75" customHeight="1">
      <c r="G699" s="7"/>
    </row>
    <row r="700" ht="15.75" customHeight="1">
      <c r="G700" s="7"/>
    </row>
    <row r="701" ht="15.75" customHeight="1">
      <c r="G701" s="7"/>
    </row>
    <row r="702" ht="15.75" customHeight="1">
      <c r="G702" s="7"/>
    </row>
    <row r="703" ht="15.75" customHeight="1">
      <c r="G703" s="7"/>
    </row>
    <row r="704" ht="15.75" customHeight="1">
      <c r="G704" s="7"/>
    </row>
    <row r="705" ht="15.75" customHeight="1">
      <c r="G705" s="7"/>
    </row>
    <row r="706" ht="15.75" customHeight="1">
      <c r="G706" s="7"/>
    </row>
    <row r="707" ht="15.75" customHeight="1">
      <c r="G707" s="7"/>
    </row>
    <row r="708" ht="15.75" customHeight="1">
      <c r="G708" s="7"/>
    </row>
    <row r="709" ht="15.75" customHeight="1">
      <c r="G709" s="7"/>
    </row>
    <row r="710" ht="15.75" customHeight="1">
      <c r="G710" s="7"/>
    </row>
    <row r="711" ht="15.75" customHeight="1">
      <c r="G711" s="7"/>
    </row>
    <row r="712" ht="15.75" customHeight="1">
      <c r="G712" s="7"/>
    </row>
    <row r="713" ht="15.75" customHeight="1">
      <c r="G713" s="7"/>
    </row>
    <row r="714" ht="15.75" customHeight="1">
      <c r="G714" s="7"/>
    </row>
    <row r="715" ht="15.75" customHeight="1">
      <c r="G715" s="7"/>
    </row>
    <row r="716" ht="15.75" customHeight="1">
      <c r="G716" s="7"/>
    </row>
    <row r="717" ht="15.75" customHeight="1">
      <c r="G717" s="7"/>
    </row>
    <row r="718" ht="15.75" customHeight="1">
      <c r="G718" s="7"/>
    </row>
    <row r="719" ht="15.75" customHeight="1">
      <c r="G719" s="7"/>
    </row>
    <row r="720" ht="15.75" customHeight="1">
      <c r="G720" s="7"/>
    </row>
    <row r="721" ht="15.75" customHeight="1">
      <c r="G721" s="7"/>
    </row>
    <row r="722" ht="15.75" customHeight="1">
      <c r="G722" s="7"/>
    </row>
    <row r="723" ht="15.75" customHeight="1">
      <c r="G723" s="7"/>
    </row>
    <row r="724" ht="15.75" customHeight="1">
      <c r="G724" s="7"/>
    </row>
    <row r="725" ht="15.75" customHeight="1">
      <c r="G725" s="7"/>
    </row>
    <row r="726" ht="15.75" customHeight="1">
      <c r="G726" s="7"/>
    </row>
    <row r="727" ht="15.75" customHeight="1">
      <c r="G727" s="7"/>
    </row>
    <row r="728" ht="15.75" customHeight="1">
      <c r="G728" s="7"/>
    </row>
    <row r="729" ht="15.75" customHeight="1">
      <c r="G729" s="7"/>
    </row>
    <row r="730" ht="15.75" customHeight="1">
      <c r="G730" s="7"/>
    </row>
    <row r="731" ht="15.75" customHeight="1">
      <c r="G731" s="7"/>
    </row>
    <row r="732" ht="15.75" customHeight="1">
      <c r="G732" s="7"/>
    </row>
    <row r="733" ht="15.75" customHeight="1">
      <c r="G733" s="7"/>
    </row>
    <row r="734" ht="15.75" customHeight="1">
      <c r="G734" s="7"/>
    </row>
    <row r="735" ht="15.75" customHeight="1">
      <c r="G735" s="7"/>
    </row>
    <row r="736" ht="15.75" customHeight="1">
      <c r="G736" s="7"/>
    </row>
    <row r="737" ht="15.75" customHeight="1">
      <c r="G737" s="7"/>
    </row>
    <row r="738" ht="15.75" customHeight="1">
      <c r="G738" s="7"/>
    </row>
    <row r="739" ht="15.75" customHeight="1">
      <c r="G739" s="7"/>
    </row>
    <row r="740" ht="15.75" customHeight="1">
      <c r="G740" s="7"/>
    </row>
    <row r="741" ht="15.75" customHeight="1">
      <c r="G741" s="7"/>
    </row>
    <row r="742" ht="15.75" customHeight="1">
      <c r="G742" s="7"/>
    </row>
    <row r="743" ht="15.75" customHeight="1">
      <c r="G743" s="7"/>
    </row>
    <row r="744" ht="15.75" customHeight="1">
      <c r="G744" s="7"/>
    </row>
    <row r="745" ht="15.75" customHeight="1">
      <c r="G745" s="7"/>
    </row>
    <row r="746" ht="15.75" customHeight="1">
      <c r="G746" s="7"/>
    </row>
    <row r="747" ht="15.75" customHeight="1">
      <c r="G747" s="7"/>
    </row>
    <row r="748" ht="15.75" customHeight="1">
      <c r="G748" s="7"/>
    </row>
    <row r="749" ht="15.75" customHeight="1">
      <c r="G749" s="7"/>
    </row>
    <row r="750" ht="15.75" customHeight="1">
      <c r="G750" s="7"/>
    </row>
    <row r="751" ht="15.75" customHeight="1">
      <c r="G751" s="7"/>
    </row>
    <row r="752" ht="15.75" customHeight="1">
      <c r="G752" s="7"/>
    </row>
    <row r="753" ht="15.75" customHeight="1">
      <c r="G753" s="7"/>
    </row>
    <row r="754" ht="15.75" customHeight="1">
      <c r="G754" s="7"/>
    </row>
    <row r="755" ht="15.75" customHeight="1">
      <c r="G755" s="7"/>
    </row>
    <row r="756" ht="15.75" customHeight="1">
      <c r="G756" s="7"/>
    </row>
    <row r="757" ht="15.75" customHeight="1">
      <c r="G757" s="7"/>
    </row>
    <row r="758" ht="15.75" customHeight="1">
      <c r="G758" s="7"/>
    </row>
    <row r="759" ht="15.75" customHeight="1">
      <c r="G759" s="7"/>
    </row>
    <row r="760" ht="15.75" customHeight="1">
      <c r="G760" s="7"/>
    </row>
    <row r="761" ht="15.75" customHeight="1">
      <c r="G761" s="7"/>
    </row>
    <row r="762" ht="15.75" customHeight="1">
      <c r="G762" s="7"/>
    </row>
    <row r="763" ht="15.75" customHeight="1">
      <c r="G763" s="7"/>
    </row>
    <row r="764" ht="15.75" customHeight="1">
      <c r="G764" s="7"/>
    </row>
    <row r="765" ht="15.75" customHeight="1">
      <c r="G765" s="7"/>
    </row>
    <row r="766" ht="15.75" customHeight="1">
      <c r="G766" s="7"/>
    </row>
    <row r="767" ht="15.75" customHeight="1">
      <c r="G767" s="7"/>
    </row>
    <row r="768" ht="15.75" customHeight="1">
      <c r="G768" s="7"/>
    </row>
    <row r="769" ht="15.75" customHeight="1">
      <c r="G769" s="7"/>
    </row>
    <row r="770" ht="15.75" customHeight="1">
      <c r="G770" s="7"/>
    </row>
    <row r="771" ht="15.75" customHeight="1">
      <c r="G771" s="7"/>
    </row>
    <row r="772" ht="15.75" customHeight="1">
      <c r="G772" s="7"/>
    </row>
    <row r="773" ht="15.75" customHeight="1">
      <c r="G773" s="7"/>
    </row>
    <row r="774" ht="15.75" customHeight="1">
      <c r="G774" s="7"/>
    </row>
    <row r="775" ht="15.75" customHeight="1">
      <c r="G775" s="7"/>
    </row>
    <row r="776" ht="15.75" customHeight="1">
      <c r="G776" s="7"/>
    </row>
    <row r="777" ht="15.75" customHeight="1">
      <c r="G777" s="7"/>
    </row>
    <row r="778" ht="15.75" customHeight="1">
      <c r="G778" s="7"/>
    </row>
    <row r="779" ht="15.75" customHeight="1">
      <c r="G779" s="7"/>
    </row>
    <row r="780" ht="15.75" customHeight="1">
      <c r="G780" s="7"/>
    </row>
    <row r="781" ht="15.75" customHeight="1">
      <c r="G781" s="7"/>
    </row>
    <row r="782" ht="15.75" customHeight="1">
      <c r="G782" s="7"/>
    </row>
    <row r="783" ht="15.75" customHeight="1">
      <c r="G783" s="7"/>
    </row>
    <row r="784" ht="15.75" customHeight="1">
      <c r="G784" s="7"/>
    </row>
    <row r="785" ht="15.75" customHeight="1">
      <c r="G785" s="7"/>
    </row>
    <row r="786" ht="15.75" customHeight="1">
      <c r="G786" s="7"/>
    </row>
    <row r="787" ht="15.75" customHeight="1">
      <c r="G787" s="7"/>
    </row>
    <row r="788" ht="15.75" customHeight="1">
      <c r="G788" s="7"/>
    </row>
    <row r="789" ht="15.75" customHeight="1">
      <c r="G789" s="7"/>
    </row>
    <row r="790" ht="15.75" customHeight="1">
      <c r="G790" s="7"/>
    </row>
    <row r="791" ht="15.75" customHeight="1">
      <c r="G791" s="7"/>
    </row>
    <row r="792" ht="15.75" customHeight="1">
      <c r="G792" s="7"/>
    </row>
    <row r="793" ht="15.75" customHeight="1">
      <c r="G793" s="7"/>
    </row>
    <row r="794" ht="15.75" customHeight="1">
      <c r="G794" s="7"/>
    </row>
    <row r="795" ht="15.75" customHeight="1">
      <c r="G795" s="7"/>
    </row>
    <row r="796" ht="15.75" customHeight="1">
      <c r="G796" s="7"/>
    </row>
    <row r="797" ht="15.75" customHeight="1">
      <c r="G797" s="7"/>
    </row>
    <row r="798" ht="15.75" customHeight="1">
      <c r="G798" s="7"/>
    </row>
    <row r="799" ht="15.75" customHeight="1">
      <c r="G799" s="7"/>
    </row>
    <row r="800" ht="15.75" customHeight="1">
      <c r="G800" s="7"/>
    </row>
    <row r="801" ht="15.75" customHeight="1">
      <c r="G801" s="7"/>
    </row>
    <row r="802" ht="15.75" customHeight="1">
      <c r="G802" s="7"/>
    </row>
    <row r="803" ht="15.75" customHeight="1">
      <c r="G803" s="7"/>
    </row>
    <row r="804" ht="15.75" customHeight="1">
      <c r="G804" s="7"/>
    </row>
    <row r="805" ht="15.75" customHeight="1">
      <c r="G805" s="7"/>
    </row>
    <row r="806" ht="15.75" customHeight="1">
      <c r="G806" s="7"/>
    </row>
    <row r="807" ht="15.75" customHeight="1">
      <c r="G807" s="7"/>
    </row>
    <row r="808" ht="15.75" customHeight="1">
      <c r="G808" s="7"/>
    </row>
    <row r="809" ht="15.75" customHeight="1">
      <c r="G809" s="7"/>
    </row>
    <row r="810" ht="15.75" customHeight="1">
      <c r="G810" s="7"/>
    </row>
    <row r="811" ht="15.75" customHeight="1">
      <c r="G811" s="7"/>
    </row>
    <row r="812" ht="15.75" customHeight="1">
      <c r="G812" s="7"/>
    </row>
    <row r="813" ht="15.75" customHeight="1">
      <c r="G813" s="7"/>
    </row>
    <row r="814" ht="15.75" customHeight="1">
      <c r="G814" s="7"/>
    </row>
    <row r="815" ht="15.75" customHeight="1">
      <c r="G815" s="7"/>
    </row>
    <row r="816" ht="15.75" customHeight="1">
      <c r="G816" s="7"/>
    </row>
    <row r="817" ht="15.75" customHeight="1">
      <c r="G817" s="7"/>
    </row>
    <row r="818" ht="15.75" customHeight="1">
      <c r="G818" s="7"/>
    </row>
    <row r="819" ht="15.75" customHeight="1">
      <c r="G819" s="7"/>
    </row>
    <row r="820" ht="15.75" customHeight="1">
      <c r="G820" s="7"/>
    </row>
    <row r="821" ht="15.75" customHeight="1">
      <c r="G821" s="7"/>
    </row>
    <row r="822" ht="15.75" customHeight="1">
      <c r="G822" s="7"/>
    </row>
    <row r="823" ht="15.75" customHeight="1">
      <c r="G823" s="7"/>
    </row>
    <row r="824" ht="15.75" customHeight="1">
      <c r="G824" s="7"/>
    </row>
    <row r="825" ht="15.75" customHeight="1">
      <c r="G825" s="7"/>
    </row>
    <row r="826" ht="15.75" customHeight="1">
      <c r="G826" s="7"/>
    </row>
    <row r="827" ht="15.75" customHeight="1">
      <c r="G827" s="7"/>
    </row>
    <row r="828" ht="15.75" customHeight="1">
      <c r="G828" s="7"/>
    </row>
    <row r="829" ht="15.75" customHeight="1">
      <c r="G829" s="7"/>
    </row>
    <row r="830" ht="15.75" customHeight="1">
      <c r="G830" s="7"/>
    </row>
    <row r="831" ht="15.75" customHeight="1">
      <c r="G831" s="7"/>
    </row>
    <row r="832" ht="15.75" customHeight="1">
      <c r="G832" s="7"/>
    </row>
    <row r="833" ht="15.75" customHeight="1">
      <c r="G833" s="7"/>
    </row>
    <row r="834" ht="15.75" customHeight="1">
      <c r="G834" s="7"/>
    </row>
    <row r="835" ht="15.75" customHeight="1">
      <c r="G835" s="7"/>
    </row>
    <row r="836" ht="15.75" customHeight="1">
      <c r="G836" s="7"/>
    </row>
    <row r="837" ht="15.75" customHeight="1">
      <c r="G837" s="7"/>
    </row>
    <row r="838" ht="15.75" customHeight="1">
      <c r="G838" s="7"/>
    </row>
    <row r="839" ht="15.75" customHeight="1">
      <c r="G839" s="7"/>
    </row>
    <row r="840" ht="15.75" customHeight="1">
      <c r="G840" s="7"/>
    </row>
    <row r="841" ht="15.75" customHeight="1">
      <c r="G841" s="7"/>
    </row>
    <row r="842" ht="15.75" customHeight="1">
      <c r="G842" s="7"/>
    </row>
    <row r="843" ht="15.75" customHeight="1">
      <c r="G843" s="7"/>
    </row>
    <row r="844" ht="15.75" customHeight="1">
      <c r="G844" s="7"/>
    </row>
    <row r="845" ht="15.75" customHeight="1">
      <c r="G845" s="7"/>
    </row>
    <row r="846" ht="15.75" customHeight="1">
      <c r="G846" s="7"/>
    </row>
    <row r="847" ht="15.75" customHeight="1">
      <c r="G847" s="7"/>
    </row>
    <row r="848" ht="15.75" customHeight="1">
      <c r="G848" s="7"/>
    </row>
    <row r="849" ht="15.75" customHeight="1">
      <c r="G849" s="7"/>
    </row>
    <row r="850" ht="15.75" customHeight="1">
      <c r="G850" s="7"/>
    </row>
    <row r="851" ht="15.75" customHeight="1">
      <c r="G851" s="7"/>
    </row>
    <row r="852" ht="15.75" customHeight="1">
      <c r="G852" s="7"/>
    </row>
    <row r="853" ht="15.75" customHeight="1">
      <c r="G853" s="7"/>
    </row>
    <row r="854" ht="15.75" customHeight="1">
      <c r="G854" s="7"/>
    </row>
    <row r="855" ht="15.75" customHeight="1">
      <c r="G855" s="7"/>
    </row>
    <row r="856" ht="15.75" customHeight="1">
      <c r="G856" s="7"/>
    </row>
    <row r="857" ht="15.75" customHeight="1">
      <c r="G857" s="7"/>
    </row>
    <row r="858" ht="15.75" customHeight="1">
      <c r="G858" s="7"/>
    </row>
    <row r="859" ht="15.75" customHeight="1">
      <c r="G859" s="7"/>
    </row>
    <row r="860" ht="15.75" customHeight="1">
      <c r="G860" s="7"/>
    </row>
    <row r="861" ht="15.75" customHeight="1">
      <c r="G861" s="7"/>
    </row>
    <row r="862" ht="15.75" customHeight="1">
      <c r="G862" s="7"/>
    </row>
    <row r="863" ht="15.75" customHeight="1">
      <c r="G863" s="7"/>
    </row>
    <row r="864" ht="15.75" customHeight="1">
      <c r="G864" s="7"/>
    </row>
    <row r="865" ht="15.75" customHeight="1">
      <c r="G865" s="7"/>
    </row>
    <row r="866" ht="15.75" customHeight="1">
      <c r="G866" s="7"/>
    </row>
    <row r="867" ht="15.75" customHeight="1">
      <c r="G867" s="7"/>
    </row>
    <row r="868" ht="15.75" customHeight="1">
      <c r="G868" s="7"/>
    </row>
    <row r="869" ht="15.75" customHeight="1">
      <c r="G869" s="7"/>
    </row>
    <row r="870" ht="15.75" customHeight="1">
      <c r="G870" s="7"/>
    </row>
    <row r="871" ht="15.75" customHeight="1">
      <c r="G871" s="7"/>
    </row>
    <row r="872" ht="15.75" customHeight="1">
      <c r="G872" s="7"/>
    </row>
    <row r="873" ht="15.75" customHeight="1">
      <c r="G873" s="7"/>
    </row>
    <row r="874" ht="15.75" customHeight="1">
      <c r="G874" s="7"/>
    </row>
    <row r="875" ht="15.75" customHeight="1">
      <c r="G875" s="7"/>
    </row>
    <row r="876" ht="15.75" customHeight="1">
      <c r="G876" s="7"/>
    </row>
    <row r="877" ht="15.75" customHeight="1">
      <c r="G877" s="7"/>
    </row>
    <row r="878" ht="15.75" customHeight="1">
      <c r="G878" s="7"/>
    </row>
    <row r="879" ht="15.75" customHeight="1">
      <c r="G879" s="7"/>
    </row>
    <row r="880" ht="15.75" customHeight="1">
      <c r="G880" s="7"/>
    </row>
    <row r="881" ht="15.75" customHeight="1">
      <c r="G881" s="7"/>
    </row>
    <row r="882" ht="15.75" customHeight="1">
      <c r="G882" s="7"/>
    </row>
    <row r="883" ht="15.75" customHeight="1">
      <c r="G883" s="7"/>
    </row>
    <row r="884" ht="15.75" customHeight="1">
      <c r="G884" s="7"/>
    </row>
    <row r="885" ht="15.75" customHeight="1">
      <c r="G885" s="7"/>
    </row>
    <row r="886" ht="15.75" customHeight="1">
      <c r="G886" s="7"/>
    </row>
    <row r="887" ht="15.75" customHeight="1">
      <c r="G887" s="7"/>
    </row>
    <row r="888" ht="15.75" customHeight="1">
      <c r="G888" s="7"/>
    </row>
    <row r="889" ht="15.75" customHeight="1">
      <c r="G889" s="7"/>
    </row>
    <row r="890" ht="15.75" customHeight="1">
      <c r="G890" s="7"/>
    </row>
    <row r="891" ht="15.75" customHeight="1">
      <c r="G891" s="7"/>
    </row>
    <row r="892" ht="15.75" customHeight="1">
      <c r="G892" s="7"/>
    </row>
    <row r="893" ht="15.75" customHeight="1">
      <c r="G893" s="7"/>
    </row>
    <row r="894" ht="15.75" customHeight="1">
      <c r="G894" s="7"/>
    </row>
    <row r="895" ht="15.75" customHeight="1">
      <c r="G895" s="7"/>
    </row>
    <row r="896" ht="15.75" customHeight="1">
      <c r="G896" s="7"/>
    </row>
    <row r="897" ht="15.75" customHeight="1">
      <c r="G897" s="7"/>
    </row>
    <row r="898" ht="15.75" customHeight="1">
      <c r="G898" s="7"/>
    </row>
    <row r="899" ht="15.75" customHeight="1">
      <c r="G899" s="7"/>
    </row>
    <row r="900" ht="15.75" customHeight="1">
      <c r="G900" s="7"/>
    </row>
    <row r="901" ht="15.75" customHeight="1">
      <c r="G901" s="7"/>
    </row>
    <row r="902" ht="15.75" customHeight="1">
      <c r="G902" s="7"/>
    </row>
    <row r="903" ht="15.75" customHeight="1">
      <c r="G903" s="7"/>
    </row>
    <row r="904" ht="15.75" customHeight="1">
      <c r="G904" s="7"/>
    </row>
    <row r="905" ht="15.75" customHeight="1">
      <c r="G905" s="7"/>
    </row>
    <row r="906" ht="15.75" customHeight="1">
      <c r="G906" s="7"/>
    </row>
    <row r="907" ht="15.75" customHeight="1">
      <c r="G907" s="7"/>
    </row>
    <row r="908" ht="15.75" customHeight="1">
      <c r="G908" s="7"/>
    </row>
    <row r="909" ht="15.75" customHeight="1">
      <c r="G909" s="7"/>
    </row>
    <row r="910" ht="15.75" customHeight="1">
      <c r="G910" s="7"/>
    </row>
    <row r="911" ht="15.75" customHeight="1">
      <c r="G911" s="7"/>
    </row>
    <row r="912" ht="15.75" customHeight="1">
      <c r="G912" s="7"/>
    </row>
    <row r="913" ht="15.75" customHeight="1">
      <c r="G913" s="7"/>
    </row>
    <row r="914" ht="15.75" customHeight="1">
      <c r="G914" s="7"/>
    </row>
    <row r="915" ht="15.75" customHeight="1">
      <c r="G915" s="7"/>
    </row>
    <row r="916" ht="15.75" customHeight="1">
      <c r="G916" s="7"/>
    </row>
    <row r="917" ht="15.75" customHeight="1">
      <c r="G917" s="7"/>
    </row>
    <row r="918" ht="15.75" customHeight="1">
      <c r="G918" s="7"/>
    </row>
    <row r="919" ht="15.75" customHeight="1">
      <c r="G919" s="7"/>
    </row>
    <row r="920" ht="15.75" customHeight="1">
      <c r="G920" s="7"/>
    </row>
    <row r="921" ht="15.75" customHeight="1">
      <c r="G921" s="7"/>
    </row>
    <row r="922" ht="15.75" customHeight="1">
      <c r="G922" s="7"/>
    </row>
    <row r="923" ht="15.75" customHeight="1">
      <c r="G923" s="7"/>
    </row>
    <row r="924" ht="15.75" customHeight="1">
      <c r="G924" s="7"/>
    </row>
    <row r="925" ht="15.75" customHeight="1">
      <c r="G925" s="7"/>
    </row>
    <row r="926" ht="15.75" customHeight="1">
      <c r="G926" s="7"/>
    </row>
    <row r="927" ht="15.75" customHeight="1">
      <c r="G927" s="7"/>
    </row>
    <row r="928" ht="15.75" customHeight="1">
      <c r="G928" s="7"/>
    </row>
    <row r="929" ht="15.75" customHeight="1">
      <c r="G929" s="7"/>
    </row>
    <row r="930" ht="15.75" customHeight="1">
      <c r="G930" s="7"/>
    </row>
    <row r="931" ht="15.75" customHeight="1">
      <c r="G931" s="7"/>
    </row>
    <row r="932" ht="15.75" customHeight="1">
      <c r="G932" s="7"/>
    </row>
    <row r="933" ht="15.75" customHeight="1">
      <c r="G933" s="7"/>
    </row>
    <row r="934" ht="15.75" customHeight="1">
      <c r="G934" s="7"/>
    </row>
    <row r="935" ht="15.75" customHeight="1">
      <c r="G935" s="7"/>
    </row>
    <row r="936" ht="15.75" customHeight="1">
      <c r="G936" s="7"/>
    </row>
    <row r="937" ht="15.75" customHeight="1">
      <c r="G937" s="7"/>
    </row>
    <row r="938" ht="15.75" customHeight="1">
      <c r="G938" s="7"/>
    </row>
    <row r="939" ht="15.75" customHeight="1">
      <c r="G939" s="7"/>
    </row>
    <row r="940" ht="15.75" customHeight="1">
      <c r="G940" s="7"/>
    </row>
    <row r="941" ht="15.75" customHeight="1">
      <c r="G941" s="7"/>
    </row>
    <row r="942" ht="15.75" customHeight="1">
      <c r="G942" s="7"/>
    </row>
    <row r="943" ht="15.75" customHeight="1">
      <c r="G943" s="7"/>
    </row>
    <row r="944" ht="15.75" customHeight="1">
      <c r="G944" s="7"/>
    </row>
    <row r="945" ht="15.75" customHeight="1">
      <c r="G945" s="7"/>
    </row>
    <row r="946" ht="15.75" customHeight="1">
      <c r="G946" s="7"/>
    </row>
    <row r="947" ht="15.75" customHeight="1">
      <c r="G947" s="7"/>
    </row>
    <row r="948" ht="15.75" customHeight="1">
      <c r="G948" s="7"/>
    </row>
    <row r="949" ht="15.75" customHeight="1">
      <c r="G949" s="7"/>
    </row>
    <row r="950" ht="15.75" customHeight="1">
      <c r="G950" s="7"/>
    </row>
    <row r="951" ht="15.75" customHeight="1">
      <c r="G951" s="7"/>
    </row>
    <row r="952" ht="15.75" customHeight="1">
      <c r="G952" s="7"/>
    </row>
    <row r="953" ht="15.75" customHeight="1">
      <c r="G953" s="7"/>
    </row>
    <row r="954" ht="15.75" customHeight="1">
      <c r="G954" s="7"/>
    </row>
    <row r="955" ht="15.75" customHeight="1">
      <c r="G955" s="7"/>
    </row>
    <row r="956" ht="15.75" customHeight="1">
      <c r="G956" s="7"/>
    </row>
    <row r="957" ht="15.75" customHeight="1">
      <c r="G957" s="7"/>
    </row>
    <row r="958" ht="15.75" customHeight="1">
      <c r="G958" s="7"/>
    </row>
    <row r="959" ht="15.75" customHeight="1">
      <c r="G959" s="7"/>
    </row>
    <row r="960" ht="15.75" customHeight="1">
      <c r="G960" s="7"/>
    </row>
    <row r="961" ht="15.75" customHeight="1">
      <c r="G961" s="7"/>
    </row>
    <row r="962" ht="15.75" customHeight="1">
      <c r="G962" s="7"/>
    </row>
    <row r="963" ht="15.75" customHeight="1">
      <c r="G963" s="7"/>
    </row>
    <row r="964" ht="15.75" customHeight="1">
      <c r="G964" s="7"/>
    </row>
    <row r="965" ht="15.75" customHeight="1">
      <c r="G965" s="7"/>
    </row>
    <row r="966" ht="15.75" customHeight="1">
      <c r="G966" s="7"/>
    </row>
    <row r="967" ht="15.75" customHeight="1">
      <c r="G967" s="7"/>
    </row>
    <row r="968" ht="15.75" customHeight="1">
      <c r="G968" s="7"/>
    </row>
    <row r="969" ht="15.75" customHeight="1">
      <c r="G969" s="7"/>
    </row>
    <row r="970" ht="15.75" customHeight="1">
      <c r="G970" s="7"/>
    </row>
    <row r="971" ht="15.75" customHeight="1">
      <c r="G971" s="7"/>
    </row>
    <row r="972" ht="15.75" customHeight="1">
      <c r="G972" s="7"/>
    </row>
    <row r="973" ht="15.75" customHeight="1">
      <c r="G973" s="7"/>
    </row>
    <row r="974" ht="15.75" customHeight="1">
      <c r="G974" s="7"/>
    </row>
    <row r="975" ht="15.75" customHeight="1">
      <c r="G975" s="7"/>
    </row>
    <row r="976" ht="15.75" customHeight="1">
      <c r="G976" s="7"/>
    </row>
    <row r="977" ht="15.75" customHeight="1">
      <c r="G977" s="7"/>
    </row>
    <row r="978" ht="15.75" customHeight="1">
      <c r="G978" s="7"/>
    </row>
    <row r="979" ht="15.75" customHeight="1">
      <c r="G979" s="7"/>
    </row>
    <row r="980" ht="15.75" customHeight="1">
      <c r="G980" s="7"/>
    </row>
    <row r="981" ht="15.75" customHeight="1">
      <c r="G981" s="7"/>
    </row>
    <row r="982" ht="15.75" customHeight="1">
      <c r="G982" s="7"/>
    </row>
    <row r="983" ht="15.75" customHeight="1">
      <c r="G983" s="7"/>
    </row>
    <row r="984" ht="15.75" customHeight="1">
      <c r="G984" s="7"/>
    </row>
    <row r="985" ht="15.75" customHeight="1">
      <c r="G985" s="7"/>
    </row>
    <row r="986" ht="15.75" customHeight="1">
      <c r="G986" s="7"/>
    </row>
    <row r="987" ht="15.75" customHeight="1">
      <c r="G987" s="7"/>
    </row>
    <row r="988" ht="15.75" customHeight="1">
      <c r="G988" s="7"/>
    </row>
    <row r="989" ht="15.75" customHeight="1">
      <c r="G989" s="7"/>
    </row>
    <row r="990" ht="15.75" customHeight="1">
      <c r="G990" s="7"/>
    </row>
    <row r="991" ht="15.75" customHeight="1">
      <c r="G991" s="7"/>
    </row>
    <row r="992" ht="15.75" customHeight="1">
      <c r="G992" s="7"/>
    </row>
    <row r="993" ht="15.75" customHeight="1">
      <c r="G993" s="7"/>
    </row>
    <row r="994" ht="15.75" customHeight="1">
      <c r="G994" s="7"/>
    </row>
    <row r="995" ht="15.75" customHeight="1">
      <c r="G995" s="7"/>
    </row>
    <row r="996" ht="15.75" customHeight="1">
      <c r="G996" s="7"/>
    </row>
    <row r="997" ht="15.75" customHeight="1">
      <c r="G997" s="7"/>
    </row>
    <row r="998" ht="15.75" customHeight="1">
      <c r="G998" s="7"/>
    </row>
    <row r="999" ht="15.75" customHeight="1">
      <c r="G999" s="7"/>
    </row>
  </sheetData>
  <mergeCells count="13">
    <mergeCell ref="G1:Q1"/>
    <mergeCell ref="A3:A17"/>
    <mergeCell ref="A18:A32"/>
    <mergeCell ref="A33:A39"/>
    <mergeCell ref="A40:A51"/>
    <mergeCell ref="A52:A55"/>
    <mergeCell ref="R1:W1"/>
    <mergeCell ref="Y1:AE1"/>
    <mergeCell ref="AF1:AL1"/>
    <mergeCell ref="AM1:AS1"/>
    <mergeCell ref="AT1:AV1"/>
    <mergeCell ref="AW1:AY1"/>
    <mergeCell ref="AZ1:BC1"/>
  </mergeCell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2025-05-26T13:08:22Z</dcterms:created>
  <dc:creator>Sergio Vrontas</dc:creator>
</cp:coreProperties>
</file>