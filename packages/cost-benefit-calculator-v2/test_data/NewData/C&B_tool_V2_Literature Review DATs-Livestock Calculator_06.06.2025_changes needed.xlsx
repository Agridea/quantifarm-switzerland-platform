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Livestock DATs - INFO" sheetId="1" r:id="rId4"/>
    <sheet state="visible" name="Cattle" sheetId="2" r:id="rId5"/>
    <sheet state="visible" name="Pigs" sheetId="3" r:id="rId6"/>
    <sheet state="visible" name="Poultry" sheetId="4" r:id="rId7"/>
    <sheet state="visible" name="Small Ruminants" sheetId="5" r:id="rId8"/>
  </sheets>
  <definedNames/>
  <calcPr/>
  <extLst>
    <ext uri="GoogleSheetsCustomDataVersion2">
      <go:sheetsCustomData xmlns:go="http://customooxmlschemas.google.com/" r:id="rId9" roundtripDataChecksum="2Z8MIumITP2V6bXla773UonobAlcjmAU8+NXPh28hK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Q2">
      <text>
        <t xml:space="preserve">Maintenance costs are considered operating expenses (OPEX) and should be included in the calculation of net benefits when determining the ROI of an equipment.
======</t>
      </text>
    </comment>
    <comment authorId="0" ref="S2">
      <text>
        <t xml:space="preserve">Includes purchase price, installation or setup costs, and any other INITIAL expenses
======</t>
      </text>
    </comment>
    <comment authorId="0" ref="BB2">
      <text>
        <t xml:space="preserve">I included both the annual operating expenses—such as maintenance costs—and depreciation
This shows how much more or less money you earn each year after using the equipment,
======</t>
      </text>
    </comment>
    <comment authorId="0" ref="BC2">
      <text>
        <t xml:space="preserve"> The net change in your income per year as a percentage of the equipment's initial cost. 
======</t>
      </text>
    </comment>
    <comment authorId="0" ref="BD2">
      <text>
        <t xml:space="preserve">How many years it will take to earn back the money you spent on the equipment.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R2">
      <text>
        <t xml:space="preserve">Maintenance costs are considered operating expenses (OPEX) and should be included in the calculation of net benefits when determining the ROI of an equipment.
======</t>
      </text>
    </comment>
    <comment authorId="0" ref="T2">
      <text>
        <t xml:space="preserve">Includes purchase price, installation or setup costs, and any other INITIAL expenses
======</t>
      </text>
    </comment>
    <comment authorId="0" ref="BC2">
      <text>
        <t xml:space="preserve">I included both the annual operating expenses—such as maintenance costs—and depreciation
This shows how much more or less money you earn each year after using the equipment,
======</t>
      </text>
    </comment>
    <comment authorId="0" ref="BD2">
      <text>
        <t xml:space="preserve"> The net change in your income per year as a percentage of the equipment's initial cost. 
======</t>
      </text>
    </comment>
    <comment authorId="0" ref="BE2">
      <text>
        <t xml:space="preserve">How many years it will take to earn back the money you spent on the equipment.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R2">
      <text>
        <t xml:space="preserve">Maintenance costs are considered operating expenses (OPEX) and should be included in the calculation of net benefits when determining the ROI of an equipment.
======</t>
      </text>
    </comment>
    <comment authorId="0" ref="T2">
      <text>
        <t xml:space="preserve">Includes purchase price, installation or setup costs, and any other INITIAL expenses
======</t>
      </text>
    </comment>
    <comment authorId="0" ref="BC2">
      <text>
        <t xml:space="preserve">I included both the annual operating expenses—such as maintenance costs—and depreciation
This shows how much more or less money you earn each year after using the equipment,
======</t>
      </text>
    </comment>
    <comment authorId="0" ref="BD2">
      <text>
        <t xml:space="preserve"> The net change in your income per year as a percentage of the equipment's initial cost. 
======</t>
      </text>
    </comment>
    <comment authorId="0" ref="BE2">
      <text>
        <t xml:space="preserve">How many years it will take to earn back the money you spent on the equipment.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R2">
      <text>
        <t xml:space="preserve">Maintenance costs are considered operating expenses (OPEX) and should be included in the calculation of net benefits when determining the ROI of an equipment.
======</t>
      </text>
    </comment>
    <comment authorId="0" ref="BC2">
      <text>
        <t xml:space="preserve">I included both the annual operating expenses—such as maintenance costs—and depreciation
This shows how much more or less money you earn each year after using the equipment,
======</t>
      </text>
    </comment>
    <comment authorId="0" ref="BD2">
      <text>
        <t xml:space="preserve"> The net change in your income per year as a percentage of the equipment's initial cost. 
======</t>
      </text>
    </comment>
    <comment authorId="0" ref="BE2">
      <text>
        <t xml:space="preserve">How many years it will take to earn back the money you spent on the equipment.
======</t>
      </text>
    </comment>
  </commentList>
</comments>
</file>

<file path=xl/sharedStrings.xml><?xml version="1.0" encoding="utf-8"?>
<sst xmlns="http://schemas.openxmlformats.org/spreadsheetml/2006/main" count="1137" uniqueCount="444">
  <si>
    <t>DAT Category</t>
  </si>
  <si>
    <t>Purpose (for:)</t>
  </si>
  <si>
    <t>DAT Name</t>
  </si>
  <si>
    <t xml:space="preserve">DAT provider name </t>
  </si>
  <si>
    <t>DAT short description</t>
  </si>
  <si>
    <t xml:space="preserve">DAT provider website </t>
  </si>
  <si>
    <t>Platform link</t>
  </si>
  <si>
    <t>Livestock type</t>
  </si>
  <si>
    <t>Economic benefit from DAT provider</t>
  </si>
  <si>
    <t>COST INFO</t>
  </si>
  <si>
    <t xml:space="preserve">Automatic Milking Systems </t>
  </si>
  <si>
    <t>Milking Machine</t>
  </si>
  <si>
    <t>The Microdairy Portable Milking Machine</t>
  </si>
  <si>
    <t xml:space="preserve">The Microdairy </t>
  </si>
  <si>
    <t>The Microdairy Portable Milking Machine has its own vacuum system, pulsation, milk reception or storage and milking equipment, all on a frame that can be easily transported and used wherever the animal is located. The transport frames are mainly in hot dipped galvanized or powder coated. Our Cow Milking Machines are manufactured in Turkey and optional Silicon liners are approved and manufactured in EU.</t>
  </si>
  <si>
    <t>https://themicrodairy.com/</t>
  </si>
  <si>
    <t>Dairy cows</t>
  </si>
  <si>
    <t xml:space="preserve">Fullwood Merlin </t>
  </si>
  <si>
    <t>Fullwood</t>
  </si>
  <si>
    <t>Designed to keep your cows relaxed and productive, M²erlin uses smart improvements to upgrade your milking environment. With its incredibly silent electric arm, HMI touch screen and unique K-Flow integrated cow traffic, M²erlin makes milking quiet and stress-free, with natural entry and easy cow flow. What does this all mean? A quiet and relaxed environment that keeps cows comfortable at every stage of milking. The result is better milking and higher yields. M²erlin makes milking more peaceful for your cows and more profitable for you.</t>
  </si>
  <si>
    <t>https://www.fullwoodjoz.com/solutions/robotic-milking/merlin/</t>
  </si>
  <si>
    <t>Heikkila et al. (2012) stated that introduction of milking robots on a farm in Finland created an average increase in productivity by 7 percent.</t>
  </si>
  <si>
    <t>Lely Astronaut A5</t>
  </si>
  <si>
    <t>Lely</t>
  </si>
  <si>
    <t>The new milestone in robotic milking The Lely Astronaut A5 is the new milestone in robotic milking. It is a robot that has incorporated everything we have learned in the 25 years of experience since we invented robotic milking. A machine that guarantees high milk production with full respect for animal welfare and the environment.</t>
  </si>
  <si>
    <t xml:space="preserve">https://www.lely.com/solutions/milking/astronaut-a5/                           https://www.lely.com/media/filer_public/8e/67/8e67908f-7466-41d5-b599-64acd0c15ac8/lely_dairy_2016_tr.pdf </t>
  </si>
  <si>
    <r>
      <rPr>
        <rFont val="Arial"/>
        <color theme="1"/>
        <sz val="10.0"/>
      </rPr>
      <t xml:space="preserve"> 10% increase</t>
    </r>
    <r>
      <rPr>
        <rFont val="Arial"/>
        <color theme="1"/>
        <sz val="10.0"/>
      </rPr>
      <t xml:space="preserve"> in milk production of cow. Milking time per cow is </t>
    </r>
    <r>
      <rPr>
        <rFont val="Arial"/>
        <color theme="1"/>
        <sz val="10.0"/>
      </rPr>
      <t xml:space="preserve">reduced by 4%.      </t>
    </r>
  </si>
  <si>
    <t>DeLaval VMS V300</t>
  </si>
  <si>
    <t>DeLaval</t>
  </si>
  <si>
    <t>The VMS™ V300 milking robot features the best milking process we have ever created, focused on maximizing the economic benefit of every visit your cows make to it. It allows each cow to be milked according to her individual needs and capacity. This means that each cow is able to reach their full potential.</t>
  </si>
  <si>
    <t>https://www.delaval.com/en-us/explore-our-farm-solutions/milking/delaval-vms-series/</t>
  </si>
  <si>
    <t xml:space="preserve"> Heikkila et al. (2012) stated that introduction of milking robots on a farm in Finlanf created an average increase in productivity by 7 percent.</t>
  </si>
  <si>
    <t>110.000.</t>
  </si>
  <si>
    <t>Milking Robot</t>
  </si>
  <si>
    <t>DairyRobot R9500</t>
  </si>
  <si>
    <t>GEA Farm Technologies</t>
  </si>
  <si>
    <t>With the R9500 milking robot the choice is yours: Automated milking with voluntary milking times or in groups via group milking. Whichever way fits your operation, thanks to GEA’s leading milking technology, you have a system that is intelligently designed for you and your cows! The DairyRobot R9500 is a milking robot developed by GEA that offers intelligent and flexible automatic milking. It can be configured as a single box system, a multi-box system or a rotary milking parlor, and it can accommodate different cow traffic styles and milking timeshttps://www.gea.com/en/products/milking-farming-barn/dairyrobot-automated-milking/dairyrobot-r9500-robotic-milking-system.jsp.The cost of this product may vary depending on the size, design and equipment options. However, according to a brochure from GEA, the price range for a single box system is between $175,000 and $225,000. You may want to contact GEA or a local dealer for more accurate pricing informationhttps://www.gea.com/en/binaries/gea-dairyrobot-r9500-robot-milking-system_tcm11-51429.pdf</t>
  </si>
  <si>
    <t>https://www.gea.com/en/dairy-farming/index.jsp</t>
  </si>
  <si>
    <t>7% Milk Yield Increase.  13% less water consumption. 35% energy saving.</t>
  </si>
  <si>
    <t>automated rotary milking</t>
  </si>
  <si>
    <t>GEA DairyProQ</t>
  </si>
  <si>
    <t xml:space="preserve">automated rotary milking solution for large-scale dairy farms. he GEA DairyProQ is a robotic rotary milking parlor developed by GEA that offers automatic milking for large herds of 600 cows or more. It has 28-80 milking stalls that operate independently, allowing for continuous milking with high reliability and minimal downtime. It also features the In-Liner Everything technology that performs every step of the milking process within the teat cup, ensuring excellent milk quality and hygienehttps://www.gea.com/en/products/milking-farming-barn/dairyrobot-automated-milking/rotary-parlor-dairyproq.jsp. Some of the benefits of using the GEA DairyProQ are: •  It has a standardized milking routine that takes place in a stress-free environment for the cows. The 3D camera teat detection system attaches the teat cups quickly and precisely, and the individual quarter milking and dipping ensure optimal udder healthhttps://www.gea.com/en/products/milking-farming-barn/dairyrobot-automated-milking/rotary-parlor-dairyproq.jsp. •  It has a conductivity sensor that monitors every udder quarter and lets you manage health preventively. When conductivity values rise, and milk quantity goes down, an automatic test quickly diagnoses the problem. This helps you reduce milk losses and treatment costshttps://www.gea.com/en/products/milking-farming-barn/dairyrobot-automated-milking/rotary-parlor-dairyproq.jsp.  •  It has a modern and motivating work environment for the operators. They can monitor milking, access valuable information on cow health, and intervene in the milking process at any time with a large touchscreen displayhttps://www.gea.com/en/products/milking-farming-barn/dairyrobot-automated-milking/rotary-parlor-dairyproq.jsp. •  It has a low operational and service cost thanks to its simplified maintenance, minimal use of consumables and energy, and optimized performancehttps://www.gea.com/en/products/milking-farming-barn/dairyrobot-automated-milking/rotary-parlor-dairyproq.jsp. It also integrates with GEA FarmView, a monitoring software that allows online diagnosis and supporthttps://www.youtube.com/watch?v=CZ03dvT2154.  The cost of this product may vary depending on the size, design and equipment options. However, according to a news article from 2014, the price range for a single stall module was between $50,000 and $60,000. You may want to contact GEA or a local dealer for more accurate pricing informationhttps://www.gea.com/en/stories/dynamic-dairy-farming.jsp.
</t>
  </si>
  <si>
    <t>43% higher labor efficiency . 14% higher milking efficiency</t>
  </si>
  <si>
    <t>Rotary milking</t>
  </si>
  <si>
    <t>GEA DairyRotor T8900</t>
  </si>
  <si>
    <t>A rotary milking parlor is made to meet high demands of dairy farms around the world. he EXTERNAL ROTARY MILKING PARLOR DAIRYROTOR T8900 is a carousel milking system developed by GEA for dairy farms that demand high performance and efficiency. It can milk 32-120 cows per round with an outstanding ratio of manpower and milk yieldhttps://www.gea.com/en/products/milking-farming-barn/dairyrotor-milk-rotary/dairyrotor-external-rotaries/dairyrotor-t8900-rotary-parlor.jsphttps://www.gea.com/assets/gea-dairyrotor-t8900-external-rotary-en-227206.pdf. It also offers great comfort and durability for both the cows and the milking staffhttps://www.gea.com/en/products/milking-farming-barn/dairyrotor-milk-rotary/dairyrotor-external-rotaries/dairyrotor-t8900-rotary-parlor.jsphttps://www.gea.com/assets/gea-dairyrotor-t8900-external-rotary-en-227206.pdf.</t>
  </si>
  <si>
    <r>
      <rPr>
        <rFont val="Arial"/>
        <color rgb="FF1155CC"/>
        <sz val="10.0"/>
        <u/>
      </rPr>
      <t>https://www.gea.com/en/dairy-farming/index.jsp</t>
    </r>
    <r>
      <rPr>
        <rFont val="Arial"/>
        <color rgb="FF0563C1"/>
        <sz val="10.0"/>
        <u/>
      </rPr>
      <t xml:space="preserve"> </t>
    </r>
  </si>
  <si>
    <t>Robotic Milking</t>
  </si>
  <si>
    <t>Lely Astronaut A3 Next</t>
  </si>
  <si>
    <t xml:space="preserve">an automated milking system that milks, feeds, and monitors the health of cows. The milking system also examines the quantity and quality of the milk received from the cows, and if necessary, it separates milk that is contaminated or not to the correct standard. The Lely Astronaut A3 Next is a milking robot developed by Lely that offers automatic milking with improved cow comfort and efficiency. It features a 3D camera teat detection system that achieves an attachment time of 14 seconds under optimal conditions, and a unique I-flow concept that allows cows to enter and exit the box quickly and easilyhttps://www.lely.com/techdocs/astronaut/a3-next/. It also integrates with the Lely Grazeway system that allows cows to choose when to be milked and when to graze outsidehttps://www.lely.com/gb/explore-lely-astronaut-system/.The cost of this product may vary depending on the size, design and equipment options. However, according to a news article from 2009, the price range for a single box system was between $175,000 and $200,000. You may want to contact Lely or a local dealer for more accurate pricing informationhttps://www.dairyherd.com/news/proven-technology-fresh-design-lely-astronaut-a3-next
</t>
  </si>
  <si>
    <t>https://www.lely.com/techdocs/astronaut/a3-next/</t>
  </si>
  <si>
    <r>
      <rPr>
        <rFont val="Arial"/>
        <color theme="1"/>
        <sz val="10.0"/>
      </rPr>
      <t xml:space="preserve">29% less labor.  </t>
    </r>
    <r>
      <rPr>
        <rFont val="Arial"/>
        <color theme="1"/>
        <sz val="10.0"/>
      </rPr>
      <t>increase in productivity by 7 percent.</t>
    </r>
  </si>
  <si>
    <t xml:space="preserve">Automatic Milking </t>
  </si>
  <si>
    <t>CapriMAX</t>
  </si>
  <si>
    <t>Boumatic</t>
  </si>
  <si>
    <t xml:space="preserve">The CapriMAX milking cluster is the ultimate milking solution for progressive dairy goat
farmers. Numerous innovations ensure best results in terms of milking speed and quality,
ruggedness and comfort. </t>
  </si>
  <si>
    <t>https://boumatic.com/eu_en/products/caprimax/</t>
  </si>
  <si>
    <t>goat</t>
  </si>
  <si>
    <r>
      <rPr>
        <rFont val="Arial"/>
        <color theme="1"/>
        <sz val="10.0"/>
      </rPr>
      <t xml:space="preserve">According to Belanche et al. (2019), their study, which focused on dairy goat farms, demonstrated a decrease in seasonality throughout the year in terms of the percentage of animals in milking and milk yield, allowing for a significant </t>
    </r>
    <r>
      <rPr>
        <rFont val="Arial"/>
        <color theme="1"/>
        <sz val="10.0"/>
      </rPr>
      <t>increment of off-season milk production by 17%</t>
    </r>
    <r>
      <rPr>
        <rFont val="Arial"/>
        <color theme="1"/>
        <sz val="10.0"/>
      </rPr>
      <t>. This improvement was attributed to the implementation of automated milking systems in the goat farms.. ----------------------- According to De Koning (2010), the adoption of automatic milking systems in dairy farms compared to conventional twice daily milking results in an</t>
    </r>
    <r>
      <rPr>
        <rFont val="Arial"/>
        <color theme="1"/>
        <sz val="10.0"/>
      </rPr>
      <t xml:space="preserve"> average reduction of 20% to 30% in total labor. ------------------ Heikkila et al. (2012) stated that introduction of milking robots on a farm in Finland created an average increase in productivity by 7 percent.</t>
    </r>
  </si>
  <si>
    <t>100.000 - 300.000€</t>
  </si>
  <si>
    <t>OviMAX</t>
  </si>
  <si>
    <t>The OviMAX milking cluster is the ultimate milking solution for progressive dairy sheep farmers.
Numerous innovations ensure best results in terms of milking speed and quality, ruggedness and comfort.
Your milking operation will achieve new levels of efficiency and profitability.</t>
  </si>
  <si>
    <t>https://boumatic.com/eu_en/products/ovimax/</t>
  </si>
  <si>
    <t>sheep</t>
  </si>
  <si>
    <r>
      <rPr>
        <rFont val="Arial"/>
        <color theme="1"/>
        <sz val="10.0"/>
      </rPr>
      <t xml:space="preserve">According to Belanche et al. (2019), their study, which focused on dairy goat farms, demonstrated a decrease in seasonality throughout the year in terms of the percentage of animals in milking and milk yield, allowing for a significant </t>
    </r>
    <r>
      <rPr>
        <rFont val="Arial"/>
        <color theme="1"/>
        <sz val="10.0"/>
      </rPr>
      <t>increment of off-season milk production by 17%</t>
    </r>
    <r>
      <rPr>
        <rFont val="Arial"/>
        <color theme="1"/>
        <sz val="10.0"/>
      </rPr>
      <t>. This improvement was attributed to the implementation of automated milking systems in the goat farms.. ----------------------- According to De Koning (2010), the adoption of automatic milking systems in dairy farms compared to conventional twice daily milking results in an</t>
    </r>
    <r>
      <rPr>
        <rFont val="Arial"/>
        <color theme="1"/>
        <sz val="10.0"/>
      </rPr>
      <t xml:space="preserve"> average reduction of 20% to 30% in total labor.    -------------------</t>
    </r>
    <r>
      <rPr>
        <rFont val="Arial"/>
        <color theme="1"/>
        <sz val="10.0"/>
      </rPr>
      <t>Heikkila et al. (2012) stated that introduction of milking robots on a farm in Finlanf created an average increase in productivity by 7 percent.</t>
    </r>
  </si>
  <si>
    <t>Rotary Parlor</t>
  </si>
  <si>
    <t>Swiftlo goat rotary</t>
  </si>
  <si>
    <t>Dairymaster</t>
  </si>
  <si>
    <t>The Swiftflo Goat Rotary has been designed to give optimum operator and goat comfort. Its unique robotic carriage allows one operator to milk up to 1,300 goats per hour. It is suitable for herd sizes of 500 goats or more.</t>
  </si>
  <si>
    <t>https://www.dairymaster.com/gb/goat-rotary/</t>
  </si>
  <si>
    <t>TYPICALLY 5% MORE YIELD (from the DAT provider : https://www.dairymaster.com/gb/cow-rotary/ )    According to Rue et al. (2020), rotary dairies with automated technologies have been shown to have 43% higher labor efficiency and 14% higher milking efficiency.          Rue, B. D., Lee, J. M., Eastwood, C. R., Macdonald, K. A., &amp; Gregorini, P. (2020). Evaluation of an eating time sensor for use in pasture-based dairy systems. Journal of dairy science, 103(10), 9488-9492. ------------------- Heikkila et al. (2012) stated that introduction of milking robots on a farm in Finlanf created an average increase in productivity by 7 percent.</t>
  </si>
  <si>
    <t xml:space="preserve">Automatic Oestrus Detection </t>
  </si>
  <si>
    <t>monitoring and warning</t>
  </si>
  <si>
    <t>HAPPY COW (Ida Sensor)</t>
  </si>
  <si>
    <t>DATAMARS</t>
  </si>
  <si>
    <t>Ida monitors each cow for signs of heat, ensuring you don’t miss the optimal time for insemination. She also spots fertility-related issues, helping you proactively address non-cyclic cows, potential abortions and calvings.</t>
  </si>
  <si>
    <t>https://www.ida.io/en/</t>
  </si>
  <si>
    <t>https://iot-catalogue.s3.amazonaws.com/files/5f15a4942df0b21fe88057c9/HAPPY%20COW.pdf</t>
  </si>
  <si>
    <t>Achieve pregnancy rates up to 34%</t>
  </si>
  <si>
    <t>Pro €4 per month per cow plus €40 startup fee per cow</t>
  </si>
  <si>
    <t>heat detection</t>
  </si>
  <si>
    <t>AfiAct II</t>
  </si>
  <si>
    <t>Afimilk</t>
  </si>
  <si>
    <r>
      <rPr>
        <rFont val="Arial"/>
        <sz val="10.0"/>
      </rPr>
      <t xml:space="preserve">Afiact II system works for you by reducing false alerts and maximizing heat detection rate, calving alert, delayed calving and host of other Parameters by advance and precise set of algorithms. In Case of calving you get alerts on predicted. The AfiAct II is a cow monitoring system developed by Afimilk that provides accurate and timely heat detection and health monitoring. It uses a pedometer that measures the activity and rest patterns of each cow and sends the data to the AfiFarm software. The software analyzes the data and alerts the farmer when a cow is in heat or has a health issue </t>
    </r>
    <r>
      <rPr>
        <rFont val="Arial"/>
        <color rgb="FF1155CC"/>
        <sz val="10.0"/>
        <u/>
      </rPr>
      <t>https://pdf.agriexpo.online/pdf/afimilk/afiact-ii/171321-13165.html</t>
    </r>
    <r>
      <rPr>
        <rFont val="Arial"/>
        <sz val="10.0"/>
      </rPr>
      <t xml:space="preserve"> The cost of this product may vary depending on the size, design and equipment options. However, according to a brochure from Afimilk, the price range for a single pedometer is between $200 and $300. You may want to contact Afimilk or a local dealer for more accurate pricing informationhttps://milkplan.com/site/index.php/en/products/milking-systems/cows/herd-management/afiact-2.</t>
    </r>
  </si>
  <si>
    <t>https://www.afimilk.com/cow-monitoring/#afiact2</t>
  </si>
  <si>
    <r>
      <rPr>
        <rFont val="Arial"/>
        <color theme="1"/>
        <sz val="10.0"/>
      </rPr>
      <t>Pregnancy rate</t>
    </r>
    <r>
      <rPr>
        <rFont val="Arial"/>
        <color theme="1"/>
        <sz val="10.0"/>
      </rPr>
      <t xml:space="preserve"> increased from 15% to 24%</t>
    </r>
    <r>
      <rPr>
        <rFont val="Arial"/>
        <color theme="1"/>
        <sz val="10.0"/>
      </rPr>
      <t xml:space="preserve">
Percentage increase = (New value - Old value) / Old value x 100%
</t>
    </r>
    <r>
      <rPr>
        <rFont val="Arial"/>
        <color theme="1"/>
        <sz val="10.0"/>
      </rPr>
      <t>percentage benefit of this technology is 60%.</t>
    </r>
  </si>
  <si>
    <t>200 - 300 euros (per single pedometer)</t>
  </si>
  <si>
    <t>Ovalert</t>
  </si>
  <si>
    <t>CRV</t>
  </si>
  <si>
    <t>Ovalert is a reproductive management system developed by SCR Dairy for dairy farms. It uses sensors and data analysis to monitor cow behavior and physiological indicators related to reproduction. By analyzing cow activity and other factors, Ovalert helps farmers detect optimal breeding opportunities and improve reproductive efficiency in their herds. It provides heat detection, heat intensity scoring, health monitoring, and data analysis features to assist farmers in making informed decisions for better herd fertility.</t>
  </si>
  <si>
    <t>https://crv4all.com/en/service/ovalert</t>
  </si>
  <si>
    <t>https://4d4f.eu/</t>
  </si>
  <si>
    <r>
      <rPr>
        <rFont val="Arial"/>
        <color theme="1"/>
        <sz val="10.0"/>
      </rPr>
      <t xml:space="preserve">6 week-in-calf rate increase of 35%    (https://www.lgga.lt/assets/pdf/info/Ovalert-ir-SireMatch.pdf  )  ------ Arendzen and Scheppingen [64] estimated that investment in AOD technologies could </t>
    </r>
    <r>
      <rPr>
        <rFont val="Arial"/>
        <color theme="1"/>
        <sz val="10.0"/>
      </rPr>
      <t>reduce labor costs by 30 %</t>
    </r>
  </si>
  <si>
    <t>heat and movement patterns detection and warning</t>
  </si>
  <si>
    <t>CowScout</t>
  </si>
  <si>
    <t>Overall, the pregnancy rate has increased from 25% to 33%, and heifers are calving earlier.</t>
  </si>
  <si>
    <t>https://www.gea.com/en/products/milking-farming-barn/activity-detection-cowscout.jsp     ----------          https://www.nedap-livestockmanagement.com/testimonial/carl-carlson/</t>
  </si>
  <si>
    <r>
      <rPr>
        <rFont val="Arial"/>
        <color theme="1"/>
        <sz val="10.0"/>
      </rPr>
      <t>Pregnancy rate</t>
    </r>
    <r>
      <rPr>
        <rFont val="Arial"/>
        <color theme="1"/>
        <sz val="10.0"/>
      </rPr>
      <t xml:space="preserve"> increased from 25% to 33%</t>
    </r>
  </si>
  <si>
    <t>65 per cow</t>
  </si>
  <si>
    <t>Heat Checking</t>
  </si>
  <si>
    <t>Boar Bot 2.0</t>
  </si>
  <si>
    <t xml:space="preserve">the Swine Robotics </t>
  </si>
  <si>
    <t>the Boar Bot 2.0 is a robotic device designed for use in pig farming to aid in the process of heat checking, which involves identifying female pigs in heat to facilitate breeding. The Boar Bot 2.0 is an updated version of an earlier model and features a variable speed motor with soft-start and soft-stop functionality, which allows for more precise and safe movement through the barn. Additionally, the updated technology is designed to exercise boars with smoother acceleration, which can improve their ability to find females in heat. Overall, the Boar Bot 2.0 appears to be a device intended to improve efficiency and animal welfare in pig farming.</t>
  </si>
  <si>
    <t>https://swinerobotics.com/site/boar-bot-2-0/</t>
  </si>
  <si>
    <t>NA</t>
  </si>
  <si>
    <t>Pigs</t>
  </si>
  <si>
    <t>5.000- 10.000</t>
  </si>
  <si>
    <t>Increase farrowing rates by 2-10% .  Increase safety with 95% less boar-worker contact, eliminate injuiries •        95% Labor Saving (Swine Robotics INC. link)</t>
  </si>
  <si>
    <t>Heat detection</t>
  </si>
  <si>
    <t xml:space="preserve">Heat Detection Pigs </t>
  </si>
  <si>
    <t>Nedap (Provider) Jenisys (supplier)</t>
  </si>
  <si>
    <t>The Nedap Sow Heat Detection is an advanced solution for pig farming that promptly reports heat conditions to the farmer. This system swiftly identifies and marks sows in heat within the group, ensuring timely detection. Through a separate station, it automates the recognition, marking, and separation of sows based on heat, outperforming traditional methods in speed and accuracy. The Stainless Steel version, part of the Electronic Sow Feeding system, enhances farmer safety and contributes to a 2% cost saving per sow per year, making it a valuable tool for efficient pig management.</t>
  </si>
  <si>
    <t>http://www.jenisys.eu/JCLweb/heat-detection-pigs/</t>
  </si>
  <si>
    <t>pigs</t>
  </si>
  <si>
    <t>2.500 - 5.000 €</t>
  </si>
  <si>
    <r>
      <rPr>
        <rFont val="Arial"/>
        <color theme="1"/>
        <sz val="10.0"/>
      </rPr>
      <t>saves 2% cost</t>
    </r>
    <r>
      <rPr>
        <rFont val="Arial"/>
        <color theme="1"/>
        <sz val="10.0"/>
      </rPr>
      <t xml:space="preserve"> per sow per year</t>
    </r>
  </si>
  <si>
    <t xml:space="preserve">Automatic Feeding Systems </t>
  </si>
  <si>
    <t>Automatic Feeding</t>
  </si>
  <si>
    <t>Pitstop BASIS mineral feeder</t>
  </si>
  <si>
    <t>MicroFeeder</t>
  </si>
  <si>
    <t>The MicroFeeder PitstopBASIS is a feeder for providing mineral feed supplements to animals with individual needs. It comes in two models, one with a large mounting bracket for a wall and another with a small bracket for stanchion or fencing bars. The feeder is made of durable HDPE plastic and has a 45-liter volume feed container. The lid has a one-hand operated snap lock for easy filling, and the closed design protects the supplements from water and dung. One feeder serves about 25 cows, and it is suitable for animals without horns.</t>
  </si>
  <si>
    <t>https://www.microfeeder.com/Pitstop</t>
  </si>
  <si>
    <t>Precision Mineral Supplementation is an easy, safe and efficient method: • Costs for the feeder €4; • Mineral costs per cow per year €27; • Increase in milk per cow per day 1.2 kg;(given the average milk yield of 25 kg per day, milk yield increase is about 5 %) • Reduction of health-related losses (-10%); • Total savings per cow per year €146 ()</t>
  </si>
  <si>
    <t>400 euros</t>
  </si>
  <si>
    <t>Lely Vector</t>
  </si>
  <si>
    <t>Exact rations and always fresh food Frequent feeding has been proven to have a positive effect on the overall health of the herd. Lely Vector precisely loads the amount of feed for each feeding and distributes it only where it is needed. The caliper calculates the weight and realizes at what depth it should take the right amount.</t>
  </si>
  <si>
    <t>https://www.lely.com/solutions/feeding/vector/</t>
  </si>
  <si>
    <t>Cattle</t>
  </si>
  <si>
    <r>
      <rPr>
        <rFont val="Arial"/>
        <color theme="1"/>
        <sz val="10.0"/>
      </rPr>
      <t xml:space="preserve"> 97% in energy consumption </t>
    </r>
    <r>
      <rPr>
        <rFont val="Arial"/>
        <color theme="1"/>
        <sz val="10.0"/>
      </rPr>
      <t xml:space="preserve">and </t>
    </r>
    <r>
      <rPr>
        <rFont val="Arial"/>
        <color theme="1"/>
        <sz val="10.0"/>
      </rPr>
      <t>79% in labor saving</t>
    </r>
    <r>
      <rPr>
        <rFont val="Arial"/>
        <color theme="1"/>
        <sz val="10.0"/>
      </rPr>
      <t xml:space="preserve"> .</t>
    </r>
    <r>
      <rPr>
        <rFont val="Arial"/>
        <color theme="1"/>
        <sz val="10.0"/>
      </rPr>
      <t xml:space="preserve"> 33% reduction in daily feeding cost</t>
    </r>
  </si>
  <si>
    <t xml:space="preserve">180.000 euros </t>
  </si>
  <si>
    <t>Triomatic T30 feed kitchen</t>
  </si>
  <si>
    <t xml:space="preserve">Trioliet </t>
  </si>
  <si>
    <t>combination of one or more feed floors, with the number depending on the number of coarse feed ingredients. These feed floors are easy to load using a silage cutter but the system is also suitable for round or square bales of silage, hay or straw. The cutting unit has two circular knives that cut the feed up evenly, leaving a compact feed structure</t>
  </si>
  <si>
    <t>https://www.trioliet.com/products/automatic-feeding-systems/feed-kitchens/feed-storage-for-automatic-feeding-system</t>
  </si>
  <si>
    <t xml:space="preserve"> represents a saving of 50% compared to other systems</t>
  </si>
  <si>
    <t xml:space="preserve">85.000 euros </t>
  </si>
  <si>
    <t>Lely Calm automatic calf feeder</t>
  </si>
  <si>
    <t>Lely Calm is an automated calf feeding system that eliminates manual tasks like filling heavy buckets and cleaning feeding tools. The system automatically mixes milk powder and water to create a suitable portion, recognizing calves through neck transponders. It streamlines daily routines, ensuring optimal hygiene and saving time. Equipped with a smart management system, it provides health information accessible through tools like Horizon management, CalfApp, and CalfCloud. Designed to promote roughage and concentrate intake, Lely Calm enhances rumen health, positively impacting vitality, fertility, milk yield, and the overall lifespan of dairy cows. The HygieneBox ensures teat hygiene through a thorough automated cleaning process. Suited for all farms, Lely Calm offers quick recoupment of investment.</t>
  </si>
  <si>
    <t>https://www.lely.com/solutions/feeding/calm/</t>
  </si>
  <si>
    <r>
      <rPr>
        <rFont val="Arial"/>
        <color theme="1"/>
        <sz val="10.0"/>
      </rPr>
      <t>labour-savings of 60 to 70%</t>
    </r>
    <r>
      <rPr>
        <rFont val="Arial"/>
        <color theme="1"/>
        <sz val="10.0"/>
      </rPr>
      <t>; it will pay for itself in three years</t>
    </r>
  </si>
  <si>
    <t>7.000-10.000 euros</t>
  </si>
  <si>
    <t>Feeding Robot</t>
  </si>
  <si>
    <t>Boumatic Ranger</t>
  </si>
  <si>
    <t>self-guided robot, which pushes the ration multiple times a day. It allows you to reduce labour costs and positively impact milk production as full consumption of ration increases milk yield by up to 1 liter per cow and day.</t>
  </si>
  <si>
    <t>https://boumatic.com/eu_en/products/boumatic-ranger/</t>
  </si>
  <si>
    <r>
      <rPr>
        <rFont val="Arial"/>
        <color theme="1"/>
        <sz val="10.0"/>
      </rPr>
      <t>Full consumption of feed ration increases milk yield by up to</t>
    </r>
    <r>
      <rPr>
        <rFont val="Arial"/>
        <color theme="1"/>
        <sz val="10.0"/>
      </rPr>
      <t xml:space="preserve"> 1 liter per cow and day </t>
    </r>
    <r>
      <rPr>
        <rFont val="Arial"/>
        <color theme="1"/>
        <sz val="10.0"/>
      </rPr>
      <t xml:space="preserve">. Ensures that feed is being pushed on a specified route continuously, can save up to </t>
    </r>
    <r>
      <rPr>
        <rFont val="Arial"/>
        <color theme="1"/>
        <sz val="10.0"/>
      </rPr>
      <t>180 man-hours a year</t>
    </r>
    <r>
      <rPr>
        <rFont val="Arial"/>
        <color theme="1"/>
        <sz val="10.0"/>
      </rPr>
      <t xml:space="preserve"> to be spent on other jobs. Feed waste can be reduced by an average o</t>
    </r>
    <r>
      <rPr>
        <rFont val="Arial"/>
        <color theme="1"/>
        <sz val="10.0"/>
      </rPr>
      <t>f 75%;</t>
    </r>
    <r>
      <rPr>
        <rFont val="Arial"/>
        <color theme="1"/>
        <sz val="10.0"/>
      </rPr>
      <t xml:space="preserve"> the feed is always in reach, so the cows are encouraged to eat </t>
    </r>
  </si>
  <si>
    <t>€150,000 to €200,000</t>
  </si>
  <si>
    <t>The Transfeed DEC TMR Feed Robot</t>
  </si>
  <si>
    <t>SCHAUER</t>
  </si>
  <si>
    <t>Transfeed DEC is a TMR (Total Mixed Ration) cattle-feeding robot developed by SCHAUER, a company that specializes in livestock feeding technology. The Transfeed DEC is designed to automate the feeding process for dairy cows, beef cattle, and other livestock. It uses advanced sensors and algorithms to measure and mix the feed ingredients in the correct proportions, based on the specific nutritional needs of the animals. The robot can be programmed to provide customized feed rations for each animal or group of animals, based on factors such as age, weight, and milk production. The Transfeed DEC is designed to be highly efficient and reliable, with minimal human intervention required. It can operate 24 hours a day, seven days a week, and can feed up to 200 cows per hour. The robot is also designed to be easy to operate and maintain, with a user-friendly interface and remote monitoring capabilities. Overall, the Transfeed DEC TMR Cattle-Feeding Robot from SCHAUER is a cutting-edge technology that can help farmers and livestock producers optimize their feeding practices and improve the health and productivity of their animals.</t>
  </si>
  <si>
    <r>
      <rPr>
        <rFont val="Arial"/>
        <color rgb="FF1155CC"/>
        <sz val="10.0"/>
        <u/>
      </rPr>
      <t>https://en.schauer-agrotronic.com/cattle</t>
    </r>
    <r>
      <rPr>
        <rFont val="Arial"/>
        <color rgb="FF0563C1"/>
        <sz val="10.0"/>
        <u/>
      </rPr>
      <t xml:space="preserve">      Transfeed_14_EN.pdf   </t>
    </r>
  </si>
  <si>
    <r>
      <rPr>
        <rFont val="Arial"/>
        <color theme="1"/>
        <sz val="10.0"/>
      </rPr>
      <t xml:space="preserve">According to a recent study by Guy Beauregard, agricultural economist, repeated feeding with roughage improves feed intake and </t>
    </r>
    <r>
      <rPr>
        <rFont val="Arial"/>
        <color theme="1"/>
        <sz val="10.0"/>
      </rPr>
      <t xml:space="preserve">increases milk production by approximately 10%. </t>
    </r>
    <r>
      <rPr>
        <rFont val="Arial"/>
        <color theme="1"/>
        <sz val="10.0"/>
      </rPr>
      <t xml:space="preserve">The </t>
    </r>
    <r>
      <rPr>
        <rFont val="Arial"/>
        <color theme="1"/>
        <sz val="10.0"/>
      </rPr>
      <t xml:space="preserve">working time saved </t>
    </r>
    <r>
      <rPr>
        <rFont val="Arial"/>
        <color theme="1"/>
        <sz val="10.0"/>
      </rPr>
      <t xml:space="preserve">in a 100-cow farm is approximately </t>
    </r>
    <r>
      <rPr>
        <rFont val="Arial"/>
        <color theme="1"/>
        <sz val="10.0"/>
      </rPr>
      <t>2 hours per day.</t>
    </r>
  </si>
  <si>
    <t>€40,000 to €60,000</t>
  </si>
  <si>
    <t>the FEEDR feeding robot</t>
  </si>
  <si>
    <t>Sieplo</t>
  </si>
  <si>
    <t>Exactly the right, individual ration for each animal. Precisely dosed at the right time and always fresh. The FEEDR® makes it possible to match more closely than ever the natural eating behaviour of your animals. This will help you take another step towards even better animal health and higher returns in your business. This unmanned feeding robot goes to the feeding stations itself, mixes the forage into a homogenous mixture and doses the feed in your stalls. Using the central computer or the practical FEEDR® app, you can easily adjust feeding schedules and animal numbers. You will also have accurate insight into feed data, allowing you to optimise feed composition, identify health problems in your animals at an early stage and improve your returns.</t>
  </si>
  <si>
    <t>https://www.sieplo.com/product/feedr/</t>
  </si>
  <si>
    <t xml:space="preserve">cattle,  Goat/sheep </t>
  </si>
  <si>
    <t>According to a recent study by Guy Beauregard, agricultural economist, repeated feeding with roughage improves feed intake and increases milk production by approximately 10%. The working time saved in a 100-cow farm is approximately 2 hours per day.</t>
  </si>
  <si>
    <t>€50,000 to €100,000</t>
  </si>
  <si>
    <t>Automatic Littering System</t>
  </si>
  <si>
    <t>Strohmatic Automatic Littering System</t>
  </si>
  <si>
    <t>The Strohmatic system is designed to automate the process of littering or spreading bedding materials, such as straw or wood shavings, in animal housing facilities. It is particularly suited for use in pig farming, where the hygiene and comfort of the animals is essential for their health and productivity. The Strohmatic system consists of a series of sensors, controllers, and dispensers that work together to distribute the bedding material evenly and efficiently. The sensors detect the level of bedding material in the housing area, and the controllers activate the dispensers to add more material as needed. This helps to maintain a consistent level of bedding, which is important for keeping the animals clean, comfortable, and healthy. The Strohmatic system is designed to be easy to install and operate, with a user-friendly interface that allows farmers and animal caretakers to adjust the settings and monitor the system remotely. It can also be integrated with other SCHAUER products, such as feeding systems and ventilation systems, to create a complete solution for livestock housing and management.</t>
  </si>
  <si>
    <r>
      <rPr>
        <rFont val="Arial"/>
        <color rgb="FF1155CC"/>
        <sz val="10.0"/>
        <u/>
      </rPr>
      <t>https://en.schauer-agrotronic.com/pig/litter-systems/strohmatic</t>
    </r>
    <r>
      <rPr>
        <rFont val="Arial"/>
        <color rgb="FF0563C1"/>
        <sz val="10.0"/>
        <u/>
      </rPr>
      <t xml:space="preserve">   Strohmatic Litter system </t>
    </r>
  </si>
  <si>
    <t>Cattle, Pig, Small Ruminants, Poultry</t>
  </si>
  <si>
    <r>
      <rPr>
        <rFont val="Arial"/>
        <color theme="1"/>
        <sz val="10.0"/>
      </rPr>
      <t xml:space="preserve">Reduce straw costs by up to 50 % </t>
    </r>
    <r>
      <rPr>
        <rFont val="Arial"/>
        <color theme="1"/>
        <sz val="10.0"/>
      </rPr>
      <t xml:space="preserve">with Strohmatic., achieves a </t>
    </r>
    <r>
      <rPr>
        <rFont val="Arial"/>
        <color theme="1"/>
        <sz val="10.0"/>
      </rPr>
      <t>dust reduction of
up to 80 %.</t>
    </r>
  </si>
  <si>
    <t>€20,000 to €50,000</t>
  </si>
  <si>
    <t>Jeantil Automatic Feeding</t>
  </si>
  <si>
    <t>Jeantil</t>
  </si>
  <si>
    <t>Jeantil Automatic Feeding robot meets today’s livestock farming needs in terms of animal welfare, productivity and energy savings. Jeantil Automatic Feeding offers a modular and scalable technology consisting of a ration preparation unit, a control interface on PC and a feed distribution robot. The latter results from a high quality manufacture according to French standards and a high precision technology at the service of a reliable, high performance and economical mechanism.</t>
  </si>
  <si>
    <t>https://www.jeantil.com/Contenus-Jeantil/2-50-0-0-0-0-158-2-Jeantil_Automatic_Feeding.html#haut</t>
  </si>
  <si>
    <t>TIME SAVINGS : the loading of the storage units only takes from 15 to 30 minutes
ENERGY SAVINGS : Low energy costs that range from 0.20 to 0.30€ /ton of feed supplied (VAT excluded).</t>
  </si>
  <si>
    <t xml:space="preserve">BUTLER GOLD PRO FEED PUSHER
</t>
  </si>
  <si>
    <t>wasserbauer</t>
  </si>
  <si>
    <t>Butler Gold Pro Feed Pusher is a specialized device designed to automate and streamline the feeding process in livestock operations. It is a robotic system that operates on a track or rail system within the barn or feeding area.
The Butler Gold Pro Feed Pusher is equipped with brushes or paddles that gently push the feed closer to the animals, ensuring that feed is evenly distributed and accessible throughout the feeding area. It helps prevent feed wastage and encourages animals to consume their entire ration.</t>
  </si>
  <si>
    <r>
      <rPr>
        <rFont val="Arial"/>
        <color rgb="FF1155CC"/>
        <sz val="10.0"/>
        <u/>
      </rPr>
      <t>https://wasserbauer.at/produkte/futterschieber-butler-gold-pro</t>
    </r>
    <r>
      <rPr>
        <rFont val="Arial"/>
        <color rgb="FF0563C1"/>
        <sz val="10.0"/>
        <u/>
      </rPr>
      <t xml:space="preserve">       </t>
    </r>
    <r>
      <rPr>
        <rFont val="Arial"/>
        <color rgb="FF1155CC"/>
        <sz val="10.0"/>
        <u/>
      </rPr>
      <t>https://wasserbauer.at//user_upload/downloads/WB_Gesamtfolder2022_engl_web.pdf</t>
    </r>
    <r>
      <rPr>
        <rFont val="Arial"/>
        <color rgb="FF0563C1"/>
        <sz val="10.0"/>
        <u/>
      </rPr>
      <t xml:space="preserve">   </t>
    </r>
  </si>
  <si>
    <t xml:space="preserve">labor saving 70 % ,    Up to 20% energy savings 
</t>
  </si>
  <si>
    <t>€10,000 to €20,000</t>
  </si>
  <si>
    <t>automatic feeding</t>
  </si>
  <si>
    <t>PigNic &amp; PigNic-Jumbo for piglets</t>
  </si>
  <si>
    <t>Big Dutchman</t>
  </si>
  <si>
    <t>Big Dutchman’s innovative automatic feeder PigNic is ideally suited for all weight groups from weaned piglets to finishing pigs. PigNic is available in two different models: ) for piglet rearing and ) pig finishing Up to 40 animals can be fed at one feeder. PigNic is made of both stainless steel and plastic and is equally well suited for the use of pellets, granules or meal. It can be installed into the pen</t>
  </si>
  <si>
    <t>https://www.bigdutchman.com/en/pig-production/products/detail/automatic-feeders/</t>
  </si>
  <si>
    <t>Pigs, Piglets</t>
  </si>
  <si>
    <r>
      <rPr>
        <rFont val="Arial"/>
        <color theme="1"/>
        <sz val="10.0"/>
      </rPr>
      <t xml:space="preserve">According to Pomar and Remus (2019), utilizing precision feeding techniques in growing pig operations can lead to significant </t>
    </r>
    <r>
      <rPr>
        <rFont val="Arial"/>
        <color theme="1"/>
        <sz val="10.0"/>
      </rPr>
      <t>reductions in production costs by over 8%,</t>
    </r>
    <r>
      <rPr>
        <rFont val="Arial"/>
        <color theme="1"/>
        <sz val="10.0"/>
      </rPr>
      <t xml:space="preserve"> protein and phosphorous intake by 25%, excretion by 40%, and greenhouse gas emissions by 6%, through increasing individual nutrient efficiency.</t>
    </r>
  </si>
  <si>
    <t>1000 - 2000 €</t>
  </si>
  <si>
    <t>automatic liquid feeding</t>
  </si>
  <si>
    <t>Liquimix liquid feeding</t>
  </si>
  <si>
    <t xml:space="preserve">SCHAUER </t>
  </si>
  <si>
    <t>Automatic liquid feeding is used worldwide to reduce feed costs. There are a number of systems available: working with mixed phase or multiphase feed, with or without residual amounts and depending on the size of the operation. The liquid feeding systems are automatic, oriented to reduce the feed costs, controlled by computer-based feed management. It has an optimized digestibility of the liquid feed due to activation of feed enzymes (phytase, xylanase, glucanase), which leads to better-feed utilization. It can reduce the feed costs by 10%.</t>
  </si>
  <si>
    <t>https://en.schauer-agrotronic.com/pig/pig-feeding-systems/liquimix-liquid-feeding</t>
  </si>
  <si>
    <t>reduce the feed costs by 10%, Significantly higher growth output (5.5%)
Lower feed losses (4.8%), Better feed intake and 1 : 0.1 – 0.15 better
feed conversion ratio. The feed costs can be reduced by up to €* 2 – 4 per
fattening pig.</t>
  </si>
  <si>
    <t>10.000 - 30.000 €</t>
  </si>
  <si>
    <t>automatic littering system</t>
  </si>
  <si>
    <t>STROHMATIC AUTOMATIC LITTERING SYSTEM</t>
  </si>
  <si>
    <t>The STROHMATIC system is designed to automate the process of littering or spreading bedding materials, such as straw or wood shavings, in animal housing facilities. It is particularly suited for use in pig farming, where the hygiene and comfort of the animals is essential for their health and productivity. The STROHMATIC system consists of a series of sensors, controllers, and dispensers that work together to distribute the bedding material evenly and efficiently. The sensors detect the level of bedding material in the housing area, and the controllers activate the dispensers to add more material as needed. This helps to maintain a consistent level of bedding, which is important for keeping the animals clean, comfortable, and healthy. The STROHMATIC system is designed to be easy to install and operate, with a user-friendly interface that allows farmers and animal caretakers to adjust the settings and monitor the system remotely. It can also be integrated with other SCHAUER products, such as feeding systems and ventilation systems, to create a complete solution for livestock housing and management.</t>
  </si>
  <si>
    <r>
      <rPr>
        <rFont val="Arial"/>
        <color rgb="FF1155CC"/>
        <sz val="10.0"/>
        <u/>
      </rPr>
      <t>https://en.schauer-agrotronic.com/pig/litter-systems/strohmatic</t>
    </r>
    <r>
      <rPr>
        <rFont val="Arial"/>
        <color rgb="FF0563C1"/>
        <sz val="10.0"/>
        <u/>
      </rPr>
      <t xml:space="preserve">   Strohmatic Litter system </t>
    </r>
  </si>
  <si>
    <r>
      <rPr>
        <rFont val="Arial"/>
        <color theme="1"/>
        <sz val="10.0"/>
      </rPr>
      <t xml:space="preserve">Reduce straw costs by up to 50 % </t>
    </r>
    <r>
      <rPr>
        <rFont val="Arial"/>
        <color theme="1"/>
        <sz val="10.0"/>
      </rPr>
      <t xml:space="preserve">with Strohmatic., achieves a </t>
    </r>
    <r>
      <rPr>
        <rFont val="Arial"/>
        <color theme="1"/>
        <sz val="10.0"/>
      </rPr>
      <t xml:space="preserve">dust reduction of
up to 80 %.   ------------------- </t>
    </r>
    <r>
      <rPr>
        <rFont val="Arial"/>
        <color theme="1"/>
        <sz val="10.0"/>
      </rPr>
      <t xml:space="preserve">The use of precision livestock feeding can decrease protein intake by 25%, and nitrogen excretion into the environment by 40%, while increasing profitability by nearly 10% [60].   </t>
    </r>
    <r>
      <rPr>
        <rFont val="Arial"/>
        <i/>
        <color theme="1"/>
        <sz val="10.0"/>
      </rPr>
      <t>Hendriks W.H., Verstegen M.W.A., Babinszky L., editors. Poultry and Pig Nutrition. Wageningen Academic Publishers; Wageningen, The Netherlands: 2019. [Google Scholar]</t>
    </r>
  </si>
  <si>
    <t>pig sorting</t>
  </si>
  <si>
    <t>Nedap Pig Sorting</t>
  </si>
  <si>
    <t>Nedap (provider) Jenisys (supplier)</t>
  </si>
  <si>
    <t xml:space="preserve">Nedap Pig Sorting allows you to feed and sort pigs based on weight and sex..  The station weighs and identifies each pig and automatically leads it to the right feed type or to the separation area.  This means you can feed optimally and deliver your pigs to the slaughterhouse at exactly the right weight. Feeding according to weight and sec sends the individual finisher to the correct feed type.  </t>
  </si>
  <si>
    <t>http://www.jenisys.eu/JCLweb/pig-sorting/</t>
  </si>
  <si>
    <t xml:space="preserve">Pig </t>
  </si>
  <si>
    <t>save up to 20% on the cost of the starter feed alone. In addition Nedap Pig sorting monitors not only growth but the number of visits to the station which means you can keep an eye on the activity and health of your animals.</t>
  </si>
  <si>
    <t xml:space="preserve">30 € per slaughter pig </t>
  </si>
  <si>
    <t>farrowing feeding</t>
  </si>
  <si>
    <t>Nedap Farrowing Feeding</t>
  </si>
  <si>
    <t>Nedap Solutions</t>
  </si>
  <si>
    <t>Nedap Farrowing Feeding with wireless Activator is a revolutionary solution for optimizing lactating sow nutrition. This system delivers precise, snack-sized portions of fresh feed on a schedule, with the added flexibility for sows to request additional portions. The result is maximized feed intake, leading to improved sow and pig performance, reduced mortality, increased litter size, and consistent milk yields. The wireless Activator minimizes labor, cuts feed wastage, and provides real-time data for strategic feed planning. With benefits such as heavier piglet weaning weights and quicker rebreeding, this technology ensures a healthier and more profitable sow management experience across various housing styles.</t>
  </si>
  <si>
    <t>https://www.nedap-livestockmanagement.com/pigfarming/solutions/nedap-sowsense/farrowing-breeding-stall-feeding/</t>
  </si>
  <si>
    <r>
      <rPr>
        <rFont val="Arial"/>
        <color theme="1"/>
        <sz val="10.0"/>
      </rPr>
      <t>cut feed wastage which accounts for up to 70% of pork production costs</t>
    </r>
    <r>
      <rPr>
        <rFont val="Arial"/>
        <color theme="1"/>
        <sz val="10.0"/>
      </rPr>
      <t>.  Nedap Activator’s demand-driven feeding also reduces labor and feed costs. Employees don’t have to manually check feeders and remove feed. They know which sows need attention, and they know faster than with ad-lib feeding. Automated and demand-driven feeding can also cut feed wastage, which accounts for up to 70% of pork production costs.</t>
    </r>
  </si>
  <si>
    <t>250 € per sow space</t>
  </si>
  <si>
    <t xml:space="preserve">Strohmatic Automatic Littering System </t>
  </si>
  <si>
    <r>
      <rPr>
        <rFont val="Arial"/>
        <color rgb="FF1155CC"/>
        <sz val="10.0"/>
        <u/>
      </rPr>
      <t>https://en.schauer-agrotronic.com/pig/litter-systems/strohmatic</t>
    </r>
    <r>
      <rPr>
        <rFont val="Arial"/>
        <color rgb="FF0563C1"/>
        <sz val="10.0"/>
        <u/>
      </rPr>
      <t xml:space="preserve">   Strohmatic Litter system </t>
    </r>
  </si>
  <si>
    <t>Cattle, Pig, Goat/sheep, Poultry</t>
  </si>
  <si>
    <r>
      <rPr>
        <rFont val="Arial"/>
        <color theme="1"/>
        <sz val="10.0"/>
      </rPr>
      <t xml:space="preserve">Reduce straw costs by up to 50 % </t>
    </r>
    <r>
      <rPr>
        <rFont val="Arial"/>
        <color theme="1"/>
        <sz val="10.0"/>
      </rPr>
      <t xml:space="preserve">with Strohmatic., achieves a </t>
    </r>
    <r>
      <rPr>
        <rFont val="Arial"/>
        <color theme="1"/>
        <sz val="10.0"/>
      </rPr>
      <t>dust reduction of up to 80 %.</t>
    </r>
  </si>
  <si>
    <t>20.000 – 50.000 €</t>
  </si>
  <si>
    <t>Feeding System</t>
  </si>
  <si>
    <t xml:space="preserve">Transfeed DEC </t>
  </si>
  <si>
    <t xml:space="preserve">Transfeed DEC has been one for 30 years Technology that has been used 1000 times and is installed stationary. The lining will via one guided on rails Feed wagon, the group TMR Feed mixtures fully automatic mixes, distributed several times a day. Depending on the size of the livestock, different feed mixer wagons are available. Robot feeding system for sheeps and goats. The Transfeed DEC drives quietly and steadily along the ceiling of your barn and distributes just the right amount of food.
</t>
  </si>
  <si>
    <r>
      <rPr>
        <rFont val="Arial"/>
        <color rgb="FF0563C1"/>
        <sz val="10.0"/>
        <u/>
      </rPr>
      <t>https://en.schauer-agrotronic.com/sheep-and-goats</t>
    </r>
    <r>
      <rPr>
        <rFont val="Arial"/>
        <color rgb="FF000000"/>
        <sz val="10.0"/>
        <u/>
      </rPr>
      <t xml:space="preserve">       brochure named "Sheep and goats"</t>
    </r>
  </si>
  <si>
    <r>
      <rPr>
        <rFont val="Arial"/>
        <color theme="1"/>
        <sz val="10.0"/>
      </rPr>
      <t xml:space="preserve">Through the approx. 4-8 times feed presentation per day, the feed intake of the TMR mixed ration increased by up to 10% according to studies become. At the same time it will also increased the amount of milk produced. This robot feeding system provides labour savings 2 hours a day. </t>
    </r>
    <r>
      <rPr>
        <rFont val="Arial"/>
        <color theme="1"/>
        <sz val="10.0"/>
      </rPr>
      <t xml:space="preserve">According to a recent study by Guy Beauregard, agricultural economist, repeated feeding with roughage improves feed intake and increases milk production by approximately 10%. 
</t>
    </r>
    <r>
      <rPr>
        <rFont val="Arial"/>
        <color theme="1"/>
        <sz val="10.0"/>
      </rPr>
      <t xml:space="preserve">
</t>
    </r>
  </si>
  <si>
    <t>40.000 – 60.000 €</t>
  </si>
  <si>
    <r>
      <rPr>
        <rFont val="Arial"/>
        <color rgb="FF0563C1"/>
        <sz val="10.0"/>
        <u/>
      </rPr>
      <t>https://www.lely.com/solutions/feeding/vector/</t>
    </r>
    <r>
      <rPr>
        <rFont val="Arial"/>
        <color rgb="FF000000"/>
        <sz val="10.0"/>
        <u/>
      </rPr>
      <t xml:space="preserve">      </t>
    </r>
    <r>
      <rPr>
        <rFont val="Arial"/>
        <color rgb="FF1155CC"/>
        <sz val="10.0"/>
        <u/>
      </rPr>
      <t>https://www.lely.com/media/filer_public/72/0e/720e3ff9-7884-4b81-84c9-a3489509ab26/bf18012_vector-tools_brochure_2018_en.pdf</t>
    </r>
    <r>
      <rPr>
        <rFont val="Arial"/>
        <color rgb="FF000000"/>
        <sz val="10.0"/>
        <u/>
      </rPr>
      <t xml:space="preserve">  </t>
    </r>
  </si>
  <si>
    <r>
      <rPr>
        <rFont val="Arial"/>
        <color theme="1"/>
        <sz val="10.0"/>
      </rPr>
      <t xml:space="preserve">Cattle, </t>
    </r>
    <r>
      <rPr>
        <rFont val="Arial"/>
        <i/>
        <color theme="1"/>
        <sz val="10.0"/>
      </rPr>
      <t xml:space="preserve"> Goat/sheep</t>
    </r>
  </si>
  <si>
    <r>
      <rPr>
        <rFont val="Arial"/>
        <color theme="1"/>
        <sz val="10.0"/>
      </rPr>
      <t xml:space="preserve">In the article by Tangorra and Calcante (2018), by using LELY VECTOR, the authors reported a </t>
    </r>
    <r>
      <rPr>
        <rFont val="Arial"/>
        <color theme="1"/>
        <sz val="10.0"/>
      </rPr>
      <t xml:space="preserve">reduction of 97% in energy consumption </t>
    </r>
    <r>
      <rPr>
        <rFont val="Arial"/>
        <color theme="1"/>
        <sz val="10.0"/>
      </rPr>
      <t xml:space="preserve">and </t>
    </r>
    <r>
      <rPr>
        <rFont val="Arial"/>
        <color theme="1"/>
        <sz val="10.0"/>
      </rPr>
      <t>79% in labor</t>
    </r>
    <r>
      <rPr>
        <rFont val="Arial"/>
        <color theme="1"/>
        <sz val="10.0"/>
      </rPr>
      <t xml:space="preserve"> when transitioning from a Conventional Feeding System (CFS) to an Automatic Feeding System (AFS). The information regarding the reduction in energy consumption and labor, as well as the</t>
    </r>
    <r>
      <rPr>
        <rFont val="Arial"/>
        <color theme="1"/>
        <sz val="10.0"/>
      </rPr>
      <t xml:space="preserve"> 33% reduction in daily feeding cost. </t>
    </r>
    <r>
      <rPr>
        <rFont val="Arial"/>
        <i/>
        <color theme="1"/>
        <sz val="10.0"/>
      </rPr>
      <t>While it is commonly associated with automated feeding systems for dairy cattle, the Lely Vector is a flexible system that can be adapted for various livestock types, including small ruminants such as sheep and goats.</t>
    </r>
  </si>
  <si>
    <t>50.000 - 100.000 €</t>
  </si>
  <si>
    <t xml:space="preserve">Automated Feeding </t>
  </si>
  <si>
    <t xml:space="preserve">Automated Feed Station </t>
  </si>
  <si>
    <t>GreenOak (from USA but has european customer)</t>
  </si>
  <si>
    <t>Our feed station systems are flexible and designed to simplify and optimize your goat feeding operations. Our state-of-the-art dispensing system can dispense up to three different types of feed at once. The built-in animal identification system is made of a leg strap that links to a floor antenna that transmits the animal ID to a software that in return executes the feeding instructions for individual animal profile. Information such as milk yield, lactation stage, date of kids birth etc. are some of the details used to determine feed instructions. 
Research has shown that providing adequate nutrition before and after kidding increases the small ruminant’s ability to produce milk. Providing your goats and sheep, and their kids to be born, with adequate nutrition will impact their ability to produce sufficient milk without going into Ketosis. Goats and sheep in the commercial dairy industry are expected to deliver large volumes of milk which call for adequate nutrition. With our feed station systems, feed quantity, frequency and variety is provided automatically and seamlessly.</t>
  </si>
  <si>
    <t>https://www.greenoakna.com/goat-sheep-feed-station</t>
  </si>
  <si>
    <t>goat sheep</t>
  </si>
  <si>
    <r>
      <rPr>
        <rFont val="Arial"/>
        <color theme="1"/>
        <sz val="10.0"/>
      </rPr>
      <t xml:space="preserve">We have also seen evidence of commercial farms in Europe where they can make </t>
    </r>
    <r>
      <rPr>
        <rFont val="Arial"/>
        <color theme="1"/>
        <sz val="10.0"/>
      </rPr>
      <t xml:space="preserve">savings of 15% of feed cost </t>
    </r>
    <r>
      <rPr>
        <rFont val="Arial"/>
        <color theme="1"/>
        <sz val="10.0"/>
      </rPr>
      <t>by feeding to milk production of the animal.
Greenoak research has shown that tailored computer feeding can</t>
    </r>
    <r>
      <rPr>
        <rFont val="Arial"/>
        <color theme="1"/>
        <sz val="10.0"/>
      </rPr>
      <t xml:space="preserve"> improve milk production by 20%</t>
    </r>
    <r>
      <rPr>
        <rFont val="Arial"/>
        <color theme="1"/>
        <sz val="10.0"/>
      </rPr>
      <t xml:space="preserve"> which is 3 times better than the </t>
    </r>
    <r>
      <rPr>
        <rFont val="Arial"/>
        <color theme="1"/>
        <sz val="10.0"/>
      </rPr>
      <t xml:space="preserve">15% feed to yield savings </t>
    </r>
    <r>
      <rPr>
        <rFont val="Arial"/>
        <color theme="1"/>
        <sz val="10.0"/>
      </rPr>
      <t>above.</t>
    </r>
  </si>
  <si>
    <t>26.000 € per 200 goats</t>
  </si>
  <si>
    <t>50.000 – 100.000 €</t>
  </si>
  <si>
    <t>Animal Behaviour, Monitoring, Health, Welfare &amp; Disease Detection</t>
  </si>
  <si>
    <t>virtual fencing</t>
  </si>
  <si>
    <t>Vence app</t>
  </si>
  <si>
    <t xml:space="preserve">Vence </t>
  </si>
  <si>
    <t xml:space="preserve"> The Vence virtual fencing and cattle management software is an affordable and convenient way to manage your cattle. With the Vence system, there is no need for physical fences or corrals. Instead, the Vence app uses GPS collars worn by the cattle. The collars emit a Radio Frequency (RF) signal that is used to automatically create a virtual fence around the cattle. The Vence app will keep track of the cattle's location and send alerts if the cattle attempt to leave the virtual fence.</t>
  </si>
  <si>
    <t>https://vence.io/product</t>
  </si>
  <si>
    <t>Cattle (only 500+ animals)</t>
  </si>
  <si>
    <r>
      <rPr>
        <rFont val="Arial"/>
        <color theme="1"/>
        <sz val="10.0"/>
      </rPr>
      <t>Reduce</t>
    </r>
    <r>
      <rPr>
        <rFont val="Arial"/>
        <color theme="1"/>
        <sz val="10.0"/>
      </rPr>
      <t xml:space="preserve"> labor costs by over 25%</t>
    </r>
    <r>
      <rPr>
        <rFont val="Arial"/>
        <color theme="1"/>
        <sz val="10.0"/>
      </rPr>
      <t xml:space="preserve">
See </t>
    </r>
    <r>
      <rPr>
        <rFont val="Arial"/>
        <color theme="1"/>
        <sz val="10.0"/>
      </rPr>
      <t>up to 30% cost savings</t>
    </r>
    <r>
      <rPr>
        <rFont val="Arial"/>
        <color theme="1"/>
        <sz val="10.0"/>
      </rPr>
      <t xml:space="preserve"> through rotational grazing</t>
    </r>
  </si>
  <si>
    <t xml:space="preserve">Currently, the cost for virtual fence technology from Vence includes $35 to rent a collar for one year, plus $10 for the battery. A collar can be moved to different animals within the rental period
</t>
  </si>
  <si>
    <t>health monitoring</t>
  </si>
  <si>
    <t>Ixotrack GPS collar</t>
  </si>
  <si>
    <t>Ixorique</t>
  </si>
  <si>
    <t>Automatically control your livestock thanks to our Ixotrack GPS collar and digitally manage your farm and receive alerts on your mobile.</t>
  </si>
  <si>
    <t>https://ixorigue.com/en#how-it-works</t>
  </si>
  <si>
    <t>Cows</t>
  </si>
  <si>
    <t>Improves productivity per cow Increase the calf / cow year ratio by up to 15% thanks to our GPS collar for cattle</t>
  </si>
  <si>
    <t>3000 euros</t>
  </si>
  <si>
    <t xml:space="preserve">Ida </t>
  </si>
  <si>
    <t>Ida can tell when a cow isn’t feeling great 24-48 hours before most humans. She sees subtle behavior changes that can indicate mastitis, metritis, ketosis or other illnesses. Her early warnings reduce treatment days and improve the welfare of your herd.</t>
  </si>
  <si>
    <t>Cow</t>
  </si>
  <si>
    <t xml:space="preserve">Reduce antibiotic use by 60%/ </t>
  </si>
  <si>
    <t>Pro
€4
per month per cow
plus €40 startup fee per cow</t>
  </si>
  <si>
    <t>lighting arrangement</t>
  </si>
  <si>
    <t>Lely Light for Cows , Lely L4C</t>
  </si>
  <si>
    <t>https://www.lely.com/media/filer_public/2b/63/2b633500-8e27-46ed-ae0b-d5ba3e778ad1/lely_l4c__en.pdf</t>
  </si>
  <si>
    <t xml:space="preserve"> all (low barns, dry cows, beef cattle) </t>
  </si>
  <si>
    <t>a +68% Lifetime production
Academic research shows an increase of 6% up to 10% in the milk production compared to cows in barns without optimal lighting</t>
  </si>
  <si>
    <t>100-200 € per light</t>
  </si>
  <si>
    <t xml:space="preserve">Lighting </t>
  </si>
  <si>
    <t>ALIS Barn Lamps</t>
  </si>
  <si>
    <t>Greengage</t>
  </si>
  <si>
    <t>Monitoring of environment and bird behaviour. Reduce aggression and mortality. Improve hock and foot health. Maintains birds’ circadian rhythm. Maintain litter integrity. Encourage natural behaviours.</t>
  </si>
  <si>
    <t>https://greengage.global/wp-content/uploads/ALIS-Barn-Lamp-wide-A4-ENGLISH.pdf</t>
  </si>
  <si>
    <t xml:space="preserve">poultry, swine </t>
  </si>
  <si>
    <r>
      <rPr>
        <rFont val="Arial"/>
        <color theme="1"/>
        <sz val="10.0"/>
      </rPr>
      <t>In comparison to legacy lighting systems, such as CFL and fluorescent, ALIS yields</t>
    </r>
    <r>
      <rPr>
        <rFont val="Arial"/>
        <color theme="1"/>
        <sz val="10.0"/>
      </rPr>
      <t xml:space="preserve"> energy savings between 50% and 90%</t>
    </r>
  </si>
  <si>
    <t>100 - 150 € per light</t>
  </si>
  <si>
    <t>Sound Monitoring</t>
  </si>
  <si>
    <t>SoundTalks</t>
  </si>
  <si>
    <t>A robust algorithm focused on respiratory health farm surveillance. Robust trained algorithm with more than 350 years of barn recorded sound data. Validation from barns all over the world. High sensitivity and speciﬁcity detecting early symptoms based on labeled cough events. High precision rate.</t>
  </si>
  <si>
    <t>https://www.soundtalks.com/soundtalks/</t>
  </si>
  <si>
    <t xml:space="preserve">EU -PLF </t>
  </si>
  <si>
    <r>
      <rPr>
        <rFont val="Arial"/>
        <sz val="10.0"/>
      </rPr>
      <t xml:space="preserve">contact challenged pigs from G0 had a </t>
    </r>
    <r>
      <rPr>
        <rFont val="Arial"/>
        <sz val="10.0"/>
      </rPr>
      <t xml:space="preserve">23.4% and 10.1% decrease in individual treatments </t>
    </r>
    <r>
      <rPr>
        <rFont val="Arial"/>
        <sz val="10.0"/>
      </rPr>
      <t xml:space="preserve">when compared to G5 and G10 respectively. A 5 days earlier intervention decreases the individual treatments by 23% .   ( </t>
    </r>
    <r>
      <rPr>
        <rFont val="Arial"/>
        <color rgb="FF1155CC"/>
        <sz val="10.0"/>
        <u/>
      </rPr>
      <t>https://www.soundtalks.com/paper/economic-assessment-of-a-sound-based-precision-livestock-farming-tool-soundtalks-based-on-timing-of-intervention-after-a-dual-mycoplasma-hyopneumoniae-and-prrs-virus-seeder-challenge-in-pigs/</t>
    </r>
    <r>
      <rPr>
        <rFont val="Arial"/>
        <sz val="10.0"/>
      </rPr>
      <t xml:space="preserve"> )          +++++++++++++++++++    Under the conditions of this study, the implementation of SoundTalks lead to a </t>
    </r>
    <r>
      <rPr>
        <rFont val="Arial"/>
        <sz val="10.0"/>
      </rPr>
      <t>38% reduction in the use of antibiotics</t>
    </r>
    <r>
      <rPr>
        <rFont val="Arial"/>
        <sz val="10.0"/>
      </rPr>
      <t xml:space="preserve"> with the exception of cases involving IAV as the primary pathogen.  ( </t>
    </r>
    <r>
      <rPr>
        <rFont val="Arial"/>
        <color rgb="FF1155CC"/>
        <sz val="10.0"/>
        <u/>
      </rPr>
      <t>https://www.soundtalks.com/paper/sound-based-health-monitoring-performed-by-soundtalks-significantly-reduces-the-overall-antibiotic-consumption-nursery-facilities/</t>
    </r>
    <r>
      <rPr>
        <rFont val="Arial"/>
        <sz val="10.0"/>
      </rPr>
      <t xml:space="preserve"> )</t>
    </r>
  </si>
  <si>
    <t>2000 € installation 300 € per sensor 250 € per year</t>
  </si>
  <si>
    <t>Fever Detection</t>
  </si>
  <si>
    <t>Degree2act</t>
  </si>
  <si>
    <t>Degree</t>
  </si>
  <si>
    <t>Degree2act is an affordable and non-invasive tool for early detection of temperature alterations in animals, aiding in individual health care and disease outbreak identification in pig herds. Utilizing contactless IR skin thermometry with the Degree2act app, it eliminates the need for invasive instruments, reducing stress and the risk of pathogen transmission. This quick and user-friendly solution, requiring a Flir One thermographic camera, facilitates preventive health management, potentially minimizing antibiotic use in pig farming. Diagnostics should always be conducted under veterinary guidance.</t>
  </si>
  <si>
    <t xml:space="preserve">https://www.degree2act.com/ </t>
  </si>
  <si>
    <t xml:space="preserve">
Reduction of antibiotic treatment costs up to 50% (from 1.33 € to 0.71 € per animal). Reduction of 20-25% in mortality rates. The average daily gain (ADG) may increase by 10-15%. Assuming a 20% decrease in mortality rates, a 10% increase of the average daily growth and a decline of 25% of the costs of antibiotics, the production costs per kg pig meat using Degree2act decrease by 1.7%</t>
  </si>
  <si>
    <t>between 250 € and 500 € for the camera. Cost of the app vary from 49.99 € to 99.99 € per year</t>
  </si>
  <si>
    <t>to keep animals moving</t>
  </si>
  <si>
    <t>T-Moov</t>
  </si>
  <si>
    <t>Tibot</t>
  </si>
  <si>
    <t xml:space="preserve">Spoutnic is the first product in our line. Its job is to get your birds moving and reduce the floor egg rate. You’ll feel more secure about the start and success of each flock of animals. </t>
  </si>
  <si>
    <t>https://www.farmsrobots.com/product/74/t-moov-robot</t>
  </si>
  <si>
    <t>poultry</t>
  </si>
  <si>
    <t>50% labor saving, +30% mating activity, improved fertility by 5%, 50% fewer floor eggs</t>
  </si>
  <si>
    <r>
      <rPr>
        <rFont val="Arial"/>
        <color theme="1"/>
        <sz val="10.0"/>
      </rPr>
      <t>In comparison to legacy lighting systems, such as CFL and fluorescent, ALIS yields</t>
    </r>
    <r>
      <rPr>
        <rFont val="Arial"/>
        <color theme="1"/>
        <sz val="10.0"/>
      </rPr>
      <t xml:space="preserve"> energy savings between 50% and 90%</t>
    </r>
  </si>
  <si>
    <t>Virtual fencing</t>
  </si>
  <si>
    <t>NOFENCE</t>
  </si>
  <si>
    <t>nofence</t>
  </si>
  <si>
    <t>Nofence is the worlds first commercial virtual fencing solution for livestock, where the animals are controlled by GPS-collars and an app.</t>
  </si>
  <si>
    <t>https://www.nofence.no/en/</t>
  </si>
  <si>
    <t>cattle, Goat/sheep</t>
  </si>
  <si>
    <r>
      <rPr>
        <rFont val="Arial"/>
        <color theme="1"/>
        <sz val="10.0"/>
      </rPr>
      <t xml:space="preserve"> annual yield of 6t/ha DM with 60 per cent utilisation for a total of 3.6t/ha DM utilised. When cattle are moved every two to three days, utilisation goes up to 75 per cent for a total of 9.0t/ha DM   ... --------------------------------------------according to the benefit of another DAT available, virtual fencing </t>
    </r>
    <r>
      <rPr>
        <rFont val="Arial"/>
        <color theme="1"/>
        <sz val="10.0"/>
      </rPr>
      <t>Reduce labor costs by over 25%</t>
    </r>
    <r>
      <rPr>
        <rFont val="Arial"/>
        <color theme="1"/>
        <sz val="10.0"/>
      </rPr>
      <t xml:space="preserve">
See</t>
    </r>
    <r>
      <rPr>
        <rFont val="Arial"/>
        <color theme="1"/>
        <sz val="10.0"/>
      </rPr>
      <t xml:space="preserve"> up to 30% cost savings</t>
    </r>
    <r>
      <rPr>
        <rFont val="Arial"/>
        <color theme="1"/>
        <sz val="10.0"/>
      </rPr>
      <t xml:space="preserve"> through rotational grazing</t>
    </r>
  </si>
  <si>
    <t>200 € per unit</t>
  </si>
  <si>
    <t>INVESTMENT Cost Calculator module</t>
  </si>
  <si>
    <t>Milk Yield Increase Calculator module</t>
  </si>
  <si>
    <t>Revenue Increase Calculator module</t>
  </si>
  <si>
    <t>LABOR Cost  Calculator module</t>
  </si>
  <si>
    <t>Energy Cost Calculator module</t>
  </si>
  <si>
    <t>WATER Use  Calculator module</t>
  </si>
  <si>
    <t>Profit per Animal Calculator module</t>
  </si>
  <si>
    <t>Feed Cost Calculator module</t>
  </si>
  <si>
    <t>Feed Waste Cost Calculator module</t>
  </si>
  <si>
    <t>Antibiotics Cost Calculator module</t>
  </si>
  <si>
    <t>Mortality Cost Calculator module</t>
  </si>
  <si>
    <t>Profitability Increase Calculator module</t>
  </si>
  <si>
    <t xml:space="preserve">Livestock DATS Investment Decision Calculator Module                                                </t>
  </si>
  <si>
    <r>
      <rPr>
        <rFont val="Arial"/>
        <color theme="1"/>
        <sz val="10.0"/>
      </rPr>
      <t xml:space="preserve">Number of cows 
</t>
    </r>
    <r>
      <rPr>
        <rFont val="Arial"/>
        <b/>
        <color theme="1"/>
        <sz val="10.0"/>
      </rPr>
      <t>(input provided by the user)</t>
    </r>
  </si>
  <si>
    <r>
      <rPr>
        <rFont val="Arial"/>
        <color theme="1"/>
        <sz val="10.0"/>
      </rPr>
      <t xml:space="preserve">YEARS OF USAGE
</t>
    </r>
    <r>
      <rPr>
        <rFont val="Arial"/>
        <b/>
        <color theme="1"/>
        <sz val="10.0"/>
      </rPr>
      <t>(input provided by the user)</t>
    </r>
  </si>
  <si>
    <r>
      <rPr>
        <rFont val="Arial"/>
        <color rgb="FF000000"/>
        <sz val="10.0"/>
      </rPr>
      <t xml:space="preserve">Initial cost of Investment (€)
</t>
    </r>
    <r>
      <rPr>
        <rFont val="Arial"/>
        <b/>
        <color rgb="FF000000"/>
        <sz val="10.0"/>
      </rPr>
      <t>(Known value from system)</t>
    </r>
  </si>
  <si>
    <r>
      <rPr>
        <rFont val="Arial"/>
        <color theme="1"/>
        <sz val="10.0"/>
      </rPr>
      <t xml:space="preserve">Startup Fee per Cow (€)
</t>
    </r>
    <r>
      <rPr>
        <rFont val="Arial"/>
        <b/>
        <color theme="1"/>
        <sz val="10.0"/>
      </rPr>
      <t>(Known value from system)</t>
    </r>
  </si>
  <si>
    <r>
      <rPr>
        <rFont val="Arial"/>
        <color theme="1"/>
        <sz val="10.0"/>
      </rPr>
      <t xml:space="preserve">Monthly Cost per Cow (€)
</t>
    </r>
    <r>
      <rPr>
        <rFont val="Arial"/>
        <b/>
        <color theme="1"/>
        <sz val="10.0"/>
      </rPr>
      <t>(Known value from system)</t>
    </r>
  </si>
  <si>
    <r>
      <rPr>
        <rFont val="Arial"/>
        <b/>
        <color theme="1"/>
        <sz val="10.0"/>
      </rPr>
      <t>Depreciation (i.e.,the annual reduction in the intial value of a tangible fixed asset)</t>
    </r>
    <r>
      <rPr>
        <rFont val="Arial"/>
        <color theme="1"/>
        <sz val="10.0"/>
      </rPr>
      <t xml:space="preserve"> (€)/year
(Result shown after using the calculator module)</t>
    </r>
  </si>
  <si>
    <r>
      <rPr>
        <rFont val="Arial"/>
        <b/>
        <color theme="1"/>
        <sz val="10.0"/>
      </rPr>
      <t xml:space="preserve">Maintainance Costs </t>
    </r>
    <r>
      <rPr>
        <rFont val="Arial"/>
        <color theme="1"/>
        <sz val="10.0"/>
      </rPr>
      <t>(€)/year
(Known value from system)</t>
    </r>
  </si>
  <si>
    <r>
      <rPr>
        <rFont val="Arial"/>
        <color theme="1"/>
        <sz val="10.0"/>
      </rPr>
      <t xml:space="preserve">Number of Units (sensors etc.)
</t>
    </r>
    <r>
      <rPr>
        <rFont val="Arial"/>
        <b/>
        <color theme="1"/>
        <sz val="10.0"/>
      </rPr>
      <t>(input provided by the user)</t>
    </r>
  </si>
  <si>
    <r>
      <rPr>
        <rFont val="Arial"/>
        <b/>
        <color theme="1"/>
      </rPr>
      <t>Total Initial cost of DAT Purchase</t>
    </r>
    <r>
      <rPr>
        <rFont val="Arial"/>
        <color theme="1"/>
      </rPr>
      <t xml:space="preserve">
(Result shown after using the calculator module)</t>
    </r>
  </si>
  <si>
    <r>
      <rPr>
        <rFont val="Arial"/>
        <color theme="1"/>
        <sz val="10.0"/>
      </rPr>
      <t xml:space="preserve">Milk Yield Increase (%)
</t>
    </r>
    <r>
      <rPr>
        <rFont val="Arial"/>
        <b/>
        <color theme="1"/>
        <sz val="10.0"/>
      </rPr>
      <t>(Known value from system)</t>
    </r>
  </si>
  <si>
    <t>Average milk price per liter (€/ liter)
(input provided by the user)</t>
  </si>
  <si>
    <t>Average liters of milk produced per cow per day (l)
(input provided by the user)</t>
  </si>
  <si>
    <t>Price of Milk Yield in one year (€)
(Result shown after using the calculator module)</t>
  </si>
  <si>
    <t>Price of Increased Milk Yield in one year (€)
(Result shown after using the calculator module)</t>
  </si>
  <si>
    <t>Increased Revenue (€ in 1 year)
(Result shown after using the calculator module)</t>
  </si>
  <si>
    <t>Labor saving (%)
(Known value from system)</t>
  </si>
  <si>
    <t>Current Labor Cost (€ in 1 year)
(input provided by the user)</t>
  </si>
  <si>
    <t>Labor cost savings  (€ in 1 year)
(Result shown after using the calculator module)</t>
  </si>
  <si>
    <t>Energy Saving(%)
(Known value from system)</t>
  </si>
  <si>
    <t>Current Energy Consumption  (in kWh)
(input provided by the user)</t>
  </si>
  <si>
    <t>Cost of Energy per kWh (€)
(input provided by the user)</t>
  </si>
  <si>
    <t>Current  Cost of Energy (€ in 1 year)
(Result shown after using the calculator module)</t>
  </si>
  <si>
    <t>Energy Cost Savings (€ in 1 year)
(Result shown after using the calculator module)</t>
  </si>
  <si>
    <t>Water Saving (%)
(Known value from system)</t>
  </si>
  <si>
    <t>Current Water Cost (€ in 1 year)
(input provided by the user)</t>
  </si>
  <si>
    <t>Water Cost Saving (€ in 1 year)
(Result shown after using the calculator module)</t>
  </si>
  <si>
    <t>Increase Profit per Cow per Year (€)
(Known value from system)</t>
  </si>
  <si>
    <t>Profit per Cow Increase in 1 year (€)
(Result shown after using the calculator module)</t>
  </si>
  <si>
    <t>Feed Saving (%)
(Known value from system)</t>
  </si>
  <si>
    <t>Current Feed Cost (€ in 1 year)
(input provided by the user)</t>
  </si>
  <si>
    <t>Feed Cost Saving (€ in 1 year)
(Result shown after using the calculator module)</t>
  </si>
  <si>
    <t>Feed Waste Saving (%)
(Known value from system)</t>
  </si>
  <si>
    <t>Current Feed Waste Cost (€ in 1 year)
(input provided by the user)</t>
  </si>
  <si>
    <t>Feed Waste Cost Saving (€ in 1 year)
(Result shown after using the calculator module)</t>
  </si>
  <si>
    <t>Antibiotics Saving (%)
(Known value from system)</t>
  </si>
  <si>
    <t>Current Antibiotics Cost (€ in 1 year)
(input provided by the user)</t>
  </si>
  <si>
    <t>Antibiotics Cost Saving (€ in 1 year)
(Result shown after using the calculator module)</t>
  </si>
  <si>
    <t>Mortality Rate Decrease (%)
(Known value from system)</t>
  </si>
  <si>
    <t>Current Mortality Cost (€ in 1 year)
(input provided by the user)</t>
  </si>
  <si>
    <t>Mortality Cost Saving (€ in 1 year)
(Result shown after using the calculator module)</t>
  </si>
  <si>
    <t>Profitability Increase (%)
(Known value from system)</t>
  </si>
  <si>
    <t>Current Profitability (€ in 1 year)
(input provided by the user)</t>
  </si>
  <si>
    <t>Profit Increase in 1 year (€)
(Result shown after using the calculator module)</t>
  </si>
  <si>
    <t>Annual change in Net Income  (€)
(annual total Impact (including addtional annual OPEX[e.g., Subscriptions, Maintenance,etc.]) with DATS usage  
(Result shown after using the calculator module)</t>
  </si>
  <si>
    <r>
      <rPr>
        <rFont val="Arial"/>
        <b/>
        <color theme="1"/>
        <sz val="11.0"/>
      </rPr>
      <t xml:space="preserve">Annual ROI (%) 
(Annual change in Net Income / initial cost of the equipment)
</t>
    </r>
    <r>
      <rPr>
        <rFont val="Arial"/>
        <b val="0"/>
        <color theme="1"/>
        <sz val="11.0"/>
      </rPr>
      <t>(Result shown after using the calculator module)</t>
    </r>
  </si>
  <si>
    <r>
      <rPr>
        <rFont val="Calibri"/>
        <b/>
        <color theme="1"/>
        <sz val="11.0"/>
      </rPr>
      <t xml:space="preserve">Payback Period (years)
</t>
    </r>
    <r>
      <rPr>
        <rFont val="Calibri"/>
        <b val="0"/>
        <color theme="1"/>
        <sz val="11.0"/>
      </rPr>
      <t>(Result shown after using the calculator module)</t>
    </r>
  </si>
  <si>
    <r>
      <rPr>
        <rFont val="Calibri"/>
        <b/>
        <color theme="1"/>
        <sz val="11.0"/>
      </rPr>
      <t xml:space="preserve">Is the DAT Beneficial? 
(6 year payback period threshold)
</t>
    </r>
    <r>
      <rPr>
        <rFont val="Calibri"/>
        <b val="0"/>
        <color theme="1"/>
        <sz val="11.0"/>
      </rPr>
      <t>(Result shown after using the calculator module)</t>
    </r>
  </si>
  <si>
    <r>
      <rPr>
        <rFont val="Arial"/>
        <color theme="1"/>
        <sz val="10.0"/>
      </rPr>
      <t xml:space="preserve"> 10% increase</t>
    </r>
    <r>
      <rPr>
        <rFont val="Arial"/>
        <color theme="1"/>
        <sz val="10.0"/>
      </rPr>
      <t xml:space="preserve"> in milk production of cow. Milking time per cow is </t>
    </r>
    <r>
      <rPr>
        <rFont val="Arial"/>
        <color theme="1"/>
        <sz val="10.0"/>
      </rPr>
      <t xml:space="preserve">reduced by 4%.      </t>
    </r>
  </si>
  <si>
    <r>
      <rPr>
        <rFont val="Arial"/>
        <color rgb="FF1155CC"/>
        <sz val="10.0"/>
        <u/>
      </rPr>
      <t>https://www.gea.com/en/dairy-farming/index.jsp</t>
    </r>
    <r>
      <rPr>
        <rFont val="Arial"/>
        <color rgb="FF0563C1"/>
        <sz val="10.0"/>
        <u/>
      </rPr>
      <t xml:space="preserve"> </t>
    </r>
  </si>
  <si>
    <r>
      <rPr>
        <rFont val="Arial"/>
        <color theme="1"/>
        <sz val="10.0"/>
      </rPr>
      <t xml:space="preserve">29% less labor.  </t>
    </r>
    <r>
      <rPr>
        <rFont val="Arial"/>
        <color theme="1"/>
        <sz val="10.0"/>
      </rPr>
      <t>increase in productivity by 7 percent.</t>
    </r>
  </si>
  <si>
    <r>
      <rPr>
        <rFont val="Arial"/>
        <sz val="10.0"/>
      </rPr>
      <t xml:space="preserve">Afiact II system works for you by reducing false alerts and maximizing heat detection rate, calving alert, delayed calving and host of other Parameters by advance and precise set of algorithms. In Case of calving you get alerts on predicted. The AfiAct II is a cow monitoring system developed by Afimilk that provides accurate and timely heat detection and health monitoring. It uses a pedometer that measures the activity and rest patterns of each cow and sends the data to the AfiFarm software. The software analyzes the data and alerts the farmer when a cow is in heat or has a health issue </t>
    </r>
    <r>
      <rPr>
        <rFont val="Arial"/>
        <color rgb="FF1155CC"/>
        <sz val="10.0"/>
        <u/>
      </rPr>
      <t>https://pdf.agriexpo.online/pdf/afimilk/afiact-ii/171321-13165.html</t>
    </r>
    <r>
      <rPr>
        <rFont val="Arial"/>
        <sz val="10.0"/>
      </rPr>
      <t xml:space="preserve"> The cost of this product may vary depending on the size, design and equipment options. However, according to a brochure from Afimilk, the price range for a single pedometer is between $200 and $300. You may want to contact Afimilk or a local dealer for more accurate pricing informationhttps://milkplan.com/site/index.php/en/products/milking-systems/cows/herd-management/afiact-2.</t>
    </r>
  </si>
  <si>
    <r>
      <rPr>
        <rFont val="Arial"/>
        <color theme="1"/>
        <sz val="10.0"/>
      </rPr>
      <t>Pregnancy rate</t>
    </r>
    <r>
      <rPr>
        <rFont val="Arial"/>
        <color theme="1"/>
        <sz val="10.0"/>
      </rPr>
      <t xml:space="preserve"> increased from 15% to 24%</t>
    </r>
    <r>
      <rPr>
        <rFont val="Arial"/>
        <color theme="1"/>
        <sz val="10.0"/>
      </rPr>
      <t xml:space="preserve">
Percentage increase = (New value - Old value) / Old value x 100%
</t>
    </r>
    <r>
      <rPr>
        <rFont val="Arial"/>
        <color theme="1"/>
        <sz val="10.0"/>
      </rPr>
      <t>percentage benefit of this technology is 60%.</t>
    </r>
  </si>
  <si>
    <r>
      <rPr>
        <rFont val="Arial"/>
        <color theme="1"/>
        <sz val="10.0"/>
      </rPr>
      <t xml:space="preserve">6 week-in-calf rate increase of 35%    (https://www.lgga.lt/assets/pdf/info/Ovalert-ir-SireMatch.pdf  )  ------ Arendzen and Scheppingen [64] estimated that investment in AOD technologies could </t>
    </r>
    <r>
      <rPr>
        <rFont val="Arial"/>
        <color theme="1"/>
        <sz val="10.0"/>
      </rPr>
      <t>reduce labor costs by 30 %</t>
    </r>
  </si>
  <si>
    <r>
      <rPr>
        <rFont val="Arial"/>
        <color theme="1"/>
        <sz val="10.0"/>
      </rPr>
      <t>Pregnancy rate</t>
    </r>
    <r>
      <rPr>
        <rFont val="Arial"/>
        <color theme="1"/>
        <sz val="10.0"/>
      </rPr>
      <t xml:space="preserve"> increased from 25% to 33%</t>
    </r>
  </si>
  <si>
    <r>
      <rPr>
        <rFont val="Arial"/>
        <color theme="1"/>
        <sz val="10.0"/>
      </rPr>
      <t xml:space="preserve"> 97% in energy consumption </t>
    </r>
    <r>
      <rPr>
        <rFont val="Arial"/>
        <color theme="1"/>
        <sz val="10.0"/>
      </rPr>
      <t xml:space="preserve">and </t>
    </r>
    <r>
      <rPr>
        <rFont val="Arial"/>
        <color theme="1"/>
        <sz val="10.0"/>
      </rPr>
      <t>79% in labor saving</t>
    </r>
    <r>
      <rPr>
        <rFont val="Arial"/>
        <color theme="1"/>
        <sz val="10.0"/>
      </rPr>
      <t xml:space="preserve"> .</t>
    </r>
    <r>
      <rPr>
        <rFont val="Arial"/>
        <color theme="1"/>
        <sz val="10.0"/>
      </rPr>
      <t xml:space="preserve"> 33% reduction in daily feeding cost</t>
    </r>
  </si>
  <si>
    <r>
      <rPr>
        <rFont val="Arial"/>
        <color theme="1"/>
        <sz val="10.0"/>
      </rPr>
      <t>labour-savings of 60 to 70%</t>
    </r>
    <r>
      <rPr>
        <rFont val="Arial"/>
        <color theme="1"/>
        <sz val="10.0"/>
      </rPr>
      <t>; it will pay for itself in three years</t>
    </r>
  </si>
  <si>
    <r>
      <rPr>
        <rFont val="Arial"/>
        <color theme="1"/>
        <sz val="10.0"/>
      </rPr>
      <t>Full consumption of feed ration increases milk yield by up to</t>
    </r>
    <r>
      <rPr>
        <rFont val="Arial"/>
        <color theme="1"/>
        <sz val="10.0"/>
      </rPr>
      <t xml:space="preserve"> 1 liter per cow and day </t>
    </r>
    <r>
      <rPr>
        <rFont val="Arial"/>
        <color theme="1"/>
        <sz val="10.0"/>
      </rPr>
      <t xml:space="preserve">. Ensures that feed is being pushed on a specified route continuously, can save up to </t>
    </r>
    <r>
      <rPr>
        <rFont val="Arial"/>
        <color theme="1"/>
        <sz val="10.0"/>
      </rPr>
      <t>180 man-hours a year</t>
    </r>
    <r>
      <rPr>
        <rFont val="Arial"/>
        <color theme="1"/>
        <sz val="10.0"/>
      </rPr>
      <t xml:space="preserve"> to be spent on other jobs. Feed waste can be reduced by an average o</t>
    </r>
    <r>
      <rPr>
        <rFont val="Arial"/>
        <color theme="1"/>
        <sz val="10.0"/>
      </rPr>
      <t>f 75%;</t>
    </r>
    <r>
      <rPr>
        <rFont val="Arial"/>
        <color theme="1"/>
        <sz val="10.0"/>
      </rPr>
      <t xml:space="preserve"> the feed is always in reach, so the cows are encouraged to eat </t>
    </r>
  </si>
  <si>
    <r>
      <rPr>
        <rFont val="Arial"/>
        <color rgb="FF1155CC"/>
        <sz val="10.0"/>
        <u/>
      </rPr>
      <t>https://en.schauer-agrotronic.com/cattle</t>
    </r>
    <r>
      <rPr>
        <rFont val="Arial"/>
        <color rgb="FF0563C1"/>
        <sz val="10.0"/>
        <u/>
      </rPr>
      <t xml:space="preserve">      Transfeed_14_EN.pdf   </t>
    </r>
  </si>
  <si>
    <r>
      <rPr>
        <rFont val="Arial"/>
        <color theme="1"/>
        <sz val="10.0"/>
      </rPr>
      <t xml:space="preserve">According to a recent study by Guy Beauregard, agricultural economist, repeated feeding with roughage improves feed intake and </t>
    </r>
    <r>
      <rPr>
        <rFont val="Arial"/>
        <color theme="1"/>
        <sz val="10.0"/>
      </rPr>
      <t xml:space="preserve">increases milk production by approximately 10%. </t>
    </r>
    <r>
      <rPr>
        <rFont val="Arial"/>
        <color theme="1"/>
        <sz val="10.0"/>
      </rPr>
      <t xml:space="preserve">The </t>
    </r>
    <r>
      <rPr>
        <rFont val="Arial"/>
        <color theme="1"/>
        <sz val="10.0"/>
      </rPr>
      <t xml:space="preserve">working time saved </t>
    </r>
    <r>
      <rPr>
        <rFont val="Arial"/>
        <color theme="1"/>
        <sz val="10.0"/>
      </rPr>
      <t xml:space="preserve">in a 100-cow farm is approximately </t>
    </r>
    <r>
      <rPr>
        <rFont val="Arial"/>
        <color theme="1"/>
        <sz val="10.0"/>
      </rPr>
      <t>2 hours per day.</t>
    </r>
  </si>
  <si>
    <r>
      <rPr>
        <rFont val="Arial"/>
        <color rgb="FF1155CC"/>
        <sz val="10.0"/>
        <u/>
      </rPr>
      <t>https://en.schauer-agrotronic.com/pig/litter-systems/strohmatic</t>
    </r>
    <r>
      <rPr>
        <rFont val="Arial"/>
        <color rgb="FF0563C1"/>
        <sz val="10.0"/>
        <u/>
      </rPr>
      <t xml:space="preserve">   Strohmatic Litter system </t>
    </r>
  </si>
  <si>
    <r>
      <rPr>
        <rFont val="Arial"/>
        <color theme="1"/>
        <sz val="10.0"/>
      </rPr>
      <t xml:space="preserve">Reduce straw costs by up to 50 % </t>
    </r>
    <r>
      <rPr>
        <rFont val="Arial"/>
        <color theme="1"/>
        <sz val="10.0"/>
      </rPr>
      <t xml:space="preserve">with Strohmatic., achieves a </t>
    </r>
    <r>
      <rPr>
        <rFont val="Arial"/>
        <color theme="1"/>
        <sz val="10.0"/>
      </rPr>
      <t>dust reduction of
up to 80 %.</t>
    </r>
  </si>
  <si>
    <r>
      <rPr>
        <rFont val="Arial"/>
        <color rgb="FF1155CC"/>
        <sz val="10.0"/>
        <u/>
      </rPr>
      <t>https://wasserbauer.at/produkte/futterschieber-butler-gold-pro</t>
    </r>
    <r>
      <rPr>
        <rFont val="Arial"/>
        <color rgb="FF0563C1"/>
        <sz val="10.0"/>
        <u/>
      </rPr>
      <t xml:space="preserve">       </t>
    </r>
    <r>
      <rPr>
        <rFont val="Arial"/>
        <color rgb="FF1155CC"/>
        <sz val="10.0"/>
        <u/>
      </rPr>
      <t>https://wasserbauer.at//user_upload/downloads/WB_Gesamtfolder2022_engl_web.pdf</t>
    </r>
    <r>
      <rPr>
        <rFont val="Arial"/>
        <color rgb="FF0563C1"/>
        <sz val="10.0"/>
        <u/>
      </rPr>
      <t xml:space="preserve">   </t>
    </r>
  </si>
  <si>
    <r>
      <rPr>
        <rFont val="Arial"/>
        <color theme="1"/>
        <sz val="10.0"/>
      </rPr>
      <t>Reduce</t>
    </r>
    <r>
      <rPr>
        <rFont val="Arial"/>
        <color theme="1"/>
        <sz val="10.0"/>
      </rPr>
      <t xml:space="preserve"> labor costs by over 25%</t>
    </r>
    <r>
      <rPr>
        <rFont val="Arial"/>
        <color theme="1"/>
        <sz val="10.0"/>
      </rPr>
      <t xml:space="preserve">
See </t>
    </r>
    <r>
      <rPr>
        <rFont val="Arial"/>
        <color theme="1"/>
        <sz val="10.0"/>
      </rPr>
      <t>up to 30% cost savings</t>
    </r>
    <r>
      <rPr>
        <rFont val="Arial"/>
        <color theme="1"/>
        <sz val="10.0"/>
      </rPr>
      <t xml:space="preserve"> through rotational grazing</t>
    </r>
  </si>
  <si>
    <t>This Calculator Module can be removed for Cattle DATs</t>
  </si>
  <si>
    <t xml:space="preserve">Cost info </t>
  </si>
  <si>
    <t>INVESTMENT Cost Calculator</t>
  </si>
  <si>
    <t>Number of pigs
(input provided by the user)</t>
  </si>
  <si>
    <t>YEARS OF USAGE
(input provided by the user)</t>
  </si>
  <si>
    <t>Initial cost of Investment (€)
(Known value from system)</t>
  </si>
  <si>
    <t>Startup Fee per Pig(€)
(Known value from system)</t>
  </si>
  <si>
    <t>Monthly Cost per Pig(€)
(Known value from system)</t>
  </si>
  <si>
    <r>
      <rPr>
        <rFont val="Arial"/>
        <b/>
        <color theme="1"/>
        <sz val="10.0"/>
      </rPr>
      <t>Depreciation (i.e.,the annual reduction in the intial value of a tangible fixed asset)</t>
    </r>
    <r>
      <rPr>
        <rFont val="Arial"/>
        <color theme="1"/>
        <sz val="10.0"/>
      </rPr>
      <t xml:space="preserve"> (€)/year
(Result shown after using the calculator module)</t>
    </r>
  </si>
  <si>
    <r>
      <rPr>
        <rFont val="Arial"/>
        <b/>
        <color theme="1"/>
        <sz val="10.0"/>
      </rPr>
      <t xml:space="preserve">Maintainance Costs </t>
    </r>
    <r>
      <rPr>
        <rFont val="Arial"/>
        <color theme="1"/>
        <sz val="10.0"/>
      </rPr>
      <t>(€)/year
(Known value from system)</t>
    </r>
  </si>
  <si>
    <t>Number of Units (sensors etc.)
(input provided by the user)</t>
  </si>
  <si>
    <r>
      <rPr>
        <rFont val="Arial"/>
        <b/>
        <color theme="1"/>
      </rPr>
      <t>Total Initial cost of DAT Purchase</t>
    </r>
    <r>
      <rPr>
        <rFont val="Arial"/>
        <color theme="1"/>
      </rPr>
      <t xml:space="preserve">
(Result shown after using the calculator module)</t>
    </r>
  </si>
  <si>
    <r>
      <rPr>
        <rFont val="Arial"/>
        <color theme="1"/>
        <sz val="10.0"/>
      </rPr>
      <t xml:space="preserve">Milk Yield Increase (%)
</t>
    </r>
    <r>
      <rPr>
        <rFont val="Arial"/>
        <b/>
        <color theme="1"/>
        <sz val="10.0"/>
      </rPr>
      <t>(Known value from system)</t>
    </r>
  </si>
  <si>
    <r>
      <rPr>
        <rFont val="Arial"/>
        <b/>
        <color theme="1"/>
        <sz val="11.0"/>
      </rPr>
      <t xml:space="preserve">Annual ROI (%) 
(Annual change in Net Income / initial cost of the equipment)
</t>
    </r>
    <r>
      <rPr>
        <rFont val="Arial"/>
        <b val="0"/>
        <color theme="1"/>
        <sz val="11.0"/>
      </rPr>
      <t>(Result shown after using the calculator module)</t>
    </r>
  </si>
  <si>
    <r>
      <rPr>
        <rFont val="Calibri"/>
        <b/>
        <color theme="1"/>
        <sz val="11.0"/>
      </rPr>
      <t xml:space="preserve">Payback Period (years)
</t>
    </r>
    <r>
      <rPr>
        <rFont val="Calibri"/>
        <b val="0"/>
        <color theme="1"/>
        <sz val="11.0"/>
      </rPr>
      <t>(Result shown after using the calculator module)</t>
    </r>
  </si>
  <si>
    <r>
      <rPr>
        <rFont val="Calibri"/>
        <b/>
        <color theme="1"/>
        <sz val="11.0"/>
      </rPr>
      <t xml:space="preserve">Is the DAT Beneficial? 
(6 year payback period threshold)
</t>
    </r>
    <r>
      <rPr>
        <rFont val="Calibri"/>
        <b val="0"/>
        <color theme="1"/>
        <sz val="11.0"/>
      </rPr>
      <t>(Result shown after using the calculator module)</t>
    </r>
  </si>
  <si>
    <r>
      <rPr>
        <rFont val="Arial"/>
        <color theme="1"/>
        <sz val="10.0"/>
      </rPr>
      <t>saves 2% cost</t>
    </r>
    <r>
      <rPr>
        <rFont val="Arial"/>
        <color theme="1"/>
        <sz val="10.0"/>
      </rPr>
      <t xml:space="preserve"> per sow per year</t>
    </r>
  </si>
  <si>
    <r>
      <rPr>
        <rFont val="Arial"/>
        <color theme="1"/>
        <sz val="10.0"/>
      </rPr>
      <t xml:space="preserve">According to Pomar and Remus (2019), utilizing precision feeding techniques in growing pig operations can lead to significant </t>
    </r>
    <r>
      <rPr>
        <rFont val="Arial"/>
        <color theme="1"/>
        <sz val="10.0"/>
      </rPr>
      <t>reductions in production costs by over 8%,</t>
    </r>
    <r>
      <rPr>
        <rFont val="Arial"/>
        <color theme="1"/>
        <sz val="10.0"/>
      </rPr>
      <t xml:space="preserve"> protein and phosphorous intake by 25%, excretion by 40%, and greenhouse gas emissions by 6%, through increasing individual nutrient efficiency.</t>
    </r>
  </si>
  <si>
    <r>
      <rPr>
        <rFont val="Arial"/>
        <color rgb="FF1155CC"/>
        <sz val="10.0"/>
        <u/>
      </rPr>
      <t>https://en.schauer-agrotronic.com/pig/litter-systems/strohmatic</t>
    </r>
    <r>
      <rPr>
        <rFont val="Arial"/>
        <color rgb="FF0563C1"/>
        <sz val="10.0"/>
        <u/>
      </rPr>
      <t xml:space="preserve">   Strohmatic Litter system </t>
    </r>
  </si>
  <si>
    <r>
      <rPr>
        <rFont val="Arial"/>
        <color theme="1"/>
        <sz val="10.0"/>
      </rPr>
      <t xml:space="preserve">Reduce straw costs by up to 50 % </t>
    </r>
    <r>
      <rPr>
        <rFont val="Arial"/>
        <color theme="1"/>
        <sz val="10.0"/>
      </rPr>
      <t xml:space="preserve">with Strohmatic., achieves a </t>
    </r>
    <r>
      <rPr>
        <rFont val="Arial"/>
        <color theme="1"/>
        <sz val="10.0"/>
      </rPr>
      <t xml:space="preserve">dust reduction of
up to 80 %.   ------------------- </t>
    </r>
    <r>
      <rPr>
        <rFont val="Arial"/>
        <color theme="1"/>
        <sz val="10.0"/>
      </rPr>
      <t xml:space="preserve">The use of precision livestock feeding can decrease protein intake by 25%, and nitrogen excretion into the environment by 40%, while increasing profitability by nearly 10% [60].   </t>
    </r>
    <r>
      <rPr>
        <rFont val="Arial"/>
        <i/>
        <color theme="1"/>
        <sz val="10.0"/>
      </rPr>
      <t>Hendriks W.H., Verstegen M.W.A., Babinszky L., editors. Poultry and Pig Nutrition. Wageningen Academic Publishers; Wageningen, The Netherlands: 2019. [Google Scholar]</t>
    </r>
  </si>
  <si>
    <r>
      <rPr>
        <rFont val="Arial"/>
        <color theme="1"/>
        <sz val="10.0"/>
      </rPr>
      <t>cut feed wastage which accounts for up to 70% of pork production costs</t>
    </r>
    <r>
      <rPr>
        <rFont val="Arial"/>
        <color theme="1"/>
        <sz val="10.0"/>
      </rPr>
      <t>.  Nedap Activator’s demand-driven feeding also reduces labor and feed costs. Employees don’t have to manually check feeders and remove feed. They know which sows need attention, and they know faster than with ad-lib feeding. Automated and demand-driven feeding can also cut feed wastage, which accounts for up to 70% of pork production costs.</t>
    </r>
  </si>
  <si>
    <r>
      <rPr>
        <rFont val="Arial"/>
        <color theme="1"/>
        <sz val="10.0"/>
      </rPr>
      <t>In comparison to legacy lighting systems, such as CFL and fluorescent, ALIS yields</t>
    </r>
    <r>
      <rPr>
        <rFont val="Arial"/>
        <color theme="1"/>
        <sz val="10.0"/>
      </rPr>
      <t xml:space="preserve"> energy savings between 50% and 90%</t>
    </r>
  </si>
  <si>
    <r>
      <rPr>
        <rFont val="Arial"/>
        <sz val="10.0"/>
      </rPr>
      <t xml:space="preserve">contact challenged pigs from G0 had a </t>
    </r>
    <r>
      <rPr>
        <rFont val="Arial"/>
        <sz val="10.0"/>
      </rPr>
      <t xml:space="preserve">23.4% and 10.1% decrease in individual treatments </t>
    </r>
    <r>
      <rPr>
        <rFont val="Arial"/>
        <sz val="10.0"/>
      </rPr>
      <t xml:space="preserve">when compared to G5 and G10 respectively. A 5 days earlier intervention decreases the individual treatments by 23% .   ( </t>
    </r>
    <r>
      <rPr>
        <rFont val="Arial"/>
        <color rgb="FF1155CC"/>
        <sz val="10.0"/>
        <u/>
      </rPr>
      <t>https://www.soundtalks.com/paper/economic-assessment-of-a-sound-based-precision-livestock-farming-tool-soundtalks-based-on-timing-of-intervention-after-a-dual-mycoplasma-hyopneumoniae-and-prrs-virus-seeder-challenge-in-pigs/</t>
    </r>
    <r>
      <rPr>
        <rFont val="Arial"/>
        <sz val="10.0"/>
      </rPr>
      <t xml:space="preserve"> )          +++++++++++++++++++    Under the conditions of this study, the implementation of SoundTalks lead to a </t>
    </r>
    <r>
      <rPr>
        <rFont val="Arial"/>
        <sz val="10.0"/>
      </rPr>
      <t>38% reduction in the use of antibiotics</t>
    </r>
    <r>
      <rPr>
        <rFont val="Arial"/>
        <sz val="10.0"/>
      </rPr>
      <t xml:space="preserve"> with the exception of cases involving IAV as the primary pathogen.  ( </t>
    </r>
    <r>
      <rPr>
        <rFont val="Arial"/>
        <color rgb="FF1155CC"/>
        <sz val="10.0"/>
        <u/>
      </rPr>
      <t>https://www.soundtalks.com/paper/sound-based-health-monitoring-performed-by-soundtalks-significantly-reduces-the-overall-antibiotic-consumption-nursery-facilities/</t>
    </r>
    <r>
      <rPr>
        <rFont val="Arial"/>
        <sz val="10.0"/>
      </rPr>
      <t xml:space="preserve"> )</t>
    </r>
  </si>
  <si>
    <t>This Calculator Module can be removed for Pig DATs</t>
  </si>
  <si>
    <t>Number of birds
(input provided by the user)</t>
  </si>
  <si>
    <t>Startup Fee per Bird (€)
(Known value from system)</t>
  </si>
  <si>
    <t>Monthly Cost per Bird (€)
(Known value from system)</t>
  </si>
  <si>
    <r>
      <rPr>
        <rFont val="Arial"/>
        <b/>
        <color theme="1"/>
        <sz val="10.0"/>
      </rPr>
      <t>Depreciation (i.e.,the annual reduction in the intial value of a tangible fixed asset)</t>
    </r>
    <r>
      <rPr>
        <rFont val="Arial"/>
        <color theme="1"/>
        <sz val="10.0"/>
      </rPr>
      <t xml:space="preserve"> (€)/year
(Result shown after using the calculator module)</t>
    </r>
  </si>
  <si>
    <r>
      <rPr>
        <rFont val="Arial"/>
        <b/>
        <color theme="1"/>
        <sz val="10.0"/>
      </rPr>
      <t xml:space="preserve">Maintainance Costs </t>
    </r>
    <r>
      <rPr>
        <rFont val="Arial"/>
        <color theme="1"/>
        <sz val="10.0"/>
      </rPr>
      <t>(€)/year
(Known value from system)</t>
    </r>
  </si>
  <si>
    <r>
      <rPr>
        <rFont val="Arial"/>
        <b/>
        <color theme="1"/>
      </rPr>
      <t>Total Initial cost of DAT Purchase</t>
    </r>
    <r>
      <rPr>
        <rFont val="Arial"/>
        <color theme="1"/>
      </rPr>
      <t xml:space="preserve">
(Result shown after using the calculator module)</t>
    </r>
  </si>
  <si>
    <r>
      <rPr>
        <rFont val="Arial"/>
        <color theme="1"/>
        <sz val="10.0"/>
      </rPr>
      <t xml:space="preserve">Milk Yield Increase (%)
</t>
    </r>
    <r>
      <rPr>
        <rFont val="Arial"/>
        <b/>
        <color theme="1"/>
        <sz val="10.0"/>
      </rPr>
      <t>(Known value from system)</t>
    </r>
  </si>
  <si>
    <r>
      <rPr>
        <rFont val="Arial"/>
        <b/>
        <color theme="1"/>
        <sz val="11.0"/>
      </rPr>
      <t xml:space="preserve">Annual ROI (%) 
(Annual change in Net Income / initial cost of the equipment)
</t>
    </r>
    <r>
      <rPr>
        <rFont val="Arial"/>
        <b val="0"/>
        <color theme="1"/>
        <sz val="11.0"/>
      </rPr>
      <t>(Result shown after using the calculator module)</t>
    </r>
  </si>
  <si>
    <r>
      <rPr>
        <rFont val="Calibri"/>
        <b/>
        <color theme="1"/>
        <sz val="11.0"/>
      </rPr>
      <t xml:space="preserve">Payback Period (years)
</t>
    </r>
    <r>
      <rPr>
        <rFont val="Calibri"/>
        <b val="0"/>
        <color theme="1"/>
        <sz val="11.0"/>
      </rPr>
      <t>(Result shown after using the calculator module)</t>
    </r>
  </si>
  <si>
    <r>
      <rPr>
        <rFont val="Calibri"/>
        <b/>
        <color theme="1"/>
        <sz val="11.0"/>
      </rPr>
      <t xml:space="preserve">Is the DAT Beneficial? 
(6 year payback period threshold)
</t>
    </r>
    <r>
      <rPr>
        <rFont val="Calibri"/>
        <b val="0"/>
        <color theme="1"/>
        <sz val="11.0"/>
      </rPr>
      <t>(Result shown after using the calculator module)</t>
    </r>
  </si>
  <si>
    <r>
      <rPr>
        <rFont val="Arial"/>
        <color rgb="FF1155CC"/>
        <sz val="10.0"/>
        <u/>
      </rPr>
      <t>https://en.schauer-agrotronic.com/pig/litter-systems/strohmatic</t>
    </r>
    <r>
      <rPr>
        <rFont val="Arial"/>
        <color rgb="FF0563C1"/>
        <sz val="10.0"/>
        <u/>
      </rPr>
      <t xml:space="preserve">   Strohmatic Litter system </t>
    </r>
  </si>
  <si>
    <r>
      <rPr>
        <rFont val="Arial"/>
        <color theme="1"/>
        <sz val="10.0"/>
      </rPr>
      <t xml:space="preserve">Reduce straw costs by up to 50 % </t>
    </r>
    <r>
      <rPr>
        <rFont val="Arial"/>
        <color theme="1"/>
        <sz val="10.0"/>
      </rPr>
      <t xml:space="preserve">with Strohmatic., achieves a </t>
    </r>
    <r>
      <rPr>
        <rFont val="Arial"/>
        <color theme="1"/>
        <sz val="10.0"/>
      </rPr>
      <t xml:space="preserve">dust reduction of up to 80 %. ------------------------------ </t>
    </r>
    <r>
      <rPr>
        <rFont val="Arial"/>
        <color theme="1"/>
        <sz val="10.0"/>
      </rPr>
      <t>The use of precision livestock feeding can decrease protein intake by 25%, and nitrogen excretion into the environment by 40%, while increasing profitability by nearly 10% [60].   Hendriks W.H., Verstegen M.W.A., Babinszky L., editors. Poultry and Pig Nutrition. Wageningen Academic Publishers; Wageningen, The Netherlands: 2019. [Google Scholar]</t>
    </r>
  </si>
  <si>
    <r>
      <rPr>
        <rFont val="Arial"/>
        <color theme="1"/>
        <sz val="10.0"/>
      </rPr>
      <t>In comparison to legacy lighting systems, such as CFL and fluorescent, ALIS yields</t>
    </r>
    <r>
      <rPr>
        <rFont val="Arial"/>
        <color theme="1"/>
        <sz val="10.0"/>
      </rPr>
      <t xml:space="preserve"> energy savings between 50% and 90%</t>
    </r>
  </si>
  <si>
    <t>This Calculator Module can be removed for Poultry DATs</t>
  </si>
  <si>
    <t>Number of animals
(input provided by the user)</t>
  </si>
  <si>
    <t>Startup Fee per Animal(€)
(Known value from system)</t>
  </si>
  <si>
    <t>Monthly Cost per Animal(€)
(Known value from system)</t>
  </si>
  <si>
    <r>
      <rPr>
        <rFont val="Arial"/>
        <b/>
        <color theme="1"/>
        <sz val="10.0"/>
      </rPr>
      <t>Depreciation (i.e.,the annual reduction in the intial value of a tangible fixed asset)</t>
    </r>
    <r>
      <rPr>
        <rFont val="Arial"/>
        <color theme="1"/>
        <sz val="10.0"/>
      </rPr>
      <t xml:space="preserve"> (€)/year
(Result shown after using the calculator module)</t>
    </r>
  </si>
  <si>
    <r>
      <rPr>
        <rFont val="Arial"/>
        <b/>
        <color theme="1"/>
        <sz val="10.0"/>
      </rPr>
      <t xml:space="preserve">Maintainance Costs </t>
    </r>
    <r>
      <rPr>
        <rFont val="Arial"/>
        <color theme="1"/>
        <sz val="10.0"/>
      </rPr>
      <t>(€)/year
(Known value from system)</t>
    </r>
  </si>
  <si>
    <t>Total cost of DAT Purchase (€)
(Result shown after using the calculator module)</t>
  </si>
  <si>
    <r>
      <rPr>
        <rFont val="Arial"/>
        <color theme="1"/>
        <sz val="10.0"/>
      </rPr>
      <t xml:space="preserve">Milk Yield Increase (%)
</t>
    </r>
    <r>
      <rPr>
        <rFont val="Arial"/>
        <b/>
        <color theme="1"/>
        <sz val="10.0"/>
      </rPr>
      <t>(Known value from system)</t>
    </r>
  </si>
  <si>
    <r>
      <rPr>
        <rFont val="Arial"/>
        <b/>
        <color theme="1"/>
        <sz val="11.0"/>
      </rPr>
      <t xml:space="preserve">Annual ROI (%) 
(Annual change in Net Income / initial cost of the equipment)
</t>
    </r>
    <r>
      <rPr>
        <rFont val="Arial"/>
        <b val="0"/>
        <color theme="1"/>
        <sz val="11.0"/>
      </rPr>
      <t>(Result shown after using the calculator module)</t>
    </r>
  </si>
  <si>
    <r>
      <rPr>
        <rFont val="Calibri"/>
        <b/>
        <color theme="1"/>
        <sz val="11.0"/>
      </rPr>
      <t xml:space="preserve">Payback Period (years)
</t>
    </r>
    <r>
      <rPr>
        <rFont val="Calibri"/>
        <b val="0"/>
        <color theme="1"/>
        <sz val="11.0"/>
      </rPr>
      <t>(Result shown after using the calculator module)</t>
    </r>
  </si>
  <si>
    <r>
      <rPr>
        <rFont val="Calibri"/>
        <b/>
        <color theme="1"/>
        <sz val="11.0"/>
      </rPr>
      <t xml:space="preserve">Is the DAT Beneficial? 
(6 year payback period threshold)
</t>
    </r>
    <r>
      <rPr>
        <rFont val="Calibri"/>
        <b val="0"/>
        <color theme="1"/>
        <sz val="11.0"/>
      </rPr>
      <t>(Result shown after using the calculator module)</t>
    </r>
  </si>
  <si>
    <t xml:space="preserve"> €100,000 to €300,002</t>
  </si>
  <si>
    <r>
      <rPr>
        <rFont val="Arial"/>
        <color theme="1"/>
        <sz val="10.0"/>
      </rPr>
      <t xml:space="preserve">According to Belanche et al. (2019), their study, which focused on dairy goat farms, demonstrated a decrease in seasonality throughout the year in terms of the percentage of animals in milking and milk yield, allowing for a significant </t>
    </r>
    <r>
      <rPr>
        <rFont val="Arial"/>
        <color theme="1"/>
        <sz val="10.0"/>
      </rPr>
      <t>increment of off-season milk production by 17%</t>
    </r>
    <r>
      <rPr>
        <rFont val="Arial"/>
        <color theme="1"/>
        <sz val="10.0"/>
      </rPr>
      <t>. This improvement was attributed to the implementation of automated milking systems in the goat farms.. ----------------------- According to De Koning (2010), the adoption of automatic milking systems in dairy farms compared to conventional twice daily milking results in an</t>
    </r>
    <r>
      <rPr>
        <rFont val="Arial"/>
        <color theme="1"/>
        <sz val="10.0"/>
      </rPr>
      <t xml:space="preserve"> average reduction of 20% to 30% in total labor. ------------------ Heikkila et al. (2012) stated that introduction of milking robots on a farm in Finland created an average increase in productivity by 7 percent.</t>
    </r>
  </si>
  <si>
    <t xml:space="preserve"> €100,000 to €300,001</t>
  </si>
  <si>
    <r>
      <rPr>
        <rFont val="Arial"/>
        <color theme="1"/>
        <sz val="10.0"/>
      </rPr>
      <t xml:space="preserve">According to Belanche et al. (2019), their study, which focused on dairy goat farms, demonstrated a decrease in seasonality throughout the year in terms of the percentage of animals in milking and milk yield, allowing for a significant </t>
    </r>
    <r>
      <rPr>
        <rFont val="Arial"/>
        <color theme="1"/>
        <sz val="10.0"/>
      </rPr>
      <t>increment of off-season milk production by 17%</t>
    </r>
    <r>
      <rPr>
        <rFont val="Arial"/>
        <color theme="1"/>
        <sz val="10.0"/>
      </rPr>
      <t>. This improvement was attributed to the implementation of automated milking systems in the goat farms.. ----------------------- According to De Koning (2010), the adoption of automatic milking systems in dairy farms compared to conventional twice daily milking results in an</t>
    </r>
    <r>
      <rPr>
        <rFont val="Arial"/>
        <color theme="1"/>
        <sz val="10.0"/>
      </rPr>
      <t xml:space="preserve"> average reduction of 20% to 30% in total labor.    -------------------</t>
    </r>
    <r>
      <rPr>
        <rFont val="Arial"/>
        <color theme="1"/>
        <sz val="10.0"/>
      </rPr>
      <t>Heikkila et al. (2012) stated that introduction of milking robots on a farm in Finlanf created an average increase in productivity by 7 percent.</t>
    </r>
  </si>
  <si>
    <t xml:space="preserve"> €100,000 to €300,000</t>
  </si>
  <si>
    <r>
      <rPr>
        <rFont val="Arial"/>
        <color rgb="FF1155CC"/>
        <sz val="10.0"/>
        <u/>
      </rPr>
      <t>https://en.schauer-agrotronic.com/pig/litter-systems/strohmatic</t>
    </r>
    <r>
      <rPr>
        <rFont val="Arial"/>
        <color rgb="FF0563C1"/>
        <sz val="10.0"/>
        <u/>
      </rPr>
      <t xml:space="preserve">   Strohmatic Litter system </t>
    </r>
  </si>
  <si>
    <r>
      <rPr>
        <rFont val="Arial"/>
        <color theme="1"/>
        <sz val="10.0"/>
      </rPr>
      <t xml:space="preserve">Reduce straw costs by up to 50 % </t>
    </r>
    <r>
      <rPr>
        <rFont val="Arial"/>
        <color theme="1"/>
        <sz val="10.0"/>
      </rPr>
      <t xml:space="preserve">with Strohmatic., achieves a </t>
    </r>
    <r>
      <rPr>
        <rFont val="Arial"/>
        <color theme="1"/>
        <sz val="10.0"/>
      </rPr>
      <t>dust reduction of up to 80 %.</t>
    </r>
  </si>
  <si>
    <r>
      <rPr>
        <rFont val="Arial"/>
        <color rgb="FF0563C1"/>
        <sz val="10.0"/>
        <u/>
      </rPr>
      <t>https://en.schauer-agrotronic.com/sheep-and-goats</t>
    </r>
    <r>
      <rPr>
        <rFont val="Arial"/>
        <color rgb="FF000000"/>
        <sz val="10.0"/>
        <u/>
      </rPr>
      <t xml:space="preserve">       brochure named "Sheep and goats"</t>
    </r>
  </si>
  <si>
    <r>
      <rPr>
        <rFont val="Arial"/>
        <color theme="1"/>
        <sz val="10.0"/>
      </rPr>
      <t xml:space="preserve">Through the approx. 4-8 times feed presentation per day, the feed intake of the TMR mixed ration increased by up to 10% according to studies become. At the same time it will also increased the amount of milk produced. This robot feeding system provides labour savings 2 hours a day. </t>
    </r>
    <r>
      <rPr>
        <rFont val="Arial"/>
        <color theme="1"/>
        <sz val="10.0"/>
      </rPr>
      <t xml:space="preserve">According to a recent study by Guy Beauregard, agricultural economist, repeated feeding with roughage improves feed intake and increases milk production by approximately 10%. 
</t>
    </r>
    <r>
      <rPr>
        <rFont val="Arial"/>
        <color theme="1"/>
        <sz val="10.0"/>
      </rPr>
      <t xml:space="preserve">
</t>
    </r>
  </si>
  <si>
    <r>
      <rPr>
        <rFont val="Arial"/>
        <color rgb="FF0563C1"/>
        <sz val="10.0"/>
        <u/>
      </rPr>
      <t>https://www.lely.com/solutions/feeding/vector/</t>
    </r>
    <r>
      <rPr>
        <rFont val="Arial"/>
        <color rgb="FF000000"/>
        <sz val="10.0"/>
        <u/>
      </rPr>
      <t xml:space="preserve">      </t>
    </r>
    <r>
      <rPr>
        <rFont val="Arial"/>
        <color rgb="FF1155CC"/>
        <sz val="10.0"/>
        <u/>
      </rPr>
      <t>https://www.lely.com/media/filer_public/72/0e/720e3ff9-7884-4b81-84c9-a3489509ab26/bf18012_vector-tools_brochure_2018_en.pdf</t>
    </r>
    <r>
      <rPr>
        <rFont val="Arial"/>
        <color rgb="FF000000"/>
        <sz val="10.0"/>
        <u/>
      </rPr>
      <t xml:space="preserve">  </t>
    </r>
  </si>
  <si>
    <r>
      <rPr>
        <rFont val="Arial"/>
        <color theme="1"/>
        <sz val="10.0"/>
      </rPr>
      <t xml:space="preserve">Cattle, </t>
    </r>
    <r>
      <rPr>
        <rFont val="Arial"/>
        <i/>
        <color theme="1"/>
        <sz val="10.0"/>
      </rPr>
      <t xml:space="preserve"> Goat/sheep</t>
    </r>
  </si>
  <si>
    <r>
      <rPr>
        <rFont val="Arial"/>
        <color theme="1"/>
        <sz val="10.0"/>
      </rPr>
      <t xml:space="preserve">In the article by Tangorra and Calcante (2018), by using LELY VECTOR, the authors reported a </t>
    </r>
    <r>
      <rPr>
        <rFont val="Arial"/>
        <color theme="1"/>
        <sz val="10.0"/>
      </rPr>
      <t xml:space="preserve">reduction of 97% in energy consumption </t>
    </r>
    <r>
      <rPr>
        <rFont val="Arial"/>
        <color theme="1"/>
        <sz val="10.0"/>
      </rPr>
      <t xml:space="preserve">and </t>
    </r>
    <r>
      <rPr>
        <rFont val="Arial"/>
        <color theme="1"/>
        <sz val="10.0"/>
      </rPr>
      <t>79% in labor</t>
    </r>
    <r>
      <rPr>
        <rFont val="Arial"/>
        <color theme="1"/>
        <sz val="10.0"/>
      </rPr>
      <t xml:space="preserve"> when transitioning from a Conventional Feeding System (CFS) to an Automatic Feeding System (AFS). The information regarding the reduction in energy consumption and labor, as well as the</t>
    </r>
    <r>
      <rPr>
        <rFont val="Arial"/>
        <color theme="1"/>
        <sz val="10.0"/>
      </rPr>
      <t xml:space="preserve"> 33% reduction in daily feeding cost. </t>
    </r>
    <r>
      <rPr>
        <rFont val="Arial"/>
        <i/>
        <color theme="1"/>
        <sz val="10.0"/>
      </rPr>
      <t>While it is commonly associated with automated feeding systems for dairy cattle, the Lely Vector is a flexible system that can be adapted for various livestock types, including small ruminants such as sheep and goats.</t>
    </r>
  </si>
  <si>
    <t>A typical 8 point bank of feed stations will handle 200 goats at a cost of $26,000 approx</t>
  </si>
  <si>
    <r>
      <rPr>
        <rFont val="Arial"/>
        <color theme="1"/>
        <sz val="10.0"/>
      </rPr>
      <t xml:space="preserve">We have also seen evidence of commercial farms in Europe where they can make </t>
    </r>
    <r>
      <rPr>
        <rFont val="Arial"/>
        <color theme="1"/>
        <sz val="10.0"/>
      </rPr>
      <t xml:space="preserve">savings of 15% of feed cost </t>
    </r>
    <r>
      <rPr>
        <rFont val="Arial"/>
        <color theme="1"/>
        <sz val="10.0"/>
      </rPr>
      <t>by feeding to milk production of the animal.
Greenoak research has shown that tailored computer feeding can</t>
    </r>
    <r>
      <rPr>
        <rFont val="Arial"/>
        <color theme="1"/>
        <sz val="10.0"/>
      </rPr>
      <t xml:space="preserve"> improve milk production by 20%</t>
    </r>
    <r>
      <rPr>
        <rFont val="Arial"/>
        <color theme="1"/>
        <sz val="10.0"/>
      </rPr>
      <t xml:space="preserve"> which is 3 times better than the </t>
    </r>
    <r>
      <rPr>
        <rFont val="Arial"/>
        <color theme="1"/>
        <sz val="10.0"/>
      </rPr>
      <t xml:space="preserve">15% feed to yield savings </t>
    </r>
    <r>
      <rPr>
        <rFont val="Arial"/>
        <color theme="1"/>
        <sz val="10.0"/>
      </rPr>
      <t>above.</t>
    </r>
  </si>
  <si>
    <t>200 euro per unit (per animal)</t>
  </si>
  <si>
    <r>
      <rPr>
        <rFont val="Arial"/>
        <color theme="1"/>
        <sz val="10.0"/>
      </rPr>
      <t xml:space="preserve"> annual yield of 6t/ha DM with 60 per cent utilisation for a total of 3.6t/ha DM utilised. When cattle are moved every two to three days, utilisation goes up to 75 per cent for a total of 9.0t/ha DM   ... --------------------------------------------according to the benefit of another DAT available, virtual fencing </t>
    </r>
    <r>
      <rPr>
        <rFont val="Arial"/>
        <color theme="1"/>
        <sz val="10.0"/>
      </rPr>
      <t>Reduce labor costs by over 25%</t>
    </r>
    <r>
      <rPr>
        <rFont val="Arial"/>
        <color theme="1"/>
        <sz val="10.0"/>
      </rPr>
      <t xml:space="preserve">
See</t>
    </r>
    <r>
      <rPr>
        <rFont val="Arial"/>
        <color theme="1"/>
        <sz val="10.0"/>
      </rPr>
      <t xml:space="preserve"> up to 30% cost savings</t>
    </r>
    <r>
      <rPr>
        <rFont val="Arial"/>
        <color theme="1"/>
        <sz val="10.0"/>
      </rPr>
      <t xml:space="preserve"> through rotational grazing</t>
    </r>
  </si>
  <si>
    <t>This Calculator Module can be removed for Small Ruminants DATs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</si>
</sst>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
    <numFmt numFmtId="165" formatCode="#,##0.00&quot;€&quot;"/>
    <numFmt numFmtId="166" formatCode="#,##0.00\ [$€-1]"/>
  </numFmts>
  <fonts count="26">
    <font>
      <sz val="10.0"/>
      <color rgb="FF000000"/>
      <name val="Arial"/>
      <scheme val="minor"/>
    </font>
    <font>
      <sz val="10.0"/>
      <color theme="1"/>
      <name val="Arial"/>
    </font>
    <font>
      <sz val="10.0"/>
      <color rgb="FF000000"/>
      <name val="Arial"/>
    </font>
    <font>
      <u/>
      <sz val="10.0"/>
      <color rgb="FF0563C1"/>
      <name val="Arial"/>
    </font>
    <font>
      <u/>
      <sz val="10.0"/>
      <color rgb="FF0563C1"/>
      <name val="Arial"/>
    </font>
    <font/>
    <font>
      <sz val="10.0"/>
      <color rgb="FF222222"/>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sz val="10.0"/>
      <color rgb="FF0563C1"/>
      <name val="Arial"/>
    </font>
    <font>
      <u/>
      <sz val="10.0"/>
      <color rgb="FF0000FF"/>
      <name val="Arial"/>
    </font>
    <font>
      <u/>
      <sz val="10.0"/>
      <color rgb="FF0563C1"/>
      <name val="Arial"/>
    </font>
    <font>
      <color theme="1"/>
      <name val="Arial"/>
    </font>
    <font>
      <b/>
      <sz val="11.0"/>
      <color theme="1"/>
      <name val="Calibri"/>
    </font>
    <font>
      <b/>
      <sz val="11.0"/>
      <color theme="1"/>
      <name val="Arial"/>
    </font>
    <font>
      <u/>
      <sz val="10.0"/>
      <color rgb="FF0563C1"/>
      <name val="Arial"/>
    </font>
    <font>
      <color theme="1"/>
      <name val="Arial"/>
      <scheme val="minor"/>
    </font>
    <font>
      <u/>
      <sz val="10.0"/>
      <color rgb="FF0000FF"/>
      <name val="Arial"/>
    </font>
    <font>
      <u/>
      <sz val="10.0"/>
      <color rgb="FF0563C1"/>
      <name val="Arial"/>
    </font>
    <font>
      <u/>
      <sz val="10.0"/>
      <color rgb="FF0000FF"/>
      <name val="Arial"/>
    </font>
    <font>
      <u/>
      <sz val="10.0"/>
      <color rgb="FF0563C1"/>
      <name val="Arial"/>
    </font>
    <font>
      <u/>
      <sz val="10.0"/>
      <color rgb="FF0000FF"/>
      <name val="Arial"/>
    </font>
    <font>
      <u/>
      <sz val="10.0"/>
      <color rgb="FF0000FF"/>
      <name val="Arial"/>
    </font>
  </fonts>
  <fills count="16">
    <fill>
      <patternFill patternType="none"/>
    </fill>
    <fill>
      <patternFill patternType="lightGray"/>
    </fill>
    <fill>
      <patternFill patternType="solid">
        <fgColor rgb="FFD2F1DA"/>
        <bgColor rgb="FFD2F1DA"/>
      </patternFill>
    </fill>
    <fill>
      <patternFill patternType="solid">
        <fgColor rgb="FFFFFFFF"/>
        <bgColor rgb="FFFFFFFF"/>
      </patternFill>
    </fill>
    <fill>
      <patternFill patternType="solid">
        <fgColor rgb="FFD9D9D9"/>
        <bgColor rgb="FFD9D9D9"/>
      </patternFill>
    </fill>
    <fill>
      <patternFill patternType="solid">
        <fgColor rgb="FFD9D2E9"/>
        <bgColor rgb="FFD9D2E9"/>
      </patternFill>
    </fill>
    <fill>
      <patternFill patternType="solid">
        <fgColor rgb="FFF4CCCC"/>
        <bgColor rgb="FFF4CCCC"/>
      </patternFill>
    </fill>
    <fill>
      <patternFill patternType="solid">
        <fgColor theme="0"/>
        <bgColor theme="0"/>
      </patternFill>
    </fill>
    <fill>
      <patternFill patternType="solid">
        <fgColor rgb="FFD9E2F3"/>
        <bgColor rgb="FFD9E2F3"/>
      </patternFill>
    </fill>
    <fill>
      <patternFill patternType="solid">
        <fgColor rgb="FFFF0000"/>
        <bgColor rgb="FFFF0000"/>
      </patternFill>
    </fill>
    <fill>
      <patternFill patternType="solid">
        <fgColor rgb="FFFFFF00"/>
        <bgColor rgb="FFFFFF00"/>
      </patternFill>
    </fill>
    <fill>
      <patternFill patternType="solid">
        <fgColor rgb="FF00FF00"/>
        <bgColor rgb="FF00FF00"/>
      </patternFill>
    </fill>
    <fill>
      <patternFill patternType="solid">
        <fgColor rgb="FFE6B8AF"/>
        <bgColor rgb="FFE6B8AF"/>
      </patternFill>
    </fill>
    <fill>
      <patternFill patternType="solid">
        <fgColor rgb="FFFFC000"/>
        <bgColor rgb="FFFFC000"/>
      </patternFill>
    </fill>
    <fill>
      <patternFill patternType="solid">
        <fgColor rgb="FFEA9999"/>
        <bgColor rgb="FFEA9999"/>
      </patternFill>
    </fill>
    <fill>
      <patternFill patternType="solid">
        <fgColor rgb="FFB4A7D6"/>
        <bgColor rgb="FFB4A7D6"/>
      </patternFill>
    </fill>
  </fills>
  <borders count="39">
    <border/>
    <border>
      <left style="thin">
        <color rgb="FF000000"/>
      </left>
      <right style="thin">
        <color rgb="FF000000"/>
      </right>
      <top style="thin">
        <color rgb="FF000000"/>
      </top>
      <bottom style="thin">
        <color rgb="FF000000"/>
      </bottom>
    </border>
    <border>
      <left/>
      <right/>
      <top/>
      <bottom/>
    </border>
    <border>
      <left style="thin">
        <color rgb="FF000000"/>
      </left>
      <top style="thin">
        <color rgb="FF000000"/>
      </top>
    </border>
    <border>
      <left/>
      <right/>
      <top style="thin">
        <color rgb="FF000000"/>
      </top>
      <bottom/>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style="thin">
        <color rgb="FF000000"/>
      </bottom>
    </border>
    <border>
      <left style="thin">
        <color rgb="FF000000"/>
      </left>
      <right style="thin">
        <color rgb="FF000000"/>
      </right>
      <top style="thin">
        <color rgb="FF000000"/>
      </top>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style="thin">
        <color rgb="FF000000"/>
      </top>
      <bottom style="thick">
        <color rgb="FF000000"/>
      </bottom>
    </border>
    <border>
      <top style="thin">
        <color rgb="FF000000"/>
      </top>
      <bottom style="thick">
        <color rgb="FF000000"/>
      </bottom>
    </border>
    <border>
      <right style="thin">
        <color rgb="FF000000"/>
      </right>
      <top style="thin">
        <color rgb="FF000000"/>
      </top>
      <bottom style="thick">
        <color rgb="FF000000"/>
      </bottom>
    </border>
    <border>
      <right/>
      <top style="thin">
        <color rgb="FF000000"/>
      </top>
      <bottom/>
    </border>
    <border>
      <left style="thin">
        <color rgb="FF000000"/>
      </left>
      <right style="thin">
        <color rgb="FF000000"/>
      </right>
      <top style="thin">
        <color rgb="FF000000"/>
      </top>
    </border>
    <border>
      <left/>
      <right style="thin">
        <color rgb="FF000000"/>
      </right>
      <top/>
      <bottom/>
    </border>
    <border>
      <left style="thin">
        <color rgb="FF000000"/>
      </left>
      <right/>
      <top/>
      <bottom/>
    </border>
    <border>
      <left style="thin">
        <color rgb="FF000000"/>
      </left>
      <right style="thin">
        <color rgb="FF000000"/>
      </right>
      <top/>
      <bottom/>
    </border>
    <border>
      <left style="thin">
        <color rgb="FF000000"/>
      </left>
      <right/>
      <top/>
      <bottom style="thin">
        <color rgb="FF000000"/>
      </bottom>
    </border>
    <border>
      <left/>
      <right style="thin">
        <color rgb="FF000000"/>
      </right>
      <top/>
      <bottom style="thin">
        <color rgb="FF000000"/>
      </bottom>
    </border>
    <border>
      <left style="thin">
        <color rgb="FF000000"/>
      </left>
      <right/>
      <top style="thin">
        <color rgb="FF000000"/>
      </top>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top/>
      <bottom/>
    </border>
    <border>
      <right/>
      <top/>
      <bottom/>
    </border>
  </borders>
  <cellStyleXfs count="1">
    <xf borderId="0" fillId="0" fontId="0" numFmtId="0" applyAlignment="1" applyFont="1"/>
  </cellStyleXfs>
  <cellXfs count="194">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1" numFmtId="0" xfId="0" applyAlignment="1" applyBorder="1" applyFont="1">
      <alignment horizontal="left" vertical="center"/>
    </xf>
    <xf borderId="1" fillId="2" fontId="1" numFmtId="0" xfId="0" applyAlignment="1" applyBorder="1" applyFont="1">
      <alignment horizontal="left"/>
    </xf>
    <xf borderId="1" fillId="2" fontId="1" numFmtId="0" xfId="0" applyBorder="1" applyFont="1"/>
    <xf borderId="0" fillId="0" fontId="1" numFmtId="0" xfId="0" applyAlignment="1" applyFont="1">
      <alignment horizontal="left" shrinkToFit="0" vertical="center" wrapText="1"/>
    </xf>
    <xf borderId="2" fillId="3" fontId="2" numFmtId="0" xfId="0" applyAlignment="1" applyBorder="1" applyFill="1" applyFont="1">
      <alignment horizontal="left"/>
    </xf>
    <xf borderId="0" fillId="0" fontId="1" numFmtId="0" xfId="0" applyAlignment="1" applyFont="1">
      <alignment horizontal="left"/>
    </xf>
    <xf borderId="0" fillId="0" fontId="1" numFmtId="0" xfId="0" applyFont="1"/>
    <xf borderId="0" fillId="0" fontId="3" numFmtId="0" xfId="0" applyFont="1"/>
    <xf borderId="1" fillId="4" fontId="1" numFmtId="0" xfId="0" applyAlignment="1" applyBorder="1" applyFill="1" applyFont="1">
      <alignment horizontal="left"/>
    </xf>
    <xf borderId="3" fillId="0" fontId="1" numFmtId="0" xfId="0" applyAlignment="1" applyBorder="1" applyFont="1">
      <alignment horizontal="left" shrinkToFit="0" vertical="center" wrapText="1"/>
    </xf>
    <xf borderId="4" fillId="3" fontId="2" numFmtId="0" xfId="0" applyAlignment="1" applyBorder="1" applyFont="1">
      <alignment horizontal="left"/>
    </xf>
    <xf borderId="5" fillId="0" fontId="1" numFmtId="0" xfId="0" applyAlignment="1" applyBorder="1" applyFont="1">
      <alignment horizontal="left"/>
    </xf>
    <xf borderId="5" fillId="0" fontId="1" numFmtId="0" xfId="0" applyBorder="1" applyFont="1"/>
    <xf borderId="5" fillId="0" fontId="4" numFmtId="0" xfId="0" applyBorder="1" applyFont="1"/>
    <xf borderId="6" fillId="0" fontId="1" numFmtId="164" xfId="0" applyAlignment="1" applyBorder="1" applyFont="1" applyNumberFormat="1">
      <alignment horizontal="left"/>
    </xf>
    <xf borderId="7" fillId="0" fontId="5" numFmtId="0" xfId="0" applyBorder="1" applyFont="1"/>
    <xf borderId="0" fillId="0" fontId="1" numFmtId="0" xfId="0" applyAlignment="1" applyFont="1">
      <alignment horizontal="left" vertical="center"/>
    </xf>
    <xf borderId="8" fillId="0" fontId="1" numFmtId="164" xfId="0" applyAlignment="1" applyBorder="1" applyFont="1" applyNumberFormat="1">
      <alignment horizontal="left"/>
    </xf>
    <xf borderId="0" fillId="0" fontId="6" numFmtId="0" xfId="0" applyAlignment="1" applyFont="1">
      <alignment horizontal="center"/>
    </xf>
    <xf borderId="8" fillId="0" fontId="1" numFmtId="164" xfId="0" applyAlignment="1" applyBorder="1" applyFont="1" applyNumberFormat="1">
      <alignment horizontal="left" readingOrder="0"/>
    </xf>
    <xf borderId="0" fillId="0" fontId="7" numFmtId="0" xfId="0" applyFont="1"/>
    <xf borderId="2" fillId="5" fontId="1" numFmtId="0" xfId="0" applyAlignment="1" applyBorder="1" applyFill="1" applyFont="1">
      <alignment horizontal="left"/>
    </xf>
    <xf borderId="8" fillId="0" fontId="1" numFmtId="0" xfId="0" applyBorder="1" applyFont="1"/>
    <xf borderId="9" fillId="0" fontId="5" numFmtId="0" xfId="0" applyBorder="1" applyFont="1"/>
    <xf borderId="10" fillId="0" fontId="1" numFmtId="0" xfId="0" applyAlignment="1" applyBorder="1" applyFont="1">
      <alignment horizontal="left"/>
    </xf>
    <xf borderId="10" fillId="0" fontId="8" numFmtId="0" xfId="0" applyBorder="1" applyFont="1"/>
    <xf borderId="10" fillId="0" fontId="1" numFmtId="0" xfId="0" applyBorder="1" applyFont="1"/>
    <xf borderId="11" fillId="0" fontId="1" numFmtId="0" xfId="0" applyBorder="1" applyFont="1"/>
    <xf borderId="5" fillId="0" fontId="1" numFmtId="0" xfId="0" applyAlignment="1" applyBorder="1" applyFont="1">
      <alignment horizontal="left" vertical="center"/>
    </xf>
    <xf borderId="5" fillId="0" fontId="9" numFmtId="0" xfId="0" applyBorder="1" applyFont="1"/>
    <xf borderId="6" fillId="0" fontId="1" numFmtId="0" xfId="0" applyAlignment="1" applyBorder="1" applyFont="1">
      <alignment horizontal="left"/>
    </xf>
    <xf borderId="8" fillId="0" fontId="1" numFmtId="0" xfId="0" applyAlignment="1" applyBorder="1" applyFont="1">
      <alignment horizontal="left"/>
    </xf>
    <xf borderId="0" fillId="0" fontId="1" numFmtId="0" xfId="0" applyAlignment="1" applyFont="1">
      <alignment vertical="center"/>
    </xf>
    <xf borderId="0" fillId="0" fontId="10" numFmtId="0" xfId="0" applyAlignment="1" applyFont="1">
      <alignment vertical="center"/>
    </xf>
    <xf borderId="8" fillId="0" fontId="1" numFmtId="0" xfId="0" applyAlignment="1" applyBorder="1" applyFont="1">
      <alignment shrinkToFit="0" wrapText="1"/>
    </xf>
    <xf borderId="10" fillId="0" fontId="1" numFmtId="0" xfId="0" applyAlignment="1" applyBorder="1" applyFont="1">
      <alignment horizontal="left" vertical="center"/>
    </xf>
    <xf borderId="12" fillId="5" fontId="1" numFmtId="0" xfId="0" applyAlignment="1" applyBorder="1" applyFont="1">
      <alignment horizontal="left" vertical="center"/>
    </xf>
    <xf borderId="10" fillId="0" fontId="1" numFmtId="0" xfId="0" applyAlignment="1" applyBorder="1" applyFont="1">
      <alignment vertical="center"/>
    </xf>
    <xf borderId="10" fillId="0" fontId="11" numFmtId="0" xfId="0" applyAlignment="1" applyBorder="1" applyFont="1">
      <alignment vertical="center"/>
    </xf>
    <xf borderId="11" fillId="0" fontId="1" numFmtId="0" xfId="0" applyAlignment="1" applyBorder="1" applyFont="1">
      <alignment shrinkToFit="0" wrapText="1"/>
    </xf>
    <xf borderId="0" fillId="0" fontId="1" numFmtId="0" xfId="0" applyAlignment="1" applyFont="1">
      <alignment horizontal="center"/>
    </xf>
    <xf borderId="2" fillId="5" fontId="1" numFmtId="0" xfId="0" applyBorder="1" applyFont="1"/>
    <xf borderId="0" fillId="0" fontId="12" numFmtId="0" xfId="0" applyAlignment="1" applyFont="1">
      <alignment vertical="center"/>
    </xf>
    <xf borderId="0" fillId="0" fontId="1" numFmtId="0" xfId="0" applyAlignment="1" applyFont="1">
      <alignment shrinkToFit="0" wrapText="1"/>
    </xf>
    <xf borderId="2" fillId="3" fontId="2" numFmtId="0" xfId="0" applyAlignment="1" applyBorder="1" applyFont="1">
      <alignment horizontal="left" vertical="center"/>
    </xf>
    <xf borderId="8" fillId="0" fontId="1" numFmtId="165" xfId="0" applyBorder="1" applyFont="1" applyNumberFormat="1"/>
    <xf borderId="0" fillId="0" fontId="1" numFmtId="0" xfId="0" applyAlignment="1" applyFont="1">
      <alignment horizontal="left" shrinkToFit="0" wrapText="1"/>
    </xf>
    <xf borderId="12" fillId="3" fontId="2" numFmtId="0" xfId="0" applyAlignment="1" applyBorder="1" applyFont="1">
      <alignment horizontal="left"/>
    </xf>
    <xf borderId="2" fillId="5" fontId="1" numFmtId="0" xfId="0" applyAlignment="1" applyBorder="1" applyFont="1">
      <alignment horizontal="left" vertical="center"/>
    </xf>
    <xf borderId="2" fillId="5" fontId="2" numFmtId="0" xfId="0" applyAlignment="1" applyBorder="1" applyFont="1">
      <alignment vertical="center"/>
    </xf>
    <xf borderId="2" fillId="5" fontId="13" numFmtId="0" xfId="0" applyBorder="1" applyFont="1"/>
    <xf borderId="8" fillId="0" fontId="1" numFmtId="165" xfId="0" applyAlignment="1" applyBorder="1" applyFont="1" applyNumberFormat="1">
      <alignment horizontal="left"/>
    </xf>
    <xf borderId="11" fillId="0" fontId="1" numFmtId="0" xfId="0" applyAlignment="1" applyBorder="1" applyFont="1">
      <alignment vertical="center"/>
    </xf>
    <xf borderId="13" fillId="2" fontId="1" numFmtId="0" xfId="0" applyAlignment="1" applyBorder="1" applyFont="1">
      <alignment horizontal="left" shrinkToFit="0" vertical="center" wrapText="1"/>
    </xf>
    <xf borderId="13" fillId="2" fontId="1" numFmtId="0" xfId="0" applyAlignment="1" applyBorder="1" applyFont="1">
      <alignment horizontal="left" vertical="center"/>
    </xf>
    <xf borderId="13" fillId="2" fontId="1" numFmtId="0" xfId="0" applyAlignment="1" applyBorder="1" applyFont="1">
      <alignment horizontal="left"/>
    </xf>
    <xf borderId="14" fillId="2" fontId="1" numFmtId="166" xfId="0" applyAlignment="1" applyBorder="1" applyFont="1" applyNumberFormat="1">
      <alignment horizontal="center"/>
    </xf>
    <xf borderId="15" fillId="0" fontId="5" numFmtId="0" xfId="0" applyBorder="1" applyFont="1"/>
    <xf borderId="16" fillId="0" fontId="5" numFmtId="0" xfId="0" applyBorder="1" applyFont="1"/>
    <xf borderId="17" fillId="2" fontId="1" numFmtId="0" xfId="0" applyAlignment="1" applyBorder="1" applyFont="1">
      <alignment horizontal="center"/>
    </xf>
    <xf borderId="18" fillId="0" fontId="5" numFmtId="0" xfId="0" applyBorder="1" applyFont="1"/>
    <xf borderId="19" fillId="0" fontId="5" numFmtId="0" xfId="0" applyBorder="1" applyFont="1"/>
    <xf borderId="1" fillId="2" fontId="1" numFmtId="0" xfId="0" applyAlignment="1" applyBorder="1" applyFont="1">
      <alignment horizontal="center"/>
    </xf>
    <xf borderId="20" fillId="2" fontId="1" numFmtId="0" xfId="0" applyAlignment="1" applyBorder="1" applyFont="1">
      <alignment horizontal="center"/>
    </xf>
    <xf borderId="21" fillId="0" fontId="5" numFmtId="0" xfId="0" applyBorder="1" applyFont="1"/>
    <xf borderId="22" fillId="0" fontId="5" numFmtId="0" xfId="0" applyBorder="1" applyFont="1"/>
    <xf borderId="17" fillId="2" fontId="1" numFmtId="0" xfId="0" applyAlignment="1" applyBorder="1" applyFont="1">
      <alignment horizontal="center" readingOrder="0"/>
    </xf>
    <xf borderId="23" fillId="0" fontId="5" numFmtId="0" xfId="0" applyBorder="1" applyFont="1"/>
    <xf borderId="2" fillId="2" fontId="1" numFmtId="0" xfId="0" applyBorder="1" applyFont="1"/>
    <xf borderId="2" fillId="3" fontId="2" numFmtId="0" xfId="0" applyAlignment="1" applyBorder="1" applyFont="1">
      <alignment horizontal="left" shrinkToFit="0" wrapText="1"/>
    </xf>
    <xf borderId="6" fillId="0" fontId="1" numFmtId="0" xfId="0" applyAlignment="1" applyBorder="1" applyFont="1">
      <alignment shrinkToFit="0" wrapText="1"/>
    </xf>
    <xf borderId="24" fillId="0" fontId="14" numFmtId="0" xfId="0" applyAlignment="1" applyBorder="1" applyFont="1">
      <alignment shrinkToFit="0" wrapText="1"/>
    </xf>
    <xf borderId="24" fillId="0" fontId="1" numFmtId="0" xfId="0" applyAlignment="1" applyBorder="1" applyFont="1">
      <alignment shrinkToFit="0" wrapText="1"/>
    </xf>
    <xf borderId="9" fillId="0" fontId="1" numFmtId="0" xfId="0" applyAlignment="1" applyBorder="1" applyFont="1">
      <alignment horizontal="left" shrinkToFit="0" wrapText="1"/>
    </xf>
    <xf borderId="2" fillId="6" fontId="1" numFmtId="166" xfId="0" applyAlignment="1" applyBorder="1" applyFill="1" applyFont="1" applyNumberFormat="1">
      <alignment shrinkToFit="0" wrapText="1"/>
    </xf>
    <xf borderId="0" fillId="0" fontId="2" numFmtId="166" xfId="0" applyAlignment="1" applyFont="1" applyNumberFormat="1">
      <alignment readingOrder="0" shrinkToFit="0" wrapText="1"/>
    </xf>
    <xf borderId="0" fillId="0" fontId="1" numFmtId="166" xfId="0" applyAlignment="1" applyFont="1" applyNumberFormat="1">
      <alignment shrinkToFit="0" wrapText="1"/>
    </xf>
    <xf borderId="2" fillId="7" fontId="1" numFmtId="0" xfId="0" applyAlignment="1" applyBorder="1" applyFill="1" applyFont="1">
      <alignment horizontal="center" readingOrder="0" shrinkToFit="0" vertical="center" wrapText="1"/>
    </xf>
    <xf borderId="2" fillId="8" fontId="1" numFmtId="0" xfId="0" applyAlignment="1" applyBorder="1" applyFill="1" applyFont="1">
      <alignment horizontal="center" readingOrder="0" shrinkToFit="0" vertical="center" wrapText="1"/>
    </xf>
    <xf borderId="2" fillId="6" fontId="1" numFmtId="0" xfId="0" applyAlignment="1" applyBorder="1" applyFont="1">
      <alignment shrinkToFit="0" wrapText="1"/>
    </xf>
    <xf borderId="25" fillId="9" fontId="15" numFmtId="0" xfId="0" applyAlignment="1" applyBorder="1" applyFill="1" applyFont="1">
      <alignment horizontal="center" readingOrder="0" shrinkToFit="0" vertical="center" wrapText="1"/>
    </xf>
    <xf borderId="26" fillId="10" fontId="1" numFmtId="0" xfId="0" applyAlignment="1" applyBorder="1" applyFill="1" applyFont="1">
      <alignment shrinkToFit="0" wrapText="1"/>
    </xf>
    <xf borderId="27" fillId="11" fontId="1" numFmtId="0" xfId="0" applyAlignment="1" applyBorder="1" applyFill="1" applyFont="1">
      <alignment shrinkToFit="0" wrapText="1"/>
    </xf>
    <xf borderId="25" fillId="11" fontId="1" numFmtId="0" xfId="0" applyAlignment="1" applyBorder="1" applyFont="1">
      <alignment shrinkToFit="0" wrapText="1"/>
    </xf>
    <xf borderId="28" fillId="10" fontId="1" numFmtId="0" xfId="0" applyAlignment="1" applyBorder="1" applyFont="1">
      <alignment shrinkToFit="0" wrapText="1"/>
    </xf>
    <xf borderId="10" fillId="0" fontId="1" numFmtId="0" xfId="0" applyAlignment="1" applyBorder="1" applyFont="1">
      <alignment shrinkToFit="0" wrapText="1"/>
    </xf>
    <xf borderId="29" fillId="11" fontId="1" numFmtId="0" xfId="0" applyAlignment="1" applyBorder="1" applyFont="1">
      <alignment shrinkToFit="0" wrapText="1"/>
    </xf>
    <xf borderId="2" fillId="12" fontId="1" numFmtId="0" xfId="0" applyAlignment="1" applyBorder="1" applyFill="1" applyFont="1">
      <alignment shrinkToFit="0" wrapText="1"/>
    </xf>
    <xf borderId="2" fillId="13" fontId="16" numFmtId="0" xfId="0" applyAlignment="1" applyBorder="1" applyFill="1" applyFont="1">
      <alignment horizontal="center" readingOrder="0" shrinkToFit="0" vertical="center" wrapText="1"/>
    </xf>
    <xf borderId="1" fillId="11" fontId="17" numFmtId="0" xfId="0" applyAlignment="1" applyBorder="1" applyFont="1">
      <alignment horizontal="center" readingOrder="0" shrinkToFit="0" vertical="center" wrapText="1"/>
    </xf>
    <xf borderId="0" fillId="13" fontId="16" numFmtId="0" xfId="0" applyAlignment="1" applyFont="1">
      <alignment horizontal="center" shrinkToFit="0" vertical="center" wrapText="1"/>
    </xf>
    <xf borderId="0" fillId="13" fontId="16" numFmtId="0" xfId="0" applyAlignment="1" applyFont="1">
      <alignment horizontal="center" readingOrder="0" shrinkToFit="0" vertical="center" wrapText="1"/>
    </xf>
    <xf borderId="6" fillId="0" fontId="1" numFmtId="0" xfId="0" applyBorder="1" applyFont="1"/>
    <xf borderId="3" fillId="0" fontId="1" numFmtId="164" xfId="0" applyAlignment="1" applyBorder="1" applyFont="1" applyNumberFormat="1">
      <alignment horizontal="left"/>
    </xf>
    <xf borderId="3" fillId="0" fontId="1" numFmtId="0" xfId="0" applyBorder="1" applyFont="1"/>
    <xf borderId="24" fillId="0" fontId="1" numFmtId="0" xfId="0" applyBorder="1" applyFont="1"/>
    <xf borderId="30" fillId="14" fontId="1" numFmtId="0" xfId="0" applyBorder="1" applyFill="1" applyFont="1"/>
    <xf borderId="5" fillId="0" fontId="1" numFmtId="0" xfId="0" applyAlignment="1" applyBorder="1" applyFont="1">
      <alignment horizontal="right"/>
    </xf>
    <xf borderId="6" fillId="0" fontId="1" numFmtId="0" xfId="0" applyAlignment="1" applyBorder="1" applyFont="1">
      <alignment horizontal="right"/>
    </xf>
    <xf borderId="30" fillId="7" fontId="1" numFmtId="0" xfId="0" applyBorder="1" applyFont="1"/>
    <xf borderId="5" fillId="7" fontId="1" numFmtId="0" xfId="0" applyBorder="1" applyFont="1"/>
    <xf borderId="6" fillId="7" fontId="1" numFmtId="0" xfId="0" applyBorder="1" applyFont="1"/>
    <xf borderId="13" fillId="5" fontId="1" numFmtId="10" xfId="0" applyBorder="1" applyFont="1" applyNumberFormat="1"/>
    <xf borderId="6" fillId="3" fontId="1" numFmtId="0" xfId="0" applyBorder="1" applyFont="1"/>
    <xf borderId="7" fillId="0" fontId="1" numFmtId="164" xfId="0" applyAlignment="1" applyBorder="1" applyFont="1" applyNumberFormat="1">
      <alignment horizontal="left"/>
    </xf>
    <xf borderId="7" fillId="0" fontId="1" numFmtId="0" xfId="0" applyBorder="1" applyFont="1"/>
    <xf borderId="31" fillId="0" fontId="1" numFmtId="0" xfId="0" applyBorder="1" applyFont="1"/>
    <xf borderId="26" fillId="14" fontId="1" numFmtId="0" xfId="0" applyBorder="1" applyFont="1"/>
    <xf borderId="0" fillId="0" fontId="1" numFmtId="0" xfId="0" applyAlignment="1" applyFont="1">
      <alignment horizontal="right"/>
    </xf>
    <xf borderId="8" fillId="0" fontId="1" numFmtId="0" xfId="0" applyAlignment="1" applyBorder="1" applyFont="1">
      <alignment horizontal="right"/>
    </xf>
    <xf borderId="26" fillId="7" fontId="1" numFmtId="0" xfId="0" applyBorder="1" applyFont="1"/>
    <xf borderId="0" fillId="7" fontId="1" numFmtId="0" xfId="0" applyFont="1"/>
    <xf borderId="8" fillId="7" fontId="1" numFmtId="0" xfId="0" applyBorder="1" applyFont="1"/>
    <xf borderId="7" fillId="0" fontId="1" numFmtId="164" xfId="0" applyAlignment="1" applyBorder="1" applyFont="1" applyNumberFormat="1">
      <alignment horizontal="left" readingOrder="0"/>
    </xf>
    <xf borderId="0" fillId="11" fontId="1" numFmtId="3" xfId="0" applyAlignment="1" applyFont="1" applyNumberFormat="1">
      <alignment readingOrder="0"/>
    </xf>
    <xf borderId="26" fillId="5" fontId="1" numFmtId="0" xfId="0" applyBorder="1" applyFont="1"/>
    <xf borderId="10" fillId="0" fontId="6" numFmtId="0" xfId="0" applyAlignment="1" applyBorder="1" applyFont="1">
      <alignment horizontal="center"/>
    </xf>
    <xf borderId="9" fillId="0" fontId="1" numFmtId="164" xfId="0" applyAlignment="1" applyBorder="1" applyFont="1" applyNumberFormat="1">
      <alignment horizontal="left"/>
    </xf>
    <xf borderId="9" fillId="0" fontId="1" numFmtId="0" xfId="0" applyBorder="1" applyFont="1"/>
    <xf borderId="32" fillId="0" fontId="1" numFmtId="0" xfId="0" applyBorder="1" applyFont="1"/>
    <xf borderId="11" fillId="0" fontId="1" numFmtId="0" xfId="0" applyAlignment="1" applyBorder="1" applyFont="1">
      <alignment horizontal="right"/>
    </xf>
    <xf borderId="28" fillId="14" fontId="1" numFmtId="0" xfId="0" applyBorder="1" applyFont="1"/>
    <xf borderId="28" fillId="7" fontId="1" numFmtId="0" xfId="0" applyBorder="1" applyFont="1"/>
    <xf borderId="11" fillId="7" fontId="1" numFmtId="0" xfId="0" applyBorder="1" applyFont="1"/>
    <xf borderId="3" fillId="0" fontId="1" numFmtId="0" xfId="0" applyAlignment="1" applyBorder="1" applyFont="1">
      <alignment horizontal="left"/>
    </xf>
    <xf borderId="7" fillId="0" fontId="1" numFmtId="0" xfId="0" applyAlignment="1" applyBorder="1" applyFont="1">
      <alignment horizontal="left"/>
    </xf>
    <xf borderId="9" fillId="0" fontId="1" numFmtId="0" xfId="0" applyAlignment="1" applyBorder="1" applyFont="1">
      <alignment horizontal="left"/>
    </xf>
    <xf borderId="10" fillId="0" fontId="18" numFmtId="0" xfId="0" applyBorder="1" applyFont="1"/>
    <xf borderId="10" fillId="0" fontId="1" numFmtId="0" xfId="0" applyAlignment="1" applyBorder="1" applyFont="1">
      <alignment horizontal="right"/>
    </xf>
    <xf borderId="12" fillId="5" fontId="1" numFmtId="0" xfId="0" applyBorder="1" applyFont="1"/>
    <xf borderId="33" fillId="10" fontId="1" numFmtId="0" xfId="0" applyBorder="1" applyFont="1"/>
    <xf borderId="34" fillId="0" fontId="5" numFmtId="0" xfId="0" applyBorder="1" applyFont="1"/>
    <xf borderId="35" fillId="0" fontId="5" numFmtId="0" xfId="0" applyBorder="1" applyFont="1"/>
    <xf borderId="33" fillId="0" fontId="1" numFmtId="0" xfId="0" applyBorder="1" applyFont="1"/>
    <xf borderId="34" fillId="0" fontId="1" numFmtId="0" xfId="0" applyBorder="1" applyFont="1"/>
    <xf borderId="35" fillId="0" fontId="1" numFmtId="0" xfId="0" applyBorder="1" applyFont="1"/>
    <xf borderId="0" fillId="3" fontId="1" numFmtId="0" xfId="0" applyFont="1"/>
    <xf borderId="0" fillId="3" fontId="19" numFmtId="0" xfId="0" applyFont="1"/>
    <xf borderId="2" fillId="2" fontId="1" numFmtId="0" xfId="0" applyAlignment="1" applyBorder="1" applyFont="1">
      <alignment horizontal="left" shrinkToFit="0" vertical="center" wrapText="1"/>
    </xf>
    <xf borderId="2" fillId="2" fontId="1" numFmtId="0" xfId="0" applyAlignment="1" applyBorder="1" applyFont="1">
      <alignment horizontal="left" vertical="center"/>
    </xf>
    <xf borderId="2" fillId="2" fontId="1" numFmtId="0" xfId="0" applyAlignment="1" applyBorder="1" applyFont="1">
      <alignment vertical="center"/>
    </xf>
    <xf borderId="2" fillId="2" fontId="1" numFmtId="0" xfId="0" applyAlignment="1" applyBorder="1" applyFont="1">
      <alignment shrinkToFit="0" wrapText="1"/>
    </xf>
    <xf borderId="0" fillId="2" fontId="1" numFmtId="0" xfId="0" applyAlignment="1" applyFont="1">
      <alignment horizontal="center" readingOrder="0"/>
    </xf>
    <xf borderId="0" fillId="0" fontId="1" numFmtId="0" xfId="0" applyAlignment="1" applyFont="1">
      <alignment shrinkToFit="0" vertical="center" wrapText="1"/>
    </xf>
    <xf borderId="9" fillId="0" fontId="1" numFmtId="0" xfId="0" applyAlignment="1" applyBorder="1" applyFont="1">
      <alignment shrinkToFit="0" wrapText="1"/>
    </xf>
    <xf borderId="0" fillId="0" fontId="2" numFmtId="166" xfId="0" applyAlignment="1" applyFont="1" applyNumberFormat="1">
      <alignment shrinkToFit="0" wrapText="1"/>
    </xf>
    <xf borderId="5" fillId="0" fontId="1" numFmtId="0" xfId="0" applyAlignment="1" applyBorder="1" applyFont="1">
      <alignment vertical="center"/>
    </xf>
    <xf borderId="5" fillId="0" fontId="20" numFmtId="0" xfId="0" applyAlignment="1" applyBorder="1" applyFont="1">
      <alignment vertical="center"/>
    </xf>
    <xf borderId="3" fillId="0" fontId="1" numFmtId="0" xfId="0" applyAlignment="1" applyBorder="1" applyFont="1">
      <alignment horizontal="right"/>
    </xf>
    <xf borderId="30" fillId="6" fontId="1" numFmtId="0" xfId="0" applyBorder="1" applyFont="1"/>
    <xf borderId="12" fillId="3" fontId="2" numFmtId="0" xfId="0" applyAlignment="1" applyBorder="1" applyFont="1">
      <alignment horizontal="right"/>
    </xf>
    <xf borderId="28" fillId="14" fontId="1" numFmtId="0" xfId="0" applyAlignment="1" applyBorder="1" applyFont="1">
      <alignment horizontal="right"/>
    </xf>
    <xf borderId="28" fillId="6" fontId="1" numFmtId="0" xfId="0" applyBorder="1" applyFont="1"/>
    <xf borderId="5" fillId="0" fontId="21" numFmtId="0" xfId="0" applyAlignment="1" applyBorder="1" applyFont="1">
      <alignment vertical="center"/>
    </xf>
    <xf borderId="2" fillId="3" fontId="2" numFmtId="0" xfId="0" applyAlignment="1" applyBorder="1" applyFont="1">
      <alignment horizontal="right"/>
    </xf>
    <xf borderId="30" fillId="14" fontId="1" numFmtId="0" xfId="0" applyAlignment="1" applyBorder="1" applyFont="1">
      <alignment horizontal="right"/>
    </xf>
    <xf borderId="26" fillId="14" fontId="1" numFmtId="0" xfId="0" applyAlignment="1" applyBorder="1" applyFont="1">
      <alignment horizontal="right"/>
    </xf>
    <xf borderId="26" fillId="6" fontId="1" numFmtId="0" xfId="0" applyBorder="1" applyFont="1"/>
    <xf borderId="3" fillId="0" fontId="1" numFmtId="0" xfId="0" applyAlignment="1" applyBorder="1" applyFont="1">
      <alignment horizontal="left" vertical="center"/>
    </xf>
    <xf borderId="4" fillId="3" fontId="2" numFmtId="0" xfId="0" applyAlignment="1" applyBorder="1" applyFont="1">
      <alignment horizontal="right"/>
    </xf>
    <xf borderId="7" fillId="0" fontId="1" numFmtId="0" xfId="0" applyAlignment="1" applyBorder="1" applyFont="1">
      <alignment horizontal="left" vertical="center"/>
    </xf>
    <xf borderId="8" fillId="0" fontId="22" numFmtId="0" xfId="0" applyBorder="1" applyFont="1"/>
    <xf borderId="9" fillId="0" fontId="1" numFmtId="0" xfId="0" applyAlignment="1" applyBorder="1" applyFont="1">
      <alignment horizontal="left" vertical="center"/>
    </xf>
    <xf borderId="12" fillId="5" fontId="2" numFmtId="0" xfId="0" applyAlignment="1" applyBorder="1" applyFont="1">
      <alignment vertical="center"/>
    </xf>
    <xf borderId="0" fillId="0" fontId="2" numFmtId="0" xfId="0" applyAlignment="1" applyFont="1">
      <alignment vertical="center"/>
    </xf>
    <xf borderId="2" fillId="2" fontId="1" numFmtId="0" xfId="0" applyAlignment="1" applyBorder="1" applyFont="1">
      <alignment horizontal="left"/>
    </xf>
    <xf borderId="0" fillId="0" fontId="23" numFmtId="0" xfId="0" applyAlignment="1" applyFont="1">
      <alignment shrinkToFit="0" vertical="center" wrapText="1"/>
    </xf>
    <xf borderId="6" fillId="0" fontId="1" numFmtId="0" xfId="0" applyAlignment="1" applyBorder="1" applyFont="1">
      <alignment shrinkToFit="0" vertical="center" wrapText="1"/>
    </xf>
    <xf borderId="13" fillId="15" fontId="1" numFmtId="0" xfId="0" applyBorder="1" applyFill="1" applyFont="1"/>
    <xf borderId="4" fillId="5" fontId="24" numFmtId="0" xfId="0" applyBorder="1" applyFont="1"/>
    <xf borderId="0" fillId="0" fontId="1" numFmtId="165" xfId="0" applyAlignment="1" applyFont="1" applyNumberFormat="1">
      <alignment horizontal="left"/>
    </xf>
    <xf borderId="7" fillId="0" fontId="1" numFmtId="165" xfId="0" applyAlignment="1" applyBorder="1" applyFont="1" applyNumberFormat="1">
      <alignment horizontal="left"/>
    </xf>
    <xf borderId="7" fillId="0" fontId="1" numFmtId="0" xfId="0" applyAlignment="1" applyBorder="1" applyFont="1">
      <alignment horizontal="right"/>
    </xf>
    <xf borderId="36" fillId="10" fontId="1" numFmtId="0" xfId="0" applyBorder="1" applyFont="1"/>
    <xf borderId="37" fillId="0" fontId="5" numFmtId="0" xfId="0" applyBorder="1" applyFont="1"/>
    <xf borderId="38" fillId="0" fontId="5" numFmtId="0" xfId="0" applyBorder="1" applyFont="1"/>
    <xf borderId="25" fillId="9" fontId="1" numFmtId="0" xfId="0" applyAlignment="1" applyBorder="1" applyFont="1">
      <alignment shrinkToFit="0" wrapText="1"/>
    </xf>
    <xf borderId="0" fillId="0" fontId="19" numFmtId="0" xfId="0" applyFont="1"/>
    <xf borderId="9" fillId="0" fontId="1" numFmtId="0" xfId="0" applyAlignment="1" applyBorder="1" applyFont="1">
      <alignment horizontal="right"/>
    </xf>
    <xf borderId="6" fillId="0" fontId="1" numFmtId="0" xfId="0" applyAlignment="1" applyBorder="1" applyFont="1">
      <alignment vertical="center"/>
    </xf>
    <xf borderId="7" fillId="0" fontId="1" numFmtId="165" xfId="0" applyBorder="1" applyFont="1" applyNumberFormat="1"/>
    <xf borderId="33" fillId="0" fontId="1" numFmtId="0" xfId="0" applyAlignment="1" applyBorder="1" applyFont="1">
      <alignment horizontal="left" shrinkToFit="0" vertical="center" wrapText="1"/>
    </xf>
    <xf borderId="34" fillId="0" fontId="1" numFmtId="0" xfId="0" applyAlignment="1" applyBorder="1" applyFont="1">
      <alignment horizontal="left" vertical="center"/>
    </xf>
    <xf borderId="34" fillId="0" fontId="25" numFmtId="0" xfId="0" applyAlignment="1" applyBorder="1" applyFont="1">
      <alignment vertical="center"/>
    </xf>
    <xf borderId="34" fillId="0" fontId="1" numFmtId="0" xfId="0" applyAlignment="1" applyBorder="1" applyFont="1">
      <alignment vertical="center"/>
    </xf>
    <xf borderId="35" fillId="0" fontId="1" numFmtId="0" xfId="0" applyAlignment="1" applyBorder="1" applyFont="1">
      <alignment vertical="center"/>
    </xf>
    <xf borderId="9" fillId="0" fontId="1" numFmtId="0" xfId="0" applyAlignment="1" applyBorder="1" applyFont="1">
      <alignment vertical="center"/>
    </xf>
    <xf borderId="28" fillId="14" fontId="1" numFmtId="0" xfId="0" applyAlignment="1" applyBorder="1" applyFont="1">
      <alignment vertical="center"/>
    </xf>
    <xf borderId="32" fillId="0" fontId="1" numFmtId="0" xfId="0" applyAlignment="1" applyBorder="1" applyFont="1">
      <alignment vertical="center"/>
    </xf>
    <xf borderId="9" fillId="0" fontId="1" numFmtId="0" xfId="0" applyAlignment="1" applyBorder="1" applyFont="1">
      <alignment horizontal="right" vertical="center"/>
    </xf>
    <xf borderId="10" fillId="0" fontId="1" numFmtId="0" xfId="0" applyAlignment="1" applyBorder="1" applyFont="1">
      <alignment horizontal="right" vertical="center"/>
    </xf>
    <xf borderId="11" fillId="0" fontId="1" numFmtId="0" xfId="0" applyAlignment="1" applyBorder="1" applyFont="1">
      <alignment horizontal="righ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greenoakna.com/goat-sheep-feed-station" TargetMode="External"/><Relationship Id="rId42" Type="http://schemas.openxmlformats.org/officeDocument/2006/relationships/hyperlink" Target="https://vence.io/product" TargetMode="External"/><Relationship Id="rId41" Type="http://schemas.openxmlformats.org/officeDocument/2006/relationships/hyperlink" Target="https://www.jeantil.com/Contenus-Jeantil/2-50-0-0-0-0-158-2-Jeantil_Automatic_Feeding.html" TargetMode="External"/><Relationship Id="rId44" Type="http://schemas.openxmlformats.org/officeDocument/2006/relationships/hyperlink" Target="https://www.ida.io/en/" TargetMode="External"/><Relationship Id="rId43" Type="http://schemas.openxmlformats.org/officeDocument/2006/relationships/hyperlink" Target="https://ixorigue.com/en" TargetMode="External"/><Relationship Id="rId46" Type="http://schemas.openxmlformats.org/officeDocument/2006/relationships/hyperlink" Target="https://greengage.global/wp-content/uploads/ALIS-Barn-Lamp-wide-A4-ENGLISH.pdf" TargetMode="External"/><Relationship Id="rId45" Type="http://schemas.openxmlformats.org/officeDocument/2006/relationships/hyperlink" Target="https://www.lely.com/media/filer_public/2b/63/2b633500-8e27-46ed-ae0b-d5ba3e778ad1/lely_l4c__en.pdf" TargetMode="External"/><Relationship Id="rId1" Type="http://schemas.openxmlformats.org/officeDocument/2006/relationships/hyperlink" Target="https://themicrodairy.com/" TargetMode="External"/><Relationship Id="rId2" Type="http://schemas.openxmlformats.org/officeDocument/2006/relationships/hyperlink" Target="https://www.fullwoodjoz.com/solutions/robotic-milking/merlin/" TargetMode="External"/><Relationship Id="rId3" Type="http://schemas.openxmlformats.org/officeDocument/2006/relationships/hyperlink" Target="https://www.delaval.com/en-us/explore-our-farm-solutions/milking/delaval-vms-series/" TargetMode="External"/><Relationship Id="rId4" Type="http://schemas.openxmlformats.org/officeDocument/2006/relationships/hyperlink" Target="https://www.gea.com/en/dairy-farming/index.jsp" TargetMode="External"/><Relationship Id="rId9" Type="http://schemas.openxmlformats.org/officeDocument/2006/relationships/hyperlink" Target="https://boumatic.com/eu_en/products/ovimax/" TargetMode="External"/><Relationship Id="rId48" Type="http://schemas.openxmlformats.org/officeDocument/2006/relationships/hyperlink" Target="https://www.soundtalks.com/paper/economic-assessment-of-a-sound-based-precision-livestock-farming-tool-soundtalks-based-on-timing-of-intervention-after-a-dual-mycoplasma-hyopneumoniae-and-prrs-virus-seeder-challenge-in-pigs/" TargetMode="External"/><Relationship Id="rId47" Type="http://schemas.openxmlformats.org/officeDocument/2006/relationships/hyperlink" Target="https://www.soundtalks.com/soundtalks/" TargetMode="External"/><Relationship Id="rId49" Type="http://schemas.openxmlformats.org/officeDocument/2006/relationships/hyperlink" Target="https://www.degree2act.com/" TargetMode="External"/><Relationship Id="rId5" Type="http://schemas.openxmlformats.org/officeDocument/2006/relationships/hyperlink" Target="https://www.gea.com/en/dairy-farming/index.jsp" TargetMode="External"/><Relationship Id="rId6" Type="http://schemas.openxmlformats.org/officeDocument/2006/relationships/hyperlink" Target="https://www.gea.com/en/dairy-farming/index.jsp" TargetMode="External"/><Relationship Id="rId7" Type="http://schemas.openxmlformats.org/officeDocument/2006/relationships/hyperlink" Target="https://www.lely.com/techdocs/astronaut/a3-next/" TargetMode="External"/><Relationship Id="rId8" Type="http://schemas.openxmlformats.org/officeDocument/2006/relationships/hyperlink" Target="https://boumatic.com/eu_en/products/smartlite-for-goat-milking-systems/" TargetMode="External"/><Relationship Id="rId31" Type="http://schemas.openxmlformats.org/officeDocument/2006/relationships/hyperlink" Target="https://en.schauer-agrotronic.com/pig/pig-feeding-systems/liquimix-liquid-feeding" TargetMode="External"/><Relationship Id="rId30" Type="http://schemas.openxmlformats.org/officeDocument/2006/relationships/hyperlink" Target="https://www.bigdutchman.com/en/pig-production/products/detail/automatic-feeders/" TargetMode="External"/><Relationship Id="rId33" Type="http://schemas.openxmlformats.org/officeDocument/2006/relationships/hyperlink" Target="http://www.jenisys.eu/JCLweb/pig-sorting/" TargetMode="External"/><Relationship Id="rId32" Type="http://schemas.openxmlformats.org/officeDocument/2006/relationships/hyperlink" Target="https://en.schauer-agrotronic.com/pig/litter-systems/strohmatic" TargetMode="External"/><Relationship Id="rId35" Type="http://schemas.openxmlformats.org/officeDocument/2006/relationships/hyperlink" Target="https://en.schauer-agrotronic.com/pig/litter-systems/strohmatic" TargetMode="External"/><Relationship Id="rId34" Type="http://schemas.openxmlformats.org/officeDocument/2006/relationships/hyperlink" Target="https://www.nedap-livestockmanagement.com/pigfarming/solutions/nedap-sowsense/farrowing-breeding-stall-feeding/" TargetMode="External"/><Relationship Id="rId37" Type="http://schemas.openxmlformats.org/officeDocument/2006/relationships/hyperlink" Target="https://www.lely.com/solutions/feeding/vector/" TargetMode="External"/><Relationship Id="rId36" Type="http://schemas.openxmlformats.org/officeDocument/2006/relationships/hyperlink" Target="https://en.schauer-agrotronic.com/sheep-and-goats" TargetMode="External"/><Relationship Id="rId39" Type="http://schemas.openxmlformats.org/officeDocument/2006/relationships/hyperlink" Target="https://4d4f.eu/" TargetMode="External"/><Relationship Id="rId38" Type="http://schemas.openxmlformats.org/officeDocument/2006/relationships/hyperlink" Target="https://www.sieplo.com/product/feedr/" TargetMode="External"/><Relationship Id="rId20" Type="http://schemas.openxmlformats.org/officeDocument/2006/relationships/hyperlink" Target="https://www.lely.com/solutions/feeding/vector/" TargetMode="External"/><Relationship Id="rId22" Type="http://schemas.openxmlformats.org/officeDocument/2006/relationships/hyperlink" Target="https://www.lely.com/solutions/feeding/calm/" TargetMode="External"/><Relationship Id="rId21" Type="http://schemas.openxmlformats.org/officeDocument/2006/relationships/hyperlink" Target="https://www.trioliet.com/products/automatic-feeding-systems/feed-kitchens/feed-storage-for-automatic-feeding-system" TargetMode="External"/><Relationship Id="rId24" Type="http://schemas.openxmlformats.org/officeDocument/2006/relationships/hyperlink" Target="https://en.schauer-agrotronic.com/cattle" TargetMode="External"/><Relationship Id="rId23" Type="http://schemas.openxmlformats.org/officeDocument/2006/relationships/hyperlink" Target="https://boumatic.com/eu_en/products/boumatic-ranger/" TargetMode="External"/><Relationship Id="rId26" Type="http://schemas.openxmlformats.org/officeDocument/2006/relationships/hyperlink" Target="https://4d4f.eu/" TargetMode="External"/><Relationship Id="rId25" Type="http://schemas.openxmlformats.org/officeDocument/2006/relationships/hyperlink" Target="https://www.sieplo.com/product/feedr/" TargetMode="External"/><Relationship Id="rId28" Type="http://schemas.openxmlformats.org/officeDocument/2006/relationships/hyperlink" Target="https://www.jeantil.com/Contenus-Jeantil/2-50-0-0-0-0-158-2-Jeantil_Automatic_Feeding.html" TargetMode="External"/><Relationship Id="rId27" Type="http://schemas.openxmlformats.org/officeDocument/2006/relationships/hyperlink" Target="https://en.schauer-agrotronic.com/pig/litter-systems/strohmatic" TargetMode="External"/><Relationship Id="rId29" Type="http://schemas.openxmlformats.org/officeDocument/2006/relationships/hyperlink" Target="https://wasserbauer.at/produkte/futterschieber-butler-gold-pro" TargetMode="External"/><Relationship Id="rId51" Type="http://schemas.openxmlformats.org/officeDocument/2006/relationships/hyperlink" Target="https://greengage.global/wp-content/uploads/ALIS-Barn-Lamp-wide-A4-ENGLISH.pdf" TargetMode="External"/><Relationship Id="rId50" Type="http://schemas.openxmlformats.org/officeDocument/2006/relationships/hyperlink" Target="https://www.farmsrobots.com/product/74/t-moov-robot" TargetMode="External"/><Relationship Id="rId53" Type="http://schemas.openxmlformats.org/officeDocument/2006/relationships/drawing" Target="../drawings/drawing1.xml"/><Relationship Id="rId52" Type="http://schemas.openxmlformats.org/officeDocument/2006/relationships/hyperlink" Target="https://www.nofence.no/en/" TargetMode="External"/><Relationship Id="rId11" Type="http://schemas.openxmlformats.org/officeDocument/2006/relationships/hyperlink" Target="https://www.ida.io/en/" TargetMode="External"/><Relationship Id="rId10" Type="http://schemas.openxmlformats.org/officeDocument/2006/relationships/hyperlink" Target="https://www.dairymaster.com/gb/goat-rotary/" TargetMode="External"/><Relationship Id="rId13" Type="http://schemas.openxmlformats.org/officeDocument/2006/relationships/hyperlink" Target="https://pdf.agriexpo.online/pdf/afimilk/afiact-ii/171321-13165.html" TargetMode="External"/><Relationship Id="rId12" Type="http://schemas.openxmlformats.org/officeDocument/2006/relationships/hyperlink" Target="https://iot-catalogue.s3.amazonaws.com/files/5f15a4942df0b21fe88057c9/HAPPY%20COW.pdf" TargetMode="External"/><Relationship Id="rId15" Type="http://schemas.openxmlformats.org/officeDocument/2006/relationships/hyperlink" Target="https://crv4all.com/en/service/ovalert" TargetMode="External"/><Relationship Id="rId14" Type="http://schemas.openxmlformats.org/officeDocument/2006/relationships/hyperlink" Target="https://www.afimilk.com/cow-monitoring/" TargetMode="External"/><Relationship Id="rId17" Type="http://schemas.openxmlformats.org/officeDocument/2006/relationships/hyperlink" Target="https://swinerobotics.com/site/boar-bot-2-0/" TargetMode="External"/><Relationship Id="rId16" Type="http://schemas.openxmlformats.org/officeDocument/2006/relationships/hyperlink" Target="https://4d4f.eu/" TargetMode="External"/><Relationship Id="rId19" Type="http://schemas.openxmlformats.org/officeDocument/2006/relationships/hyperlink" Target="https://www.microfeeder.com/Pitstop" TargetMode="External"/><Relationship Id="rId18" Type="http://schemas.openxmlformats.org/officeDocument/2006/relationships/hyperlink" Target="http://www.jenisys.eu/JCLweb/heat-detection-pigs/"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themicrodairy.com/" TargetMode="External"/><Relationship Id="rId3" Type="http://schemas.openxmlformats.org/officeDocument/2006/relationships/hyperlink" Target="https://www.fullwoodjoz.com/solutions/robotic-milking/merlin/" TargetMode="External"/><Relationship Id="rId4" Type="http://schemas.openxmlformats.org/officeDocument/2006/relationships/hyperlink" Target="https://www.delaval.com/en-us/explore-our-farm-solutions/milking/delaval-vms-series/" TargetMode="External"/><Relationship Id="rId9" Type="http://schemas.openxmlformats.org/officeDocument/2006/relationships/hyperlink" Target="https://www.ida.io/en/" TargetMode="External"/><Relationship Id="rId5" Type="http://schemas.openxmlformats.org/officeDocument/2006/relationships/hyperlink" Target="https://www.gea.com/en/dairy-farming/index.jsp" TargetMode="External"/><Relationship Id="rId6" Type="http://schemas.openxmlformats.org/officeDocument/2006/relationships/hyperlink" Target="https://www.gea.com/en/dairy-farming/index.jsp" TargetMode="External"/><Relationship Id="rId7" Type="http://schemas.openxmlformats.org/officeDocument/2006/relationships/hyperlink" Target="https://www.gea.com/en/dairy-farming/index.jsp" TargetMode="External"/><Relationship Id="rId8" Type="http://schemas.openxmlformats.org/officeDocument/2006/relationships/hyperlink" Target="https://www.lely.com/techdocs/astronaut/a3-next/" TargetMode="External"/><Relationship Id="rId31" Type="http://schemas.openxmlformats.org/officeDocument/2006/relationships/vmlDrawing" Target="../drawings/vmlDrawing1.vml"/><Relationship Id="rId30" Type="http://schemas.openxmlformats.org/officeDocument/2006/relationships/drawing" Target="../drawings/drawing2.xml"/><Relationship Id="rId20" Type="http://schemas.openxmlformats.org/officeDocument/2006/relationships/hyperlink" Target="https://en.schauer-agrotronic.com/cattle" TargetMode="External"/><Relationship Id="rId22" Type="http://schemas.openxmlformats.org/officeDocument/2006/relationships/hyperlink" Target="https://4d4f.eu/" TargetMode="External"/><Relationship Id="rId21" Type="http://schemas.openxmlformats.org/officeDocument/2006/relationships/hyperlink" Target="https://www.sieplo.com/product/feedr/" TargetMode="External"/><Relationship Id="rId24" Type="http://schemas.openxmlformats.org/officeDocument/2006/relationships/hyperlink" Target="https://www.jeantil.com/Contenus-Jeantil/2-50-0-0-0-0-158-2-Jeantil_Automatic_Feeding.html" TargetMode="External"/><Relationship Id="rId23" Type="http://schemas.openxmlformats.org/officeDocument/2006/relationships/hyperlink" Target="https://en.schauer-agrotronic.com/pig/litter-systems/strohmatic" TargetMode="External"/><Relationship Id="rId26" Type="http://schemas.openxmlformats.org/officeDocument/2006/relationships/hyperlink" Target="https://vence.io/product" TargetMode="External"/><Relationship Id="rId25" Type="http://schemas.openxmlformats.org/officeDocument/2006/relationships/hyperlink" Target="https://wasserbauer.at/produkte/futterschieber-butler-gold-pro" TargetMode="External"/><Relationship Id="rId28" Type="http://schemas.openxmlformats.org/officeDocument/2006/relationships/hyperlink" Target="https://www.ida.io/en/" TargetMode="External"/><Relationship Id="rId27" Type="http://schemas.openxmlformats.org/officeDocument/2006/relationships/hyperlink" Target="https://ixorigue.com/en" TargetMode="External"/><Relationship Id="rId29" Type="http://schemas.openxmlformats.org/officeDocument/2006/relationships/hyperlink" Target="https://www.lely.com/media/filer_public/2b/63/2b633500-8e27-46ed-ae0b-d5ba3e778ad1/lely_l4c__en.pdf" TargetMode="External"/><Relationship Id="rId11" Type="http://schemas.openxmlformats.org/officeDocument/2006/relationships/hyperlink" Target="https://pdf.agriexpo.online/pdf/afimilk/afiact-ii/171321-13165.html" TargetMode="External"/><Relationship Id="rId10" Type="http://schemas.openxmlformats.org/officeDocument/2006/relationships/hyperlink" Target="https://iot-catalogue.s3.amazonaws.com/files/5f15a4942df0b21fe88057c9/HAPPY%20COW.pdf" TargetMode="External"/><Relationship Id="rId13" Type="http://schemas.openxmlformats.org/officeDocument/2006/relationships/hyperlink" Target="https://crv4all.com/en/service/ovalert" TargetMode="External"/><Relationship Id="rId12" Type="http://schemas.openxmlformats.org/officeDocument/2006/relationships/hyperlink" Target="https://www.afimilk.com/cow-monitoring/" TargetMode="External"/><Relationship Id="rId15" Type="http://schemas.openxmlformats.org/officeDocument/2006/relationships/hyperlink" Target="https://www.microfeeder.com/Pitstop" TargetMode="External"/><Relationship Id="rId14" Type="http://schemas.openxmlformats.org/officeDocument/2006/relationships/hyperlink" Target="https://4d4f.eu/" TargetMode="External"/><Relationship Id="rId17" Type="http://schemas.openxmlformats.org/officeDocument/2006/relationships/hyperlink" Target="https://www.trioliet.com/products/automatic-feeding-systems/feed-kitchens/feed-storage-for-automatic-feeding-system" TargetMode="External"/><Relationship Id="rId16" Type="http://schemas.openxmlformats.org/officeDocument/2006/relationships/hyperlink" Target="https://www.lely.com/solutions/feeding/vector/" TargetMode="External"/><Relationship Id="rId19" Type="http://schemas.openxmlformats.org/officeDocument/2006/relationships/hyperlink" Target="https://boumatic.com/eu_en/products/boumatic-ranger/" TargetMode="External"/><Relationship Id="rId18" Type="http://schemas.openxmlformats.org/officeDocument/2006/relationships/hyperlink" Target="https://www.lely.com/solutions/feeding/calm/"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swinerobotics.com/site/boar-bot-2-0/" TargetMode="External"/><Relationship Id="rId3" Type="http://schemas.openxmlformats.org/officeDocument/2006/relationships/hyperlink" Target="http://www.jenisys.eu/JCLweb/heat-detection-pigs/" TargetMode="External"/><Relationship Id="rId4" Type="http://schemas.openxmlformats.org/officeDocument/2006/relationships/hyperlink" Target="https://www.bigdutchman.com/en/pig-production/products/detail/automatic-feeders/" TargetMode="External"/><Relationship Id="rId9" Type="http://schemas.openxmlformats.org/officeDocument/2006/relationships/hyperlink" Target="https://greengage.global/wp-content/uploads/ALIS-Barn-Lamp-wide-A4-ENGLISH.pdf" TargetMode="External"/><Relationship Id="rId5" Type="http://schemas.openxmlformats.org/officeDocument/2006/relationships/hyperlink" Target="https://en.schauer-agrotronic.com/pig/pig-feeding-systems/liquimix-liquid-feeding" TargetMode="External"/><Relationship Id="rId6" Type="http://schemas.openxmlformats.org/officeDocument/2006/relationships/hyperlink" Target="https://en.schauer-agrotronic.com/pig/litter-systems/strohmatic" TargetMode="External"/><Relationship Id="rId7" Type="http://schemas.openxmlformats.org/officeDocument/2006/relationships/hyperlink" Target="http://www.jenisys.eu/JCLweb/pig-sorting/" TargetMode="External"/><Relationship Id="rId8" Type="http://schemas.openxmlformats.org/officeDocument/2006/relationships/hyperlink" Target="https://www.nedap-livestockmanagement.com/pigfarming/solutions/nedap-sowsense/farrowing-breeding-stall-feeding/" TargetMode="External"/><Relationship Id="rId11" Type="http://schemas.openxmlformats.org/officeDocument/2006/relationships/hyperlink" Target="https://www.soundtalks.com/paper/economic-assessment-of-a-sound-based-precision-livestock-farming-tool-soundtalks-based-on-timing-of-intervention-after-a-dual-mycoplasma-hyopneumoniae-and-prrs-virus-seeder-challenge-in-pigs/" TargetMode="External"/><Relationship Id="rId10" Type="http://schemas.openxmlformats.org/officeDocument/2006/relationships/hyperlink" Target="https://www.soundtalks.com/soundtalks/" TargetMode="External"/><Relationship Id="rId13" Type="http://schemas.openxmlformats.org/officeDocument/2006/relationships/drawing" Target="../drawings/drawing3.xml"/><Relationship Id="rId12" Type="http://schemas.openxmlformats.org/officeDocument/2006/relationships/hyperlink" Target="https://www.degree2act.com/" TargetMode="External"/><Relationship Id="rId1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en.schauer-agrotronic.com/pig/litter-systems/strohmatic" TargetMode="External"/><Relationship Id="rId3" Type="http://schemas.openxmlformats.org/officeDocument/2006/relationships/hyperlink" Target="https://www.jeantil.com/Contenus-Jeantil/2-50-0-0-0-0-158-2-Jeantil_Automatic_Feeding.html" TargetMode="External"/><Relationship Id="rId4" Type="http://schemas.openxmlformats.org/officeDocument/2006/relationships/hyperlink" Target="https://www.farmsrobots.com/product/74/t-moov-robot" TargetMode="External"/><Relationship Id="rId5" Type="http://schemas.openxmlformats.org/officeDocument/2006/relationships/hyperlink" Target="https://greengage.global/wp-content/uploads/ALIS-Barn-Lamp-wide-A4-ENGLISH.pdf" TargetMode="External"/><Relationship Id="rId6" Type="http://schemas.openxmlformats.org/officeDocument/2006/relationships/drawing" Target="../drawings/drawing4.xml"/><Relationship Id="rId7"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boumatic.com/eu_en/products/smartlite-for-goat-milking-systems/" TargetMode="External"/><Relationship Id="rId3" Type="http://schemas.openxmlformats.org/officeDocument/2006/relationships/hyperlink" Target="https://boumatic.com/eu_en/products/ovimax/" TargetMode="External"/><Relationship Id="rId4" Type="http://schemas.openxmlformats.org/officeDocument/2006/relationships/hyperlink" Target="https://www.dairymaster.com/gb/goat-rotary/" TargetMode="External"/><Relationship Id="rId9" Type="http://schemas.openxmlformats.org/officeDocument/2006/relationships/hyperlink" Target="https://4d4f.eu/" TargetMode="External"/><Relationship Id="rId5" Type="http://schemas.openxmlformats.org/officeDocument/2006/relationships/hyperlink" Target="https://en.schauer-agrotronic.com/pig/litter-systems/strohmatic" TargetMode="External"/><Relationship Id="rId6" Type="http://schemas.openxmlformats.org/officeDocument/2006/relationships/hyperlink" Target="https://en.schauer-agrotronic.com/sheep-and-goats" TargetMode="External"/><Relationship Id="rId7" Type="http://schemas.openxmlformats.org/officeDocument/2006/relationships/hyperlink" Target="https://www.lely.com/solutions/feeding/vector/" TargetMode="External"/><Relationship Id="rId8" Type="http://schemas.openxmlformats.org/officeDocument/2006/relationships/hyperlink" Target="https://www.sieplo.com/product/feedr/" TargetMode="External"/><Relationship Id="rId11" Type="http://schemas.openxmlformats.org/officeDocument/2006/relationships/hyperlink" Target="https://www.jeantil.com/Contenus-Jeantil/2-50-0-0-0-0-158-2-Jeantil_Automatic_Feeding.html" TargetMode="External"/><Relationship Id="rId10" Type="http://schemas.openxmlformats.org/officeDocument/2006/relationships/hyperlink" Target="https://www.greenoakna.com/goat-sheep-feed-station" TargetMode="External"/><Relationship Id="rId13" Type="http://schemas.openxmlformats.org/officeDocument/2006/relationships/drawing" Target="../drawings/drawing5.xml"/><Relationship Id="rId12" Type="http://schemas.openxmlformats.org/officeDocument/2006/relationships/hyperlink" Target="https://www.nofence.no/en/" TargetMode="External"/><Relationship Id="rId14"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0.0"/>
    <col customWidth="1" min="3" max="3" width="26.38"/>
    <col customWidth="1" min="4" max="4" width="26.13"/>
    <col customWidth="1" min="5" max="5" width="27.13"/>
    <col customWidth="1" min="6" max="6" width="25.13"/>
    <col customWidth="1" min="9" max="9" width="50.25"/>
    <col customWidth="1" min="10" max="10" width="140.75"/>
  </cols>
  <sheetData>
    <row r="1" ht="15.75" customHeight="1">
      <c r="A1" s="1" t="s">
        <v>0</v>
      </c>
      <c r="B1" s="2" t="s">
        <v>1</v>
      </c>
      <c r="C1" s="3" t="s">
        <v>2</v>
      </c>
      <c r="D1" s="3" t="s">
        <v>3</v>
      </c>
      <c r="E1" s="4" t="s">
        <v>4</v>
      </c>
      <c r="F1" s="4" t="s">
        <v>5</v>
      </c>
      <c r="G1" s="4" t="s">
        <v>6</v>
      </c>
      <c r="H1" s="4" t="s">
        <v>7</v>
      </c>
      <c r="I1" s="4" t="s">
        <v>8</v>
      </c>
    </row>
    <row r="2" ht="15.75" customHeight="1">
      <c r="A2" s="5"/>
      <c r="B2" s="6"/>
      <c r="C2" s="7"/>
      <c r="D2" s="7"/>
      <c r="E2" s="8"/>
      <c r="F2" s="9"/>
      <c r="G2" s="8"/>
      <c r="H2" s="8"/>
      <c r="I2" s="8"/>
      <c r="J2" s="10" t="s">
        <v>9</v>
      </c>
    </row>
    <row r="3" ht="15.75" customHeight="1">
      <c r="A3" s="11" t="s">
        <v>10</v>
      </c>
      <c r="B3" s="12" t="s">
        <v>11</v>
      </c>
      <c r="C3" s="13" t="s">
        <v>12</v>
      </c>
      <c r="D3" s="13" t="s">
        <v>13</v>
      </c>
      <c r="E3" s="14" t="s">
        <v>14</v>
      </c>
      <c r="F3" s="15" t="s">
        <v>15</v>
      </c>
      <c r="G3" s="14"/>
      <c r="H3" s="14" t="s">
        <v>16</v>
      </c>
      <c r="I3" s="14"/>
      <c r="J3" s="16">
        <v>592.0</v>
      </c>
    </row>
    <row r="4" ht="15.75" customHeight="1">
      <c r="A4" s="17"/>
      <c r="B4" s="18" t="s">
        <v>11</v>
      </c>
      <c r="C4" s="7" t="s">
        <v>17</v>
      </c>
      <c r="D4" s="7" t="s">
        <v>18</v>
      </c>
      <c r="E4" s="8" t="s">
        <v>19</v>
      </c>
      <c r="F4" s="9" t="s">
        <v>20</v>
      </c>
      <c r="G4" s="8"/>
      <c r="H4" s="8" t="s">
        <v>16</v>
      </c>
      <c r="I4" s="8" t="s">
        <v>21</v>
      </c>
      <c r="J4" s="19">
        <v>18426.0</v>
      </c>
    </row>
    <row r="5" ht="15.75" customHeight="1">
      <c r="A5" s="17"/>
      <c r="B5" s="18" t="s">
        <v>11</v>
      </c>
      <c r="C5" s="7" t="s">
        <v>22</v>
      </c>
      <c r="D5" s="7" t="s">
        <v>23</v>
      </c>
      <c r="E5" s="20" t="s">
        <v>24</v>
      </c>
      <c r="F5" s="9" t="s">
        <v>25</v>
      </c>
      <c r="G5" s="8"/>
      <c r="H5" s="8" t="s">
        <v>16</v>
      </c>
      <c r="I5" s="8" t="s">
        <v>26</v>
      </c>
      <c r="J5" s="19">
        <v>150000.0</v>
      </c>
    </row>
    <row r="6" ht="15.75" customHeight="1">
      <c r="A6" s="17"/>
      <c r="B6" s="18" t="s">
        <v>11</v>
      </c>
      <c r="C6" s="7" t="s">
        <v>27</v>
      </c>
      <c r="D6" s="7" t="s">
        <v>28</v>
      </c>
      <c r="E6" s="20" t="s">
        <v>29</v>
      </c>
      <c r="F6" s="9" t="s">
        <v>30</v>
      </c>
      <c r="G6" s="8"/>
      <c r="H6" s="8" t="s">
        <v>16</v>
      </c>
      <c r="I6" s="8" t="s">
        <v>31</v>
      </c>
      <c r="J6" s="21" t="s">
        <v>32</v>
      </c>
    </row>
    <row r="7" ht="15.75" customHeight="1">
      <c r="A7" s="17"/>
      <c r="B7" s="18" t="s">
        <v>33</v>
      </c>
      <c r="C7" s="7" t="s">
        <v>34</v>
      </c>
      <c r="D7" s="7" t="s">
        <v>35</v>
      </c>
      <c r="E7" s="20" t="s">
        <v>36</v>
      </c>
      <c r="F7" s="9" t="s">
        <v>37</v>
      </c>
      <c r="G7" s="8"/>
      <c r="H7" s="8" t="s">
        <v>16</v>
      </c>
      <c r="I7" s="8" t="s">
        <v>38</v>
      </c>
      <c r="J7" s="19">
        <v>200000.0</v>
      </c>
    </row>
    <row r="8" ht="15.75" customHeight="1">
      <c r="A8" s="17"/>
      <c r="B8" s="18" t="s">
        <v>39</v>
      </c>
      <c r="C8" s="7" t="s">
        <v>40</v>
      </c>
      <c r="D8" s="7" t="s">
        <v>35</v>
      </c>
      <c r="E8" s="20" t="s">
        <v>41</v>
      </c>
      <c r="F8" s="22" t="s">
        <v>37</v>
      </c>
      <c r="G8" s="8"/>
      <c r="H8" s="8" t="s">
        <v>16</v>
      </c>
      <c r="I8" s="8" t="s">
        <v>42</v>
      </c>
      <c r="J8" s="19">
        <v>55000.0</v>
      </c>
    </row>
    <row r="9" ht="15.75" customHeight="1">
      <c r="A9" s="17"/>
      <c r="B9" s="18" t="s">
        <v>43</v>
      </c>
      <c r="C9" s="7" t="s">
        <v>44</v>
      </c>
      <c r="D9" s="7" t="s">
        <v>35</v>
      </c>
      <c r="E9" s="20" t="s">
        <v>45</v>
      </c>
      <c r="F9" s="9" t="s">
        <v>46</v>
      </c>
      <c r="G9" s="8"/>
      <c r="H9" s="8" t="s">
        <v>16</v>
      </c>
      <c r="I9" s="8" t="s">
        <v>42</v>
      </c>
      <c r="J9" s="19">
        <v>2000000.0</v>
      </c>
    </row>
    <row r="10" ht="15.75" customHeight="1">
      <c r="A10" s="17"/>
      <c r="B10" s="18" t="s">
        <v>47</v>
      </c>
      <c r="C10" s="7" t="s">
        <v>48</v>
      </c>
      <c r="D10" s="23" t="s">
        <v>23</v>
      </c>
      <c r="E10" s="20" t="s">
        <v>49</v>
      </c>
      <c r="F10" s="22" t="s">
        <v>50</v>
      </c>
      <c r="G10" s="8"/>
      <c r="H10" s="8" t="s">
        <v>16</v>
      </c>
      <c r="I10" s="8" t="s">
        <v>51</v>
      </c>
      <c r="J10" s="19">
        <v>188000.0</v>
      </c>
    </row>
    <row r="11" ht="15.75" customHeight="1">
      <c r="A11" s="17"/>
      <c r="B11" s="7" t="s">
        <v>52</v>
      </c>
      <c r="C11" s="7" t="s">
        <v>53</v>
      </c>
      <c r="D11" s="7" t="s">
        <v>54</v>
      </c>
      <c r="E11" s="7" t="s">
        <v>55</v>
      </c>
      <c r="F11" s="22" t="s">
        <v>56</v>
      </c>
      <c r="G11" s="8"/>
      <c r="H11" s="8" t="s">
        <v>57</v>
      </c>
      <c r="I11" s="8" t="s">
        <v>58</v>
      </c>
      <c r="J11" s="24" t="s">
        <v>59</v>
      </c>
    </row>
    <row r="12" ht="15.75" customHeight="1">
      <c r="A12" s="17"/>
      <c r="B12" s="7" t="s">
        <v>52</v>
      </c>
      <c r="C12" s="7" t="s">
        <v>60</v>
      </c>
      <c r="D12" s="7" t="s">
        <v>54</v>
      </c>
      <c r="E12" s="7" t="s">
        <v>61</v>
      </c>
      <c r="F12" s="22" t="s">
        <v>62</v>
      </c>
      <c r="G12" s="8"/>
      <c r="H12" s="8" t="s">
        <v>63</v>
      </c>
      <c r="I12" s="8" t="s">
        <v>64</v>
      </c>
      <c r="J12" s="24" t="s">
        <v>59</v>
      </c>
    </row>
    <row r="13" ht="15.75" customHeight="1">
      <c r="A13" s="25"/>
      <c r="B13" s="26" t="s">
        <v>65</v>
      </c>
      <c r="C13" s="26" t="s">
        <v>66</v>
      </c>
      <c r="D13" s="26" t="s">
        <v>67</v>
      </c>
      <c r="E13" s="26" t="s">
        <v>68</v>
      </c>
      <c r="F13" s="27" t="s">
        <v>69</v>
      </c>
      <c r="G13" s="28"/>
      <c r="H13" s="28" t="s">
        <v>57</v>
      </c>
      <c r="I13" s="28" t="s">
        <v>70</v>
      </c>
      <c r="J13" s="29" t="s">
        <v>59</v>
      </c>
    </row>
    <row r="14" ht="15.75" customHeight="1">
      <c r="A14" s="11" t="s">
        <v>71</v>
      </c>
      <c r="B14" s="30" t="s">
        <v>72</v>
      </c>
      <c r="C14" s="13" t="s">
        <v>73</v>
      </c>
      <c r="D14" s="13" t="s">
        <v>74</v>
      </c>
      <c r="E14" s="14" t="s">
        <v>75</v>
      </c>
      <c r="F14" s="15" t="s">
        <v>76</v>
      </c>
      <c r="G14" s="31" t="s">
        <v>77</v>
      </c>
      <c r="H14" s="14" t="s">
        <v>16</v>
      </c>
      <c r="I14" s="14" t="s">
        <v>78</v>
      </c>
      <c r="J14" s="32" t="s">
        <v>79</v>
      </c>
    </row>
    <row r="15" ht="15.75" customHeight="1">
      <c r="A15" s="17"/>
      <c r="B15" s="18" t="s">
        <v>80</v>
      </c>
      <c r="C15" s="7" t="s">
        <v>81</v>
      </c>
      <c r="D15" s="7" t="s">
        <v>82</v>
      </c>
      <c r="E15" s="22" t="s">
        <v>83</v>
      </c>
      <c r="F15" s="22" t="s">
        <v>84</v>
      </c>
      <c r="G15" s="8"/>
      <c r="H15" s="8" t="s">
        <v>16</v>
      </c>
      <c r="I15" s="8" t="s">
        <v>85</v>
      </c>
      <c r="J15" s="33" t="s">
        <v>86</v>
      </c>
    </row>
    <row r="16" ht="15.75" customHeight="1">
      <c r="A16" s="17"/>
      <c r="B16" s="18" t="s">
        <v>80</v>
      </c>
      <c r="C16" s="7" t="s">
        <v>87</v>
      </c>
      <c r="D16" s="7" t="s">
        <v>88</v>
      </c>
      <c r="E16" s="8" t="s">
        <v>89</v>
      </c>
      <c r="F16" s="22" t="s">
        <v>90</v>
      </c>
      <c r="G16" s="22" t="s">
        <v>91</v>
      </c>
      <c r="H16" s="8" t="s">
        <v>16</v>
      </c>
      <c r="I16" s="8" t="s">
        <v>92</v>
      </c>
      <c r="J16" s="19">
        <v>2925.0</v>
      </c>
    </row>
    <row r="17" ht="15.75" customHeight="1">
      <c r="A17" s="17"/>
      <c r="B17" s="18" t="s">
        <v>93</v>
      </c>
      <c r="C17" s="7" t="s">
        <v>94</v>
      </c>
      <c r="D17" s="7" t="s">
        <v>35</v>
      </c>
      <c r="E17" s="8" t="s">
        <v>95</v>
      </c>
      <c r="F17" s="8" t="s">
        <v>96</v>
      </c>
      <c r="G17" s="8"/>
      <c r="H17" s="8" t="s">
        <v>16</v>
      </c>
      <c r="I17" s="8" t="s">
        <v>97</v>
      </c>
      <c r="J17" s="33" t="s">
        <v>98</v>
      </c>
    </row>
    <row r="18" ht="15.75" customHeight="1">
      <c r="A18" s="17"/>
      <c r="B18" s="18" t="s">
        <v>99</v>
      </c>
      <c r="C18" s="18" t="s">
        <v>100</v>
      </c>
      <c r="D18" s="18" t="s">
        <v>101</v>
      </c>
      <c r="E18" s="34" t="s">
        <v>102</v>
      </c>
      <c r="F18" s="35" t="s">
        <v>103</v>
      </c>
      <c r="G18" s="34" t="s">
        <v>104</v>
      </c>
      <c r="H18" s="34" t="s">
        <v>105</v>
      </c>
      <c r="I18" s="8" t="s">
        <v>106</v>
      </c>
      <c r="J18" s="36" t="s">
        <v>107</v>
      </c>
    </row>
    <row r="19" ht="15.75" customHeight="1">
      <c r="A19" s="25"/>
      <c r="B19" s="37" t="s">
        <v>108</v>
      </c>
      <c r="C19" s="37" t="s">
        <v>109</v>
      </c>
      <c r="D19" s="38" t="s">
        <v>110</v>
      </c>
      <c r="E19" s="39" t="s">
        <v>111</v>
      </c>
      <c r="F19" s="40" t="s">
        <v>112</v>
      </c>
      <c r="G19" s="39" t="s">
        <v>104</v>
      </c>
      <c r="H19" s="39" t="s">
        <v>113</v>
      </c>
      <c r="I19" s="28" t="s">
        <v>114</v>
      </c>
      <c r="J19" s="41" t="s">
        <v>115</v>
      </c>
    </row>
    <row r="20" ht="15.75" customHeight="1">
      <c r="A20" s="11" t="s">
        <v>116</v>
      </c>
      <c r="B20" s="30" t="s">
        <v>117</v>
      </c>
      <c r="C20" s="13" t="s">
        <v>118</v>
      </c>
      <c r="D20" s="13" t="s">
        <v>119</v>
      </c>
      <c r="E20" s="14" t="s">
        <v>120</v>
      </c>
      <c r="F20" s="15" t="s">
        <v>121</v>
      </c>
      <c r="G20" s="14"/>
      <c r="H20" s="14" t="s">
        <v>16</v>
      </c>
      <c r="I20" s="14" t="s">
        <v>122</v>
      </c>
      <c r="J20" s="32" t="s">
        <v>123</v>
      </c>
    </row>
    <row r="21" ht="15.75" customHeight="1">
      <c r="A21" s="17"/>
      <c r="B21" s="18" t="s">
        <v>117</v>
      </c>
      <c r="C21" s="7" t="s">
        <v>124</v>
      </c>
      <c r="D21" s="7" t="s">
        <v>23</v>
      </c>
      <c r="E21" s="42" t="s">
        <v>125</v>
      </c>
      <c r="F21" s="9" t="s">
        <v>126</v>
      </c>
      <c r="G21" s="8"/>
      <c r="H21" s="8" t="s">
        <v>127</v>
      </c>
      <c r="I21" s="8" t="s">
        <v>128</v>
      </c>
      <c r="J21" s="33" t="s">
        <v>129</v>
      </c>
    </row>
    <row r="22" ht="15.75" customHeight="1">
      <c r="A22" s="17"/>
      <c r="B22" s="18" t="s">
        <v>117</v>
      </c>
      <c r="C22" s="7" t="s">
        <v>130</v>
      </c>
      <c r="D22" s="7" t="s">
        <v>131</v>
      </c>
      <c r="E22" s="8" t="s">
        <v>132</v>
      </c>
      <c r="F22" s="9" t="s">
        <v>133</v>
      </c>
      <c r="G22" s="8"/>
      <c r="H22" s="8" t="s">
        <v>127</v>
      </c>
      <c r="I22" s="8" t="s">
        <v>134</v>
      </c>
      <c r="J22" s="33" t="s">
        <v>135</v>
      </c>
    </row>
    <row r="23" ht="15.75" customHeight="1">
      <c r="A23" s="17"/>
      <c r="B23" s="18" t="s">
        <v>117</v>
      </c>
      <c r="C23" s="7" t="s">
        <v>136</v>
      </c>
      <c r="D23" s="7" t="s">
        <v>23</v>
      </c>
      <c r="E23" s="43" t="s">
        <v>137</v>
      </c>
      <c r="F23" s="22" t="s">
        <v>138</v>
      </c>
      <c r="G23" s="8"/>
      <c r="H23" s="8" t="s">
        <v>127</v>
      </c>
      <c r="I23" s="8" t="s">
        <v>139</v>
      </c>
      <c r="J23" s="33" t="s">
        <v>140</v>
      </c>
    </row>
    <row r="24" ht="15.75" customHeight="1">
      <c r="A24" s="17"/>
      <c r="B24" s="18" t="s">
        <v>141</v>
      </c>
      <c r="C24" s="7" t="s">
        <v>142</v>
      </c>
      <c r="D24" s="7" t="s">
        <v>54</v>
      </c>
      <c r="E24" s="8" t="s">
        <v>143</v>
      </c>
      <c r="F24" s="22" t="s">
        <v>144</v>
      </c>
      <c r="G24" s="8"/>
      <c r="H24" s="8" t="s">
        <v>127</v>
      </c>
      <c r="I24" s="8" t="s">
        <v>145</v>
      </c>
      <c r="J24" s="33" t="s">
        <v>146</v>
      </c>
    </row>
    <row r="25" ht="15.75" customHeight="1">
      <c r="A25" s="17"/>
      <c r="B25" s="18" t="s">
        <v>141</v>
      </c>
      <c r="C25" s="7" t="s">
        <v>147</v>
      </c>
      <c r="D25" s="7" t="s">
        <v>148</v>
      </c>
      <c r="E25" s="7" t="s">
        <v>149</v>
      </c>
      <c r="F25" s="9" t="s">
        <v>150</v>
      </c>
      <c r="G25" s="8"/>
      <c r="H25" s="8" t="s">
        <v>127</v>
      </c>
      <c r="I25" s="8" t="s">
        <v>151</v>
      </c>
      <c r="J25" s="33" t="s">
        <v>152</v>
      </c>
    </row>
    <row r="26" ht="15.75" customHeight="1">
      <c r="A26" s="17"/>
      <c r="B26" s="7" t="s">
        <v>141</v>
      </c>
      <c r="C26" s="7" t="s">
        <v>153</v>
      </c>
      <c r="D26" s="7" t="s">
        <v>154</v>
      </c>
      <c r="E26" s="8" t="s">
        <v>155</v>
      </c>
      <c r="F26" s="22" t="s">
        <v>156</v>
      </c>
      <c r="G26" s="22" t="s">
        <v>91</v>
      </c>
      <c r="H26" s="8" t="s">
        <v>157</v>
      </c>
      <c r="I26" s="8" t="s">
        <v>158</v>
      </c>
      <c r="J26" s="33" t="s">
        <v>159</v>
      </c>
    </row>
    <row r="27" ht="15.75" customHeight="1">
      <c r="A27" s="17"/>
      <c r="B27" s="18" t="s">
        <v>160</v>
      </c>
      <c r="C27" s="7" t="s">
        <v>161</v>
      </c>
      <c r="D27" s="7" t="s">
        <v>148</v>
      </c>
      <c r="E27" s="8" t="s">
        <v>162</v>
      </c>
      <c r="F27" s="9" t="s">
        <v>163</v>
      </c>
      <c r="G27" s="8"/>
      <c r="H27" s="6" t="s">
        <v>164</v>
      </c>
      <c r="I27" s="8" t="s">
        <v>165</v>
      </c>
      <c r="J27" s="33" t="s">
        <v>166</v>
      </c>
    </row>
    <row r="28" ht="15.75" customHeight="1">
      <c r="A28" s="17"/>
      <c r="B28" s="18" t="s">
        <v>117</v>
      </c>
      <c r="C28" s="7" t="s">
        <v>167</v>
      </c>
      <c r="D28" s="7" t="s">
        <v>168</v>
      </c>
      <c r="E28" s="7" t="s">
        <v>169</v>
      </c>
      <c r="F28" s="22" t="s">
        <v>170</v>
      </c>
      <c r="G28" s="8"/>
      <c r="H28" s="6" t="s">
        <v>164</v>
      </c>
      <c r="I28" s="8" t="s">
        <v>171</v>
      </c>
      <c r="J28" s="33" t="s">
        <v>159</v>
      </c>
    </row>
    <row r="29" ht="15.75" customHeight="1">
      <c r="A29" s="17"/>
      <c r="B29" s="18" t="s">
        <v>141</v>
      </c>
      <c r="C29" s="7" t="s">
        <v>172</v>
      </c>
      <c r="D29" s="7" t="s">
        <v>173</v>
      </c>
      <c r="E29" s="7" t="s">
        <v>174</v>
      </c>
      <c r="F29" s="9" t="s">
        <v>175</v>
      </c>
      <c r="G29" s="8"/>
      <c r="H29" s="8" t="s">
        <v>127</v>
      </c>
      <c r="I29" s="8" t="s">
        <v>176</v>
      </c>
      <c r="J29" s="33" t="s">
        <v>177</v>
      </c>
    </row>
    <row r="30" ht="15.75" customHeight="1">
      <c r="A30" s="17"/>
      <c r="B30" s="18" t="s">
        <v>178</v>
      </c>
      <c r="C30" s="18" t="s">
        <v>179</v>
      </c>
      <c r="D30" s="18" t="s">
        <v>180</v>
      </c>
      <c r="E30" s="34" t="s">
        <v>181</v>
      </c>
      <c r="F30" s="44" t="s">
        <v>182</v>
      </c>
      <c r="G30" s="34" t="s">
        <v>104</v>
      </c>
      <c r="H30" s="34" t="s">
        <v>183</v>
      </c>
      <c r="I30" s="45" t="s">
        <v>184</v>
      </c>
      <c r="J30" s="24" t="s">
        <v>185</v>
      </c>
      <c r="K30" s="8"/>
    </row>
    <row r="31" ht="15.75" customHeight="1">
      <c r="A31" s="17"/>
      <c r="B31" s="18" t="s">
        <v>186</v>
      </c>
      <c r="C31" s="18" t="s">
        <v>187</v>
      </c>
      <c r="D31" s="18" t="s">
        <v>188</v>
      </c>
      <c r="E31" s="34" t="s">
        <v>189</v>
      </c>
      <c r="F31" s="35" t="s">
        <v>190</v>
      </c>
      <c r="G31" s="34" t="s">
        <v>104</v>
      </c>
      <c r="H31" s="34" t="s">
        <v>183</v>
      </c>
      <c r="I31" s="45" t="s">
        <v>191</v>
      </c>
      <c r="J31" s="24" t="s">
        <v>192</v>
      </c>
      <c r="K31" s="8"/>
    </row>
    <row r="32" ht="15.75" customHeight="1">
      <c r="A32" s="17"/>
      <c r="B32" s="18" t="s">
        <v>193</v>
      </c>
      <c r="C32" s="18" t="s">
        <v>194</v>
      </c>
      <c r="D32" s="18" t="s">
        <v>148</v>
      </c>
      <c r="E32" s="34" t="s">
        <v>195</v>
      </c>
      <c r="F32" s="44" t="s">
        <v>196</v>
      </c>
      <c r="G32" s="34" t="s">
        <v>104</v>
      </c>
      <c r="H32" s="46" t="s">
        <v>164</v>
      </c>
      <c r="I32" s="45" t="s">
        <v>197</v>
      </c>
      <c r="J32" s="24" t="s">
        <v>166</v>
      </c>
      <c r="K32" s="8"/>
    </row>
    <row r="33" ht="15.75" customHeight="1">
      <c r="A33" s="17"/>
      <c r="B33" s="18" t="s">
        <v>198</v>
      </c>
      <c r="C33" s="18" t="s">
        <v>199</v>
      </c>
      <c r="D33" s="18" t="s">
        <v>200</v>
      </c>
      <c r="E33" s="34" t="s">
        <v>201</v>
      </c>
      <c r="F33" s="35" t="s">
        <v>202</v>
      </c>
      <c r="G33" s="34" t="s">
        <v>104</v>
      </c>
      <c r="H33" s="34" t="s">
        <v>203</v>
      </c>
      <c r="I33" s="45" t="s">
        <v>204</v>
      </c>
      <c r="J33" s="24" t="s">
        <v>205</v>
      </c>
      <c r="K33" s="8"/>
    </row>
    <row r="34" ht="15.75" customHeight="1">
      <c r="A34" s="17"/>
      <c r="B34" s="18" t="s">
        <v>206</v>
      </c>
      <c r="C34" s="18" t="s">
        <v>207</v>
      </c>
      <c r="D34" s="18" t="s">
        <v>208</v>
      </c>
      <c r="E34" s="34" t="s">
        <v>209</v>
      </c>
      <c r="F34" s="35" t="s">
        <v>210</v>
      </c>
      <c r="G34" s="34" t="s">
        <v>104</v>
      </c>
      <c r="H34" s="34" t="s">
        <v>203</v>
      </c>
      <c r="I34" s="8" t="s">
        <v>211</v>
      </c>
      <c r="J34" s="24" t="s">
        <v>212</v>
      </c>
      <c r="K34" s="8"/>
    </row>
    <row r="35" ht="15.75" customHeight="1">
      <c r="A35" s="17"/>
      <c r="B35" s="18" t="s">
        <v>160</v>
      </c>
      <c r="C35" s="18" t="s">
        <v>213</v>
      </c>
      <c r="D35" s="18" t="s">
        <v>148</v>
      </c>
      <c r="E35" s="18" t="s">
        <v>195</v>
      </c>
      <c r="F35" s="44" t="s">
        <v>214</v>
      </c>
      <c r="G35" s="34"/>
      <c r="H35" s="6" t="s">
        <v>215</v>
      </c>
      <c r="I35" s="34" t="s">
        <v>216</v>
      </c>
      <c r="J35" s="24" t="s">
        <v>217</v>
      </c>
      <c r="K35" s="8"/>
    </row>
    <row r="36" ht="15.75" customHeight="1">
      <c r="A36" s="17"/>
      <c r="B36" s="18" t="s">
        <v>218</v>
      </c>
      <c r="C36" s="18" t="s">
        <v>219</v>
      </c>
      <c r="D36" s="18" t="s">
        <v>148</v>
      </c>
      <c r="E36" s="7" t="s">
        <v>220</v>
      </c>
      <c r="F36" s="9" t="s">
        <v>221</v>
      </c>
      <c r="G36" s="8"/>
      <c r="H36" s="8"/>
      <c r="I36" s="8" t="s">
        <v>222</v>
      </c>
      <c r="J36" s="24" t="s">
        <v>223</v>
      </c>
      <c r="K36" s="8"/>
    </row>
    <row r="37" ht="15.75" customHeight="1">
      <c r="A37" s="17"/>
      <c r="B37" s="18" t="s">
        <v>117</v>
      </c>
      <c r="C37" s="18" t="s">
        <v>124</v>
      </c>
      <c r="D37" s="7" t="s">
        <v>23</v>
      </c>
      <c r="E37" s="7" t="s">
        <v>125</v>
      </c>
      <c r="F37" s="9" t="s">
        <v>224</v>
      </c>
      <c r="G37" s="8"/>
      <c r="H37" s="8" t="s">
        <v>225</v>
      </c>
      <c r="I37" s="8" t="s">
        <v>226</v>
      </c>
      <c r="J37" s="47">
        <v>180000.0</v>
      </c>
      <c r="K37" s="8"/>
    </row>
    <row r="38" ht="15.75" customHeight="1">
      <c r="A38" s="17"/>
      <c r="B38" s="7" t="s">
        <v>141</v>
      </c>
      <c r="C38" s="7" t="s">
        <v>153</v>
      </c>
      <c r="D38" s="7" t="s">
        <v>154</v>
      </c>
      <c r="E38" s="7" t="s">
        <v>155</v>
      </c>
      <c r="F38" s="22" t="s">
        <v>156</v>
      </c>
      <c r="G38" s="22" t="s">
        <v>91</v>
      </c>
      <c r="H38" s="8" t="s">
        <v>157</v>
      </c>
      <c r="I38" s="8" t="s">
        <v>158</v>
      </c>
      <c r="J38" s="24" t="s">
        <v>227</v>
      </c>
      <c r="K38" s="8"/>
    </row>
    <row r="39" ht="15.75" customHeight="1">
      <c r="A39" s="17"/>
      <c r="B39" s="7" t="s">
        <v>228</v>
      </c>
      <c r="C39" s="7" t="s">
        <v>229</v>
      </c>
      <c r="D39" s="48" t="s">
        <v>230</v>
      </c>
      <c r="E39" s="7" t="s">
        <v>231</v>
      </c>
      <c r="F39" s="22" t="s">
        <v>232</v>
      </c>
      <c r="G39" s="8"/>
      <c r="H39" s="8" t="s">
        <v>233</v>
      </c>
      <c r="I39" s="8" t="s">
        <v>234</v>
      </c>
      <c r="J39" s="24" t="s">
        <v>235</v>
      </c>
      <c r="K39" s="8"/>
    </row>
    <row r="40" ht="15.75" customHeight="1">
      <c r="A40" s="25"/>
      <c r="B40" s="37" t="s">
        <v>117</v>
      </c>
      <c r="C40" s="26" t="s">
        <v>167</v>
      </c>
      <c r="D40" s="26" t="s">
        <v>168</v>
      </c>
      <c r="E40" s="26" t="s">
        <v>169</v>
      </c>
      <c r="F40" s="27" t="s">
        <v>170</v>
      </c>
      <c r="G40" s="28"/>
      <c r="H40" s="49" t="s">
        <v>164</v>
      </c>
      <c r="I40" s="28" t="s">
        <v>171</v>
      </c>
      <c r="J40" s="29" t="s">
        <v>236</v>
      </c>
      <c r="K40" s="8"/>
    </row>
    <row r="41" ht="15.75" customHeight="1">
      <c r="A41" s="11" t="s">
        <v>237</v>
      </c>
      <c r="B41" s="30" t="s">
        <v>238</v>
      </c>
      <c r="C41" s="13" t="s">
        <v>239</v>
      </c>
      <c r="D41" s="13" t="s">
        <v>240</v>
      </c>
      <c r="E41" s="13" t="s">
        <v>241</v>
      </c>
      <c r="F41" s="15" t="s">
        <v>242</v>
      </c>
      <c r="G41" s="14"/>
      <c r="H41" s="14" t="s">
        <v>243</v>
      </c>
      <c r="I41" s="14" t="s">
        <v>244</v>
      </c>
      <c r="J41" s="32" t="s">
        <v>245</v>
      </c>
    </row>
    <row r="42" ht="15.75" customHeight="1">
      <c r="A42" s="17"/>
      <c r="B42" s="18" t="s">
        <v>246</v>
      </c>
      <c r="C42" s="7" t="s">
        <v>247</v>
      </c>
      <c r="D42" s="7" t="s">
        <v>248</v>
      </c>
      <c r="E42" s="8" t="s">
        <v>249</v>
      </c>
      <c r="F42" s="9" t="s">
        <v>250</v>
      </c>
      <c r="G42" s="8"/>
      <c r="H42" s="8" t="s">
        <v>251</v>
      </c>
      <c r="I42" s="8" t="s">
        <v>252</v>
      </c>
      <c r="J42" s="33" t="s">
        <v>253</v>
      </c>
    </row>
    <row r="43" ht="15.75" customHeight="1">
      <c r="A43" s="17"/>
      <c r="B43" s="18" t="s">
        <v>72</v>
      </c>
      <c r="C43" s="7" t="s">
        <v>73</v>
      </c>
      <c r="D43" s="7" t="s">
        <v>254</v>
      </c>
      <c r="E43" s="8" t="s">
        <v>255</v>
      </c>
      <c r="F43" s="9" t="s">
        <v>76</v>
      </c>
      <c r="G43" s="8"/>
      <c r="H43" s="8" t="s">
        <v>256</v>
      </c>
      <c r="I43" s="8" t="s">
        <v>257</v>
      </c>
      <c r="J43" s="33" t="s">
        <v>258</v>
      </c>
    </row>
    <row r="44" ht="15.75" customHeight="1">
      <c r="A44" s="17"/>
      <c r="B44" s="18" t="s">
        <v>259</v>
      </c>
      <c r="C44" s="7" t="s">
        <v>260</v>
      </c>
      <c r="D44" s="7" t="s">
        <v>23</v>
      </c>
      <c r="E44" s="43" t="s">
        <v>137</v>
      </c>
      <c r="F44" s="22" t="s">
        <v>261</v>
      </c>
      <c r="G44" s="8"/>
      <c r="H44" s="8" t="s">
        <v>262</v>
      </c>
      <c r="I44" s="8" t="s">
        <v>263</v>
      </c>
      <c r="J44" s="33" t="s">
        <v>264</v>
      </c>
    </row>
    <row r="45" ht="15.75" customHeight="1">
      <c r="A45" s="17"/>
      <c r="B45" s="18" t="s">
        <v>265</v>
      </c>
      <c r="C45" s="18" t="s">
        <v>266</v>
      </c>
      <c r="D45" s="18" t="s">
        <v>267</v>
      </c>
      <c r="E45" s="18" t="s">
        <v>268</v>
      </c>
      <c r="F45" s="35" t="s">
        <v>269</v>
      </c>
      <c r="G45" s="34" t="s">
        <v>104</v>
      </c>
      <c r="H45" s="34" t="s">
        <v>270</v>
      </c>
      <c r="I45" s="45" t="s">
        <v>271</v>
      </c>
      <c r="J45" s="24" t="s">
        <v>272</v>
      </c>
    </row>
    <row r="46" ht="15.75" customHeight="1">
      <c r="A46" s="17"/>
      <c r="B46" s="18" t="s">
        <v>273</v>
      </c>
      <c r="C46" s="18" t="s">
        <v>274</v>
      </c>
      <c r="D46" s="18" t="s">
        <v>274</v>
      </c>
      <c r="E46" s="34" t="s">
        <v>275</v>
      </c>
      <c r="F46" s="35" t="s">
        <v>276</v>
      </c>
      <c r="G46" s="34" t="s">
        <v>277</v>
      </c>
      <c r="H46" s="34" t="s">
        <v>105</v>
      </c>
      <c r="I46" s="22" t="s">
        <v>278</v>
      </c>
      <c r="J46" s="24" t="s">
        <v>279</v>
      </c>
    </row>
    <row r="47" ht="15.75" customHeight="1">
      <c r="A47" s="17"/>
      <c r="B47" s="18" t="s">
        <v>280</v>
      </c>
      <c r="C47" s="18" t="s">
        <v>281</v>
      </c>
      <c r="D47" s="50" t="s">
        <v>282</v>
      </c>
      <c r="E47" s="51" t="s">
        <v>283</v>
      </c>
      <c r="F47" s="35" t="s">
        <v>284</v>
      </c>
      <c r="G47" s="34" t="s">
        <v>104</v>
      </c>
      <c r="H47" s="34" t="s">
        <v>105</v>
      </c>
      <c r="I47" s="8" t="s">
        <v>285</v>
      </c>
      <c r="J47" s="24" t="s">
        <v>286</v>
      </c>
    </row>
    <row r="48" ht="15.75" customHeight="1">
      <c r="A48" s="17"/>
      <c r="B48" s="7" t="s">
        <v>287</v>
      </c>
      <c r="C48" s="7" t="s">
        <v>288</v>
      </c>
      <c r="D48" s="7" t="s">
        <v>289</v>
      </c>
      <c r="E48" s="7" t="s">
        <v>290</v>
      </c>
      <c r="F48" s="52" t="s">
        <v>291</v>
      </c>
      <c r="G48" s="8"/>
      <c r="H48" s="8" t="s">
        <v>292</v>
      </c>
      <c r="I48" s="45" t="s">
        <v>293</v>
      </c>
      <c r="J48" s="53">
        <v>14500.0</v>
      </c>
    </row>
    <row r="49" ht="15.75" customHeight="1">
      <c r="A49" s="17"/>
      <c r="B49" s="7" t="s">
        <v>265</v>
      </c>
      <c r="C49" s="7" t="s">
        <v>266</v>
      </c>
      <c r="D49" s="7" t="s">
        <v>267</v>
      </c>
      <c r="E49" s="7" t="s">
        <v>268</v>
      </c>
      <c r="F49" s="22" t="s">
        <v>269</v>
      </c>
      <c r="G49" s="8"/>
      <c r="H49" s="8" t="s">
        <v>270</v>
      </c>
      <c r="I49" s="45" t="s">
        <v>294</v>
      </c>
      <c r="J49" s="24" t="s">
        <v>272</v>
      </c>
    </row>
    <row r="50" ht="15.75" customHeight="1">
      <c r="A50" s="25"/>
      <c r="B50" s="37" t="s">
        <v>295</v>
      </c>
      <c r="C50" s="37" t="s">
        <v>296</v>
      </c>
      <c r="D50" s="37" t="s">
        <v>297</v>
      </c>
      <c r="E50" s="37" t="s">
        <v>298</v>
      </c>
      <c r="F50" s="40" t="s">
        <v>299</v>
      </c>
      <c r="G50" s="39"/>
      <c r="H50" s="39" t="s">
        <v>300</v>
      </c>
      <c r="I50" s="39" t="s">
        <v>301</v>
      </c>
      <c r="J50" s="54" t="s">
        <v>302</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3:A13"/>
    <mergeCell ref="A14:A19"/>
    <mergeCell ref="A20:A40"/>
    <mergeCell ref="A41:A50"/>
  </mergeCells>
  <hyperlinks>
    <hyperlink r:id="rId1" ref="F3"/>
    <hyperlink r:id="rId2" ref="F4"/>
    <hyperlink r:id="rId3" ref="F6"/>
    <hyperlink r:id="rId4" ref="F7"/>
    <hyperlink r:id="rId5" ref="F8"/>
    <hyperlink r:id="rId6" ref="F9"/>
    <hyperlink r:id="rId7" ref="F10"/>
    <hyperlink r:id="rId8" ref="F11"/>
    <hyperlink r:id="rId9" ref="F12"/>
    <hyperlink r:id="rId10" ref="F13"/>
    <hyperlink r:id="rId11" ref="F14"/>
    <hyperlink r:id="rId12" ref="G14"/>
    <hyperlink r:id="rId13" ref="E15"/>
    <hyperlink r:id="rId14" location="afiact2" ref="F15"/>
    <hyperlink r:id="rId15" ref="F16"/>
    <hyperlink r:id="rId16" ref="G16"/>
    <hyperlink r:id="rId17" ref="F18"/>
    <hyperlink r:id="rId18" ref="F19"/>
    <hyperlink r:id="rId19" ref="F20"/>
    <hyperlink r:id="rId20" ref="F21"/>
    <hyperlink r:id="rId21" ref="F22"/>
    <hyperlink r:id="rId22" ref="F23"/>
    <hyperlink r:id="rId23" ref="F24"/>
    <hyperlink r:id="rId24" ref="F25"/>
    <hyperlink r:id="rId25" ref="F26"/>
    <hyperlink r:id="rId26" ref="G26"/>
    <hyperlink r:id="rId27" ref="F27"/>
    <hyperlink r:id="rId28" location="haut" ref="F28"/>
    <hyperlink r:id="rId29" ref="F29"/>
    <hyperlink r:id="rId30" ref="F30"/>
    <hyperlink r:id="rId31" ref="F31"/>
    <hyperlink r:id="rId32" ref="F32"/>
    <hyperlink r:id="rId33" ref="F33"/>
    <hyperlink r:id="rId34" ref="F34"/>
    <hyperlink r:id="rId35" ref="F35"/>
    <hyperlink r:id="rId36" ref="F36"/>
    <hyperlink r:id="rId37" ref="F37"/>
    <hyperlink r:id="rId38" ref="F38"/>
    <hyperlink r:id="rId39" ref="G38"/>
    <hyperlink r:id="rId40" ref="F39"/>
    <hyperlink r:id="rId41" location="haut" ref="F40"/>
    <hyperlink r:id="rId42" ref="F41"/>
    <hyperlink r:id="rId43" location="how-it-works" ref="F42"/>
    <hyperlink r:id="rId44" ref="F43"/>
    <hyperlink r:id="rId45" ref="F44"/>
    <hyperlink r:id="rId46" ref="F45"/>
    <hyperlink r:id="rId47" ref="F46"/>
    <hyperlink r:id="rId48" ref="I46"/>
    <hyperlink r:id="rId49" ref="F47"/>
    <hyperlink r:id="rId50" ref="F48"/>
    <hyperlink r:id="rId51" ref="F49"/>
    <hyperlink r:id="rId52" ref="F50"/>
  </hyperlinks>
  <printOptions/>
  <pageMargins bottom="0.75" footer="0.0" header="0.0" left="0.7" right="0.7" top="0.75"/>
  <pageSetup orientation="landscape"/>
  <drawing r:id="rId5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0" outlineLevelCol="1"/>
  <cols>
    <col customWidth="1" min="1" max="2" width="11.75" outlineLevel="1"/>
    <col customWidth="1" min="3" max="3" width="26.63" outlineLevel="1"/>
    <col customWidth="1" min="4" max="5" width="35.0" outlineLevel="1"/>
    <col customWidth="1" min="6" max="6" width="19.75" outlineLevel="1"/>
    <col customWidth="1" min="7" max="7" width="16.13" outlineLevel="1"/>
    <col customWidth="1" min="8" max="8" width="13.38" outlineLevel="1"/>
    <col customWidth="1" min="9" max="9" width="29.75" outlineLevel="1"/>
    <col customWidth="1" min="10" max="10" width="41.63"/>
    <col customWidth="1" min="11" max="11" width="23.0"/>
    <col customWidth="1" min="12" max="12" width="24.38"/>
    <col customWidth="1" min="13" max="13" width="24.13"/>
    <col customWidth="1" min="14" max="14" width="23.88"/>
    <col customWidth="1" min="15" max="15" width="24.0"/>
    <col customWidth="1" min="16" max="18" width="23.63"/>
    <col customWidth="1" min="19" max="19" width="39.88"/>
    <col customWidth="1" min="20" max="20" width="22.88"/>
    <col customWidth="1" min="21" max="21" width="26.75"/>
    <col customWidth="1" min="22" max="22" width="38.13"/>
    <col customWidth="1" min="23" max="23" width="37.38"/>
    <col customWidth="1" min="24" max="24" width="37.0"/>
    <col customWidth="1" min="25" max="25" width="42.75"/>
    <col customWidth="1" min="26" max="26" width="23.13"/>
    <col customWidth="1" min="27" max="27" width="26.63"/>
    <col customWidth="1" min="28" max="28" width="38.0"/>
    <col customWidth="1" min="29" max="29" width="23.25"/>
    <col customWidth="1" min="30" max="30" width="56.63"/>
    <col customWidth="1" min="31" max="31" width="45.75"/>
    <col customWidth="1" min="32" max="32" width="70.63"/>
    <col customWidth="1" min="33" max="33" width="68.38"/>
    <col customWidth="1" min="34" max="34" width="23.13"/>
    <col customWidth="1" min="35" max="35" width="27.0"/>
    <col customWidth="1" min="36" max="36" width="38.5"/>
    <col customWidth="1" min="37" max="37" width="31.25"/>
    <col customWidth="1" min="38" max="38" width="38.25"/>
    <col customWidth="1" min="39" max="39" width="23.38"/>
    <col customWidth="1" min="40" max="40" width="24.0"/>
    <col customWidth="1" min="41" max="41" width="38.38"/>
    <col customWidth="1" min="42" max="42" width="21.75"/>
    <col customWidth="1" min="43" max="43" width="31.75"/>
    <col customWidth="1" min="44" max="44" width="38.88"/>
    <col customWidth="1" min="45" max="45" width="22.63"/>
    <col customWidth="1" min="46" max="46" width="32.0"/>
    <col customWidth="1" min="47" max="47" width="40.38"/>
    <col customWidth="1" min="48" max="48" width="26.13"/>
    <col customWidth="1" min="49" max="49" width="29.38"/>
    <col customWidth="1" min="50" max="50" width="39.63"/>
    <col customWidth="1" min="51" max="51" width="24.0"/>
    <col customWidth="1" min="52" max="52" width="24.5"/>
    <col customWidth="1" min="53" max="53" width="38.5"/>
    <col customWidth="1" min="54" max="54" width="38.13"/>
    <col customWidth="1" min="55" max="55" width="38.38"/>
    <col customWidth="1" min="56" max="56" width="37.75"/>
    <col customWidth="1" min="57" max="62" width="18.38"/>
  </cols>
  <sheetData>
    <row r="1" ht="15.75" customHeight="1">
      <c r="A1" s="55" t="s">
        <v>0</v>
      </c>
      <c r="B1" s="56" t="s">
        <v>1</v>
      </c>
      <c r="C1" s="57" t="s">
        <v>2</v>
      </c>
      <c r="D1" s="57" t="s">
        <v>3</v>
      </c>
      <c r="E1" s="4" t="s">
        <v>4</v>
      </c>
      <c r="F1" s="4" t="s">
        <v>5</v>
      </c>
      <c r="G1" s="4" t="s">
        <v>6</v>
      </c>
      <c r="H1" s="4" t="s">
        <v>7</v>
      </c>
      <c r="I1" s="4" t="s">
        <v>8</v>
      </c>
      <c r="J1" s="58" t="s">
        <v>303</v>
      </c>
      <c r="K1" s="59"/>
      <c r="L1" s="59"/>
      <c r="M1" s="59"/>
      <c r="N1" s="59"/>
      <c r="O1" s="59"/>
      <c r="P1" s="59"/>
      <c r="Q1" s="59"/>
      <c r="R1" s="59"/>
      <c r="S1" s="60"/>
      <c r="T1" s="61" t="s">
        <v>304</v>
      </c>
      <c r="U1" s="62"/>
      <c r="V1" s="62"/>
      <c r="W1" s="62"/>
      <c r="X1" s="63"/>
      <c r="Y1" s="64" t="s">
        <v>305</v>
      </c>
      <c r="Z1" s="65" t="s">
        <v>306</v>
      </c>
      <c r="AA1" s="66"/>
      <c r="AB1" s="67"/>
      <c r="AC1" s="61" t="s">
        <v>307</v>
      </c>
      <c r="AD1" s="62"/>
      <c r="AE1" s="62"/>
      <c r="AF1" s="62"/>
      <c r="AG1" s="63"/>
      <c r="AH1" s="61" t="s">
        <v>308</v>
      </c>
      <c r="AI1" s="62"/>
      <c r="AJ1" s="63"/>
      <c r="AK1" s="61" t="s">
        <v>309</v>
      </c>
      <c r="AL1" s="63"/>
      <c r="AM1" s="61" t="s">
        <v>310</v>
      </c>
      <c r="AN1" s="62"/>
      <c r="AO1" s="63"/>
      <c r="AP1" s="61" t="s">
        <v>311</v>
      </c>
      <c r="AQ1" s="62"/>
      <c r="AR1" s="63"/>
      <c r="AS1" s="61" t="s">
        <v>312</v>
      </c>
      <c r="AT1" s="62"/>
      <c r="AU1" s="63"/>
      <c r="AV1" s="61" t="s">
        <v>313</v>
      </c>
      <c r="AW1" s="62"/>
      <c r="AX1" s="63"/>
      <c r="AY1" s="61" t="s">
        <v>314</v>
      </c>
      <c r="AZ1" s="62"/>
      <c r="BA1" s="63"/>
      <c r="BB1" s="68" t="s">
        <v>315</v>
      </c>
      <c r="BC1" s="62"/>
      <c r="BD1" s="62"/>
      <c r="BE1" s="69"/>
      <c r="BF1" s="70"/>
      <c r="BG1" s="70"/>
      <c r="BH1" s="70"/>
      <c r="BI1" s="70"/>
      <c r="BJ1" s="70"/>
    </row>
    <row r="2" ht="15.75" customHeight="1">
      <c r="A2" s="5"/>
      <c r="B2" s="71"/>
      <c r="C2" s="48"/>
      <c r="D2" s="48"/>
      <c r="E2" s="72"/>
      <c r="F2" s="73"/>
      <c r="G2" s="74"/>
      <c r="H2" s="74"/>
      <c r="I2" s="74"/>
      <c r="J2" s="75" t="s">
        <v>9</v>
      </c>
      <c r="K2" s="76" t="s">
        <v>316</v>
      </c>
      <c r="L2" s="76" t="s">
        <v>317</v>
      </c>
      <c r="M2" s="77" t="s">
        <v>318</v>
      </c>
      <c r="N2" s="45" t="s">
        <v>319</v>
      </c>
      <c r="O2" s="78" t="s">
        <v>320</v>
      </c>
      <c r="P2" s="79" t="s">
        <v>321</v>
      </c>
      <c r="Q2" s="80" t="s">
        <v>322</v>
      </c>
      <c r="R2" s="81" t="s">
        <v>323</v>
      </c>
      <c r="S2" s="82" t="s">
        <v>324</v>
      </c>
      <c r="T2" s="83" t="s">
        <v>325</v>
      </c>
      <c r="U2" s="81" t="s">
        <v>326</v>
      </c>
      <c r="V2" s="81" t="s">
        <v>327</v>
      </c>
      <c r="W2" s="36" t="s">
        <v>328</v>
      </c>
      <c r="X2" s="36" t="s">
        <v>329</v>
      </c>
      <c r="Y2" s="84" t="s">
        <v>330</v>
      </c>
      <c r="Z2" s="83" t="s">
        <v>331</v>
      </c>
      <c r="AA2" s="81" t="s">
        <v>332</v>
      </c>
      <c r="AB2" s="85" t="s">
        <v>333</v>
      </c>
      <c r="AC2" s="86" t="s">
        <v>334</v>
      </c>
      <c r="AD2" s="81" t="s">
        <v>335</v>
      </c>
      <c r="AE2" s="81" t="s">
        <v>336</v>
      </c>
      <c r="AF2" s="87" t="s">
        <v>337</v>
      </c>
      <c r="AG2" s="88" t="s">
        <v>338</v>
      </c>
      <c r="AH2" s="83" t="s">
        <v>339</v>
      </c>
      <c r="AI2" s="81" t="s">
        <v>340</v>
      </c>
      <c r="AJ2" s="85" t="s">
        <v>341</v>
      </c>
      <c r="AK2" s="83" t="s">
        <v>342</v>
      </c>
      <c r="AL2" s="85" t="s">
        <v>343</v>
      </c>
      <c r="AM2" s="83" t="s">
        <v>344</v>
      </c>
      <c r="AN2" s="81" t="s">
        <v>345</v>
      </c>
      <c r="AO2" s="85" t="s">
        <v>346</v>
      </c>
      <c r="AP2" s="83" t="s">
        <v>347</v>
      </c>
      <c r="AQ2" s="81" t="s">
        <v>348</v>
      </c>
      <c r="AR2" s="85" t="s">
        <v>349</v>
      </c>
      <c r="AS2" s="83" t="s">
        <v>350</v>
      </c>
      <c r="AT2" s="81" t="s">
        <v>351</v>
      </c>
      <c r="AU2" s="85" t="s">
        <v>352</v>
      </c>
      <c r="AV2" s="83" t="s">
        <v>353</v>
      </c>
      <c r="AW2" s="81" t="s">
        <v>354</v>
      </c>
      <c r="AX2" s="85" t="s">
        <v>355</v>
      </c>
      <c r="AY2" s="83" t="s">
        <v>356</v>
      </c>
      <c r="AZ2" s="89" t="s">
        <v>357</v>
      </c>
      <c r="BA2" s="85" t="s">
        <v>358</v>
      </c>
      <c r="BB2" s="90" t="s">
        <v>359</v>
      </c>
      <c r="BC2" s="91" t="s">
        <v>360</v>
      </c>
      <c r="BD2" s="92" t="s">
        <v>361</v>
      </c>
      <c r="BE2" s="93" t="s">
        <v>362</v>
      </c>
      <c r="BF2" s="45"/>
      <c r="BG2" s="45"/>
      <c r="BH2" s="45"/>
      <c r="BI2" s="45"/>
      <c r="BJ2" s="45"/>
    </row>
    <row r="3" ht="15.75" customHeight="1">
      <c r="A3" s="11" t="s">
        <v>10</v>
      </c>
      <c r="B3" s="12" t="s">
        <v>11</v>
      </c>
      <c r="C3" s="13" t="s">
        <v>12</v>
      </c>
      <c r="D3" s="13" t="s">
        <v>13</v>
      </c>
      <c r="E3" s="14" t="s">
        <v>14</v>
      </c>
      <c r="F3" s="15" t="s">
        <v>15</v>
      </c>
      <c r="G3" s="14"/>
      <c r="H3" s="14" t="s">
        <v>16</v>
      </c>
      <c r="I3" s="94"/>
      <c r="J3" s="95">
        <v>592.0</v>
      </c>
      <c r="K3" s="14">
        <v>100.0</v>
      </c>
      <c r="L3" s="14">
        <v>5.0</v>
      </c>
      <c r="M3" s="14">
        <v>592.0</v>
      </c>
      <c r="N3" s="14">
        <v>0.0</v>
      </c>
      <c r="O3" s="14">
        <v>0.0</v>
      </c>
      <c r="P3" s="14">
        <f t="shared" ref="P3:P28" si="1">if(S3&lt;500,0,S3/L3)</f>
        <v>236.8</v>
      </c>
      <c r="Q3" s="14">
        <f t="shared" ref="Q3:Q28" si="2">0.04*S3</f>
        <v>47.36</v>
      </c>
      <c r="R3" s="14">
        <v>2.0</v>
      </c>
      <c r="S3" s="94">
        <f t="shared" ref="S3:S28" si="3">(M3*R3)+(N3*K3)</f>
        <v>1184</v>
      </c>
      <c r="T3" s="96">
        <v>4.0</v>
      </c>
      <c r="U3" s="14">
        <v>0.6</v>
      </c>
      <c r="V3" s="14">
        <v>20.0</v>
      </c>
      <c r="W3" s="14">
        <f t="shared" ref="W3:W28" si="4">U3*V3*K3*365</f>
        <v>438000</v>
      </c>
      <c r="X3" s="94">
        <f t="shared" ref="X3:X4" si="5">W3*(1+T3%)</f>
        <v>455520</v>
      </c>
      <c r="Y3" s="97">
        <f t="shared" ref="Y3:Y28" si="6">X3-W3</f>
        <v>17520</v>
      </c>
      <c r="Z3" s="98">
        <v>0.0</v>
      </c>
      <c r="AA3" s="99">
        <v>20000.0</v>
      </c>
      <c r="AB3" s="100">
        <f t="shared" ref="AB3:AB28" si="7">AA3-(AA3*(1-Z3%))</f>
        <v>0</v>
      </c>
      <c r="AC3" s="98">
        <v>0.0</v>
      </c>
      <c r="AD3" s="14">
        <v>50000.0</v>
      </c>
      <c r="AE3" s="14">
        <v>0.15</v>
      </c>
      <c r="AF3" s="14">
        <f t="shared" ref="AF3:AF28" si="8">AD3*AE3</f>
        <v>7500</v>
      </c>
      <c r="AG3" s="94">
        <f t="shared" ref="AG3:AG28" si="9">AF3-(AF3*(1-AC3%))</f>
        <v>0</v>
      </c>
      <c r="AH3" s="98">
        <v>0.0</v>
      </c>
      <c r="AI3" s="14">
        <v>5000.0</v>
      </c>
      <c r="AJ3" s="94">
        <f t="shared" ref="AJ3:AJ28" si="10">AI3-(AI3*(1-AH3%))</f>
        <v>0</v>
      </c>
      <c r="AK3" s="98">
        <v>0.0</v>
      </c>
      <c r="AL3" s="94">
        <f t="shared" ref="AL3:AL28" si="11">AK3*K3</f>
        <v>0</v>
      </c>
      <c r="AM3" s="98">
        <v>0.0</v>
      </c>
      <c r="AN3" s="14">
        <v>40000.0</v>
      </c>
      <c r="AO3" s="94">
        <f t="shared" ref="AO3:AO28" si="12">AN3-(AN3*(1-AM3%))</f>
        <v>0</v>
      </c>
      <c r="AP3" s="98">
        <v>0.0</v>
      </c>
      <c r="AQ3" s="14">
        <v>3000.0</v>
      </c>
      <c r="AR3" s="94">
        <f t="shared" ref="AR3:AR28" si="13">AQ3-(AQ3*(1-AP3%))</f>
        <v>0</v>
      </c>
      <c r="AS3" s="98">
        <v>0.0</v>
      </c>
      <c r="AT3" s="14">
        <v>7000.0</v>
      </c>
      <c r="AU3" s="94">
        <f t="shared" ref="AU3:AU28" si="14">AT3-(AT3*(1-AS3%))</f>
        <v>0</v>
      </c>
      <c r="AV3" s="98">
        <v>0.0</v>
      </c>
      <c r="AW3" s="14">
        <v>2000.0</v>
      </c>
      <c r="AX3" s="94">
        <f t="shared" ref="AX3:AX28" si="15">AW3-(AW3*(1-AV3%))</f>
        <v>0</v>
      </c>
      <c r="AY3" s="101">
        <v>0.0</v>
      </c>
      <c r="AZ3" s="102">
        <v>50000.0</v>
      </c>
      <c r="BA3" s="103">
        <f t="shared" ref="BA3:BA28" si="16">AZ3-(AZ3*(1-AY3%))</f>
        <v>0</v>
      </c>
      <c r="BB3" s="96">
        <f t="shared" ref="BB3:BB28" si="17">(Y3+AB3+AG3+AJ3+AL3+AO3+AR3+AU3+AX3+BA3)-(O3*K3*12)-P3-Q3</f>
        <v>17235.84</v>
      </c>
      <c r="BC3" s="104">
        <f t="shared" ref="BC3:BC28" si="18">IF(S3&gt;0,((BB3/S3)),"The DAT is free")</f>
        <v>14.5572973</v>
      </c>
      <c r="BD3" s="105">
        <f>IF(BB3&gt;0,S3/BB3,"")</f>
        <v>0.06869407003</v>
      </c>
      <c r="BE3" s="8" t="str">
        <f t="shared" ref="BE3:BE28" si="19">IF(BD3&lt;6, "YES", "NO")</f>
        <v>YES</v>
      </c>
      <c r="BF3" s="8"/>
      <c r="BG3" s="8"/>
      <c r="BH3" s="8"/>
      <c r="BI3" s="8"/>
      <c r="BJ3" s="8"/>
    </row>
    <row r="4" ht="15.75" customHeight="1">
      <c r="A4" s="17"/>
      <c r="B4" s="18" t="s">
        <v>11</v>
      </c>
      <c r="C4" s="7" t="s">
        <v>17</v>
      </c>
      <c r="D4" s="7" t="s">
        <v>18</v>
      </c>
      <c r="E4" s="8" t="s">
        <v>19</v>
      </c>
      <c r="F4" s="9" t="s">
        <v>20</v>
      </c>
      <c r="G4" s="8"/>
      <c r="H4" s="8" t="s">
        <v>16</v>
      </c>
      <c r="I4" s="24" t="s">
        <v>21</v>
      </c>
      <c r="J4" s="106">
        <v>18426.0</v>
      </c>
      <c r="K4" s="8">
        <v>100.0</v>
      </c>
      <c r="L4" s="8">
        <v>5.0</v>
      </c>
      <c r="M4" s="8">
        <v>18426.0</v>
      </c>
      <c r="N4" s="8">
        <v>0.0</v>
      </c>
      <c r="O4" s="8">
        <v>0.0</v>
      </c>
      <c r="P4" s="14">
        <f t="shared" si="1"/>
        <v>3685.2</v>
      </c>
      <c r="Q4" s="14">
        <f t="shared" si="2"/>
        <v>737.04</v>
      </c>
      <c r="R4" s="8">
        <v>1.0</v>
      </c>
      <c r="S4" s="94">
        <f t="shared" si="3"/>
        <v>18426</v>
      </c>
      <c r="T4" s="107">
        <v>7.0</v>
      </c>
      <c r="U4" s="8">
        <v>1.0</v>
      </c>
      <c r="V4" s="8">
        <v>1.0</v>
      </c>
      <c r="W4" s="8">
        <f t="shared" si="4"/>
        <v>36500</v>
      </c>
      <c r="X4" s="24">
        <f t="shared" si="5"/>
        <v>39055</v>
      </c>
      <c r="Y4" s="108">
        <f t="shared" si="6"/>
        <v>2555</v>
      </c>
      <c r="Z4" s="109">
        <v>0.0</v>
      </c>
      <c r="AA4" s="110">
        <v>20000.0</v>
      </c>
      <c r="AB4" s="111">
        <f t="shared" si="7"/>
        <v>0</v>
      </c>
      <c r="AC4" s="109">
        <v>0.0</v>
      </c>
      <c r="AD4" s="8">
        <v>50000.0</v>
      </c>
      <c r="AE4" s="8">
        <v>0.15</v>
      </c>
      <c r="AF4" s="8">
        <f t="shared" si="8"/>
        <v>7500</v>
      </c>
      <c r="AG4" s="24">
        <f t="shared" si="9"/>
        <v>0</v>
      </c>
      <c r="AH4" s="109">
        <v>0.0</v>
      </c>
      <c r="AI4" s="8">
        <v>5000.0</v>
      </c>
      <c r="AJ4" s="24">
        <f t="shared" si="10"/>
        <v>0</v>
      </c>
      <c r="AK4" s="109">
        <v>0.0</v>
      </c>
      <c r="AL4" s="24">
        <f t="shared" si="11"/>
        <v>0</v>
      </c>
      <c r="AM4" s="109">
        <v>0.0</v>
      </c>
      <c r="AN4" s="8">
        <v>40000.0</v>
      </c>
      <c r="AO4" s="24">
        <f t="shared" si="12"/>
        <v>0</v>
      </c>
      <c r="AP4" s="109">
        <v>0.0</v>
      </c>
      <c r="AQ4" s="8">
        <v>3000.0</v>
      </c>
      <c r="AR4" s="24">
        <f t="shared" si="13"/>
        <v>0</v>
      </c>
      <c r="AS4" s="109">
        <v>0.0</v>
      </c>
      <c r="AT4" s="8">
        <v>7000.0</v>
      </c>
      <c r="AU4" s="24">
        <f t="shared" si="14"/>
        <v>0</v>
      </c>
      <c r="AV4" s="109">
        <v>0.0</v>
      </c>
      <c r="AW4" s="8">
        <v>2000.0</v>
      </c>
      <c r="AX4" s="24">
        <f t="shared" si="15"/>
        <v>0</v>
      </c>
      <c r="AY4" s="112">
        <v>0.0</v>
      </c>
      <c r="AZ4" s="113">
        <v>50000.0</v>
      </c>
      <c r="BA4" s="114">
        <f t="shared" si="16"/>
        <v>0</v>
      </c>
      <c r="BB4" s="96">
        <f t="shared" si="17"/>
        <v>-1867.24</v>
      </c>
      <c r="BC4" s="104">
        <f t="shared" si="18"/>
        <v>-0.1013372409</v>
      </c>
      <c r="BD4" s="105" t="str">
        <f t="shared" ref="BD4:BD28" si="20">IF(BB4&gt;0,S4/BB4,"Payback period not applicable: the investment does not recover its cost under current conditions.")</f>
        <v>Payback period not applicable: the investment does not recover its cost under current conditions.</v>
      </c>
      <c r="BE4" s="8" t="str">
        <f t="shared" si="19"/>
        <v>NO</v>
      </c>
      <c r="BF4" s="8"/>
      <c r="BG4" s="8"/>
      <c r="BH4" s="8"/>
      <c r="BI4" s="8"/>
      <c r="BJ4" s="8"/>
    </row>
    <row r="5" ht="15.75" customHeight="1">
      <c r="A5" s="17"/>
      <c r="B5" s="18" t="s">
        <v>11</v>
      </c>
      <c r="C5" s="7" t="s">
        <v>22</v>
      </c>
      <c r="D5" s="7" t="s">
        <v>23</v>
      </c>
      <c r="E5" s="20" t="s">
        <v>24</v>
      </c>
      <c r="F5" s="9" t="s">
        <v>25</v>
      </c>
      <c r="G5" s="8"/>
      <c r="H5" s="8" t="s">
        <v>16</v>
      </c>
      <c r="I5" s="24" t="s">
        <v>363</v>
      </c>
      <c r="J5" s="106">
        <v>150000.0</v>
      </c>
      <c r="K5" s="8">
        <v>100.0</v>
      </c>
      <c r="L5" s="8">
        <v>5.0</v>
      </c>
      <c r="M5" s="8">
        <v>150000.0</v>
      </c>
      <c r="N5" s="8">
        <v>0.0</v>
      </c>
      <c r="O5" s="8">
        <v>0.0</v>
      </c>
      <c r="P5" s="14">
        <f t="shared" si="1"/>
        <v>30000</v>
      </c>
      <c r="Q5" s="14">
        <f t="shared" si="2"/>
        <v>6000</v>
      </c>
      <c r="R5" s="8">
        <v>1.0</v>
      </c>
      <c r="S5" s="94">
        <f t="shared" si="3"/>
        <v>150000</v>
      </c>
      <c r="T5" s="107">
        <v>10.0</v>
      </c>
      <c r="U5" s="8">
        <v>0.6</v>
      </c>
      <c r="V5" s="8">
        <v>20.0</v>
      </c>
      <c r="W5" s="8">
        <f t="shared" si="4"/>
        <v>438000</v>
      </c>
      <c r="X5" s="24">
        <f>W5*(1+T3%)</f>
        <v>455520</v>
      </c>
      <c r="Y5" s="108">
        <f t="shared" si="6"/>
        <v>17520</v>
      </c>
      <c r="Z5" s="107">
        <v>4.0</v>
      </c>
      <c r="AA5" s="110">
        <v>20000.0</v>
      </c>
      <c r="AB5" s="111">
        <f t="shared" si="7"/>
        <v>800</v>
      </c>
      <c r="AC5" s="109">
        <v>0.0</v>
      </c>
      <c r="AD5" s="8">
        <v>50000.0</v>
      </c>
      <c r="AE5" s="8">
        <v>0.15</v>
      </c>
      <c r="AF5" s="8">
        <f t="shared" si="8"/>
        <v>7500</v>
      </c>
      <c r="AG5" s="24">
        <f t="shared" si="9"/>
        <v>0</v>
      </c>
      <c r="AH5" s="109">
        <v>0.0</v>
      </c>
      <c r="AI5" s="8">
        <v>5000.0</v>
      </c>
      <c r="AJ5" s="24">
        <f t="shared" si="10"/>
        <v>0</v>
      </c>
      <c r="AK5" s="109">
        <v>0.0</v>
      </c>
      <c r="AL5" s="24">
        <f t="shared" si="11"/>
        <v>0</v>
      </c>
      <c r="AM5" s="109">
        <v>0.0</v>
      </c>
      <c r="AN5" s="8">
        <v>40000.0</v>
      </c>
      <c r="AO5" s="24">
        <f t="shared" si="12"/>
        <v>0</v>
      </c>
      <c r="AP5" s="109">
        <v>0.0</v>
      </c>
      <c r="AQ5" s="8">
        <v>3000.0</v>
      </c>
      <c r="AR5" s="24">
        <f t="shared" si="13"/>
        <v>0</v>
      </c>
      <c r="AS5" s="109">
        <v>0.0</v>
      </c>
      <c r="AT5" s="8">
        <v>7000.0</v>
      </c>
      <c r="AU5" s="24">
        <f t="shared" si="14"/>
        <v>0</v>
      </c>
      <c r="AV5" s="109">
        <v>0.0</v>
      </c>
      <c r="AW5" s="8">
        <v>2000.0</v>
      </c>
      <c r="AX5" s="24">
        <f t="shared" si="15"/>
        <v>0</v>
      </c>
      <c r="AY5" s="112">
        <v>0.0</v>
      </c>
      <c r="AZ5" s="113">
        <v>50000.0</v>
      </c>
      <c r="BA5" s="114">
        <f t="shared" si="16"/>
        <v>0</v>
      </c>
      <c r="BB5" s="96">
        <f t="shared" si="17"/>
        <v>-17680</v>
      </c>
      <c r="BC5" s="104">
        <f t="shared" si="18"/>
        <v>-0.1178666667</v>
      </c>
      <c r="BD5" s="105" t="str">
        <f t="shared" si="20"/>
        <v>Payback period not applicable: the investment does not recover its cost under current conditions.</v>
      </c>
      <c r="BE5" s="8" t="str">
        <f t="shared" si="19"/>
        <v>NO</v>
      </c>
      <c r="BF5" s="8"/>
      <c r="BG5" s="8"/>
      <c r="BH5" s="8"/>
      <c r="BI5" s="8"/>
      <c r="BJ5" s="8"/>
    </row>
    <row r="6" ht="15.75" customHeight="1">
      <c r="A6" s="17"/>
      <c r="B6" s="18" t="s">
        <v>11</v>
      </c>
      <c r="C6" s="7" t="s">
        <v>27</v>
      </c>
      <c r="D6" s="7" t="s">
        <v>28</v>
      </c>
      <c r="E6" s="20" t="s">
        <v>29</v>
      </c>
      <c r="F6" s="9" t="s">
        <v>30</v>
      </c>
      <c r="G6" s="8"/>
      <c r="H6" s="8" t="s">
        <v>16</v>
      </c>
      <c r="I6" s="24" t="s">
        <v>31</v>
      </c>
      <c r="J6" s="115">
        <v>110000.0</v>
      </c>
      <c r="K6" s="8">
        <v>100.0</v>
      </c>
      <c r="L6" s="8">
        <v>5.0</v>
      </c>
      <c r="M6" s="116">
        <v>110000.0</v>
      </c>
      <c r="N6" s="8">
        <v>0.0</v>
      </c>
      <c r="O6" s="8">
        <v>0.0</v>
      </c>
      <c r="P6" s="14">
        <f t="shared" si="1"/>
        <v>22000</v>
      </c>
      <c r="Q6" s="14">
        <f t="shared" si="2"/>
        <v>4400</v>
      </c>
      <c r="R6" s="8">
        <v>1.0</v>
      </c>
      <c r="S6" s="94">
        <f t="shared" si="3"/>
        <v>110000</v>
      </c>
      <c r="T6" s="117">
        <v>7.0</v>
      </c>
      <c r="U6" s="8">
        <v>0.6</v>
      </c>
      <c r="V6" s="8">
        <v>20.0</v>
      </c>
      <c r="W6" s="8">
        <f t="shared" si="4"/>
        <v>438000</v>
      </c>
      <c r="X6" s="24">
        <f t="shared" ref="X6:X28" si="21">W6*(1+T6%)</f>
        <v>468660</v>
      </c>
      <c r="Y6" s="108">
        <f t="shared" si="6"/>
        <v>30660</v>
      </c>
      <c r="Z6" s="109">
        <v>0.0</v>
      </c>
      <c r="AA6" s="110">
        <v>20000.0</v>
      </c>
      <c r="AB6" s="111">
        <f t="shared" si="7"/>
        <v>0</v>
      </c>
      <c r="AC6" s="109">
        <v>0.0</v>
      </c>
      <c r="AD6" s="8">
        <v>50000.0</v>
      </c>
      <c r="AE6" s="8">
        <v>0.15</v>
      </c>
      <c r="AF6" s="8">
        <f t="shared" si="8"/>
        <v>7500</v>
      </c>
      <c r="AG6" s="24">
        <f t="shared" si="9"/>
        <v>0</v>
      </c>
      <c r="AH6" s="109">
        <v>0.0</v>
      </c>
      <c r="AI6" s="8">
        <v>5000.0</v>
      </c>
      <c r="AJ6" s="24">
        <f t="shared" si="10"/>
        <v>0</v>
      </c>
      <c r="AK6" s="109">
        <v>0.0</v>
      </c>
      <c r="AL6" s="24">
        <f t="shared" si="11"/>
        <v>0</v>
      </c>
      <c r="AM6" s="109">
        <v>0.0</v>
      </c>
      <c r="AN6" s="8">
        <v>40000.0</v>
      </c>
      <c r="AO6" s="24">
        <f t="shared" si="12"/>
        <v>0</v>
      </c>
      <c r="AP6" s="109">
        <v>0.0</v>
      </c>
      <c r="AQ6" s="8">
        <v>3000.0</v>
      </c>
      <c r="AR6" s="24">
        <f t="shared" si="13"/>
        <v>0</v>
      </c>
      <c r="AS6" s="109">
        <v>0.0</v>
      </c>
      <c r="AT6" s="8">
        <v>7000.0</v>
      </c>
      <c r="AU6" s="24">
        <f t="shared" si="14"/>
        <v>0</v>
      </c>
      <c r="AV6" s="109">
        <v>0.0</v>
      </c>
      <c r="AW6" s="8">
        <v>2000.0</v>
      </c>
      <c r="AX6" s="24">
        <f t="shared" si="15"/>
        <v>0</v>
      </c>
      <c r="AY6" s="112">
        <v>0.0</v>
      </c>
      <c r="AZ6" s="113">
        <v>50000.0</v>
      </c>
      <c r="BA6" s="114">
        <f t="shared" si="16"/>
        <v>0</v>
      </c>
      <c r="BB6" s="96">
        <f t="shared" si="17"/>
        <v>4260</v>
      </c>
      <c r="BC6" s="104">
        <f t="shared" si="18"/>
        <v>0.03872727273</v>
      </c>
      <c r="BD6" s="105">
        <f t="shared" si="20"/>
        <v>25.82159624</v>
      </c>
      <c r="BE6" s="8" t="str">
        <f t="shared" si="19"/>
        <v>NO</v>
      </c>
      <c r="BF6" s="8"/>
      <c r="BG6" s="8"/>
      <c r="BH6" s="8"/>
      <c r="BI6" s="8"/>
      <c r="BJ6" s="8"/>
    </row>
    <row r="7" ht="15.75" customHeight="1">
      <c r="A7" s="17"/>
      <c r="B7" s="18" t="s">
        <v>33</v>
      </c>
      <c r="C7" s="7" t="s">
        <v>34</v>
      </c>
      <c r="D7" s="7" t="s">
        <v>35</v>
      </c>
      <c r="E7" s="20" t="s">
        <v>36</v>
      </c>
      <c r="F7" s="9" t="s">
        <v>37</v>
      </c>
      <c r="G7" s="8"/>
      <c r="H7" s="8" t="s">
        <v>16</v>
      </c>
      <c r="I7" s="24" t="s">
        <v>38</v>
      </c>
      <c r="J7" s="106">
        <v>200000.0</v>
      </c>
      <c r="K7" s="8">
        <v>100.0</v>
      </c>
      <c r="L7" s="8">
        <v>5.0</v>
      </c>
      <c r="M7" s="8">
        <v>200000.0</v>
      </c>
      <c r="N7" s="8">
        <v>0.0</v>
      </c>
      <c r="O7" s="8">
        <v>0.0</v>
      </c>
      <c r="P7" s="14">
        <f t="shared" si="1"/>
        <v>40000</v>
      </c>
      <c r="Q7" s="14">
        <f t="shared" si="2"/>
        <v>8000</v>
      </c>
      <c r="R7" s="8">
        <v>1.0</v>
      </c>
      <c r="S7" s="94">
        <f t="shared" si="3"/>
        <v>200000</v>
      </c>
      <c r="T7" s="107">
        <v>7.0</v>
      </c>
      <c r="U7" s="8">
        <v>0.6</v>
      </c>
      <c r="V7" s="8">
        <v>20.0</v>
      </c>
      <c r="W7" s="8">
        <f t="shared" si="4"/>
        <v>438000</v>
      </c>
      <c r="X7" s="24">
        <f t="shared" si="21"/>
        <v>468660</v>
      </c>
      <c r="Y7" s="108">
        <f t="shared" si="6"/>
        <v>30660</v>
      </c>
      <c r="Z7" s="109">
        <v>0.0</v>
      </c>
      <c r="AA7" s="110">
        <v>20000.0</v>
      </c>
      <c r="AB7" s="111">
        <f t="shared" si="7"/>
        <v>0</v>
      </c>
      <c r="AC7" s="107">
        <v>30.0</v>
      </c>
      <c r="AD7" s="8">
        <v>50000.0</v>
      </c>
      <c r="AE7" s="8">
        <v>0.15</v>
      </c>
      <c r="AF7" s="8">
        <f t="shared" si="8"/>
        <v>7500</v>
      </c>
      <c r="AG7" s="24">
        <f t="shared" si="9"/>
        <v>2250</v>
      </c>
      <c r="AH7" s="109">
        <v>0.0</v>
      </c>
      <c r="AI7" s="8">
        <v>5000.0</v>
      </c>
      <c r="AJ7" s="24">
        <f t="shared" si="10"/>
        <v>0</v>
      </c>
      <c r="AK7" s="109">
        <v>0.0</v>
      </c>
      <c r="AL7" s="24">
        <f t="shared" si="11"/>
        <v>0</v>
      </c>
      <c r="AM7" s="109">
        <v>0.0</v>
      </c>
      <c r="AN7" s="8">
        <v>40000.0</v>
      </c>
      <c r="AO7" s="24">
        <f t="shared" si="12"/>
        <v>0</v>
      </c>
      <c r="AP7" s="109">
        <v>0.0</v>
      </c>
      <c r="AQ7" s="8">
        <v>3000.0</v>
      </c>
      <c r="AR7" s="24">
        <f t="shared" si="13"/>
        <v>0</v>
      </c>
      <c r="AS7" s="109">
        <v>0.0</v>
      </c>
      <c r="AT7" s="8">
        <v>7000.0</v>
      </c>
      <c r="AU7" s="24">
        <f t="shared" si="14"/>
        <v>0</v>
      </c>
      <c r="AV7" s="109">
        <v>0.0</v>
      </c>
      <c r="AW7" s="8">
        <v>2000.0</v>
      </c>
      <c r="AX7" s="24">
        <f t="shared" si="15"/>
        <v>0</v>
      </c>
      <c r="AY7" s="112">
        <v>0.0</v>
      </c>
      <c r="AZ7" s="113">
        <v>50000.0</v>
      </c>
      <c r="BA7" s="114">
        <f t="shared" si="16"/>
        <v>0</v>
      </c>
      <c r="BB7" s="96">
        <f t="shared" si="17"/>
        <v>-15090</v>
      </c>
      <c r="BC7" s="104">
        <f t="shared" si="18"/>
        <v>-0.07545</v>
      </c>
      <c r="BD7" s="105" t="str">
        <f t="shared" si="20"/>
        <v>Payback period not applicable: the investment does not recover its cost under current conditions.</v>
      </c>
      <c r="BE7" s="8" t="str">
        <f t="shared" si="19"/>
        <v>NO</v>
      </c>
      <c r="BF7" s="8"/>
      <c r="BG7" s="8"/>
      <c r="BH7" s="8"/>
      <c r="BI7" s="8"/>
      <c r="BJ7" s="8"/>
    </row>
    <row r="8" ht="15.75" customHeight="1">
      <c r="A8" s="17"/>
      <c r="B8" s="18" t="s">
        <v>39</v>
      </c>
      <c r="C8" s="7" t="s">
        <v>40</v>
      </c>
      <c r="D8" s="7" t="s">
        <v>35</v>
      </c>
      <c r="E8" s="20" t="s">
        <v>41</v>
      </c>
      <c r="F8" s="22" t="s">
        <v>37</v>
      </c>
      <c r="G8" s="8"/>
      <c r="H8" s="8" t="s">
        <v>16</v>
      </c>
      <c r="I8" s="24" t="s">
        <v>42</v>
      </c>
      <c r="J8" s="106">
        <v>55000.0</v>
      </c>
      <c r="K8" s="8">
        <v>100.0</v>
      </c>
      <c r="L8" s="8">
        <v>5.0</v>
      </c>
      <c r="M8" s="8">
        <v>55000.0</v>
      </c>
      <c r="N8" s="8">
        <v>0.0</v>
      </c>
      <c r="O8" s="8">
        <v>0.0</v>
      </c>
      <c r="P8" s="14">
        <f t="shared" si="1"/>
        <v>11000</v>
      </c>
      <c r="Q8" s="14">
        <f t="shared" si="2"/>
        <v>2200</v>
      </c>
      <c r="R8" s="8">
        <v>1.0</v>
      </c>
      <c r="S8" s="94">
        <f t="shared" si="3"/>
        <v>55000</v>
      </c>
      <c r="T8" s="107">
        <v>14.0</v>
      </c>
      <c r="U8" s="8">
        <v>0.6</v>
      </c>
      <c r="V8" s="8">
        <v>20.0</v>
      </c>
      <c r="W8" s="8">
        <f t="shared" si="4"/>
        <v>438000</v>
      </c>
      <c r="X8" s="24">
        <f t="shared" si="21"/>
        <v>499320</v>
      </c>
      <c r="Y8" s="108">
        <f t="shared" si="6"/>
        <v>61320</v>
      </c>
      <c r="Z8" s="107">
        <v>43.0</v>
      </c>
      <c r="AA8" s="110">
        <v>20000.0</v>
      </c>
      <c r="AB8" s="111">
        <f t="shared" si="7"/>
        <v>8600</v>
      </c>
      <c r="AC8" s="109">
        <v>0.0</v>
      </c>
      <c r="AD8" s="8">
        <v>50000.0</v>
      </c>
      <c r="AE8" s="8">
        <v>0.15</v>
      </c>
      <c r="AF8" s="8">
        <f t="shared" si="8"/>
        <v>7500</v>
      </c>
      <c r="AG8" s="24">
        <f t="shared" si="9"/>
        <v>0</v>
      </c>
      <c r="AH8" s="109">
        <v>0.0</v>
      </c>
      <c r="AI8" s="8">
        <v>5000.0</v>
      </c>
      <c r="AJ8" s="24">
        <f t="shared" si="10"/>
        <v>0</v>
      </c>
      <c r="AK8" s="109">
        <v>0.0</v>
      </c>
      <c r="AL8" s="24">
        <f t="shared" si="11"/>
        <v>0</v>
      </c>
      <c r="AM8" s="109">
        <v>0.0</v>
      </c>
      <c r="AN8" s="8">
        <v>40000.0</v>
      </c>
      <c r="AO8" s="24">
        <f t="shared" si="12"/>
        <v>0</v>
      </c>
      <c r="AP8" s="109">
        <v>0.0</v>
      </c>
      <c r="AQ8" s="8">
        <v>3000.0</v>
      </c>
      <c r="AR8" s="24">
        <f t="shared" si="13"/>
        <v>0</v>
      </c>
      <c r="AS8" s="109">
        <v>0.0</v>
      </c>
      <c r="AT8" s="8">
        <v>7000.0</v>
      </c>
      <c r="AU8" s="24">
        <f t="shared" si="14"/>
        <v>0</v>
      </c>
      <c r="AV8" s="109">
        <v>0.0</v>
      </c>
      <c r="AW8" s="8">
        <v>2000.0</v>
      </c>
      <c r="AX8" s="24">
        <f t="shared" si="15"/>
        <v>0</v>
      </c>
      <c r="AY8" s="112">
        <v>0.0</v>
      </c>
      <c r="AZ8" s="113">
        <v>50000.0</v>
      </c>
      <c r="BA8" s="114">
        <f t="shared" si="16"/>
        <v>0</v>
      </c>
      <c r="BB8" s="96">
        <f t="shared" si="17"/>
        <v>56720</v>
      </c>
      <c r="BC8" s="104">
        <f t="shared" si="18"/>
        <v>1.031272727</v>
      </c>
      <c r="BD8" s="105">
        <f t="shared" si="20"/>
        <v>0.9696755994</v>
      </c>
      <c r="BE8" s="8" t="str">
        <f t="shared" si="19"/>
        <v>YES</v>
      </c>
      <c r="BF8" s="8"/>
      <c r="BG8" s="8"/>
      <c r="BH8" s="8"/>
      <c r="BI8" s="8"/>
      <c r="BJ8" s="8"/>
    </row>
    <row r="9" ht="15.75" customHeight="1">
      <c r="A9" s="17"/>
      <c r="B9" s="18" t="s">
        <v>43</v>
      </c>
      <c r="C9" s="7" t="s">
        <v>44</v>
      </c>
      <c r="D9" s="7" t="s">
        <v>35</v>
      </c>
      <c r="E9" s="20" t="s">
        <v>45</v>
      </c>
      <c r="F9" s="9" t="s">
        <v>364</v>
      </c>
      <c r="G9" s="8"/>
      <c r="H9" s="8" t="s">
        <v>16</v>
      </c>
      <c r="I9" s="24" t="s">
        <v>42</v>
      </c>
      <c r="J9" s="106">
        <v>2000000.0</v>
      </c>
      <c r="K9" s="8">
        <v>100.0</v>
      </c>
      <c r="L9" s="8">
        <v>5.0</v>
      </c>
      <c r="M9" s="8">
        <v>2000000.0</v>
      </c>
      <c r="N9" s="8">
        <v>0.0</v>
      </c>
      <c r="O9" s="8">
        <v>0.0</v>
      </c>
      <c r="P9" s="14">
        <f t="shared" si="1"/>
        <v>400000</v>
      </c>
      <c r="Q9" s="14">
        <f t="shared" si="2"/>
        <v>80000</v>
      </c>
      <c r="R9" s="8">
        <v>1.0</v>
      </c>
      <c r="S9" s="94">
        <f t="shared" si="3"/>
        <v>2000000</v>
      </c>
      <c r="T9" s="107">
        <v>14.0</v>
      </c>
      <c r="U9" s="8">
        <v>0.6</v>
      </c>
      <c r="V9" s="8">
        <v>20.0</v>
      </c>
      <c r="W9" s="8">
        <f t="shared" si="4"/>
        <v>438000</v>
      </c>
      <c r="X9" s="24">
        <f t="shared" si="21"/>
        <v>499320</v>
      </c>
      <c r="Y9" s="108">
        <f t="shared" si="6"/>
        <v>61320</v>
      </c>
      <c r="Z9" s="107">
        <v>43.0</v>
      </c>
      <c r="AA9" s="110">
        <v>20000.0</v>
      </c>
      <c r="AB9" s="111">
        <f t="shared" si="7"/>
        <v>8600</v>
      </c>
      <c r="AC9" s="109">
        <v>0.0</v>
      </c>
      <c r="AD9" s="8">
        <v>50000.0</v>
      </c>
      <c r="AE9" s="8">
        <v>0.15</v>
      </c>
      <c r="AF9" s="8">
        <f t="shared" si="8"/>
        <v>7500</v>
      </c>
      <c r="AG9" s="24">
        <f t="shared" si="9"/>
        <v>0</v>
      </c>
      <c r="AH9" s="109">
        <v>0.0</v>
      </c>
      <c r="AI9" s="8">
        <v>5000.0</v>
      </c>
      <c r="AJ9" s="24">
        <f t="shared" si="10"/>
        <v>0</v>
      </c>
      <c r="AK9" s="109">
        <v>0.0</v>
      </c>
      <c r="AL9" s="24">
        <f t="shared" si="11"/>
        <v>0</v>
      </c>
      <c r="AM9" s="109">
        <v>0.0</v>
      </c>
      <c r="AN9" s="8">
        <v>40000.0</v>
      </c>
      <c r="AO9" s="24">
        <f t="shared" si="12"/>
        <v>0</v>
      </c>
      <c r="AP9" s="109">
        <v>0.0</v>
      </c>
      <c r="AQ9" s="8">
        <v>3000.0</v>
      </c>
      <c r="AR9" s="24">
        <f t="shared" si="13"/>
        <v>0</v>
      </c>
      <c r="AS9" s="109">
        <v>0.0</v>
      </c>
      <c r="AT9" s="8">
        <v>7000.0</v>
      </c>
      <c r="AU9" s="24">
        <f t="shared" si="14"/>
        <v>0</v>
      </c>
      <c r="AV9" s="109">
        <v>0.0</v>
      </c>
      <c r="AW9" s="8">
        <v>2000.0</v>
      </c>
      <c r="AX9" s="24">
        <f t="shared" si="15"/>
        <v>0</v>
      </c>
      <c r="AY9" s="112">
        <v>0.0</v>
      </c>
      <c r="AZ9" s="113">
        <v>50000.0</v>
      </c>
      <c r="BA9" s="114">
        <f t="shared" si="16"/>
        <v>0</v>
      </c>
      <c r="BB9" s="96">
        <f t="shared" si="17"/>
        <v>-410080</v>
      </c>
      <c r="BC9" s="104">
        <f t="shared" si="18"/>
        <v>-0.20504</v>
      </c>
      <c r="BD9" s="105" t="str">
        <f t="shared" si="20"/>
        <v>Payback period not applicable: the investment does not recover its cost under current conditions.</v>
      </c>
      <c r="BE9" s="8" t="str">
        <f t="shared" si="19"/>
        <v>NO</v>
      </c>
      <c r="BF9" s="8"/>
      <c r="BG9" s="8"/>
      <c r="BH9" s="8"/>
      <c r="BI9" s="8"/>
      <c r="BJ9" s="8"/>
    </row>
    <row r="10" ht="18.0" customHeight="1">
      <c r="A10" s="25"/>
      <c r="B10" s="37" t="s">
        <v>47</v>
      </c>
      <c r="C10" s="26" t="s">
        <v>48</v>
      </c>
      <c r="D10" s="23" t="s">
        <v>23</v>
      </c>
      <c r="E10" s="118" t="s">
        <v>49</v>
      </c>
      <c r="F10" s="27" t="s">
        <v>50</v>
      </c>
      <c r="G10" s="28"/>
      <c r="H10" s="28" t="s">
        <v>16</v>
      </c>
      <c r="I10" s="29" t="s">
        <v>365</v>
      </c>
      <c r="J10" s="119">
        <v>188000.0</v>
      </c>
      <c r="K10" s="28">
        <v>100.0</v>
      </c>
      <c r="L10" s="8">
        <v>5.0</v>
      </c>
      <c r="M10" s="28">
        <v>188000.0</v>
      </c>
      <c r="N10" s="28">
        <v>0.0</v>
      </c>
      <c r="O10" s="28">
        <v>0.0</v>
      </c>
      <c r="P10" s="14">
        <f t="shared" si="1"/>
        <v>37600</v>
      </c>
      <c r="Q10" s="14">
        <f t="shared" si="2"/>
        <v>7520</v>
      </c>
      <c r="R10" s="28">
        <v>1.0</v>
      </c>
      <c r="S10" s="94">
        <f t="shared" si="3"/>
        <v>188000</v>
      </c>
      <c r="T10" s="120">
        <v>7.0</v>
      </c>
      <c r="U10" s="8">
        <v>0.6</v>
      </c>
      <c r="V10" s="8">
        <v>20.0</v>
      </c>
      <c r="W10" s="28">
        <f t="shared" si="4"/>
        <v>438000</v>
      </c>
      <c r="X10" s="29">
        <f t="shared" si="21"/>
        <v>468660</v>
      </c>
      <c r="Y10" s="121">
        <f t="shared" si="6"/>
        <v>30660</v>
      </c>
      <c r="Z10" s="120">
        <v>29.0</v>
      </c>
      <c r="AA10" s="110">
        <v>20000.0</v>
      </c>
      <c r="AB10" s="122">
        <f t="shared" si="7"/>
        <v>5800</v>
      </c>
      <c r="AC10" s="123">
        <v>0.0</v>
      </c>
      <c r="AD10" s="8">
        <v>50000.0</v>
      </c>
      <c r="AE10" s="8">
        <v>0.15</v>
      </c>
      <c r="AF10" s="28">
        <f t="shared" si="8"/>
        <v>7500</v>
      </c>
      <c r="AG10" s="29">
        <f t="shared" si="9"/>
        <v>0</v>
      </c>
      <c r="AH10" s="123">
        <v>0.0</v>
      </c>
      <c r="AI10" s="8">
        <v>5000.0</v>
      </c>
      <c r="AJ10" s="29">
        <f t="shared" si="10"/>
        <v>0</v>
      </c>
      <c r="AK10" s="123">
        <v>0.0</v>
      </c>
      <c r="AL10" s="29">
        <f t="shared" si="11"/>
        <v>0</v>
      </c>
      <c r="AM10" s="123">
        <v>0.0</v>
      </c>
      <c r="AN10" s="8">
        <v>40000.0</v>
      </c>
      <c r="AO10" s="29">
        <f t="shared" si="12"/>
        <v>0</v>
      </c>
      <c r="AP10" s="123">
        <v>0.0</v>
      </c>
      <c r="AQ10" s="8">
        <v>3000.0</v>
      </c>
      <c r="AR10" s="29">
        <f t="shared" si="13"/>
        <v>0</v>
      </c>
      <c r="AS10" s="123">
        <v>0.0</v>
      </c>
      <c r="AT10" s="8">
        <v>7000.0</v>
      </c>
      <c r="AU10" s="29">
        <f t="shared" si="14"/>
        <v>0</v>
      </c>
      <c r="AV10" s="123">
        <v>0.0</v>
      </c>
      <c r="AW10" s="8">
        <v>2000.0</v>
      </c>
      <c r="AX10" s="29">
        <f t="shared" si="15"/>
        <v>0</v>
      </c>
      <c r="AY10" s="124">
        <v>0.0</v>
      </c>
      <c r="AZ10" s="113">
        <v>50000.0</v>
      </c>
      <c r="BA10" s="125">
        <f t="shared" si="16"/>
        <v>0</v>
      </c>
      <c r="BB10" s="96">
        <f t="shared" si="17"/>
        <v>-8660</v>
      </c>
      <c r="BC10" s="104">
        <f t="shared" si="18"/>
        <v>-0.04606382979</v>
      </c>
      <c r="BD10" s="105" t="str">
        <f t="shared" si="20"/>
        <v>Payback period not applicable: the investment does not recover its cost under current conditions.</v>
      </c>
      <c r="BE10" s="8" t="str">
        <f t="shared" si="19"/>
        <v>NO</v>
      </c>
      <c r="BF10" s="8"/>
      <c r="BG10" s="8"/>
      <c r="BH10" s="8"/>
      <c r="BI10" s="8"/>
      <c r="BJ10" s="8"/>
    </row>
    <row r="11" ht="15.75" customHeight="1">
      <c r="A11" s="11" t="s">
        <v>71</v>
      </c>
      <c r="B11" s="30" t="s">
        <v>72</v>
      </c>
      <c r="C11" s="13" t="s">
        <v>73</v>
      </c>
      <c r="D11" s="13" t="s">
        <v>74</v>
      </c>
      <c r="E11" s="14" t="s">
        <v>75</v>
      </c>
      <c r="F11" s="15" t="s">
        <v>76</v>
      </c>
      <c r="G11" s="31" t="s">
        <v>77</v>
      </c>
      <c r="H11" s="14" t="s">
        <v>16</v>
      </c>
      <c r="I11" s="94" t="s">
        <v>78</v>
      </c>
      <c r="J11" s="126" t="s">
        <v>79</v>
      </c>
      <c r="K11" s="14">
        <v>100.0</v>
      </c>
      <c r="L11" s="14">
        <v>5.0</v>
      </c>
      <c r="M11" s="14">
        <v>0.0</v>
      </c>
      <c r="N11" s="14">
        <v>40.0</v>
      </c>
      <c r="O11" s="14">
        <v>4.0</v>
      </c>
      <c r="P11" s="14">
        <f t="shared" si="1"/>
        <v>800</v>
      </c>
      <c r="Q11" s="14">
        <f t="shared" si="2"/>
        <v>160</v>
      </c>
      <c r="R11" s="14">
        <v>1.0</v>
      </c>
      <c r="S11" s="94">
        <f t="shared" si="3"/>
        <v>4000</v>
      </c>
      <c r="T11" s="98">
        <v>0.0</v>
      </c>
      <c r="U11" s="14">
        <v>0.6</v>
      </c>
      <c r="V11" s="14">
        <v>20.0</v>
      </c>
      <c r="W11" s="14">
        <f t="shared" si="4"/>
        <v>438000</v>
      </c>
      <c r="X11" s="94">
        <f t="shared" si="21"/>
        <v>438000</v>
      </c>
      <c r="Y11" s="97">
        <f t="shared" si="6"/>
        <v>0</v>
      </c>
      <c r="Z11" s="96">
        <v>30.0</v>
      </c>
      <c r="AA11" s="99">
        <v>20000.0</v>
      </c>
      <c r="AB11" s="100">
        <f t="shared" si="7"/>
        <v>6000</v>
      </c>
      <c r="AC11" s="98">
        <v>0.0</v>
      </c>
      <c r="AD11" s="14">
        <v>50000.0</v>
      </c>
      <c r="AE11" s="14">
        <v>0.15</v>
      </c>
      <c r="AF11" s="14">
        <f t="shared" si="8"/>
        <v>7500</v>
      </c>
      <c r="AG11" s="94">
        <f t="shared" si="9"/>
        <v>0</v>
      </c>
      <c r="AH11" s="98">
        <v>0.0</v>
      </c>
      <c r="AI11" s="14">
        <v>5000.0</v>
      </c>
      <c r="AJ11" s="94">
        <f t="shared" si="10"/>
        <v>0</v>
      </c>
      <c r="AK11" s="96">
        <v>40.0</v>
      </c>
      <c r="AL11" s="94">
        <f t="shared" si="11"/>
        <v>4000</v>
      </c>
      <c r="AM11" s="98">
        <v>0.0</v>
      </c>
      <c r="AN11" s="14">
        <v>40000.0</v>
      </c>
      <c r="AO11" s="94">
        <f t="shared" si="12"/>
        <v>0</v>
      </c>
      <c r="AP11" s="98">
        <v>0.0</v>
      </c>
      <c r="AQ11" s="14">
        <v>3000.0</v>
      </c>
      <c r="AR11" s="94">
        <f t="shared" si="13"/>
        <v>0</v>
      </c>
      <c r="AS11" s="98">
        <v>0.0</v>
      </c>
      <c r="AT11" s="14">
        <v>7000.0</v>
      </c>
      <c r="AU11" s="94">
        <f t="shared" si="14"/>
        <v>0</v>
      </c>
      <c r="AV11" s="98">
        <v>0.0</v>
      </c>
      <c r="AW11" s="14">
        <v>2000.0</v>
      </c>
      <c r="AX11" s="94">
        <f t="shared" si="15"/>
        <v>0</v>
      </c>
      <c r="AY11" s="101">
        <v>0.0</v>
      </c>
      <c r="AZ11" s="102">
        <v>50000.0</v>
      </c>
      <c r="BA11" s="103">
        <f t="shared" si="16"/>
        <v>0</v>
      </c>
      <c r="BB11" s="96">
        <f t="shared" si="17"/>
        <v>4240</v>
      </c>
      <c r="BC11" s="104">
        <f t="shared" si="18"/>
        <v>1.06</v>
      </c>
      <c r="BD11" s="105">
        <f t="shared" si="20"/>
        <v>0.9433962264</v>
      </c>
      <c r="BE11" s="8" t="str">
        <f t="shared" si="19"/>
        <v>YES</v>
      </c>
      <c r="BF11" s="8"/>
      <c r="BG11" s="8"/>
      <c r="BH11" s="8"/>
      <c r="BI11" s="8"/>
      <c r="BJ11" s="8"/>
    </row>
    <row r="12" ht="16.5" customHeight="1">
      <c r="A12" s="17"/>
      <c r="B12" s="18" t="s">
        <v>80</v>
      </c>
      <c r="C12" s="7" t="s">
        <v>81</v>
      </c>
      <c r="D12" s="7" t="s">
        <v>82</v>
      </c>
      <c r="E12" s="22" t="s">
        <v>366</v>
      </c>
      <c r="F12" s="22" t="s">
        <v>84</v>
      </c>
      <c r="G12" s="8"/>
      <c r="H12" s="8" t="s">
        <v>16</v>
      </c>
      <c r="I12" s="24" t="s">
        <v>367</v>
      </c>
      <c r="J12" s="127" t="s">
        <v>86</v>
      </c>
      <c r="K12" s="8">
        <v>100.0</v>
      </c>
      <c r="L12" s="8">
        <v>5.0</v>
      </c>
      <c r="M12" s="8">
        <v>250.0</v>
      </c>
      <c r="N12" s="8">
        <v>0.0</v>
      </c>
      <c r="O12" s="8">
        <v>0.0</v>
      </c>
      <c r="P12" s="14">
        <f t="shared" si="1"/>
        <v>0</v>
      </c>
      <c r="Q12" s="14">
        <f t="shared" si="2"/>
        <v>10</v>
      </c>
      <c r="R12" s="8">
        <v>1.0</v>
      </c>
      <c r="S12" s="94">
        <f t="shared" si="3"/>
        <v>250</v>
      </c>
      <c r="T12" s="109">
        <v>0.0</v>
      </c>
      <c r="U12" s="8">
        <v>0.6</v>
      </c>
      <c r="V12" s="8">
        <v>20.0</v>
      </c>
      <c r="W12" s="8">
        <f t="shared" si="4"/>
        <v>438000</v>
      </c>
      <c r="X12" s="24">
        <f t="shared" si="21"/>
        <v>438000</v>
      </c>
      <c r="Y12" s="108">
        <f t="shared" si="6"/>
        <v>0</v>
      </c>
      <c r="Z12" s="107">
        <v>30.0</v>
      </c>
      <c r="AA12" s="110">
        <v>20000.0</v>
      </c>
      <c r="AB12" s="111">
        <f t="shared" si="7"/>
        <v>6000</v>
      </c>
      <c r="AC12" s="109">
        <v>0.0</v>
      </c>
      <c r="AD12" s="8">
        <v>50000.0</v>
      </c>
      <c r="AE12" s="8">
        <v>0.15</v>
      </c>
      <c r="AF12" s="8">
        <f t="shared" si="8"/>
        <v>7500</v>
      </c>
      <c r="AG12" s="24">
        <f t="shared" si="9"/>
        <v>0</v>
      </c>
      <c r="AH12" s="109">
        <v>0.0</v>
      </c>
      <c r="AI12" s="8">
        <v>5000.0</v>
      </c>
      <c r="AJ12" s="24">
        <f t="shared" si="10"/>
        <v>0</v>
      </c>
      <c r="AK12" s="107">
        <v>40.0</v>
      </c>
      <c r="AL12" s="24">
        <f t="shared" si="11"/>
        <v>4000</v>
      </c>
      <c r="AM12" s="109">
        <v>0.0</v>
      </c>
      <c r="AN12" s="8">
        <v>40000.0</v>
      </c>
      <c r="AO12" s="24">
        <f t="shared" si="12"/>
        <v>0</v>
      </c>
      <c r="AP12" s="109">
        <v>0.0</v>
      </c>
      <c r="AQ12" s="8">
        <v>3000.0</v>
      </c>
      <c r="AR12" s="24">
        <f t="shared" si="13"/>
        <v>0</v>
      </c>
      <c r="AS12" s="109">
        <v>0.0</v>
      </c>
      <c r="AT12" s="8">
        <v>7000.0</v>
      </c>
      <c r="AU12" s="24">
        <f t="shared" si="14"/>
        <v>0</v>
      </c>
      <c r="AV12" s="109">
        <v>0.0</v>
      </c>
      <c r="AW12" s="8">
        <v>2000.0</v>
      </c>
      <c r="AX12" s="24">
        <f t="shared" si="15"/>
        <v>0</v>
      </c>
      <c r="AY12" s="112">
        <v>0.0</v>
      </c>
      <c r="AZ12" s="113">
        <v>50000.0</v>
      </c>
      <c r="BA12" s="114">
        <f t="shared" si="16"/>
        <v>0</v>
      </c>
      <c r="BB12" s="96">
        <f t="shared" si="17"/>
        <v>9990</v>
      </c>
      <c r="BC12" s="104">
        <f t="shared" si="18"/>
        <v>39.96</v>
      </c>
      <c r="BD12" s="105">
        <f t="shared" si="20"/>
        <v>0.02502502503</v>
      </c>
      <c r="BE12" s="8" t="str">
        <f t="shared" si="19"/>
        <v>YES</v>
      </c>
      <c r="BF12" s="8"/>
      <c r="BG12" s="8"/>
      <c r="BH12" s="8"/>
      <c r="BI12" s="8"/>
      <c r="BJ12" s="8"/>
    </row>
    <row r="13" ht="16.5" customHeight="1">
      <c r="A13" s="17"/>
      <c r="B13" s="18" t="s">
        <v>80</v>
      </c>
      <c r="C13" s="7" t="s">
        <v>87</v>
      </c>
      <c r="D13" s="7" t="s">
        <v>35</v>
      </c>
      <c r="E13" s="8" t="s">
        <v>89</v>
      </c>
      <c r="F13" s="22" t="s">
        <v>90</v>
      </c>
      <c r="G13" s="22" t="s">
        <v>91</v>
      </c>
      <c r="H13" s="8" t="s">
        <v>16</v>
      </c>
      <c r="I13" s="24" t="s">
        <v>368</v>
      </c>
      <c r="J13" s="106">
        <v>2925.0</v>
      </c>
      <c r="K13" s="8">
        <v>100.0</v>
      </c>
      <c r="L13" s="8">
        <v>5.0</v>
      </c>
      <c r="M13" s="8">
        <v>2925.0</v>
      </c>
      <c r="N13" s="8">
        <v>80.0</v>
      </c>
      <c r="O13" s="8">
        <v>0.0</v>
      </c>
      <c r="P13" s="14">
        <f t="shared" si="1"/>
        <v>2185</v>
      </c>
      <c r="Q13" s="14">
        <f t="shared" si="2"/>
        <v>437</v>
      </c>
      <c r="R13" s="8">
        <v>1.0</v>
      </c>
      <c r="S13" s="94">
        <f t="shared" si="3"/>
        <v>10925</v>
      </c>
      <c r="T13" s="109">
        <v>0.0</v>
      </c>
      <c r="U13" s="8">
        <v>0.6</v>
      </c>
      <c r="V13" s="8">
        <v>20.0</v>
      </c>
      <c r="W13" s="8">
        <f t="shared" si="4"/>
        <v>438000</v>
      </c>
      <c r="X13" s="24">
        <f t="shared" si="21"/>
        <v>438000</v>
      </c>
      <c r="Y13" s="108">
        <f t="shared" si="6"/>
        <v>0</v>
      </c>
      <c r="Z13" s="107">
        <v>30.0</v>
      </c>
      <c r="AA13" s="110">
        <v>20000.0</v>
      </c>
      <c r="AB13" s="111">
        <f t="shared" si="7"/>
        <v>6000</v>
      </c>
      <c r="AC13" s="109">
        <v>0.0</v>
      </c>
      <c r="AD13" s="8">
        <v>50000.0</v>
      </c>
      <c r="AE13" s="8">
        <v>0.15</v>
      </c>
      <c r="AF13" s="8">
        <f t="shared" si="8"/>
        <v>7500</v>
      </c>
      <c r="AG13" s="24">
        <f t="shared" si="9"/>
        <v>0</v>
      </c>
      <c r="AH13" s="109">
        <v>0.0</v>
      </c>
      <c r="AI13" s="8">
        <v>5000.0</v>
      </c>
      <c r="AJ13" s="24">
        <f t="shared" si="10"/>
        <v>0</v>
      </c>
      <c r="AK13" s="107">
        <v>40.0</v>
      </c>
      <c r="AL13" s="24">
        <f t="shared" si="11"/>
        <v>4000</v>
      </c>
      <c r="AM13" s="109">
        <v>0.0</v>
      </c>
      <c r="AN13" s="8">
        <v>40000.0</v>
      </c>
      <c r="AO13" s="24">
        <f t="shared" si="12"/>
        <v>0</v>
      </c>
      <c r="AP13" s="109">
        <v>0.0</v>
      </c>
      <c r="AQ13" s="8">
        <v>3000.0</v>
      </c>
      <c r="AR13" s="24">
        <f t="shared" si="13"/>
        <v>0</v>
      </c>
      <c r="AS13" s="109">
        <v>0.0</v>
      </c>
      <c r="AT13" s="8">
        <v>7000.0</v>
      </c>
      <c r="AU13" s="24">
        <f t="shared" si="14"/>
        <v>0</v>
      </c>
      <c r="AV13" s="109">
        <v>0.0</v>
      </c>
      <c r="AW13" s="8">
        <v>2000.0</v>
      </c>
      <c r="AX13" s="24">
        <f t="shared" si="15"/>
        <v>0</v>
      </c>
      <c r="AY13" s="112">
        <v>0.0</v>
      </c>
      <c r="AZ13" s="113">
        <v>50000.0</v>
      </c>
      <c r="BA13" s="114">
        <f t="shared" si="16"/>
        <v>0</v>
      </c>
      <c r="BB13" s="96">
        <f t="shared" si="17"/>
        <v>7378</v>
      </c>
      <c r="BC13" s="104">
        <f t="shared" si="18"/>
        <v>0.6753318078</v>
      </c>
      <c r="BD13" s="105">
        <f t="shared" si="20"/>
        <v>1.480753592</v>
      </c>
      <c r="BE13" s="8" t="str">
        <f t="shared" si="19"/>
        <v>YES</v>
      </c>
      <c r="BF13" s="8"/>
      <c r="BG13" s="8"/>
      <c r="BH13" s="8"/>
      <c r="BI13" s="8"/>
      <c r="BJ13" s="8"/>
    </row>
    <row r="14" ht="15.75" customHeight="1">
      <c r="A14" s="25"/>
      <c r="B14" s="37" t="s">
        <v>93</v>
      </c>
      <c r="C14" s="26" t="s">
        <v>94</v>
      </c>
      <c r="D14" s="26" t="s">
        <v>88</v>
      </c>
      <c r="E14" s="28" t="s">
        <v>95</v>
      </c>
      <c r="F14" s="28" t="s">
        <v>96</v>
      </c>
      <c r="G14" s="28"/>
      <c r="H14" s="28" t="s">
        <v>16</v>
      </c>
      <c r="I14" s="29" t="s">
        <v>369</v>
      </c>
      <c r="J14" s="128" t="s">
        <v>98</v>
      </c>
      <c r="K14" s="8">
        <v>100.0</v>
      </c>
      <c r="L14" s="28">
        <v>5.0</v>
      </c>
      <c r="M14" s="28">
        <v>0.0</v>
      </c>
      <c r="N14" s="28">
        <v>65.0</v>
      </c>
      <c r="O14" s="28">
        <v>0.0</v>
      </c>
      <c r="P14" s="14">
        <f t="shared" si="1"/>
        <v>1300</v>
      </c>
      <c r="Q14" s="14">
        <f t="shared" si="2"/>
        <v>260</v>
      </c>
      <c r="R14" s="28">
        <v>1.0</v>
      </c>
      <c r="S14" s="94">
        <f t="shared" si="3"/>
        <v>6500</v>
      </c>
      <c r="T14" s="123">
        <v>0.0</v>
      </c>
      <c r="U14" s="8">
        <v>0.6</v>
      </c>
      <c r="V14" s="28">
        <v>20.0</v>
      </c>
      <c r="W14" s="28">
        <f t="shared" si="4"/>
        <v>438000</v>
      </c>
      <c r="X14" s="29">
        <f t="shared" si="21"/>
        <v>438000</v>
      </c>
      <c r="Y14" s="121">
        <f t="shared" si="6"/>
        <v>0</v>
      </c>
      <c r="Z14" s="120">
        <v>30.0</v>
      </c>
      <c r="AA14" s="110">
        <v>20000.0</v>
      </c>
      <c r="AB14" s="122">
        <f t="shared" si="7"/>
        <v>6000</v>
      </c>
      <c r="AC14" s="123">
        <v>0.0</v>
      </c>
      <c r="AD14" s="8">
        <v>50000.0</v>
      </c>
      <c r="AE14" s="8">
        <v>0.15</v>
      </c>
      <c r="AF14" s="28">
        <f t="shared" si="8"/>
        <v>7500</v>
      </c>
      <c r="AG14" s="29">
        <f t="shared" si="9"/>
        <v>0</v>
      </c>
      <c r="AH14" s="123">
        <v>0.0</v>
      </c>
      <c r="AI14" s="8">
        <v>5000.0</v>
      </c>
      <c r="AJ14" s="29">
        <f t="shared" si="10"/>
        <v>0</v>
      </c>
      <c r="AK14" s="120">
        <v>40.0</v>
      </c>
      <c r="AL14" s="29">
        <f t="shared" si="11"/>
        <v>4000</v>
      </c>
      <c r="AM14" s="123">
        <v>0.0</v>
      </c>
      <c r="AN14" s="8">
        <v>40000.0</v>
      </c>
      <c r="AO14" s="29">
        <f t="shared" si="12"/>
        <v>0</v>
      </c>
      <c r="AP14" s="123">
        <v>0.0</v>
      </c>
      <c r="AQ14" s="8">
        <v>3000.0</v>
      </c>
      <c r="AR14" s="29">
        <f t="shared" si="13"/>
        <v>0</v>
      </c>
      <c r="AS14" s="123">
        <v>0.0</v>
      </c>
      <c r="AT14" s="8">
        <v>7000.0</v>
      </c>
      <c r="AU14" s="29">
        <f t="shared" si="14"/>
        <v>0</v>
      </c>
      <c r="AV14" s="123">
        <v>0.0</v>
      </c>
      <c r="AW14" s="8">
        <v>2000.0</v>
      </c>
      <c r="AX14" s="29">
        <f t="shared" si="15"/>
        <v>0</v>
      </c>
      <c r="AY14" s="124">
        <v>0.0</v>
      </c>
      <c r="AZ14" s="113">
        <v>50000.0</v>
      </c>
      <c r="BA14" s="125">
        <f t="shared" si="16"/>
        <v>0</v>
      </c>
      <c r="BB14" s="96">
        <f t="shared" si="17"/>
        <v>8440</v>
      </c>
      <c r="BC14" s="104">
        <f t="shared" si="18"/>
        <v>1.298461538</v>
      </c>
      <c r="BD14" s="105">
        <f t="shared" si="20"/>
        <v>0.7701421801</v>
      </c>
      <c r="BE14" s="8" t="str">
        <f t="shared" si="19"/>
        <v>YES</v>
      </c>
      <c r="BF14" s="8"/>
      <c r="BG14" s="8"/>
      <c r="BH14" s="8"/>
      <c r="BI14" s="8"/>
      <c r="BJ14" s="8"/>
    </row>
    <row r="15" ht="15.75" customHeight="1">
      <c r="A15" s="11" t="s">
        <v>116</v>
      </c>
      <c r="B15" s="30" t="s">
        <v>117</v>
      </c>
      <c r="C15" s="13" t="s">
        <v>118</v>
      </c>
      <c r="D15" s="13" t="s">
        <v>119</v>
      </c>
      <c r="E15" s="14" t="s">
        <v>120</v>
      </c>
      <c r="F15" s="15" t="s">
        <v>121</v>
      </c>
      <c r="G15" s="14"/>
      <c r="H15" s="14" t="s">
        <v>16</v>
      </c>
      <c r="I15" s="94" t="s">
        <v>122</v>
      </c>
      <c r="J15" s="126" t="s">
        <v>123</v>
      </c>
      <c r="K15" s="14">
        <v>100.0</v>
      </c>
      <c r="L15" s="14">
        <v>5.0</v>
      </c>
      <c r="M15" s="14">
        <v>400.0</v>
      </c>
      <c r="N15" s="14">
        <v>0.0</v>
      </c>
      <c r="O15" s="14">
        <v>0.0</v>
      </c>
      <c r="P15" s="14">
        <f t="shared" si="1"/>
        <v>0</v>
      </c>
      <c r="Q15" s="14">
        <f t="shared" si="2"/>
        <v>16</v>
      </c>
      <c r="R15" s="14">
        <v>1.0</v>
      </c>
      <c r="S15" s="94">
        <f t="shared" si="3"/>
        <v>400</v>
      </c>
      <c r="T15" s="96">
        <v>10.0</v>
      </c>
      <c r="U15" s="14">
        <v>0.6</v>
      </c>
      <c r="V15" s="14">
        <v>20.0</v>
      </c>
      <c r="W15" s="14">
        <f t="shared" si="4"/>
        <v>438000</v>
      </c>
      <c r="X15" s="94">
        <f t="shared" si="21"/>
        <v>481800</v>
      </c>
      <c r="Y15" s="97">
        <f t="shared" si="6"/>
        <v>43800</v>
      </c>
      <c r="Z15" s="96">
        <v>0.0</v>
      </c>
      <c r="AA15" s="99">
        <v>20000.0</v>
      </c>
      <c r="AB15" s="100">
        <f t="shared" si="7"/>
        <v>0</v>
      </c>
      <c r="AC15" s="96">
        <v>39.0</v>
      </c>
      <c r="AD15" s="14">
        <v>50000.0</v>
      </c>
      <c r="AE15" s="14">
        <v>0.15</v>
      </c>
      <c r="AF15" s="14">
        <f t="shared" si="8"/>
        <v>7500</v>
      </c>
      <c r="AG15" s="94">
        <f t="shared" si="9"/>
        <v>2925</v>
      </c>
      <c r="AH15" s="98">
        <v>0.0</v>
      </c>
      <c r="AI15" s="14">
        <v>5000.0</v>
      </c>
      <c r="AJ15" s="94">
        <f t="shared" si="10"/>
        <v>0</v>
      </c>
      <c r="AK15" s="96">
        <v>146.0</v>
      </c>
      <c r="AL15" s="94">
        <f t="shared" si="11"/>
        <v>14600</v>
      </c>
      <c r="AM15" s="98">
        <v>0.0</v>
      </c>
      <c r="AN15" s="14">
        <v>40000.0</v>
      </c>
      <c r="AO15" s="94">
        <f t="shared" si="12"/>
        <v>0</v>
      </c>
      <c r="AP15" s="98">
        <v>0.0</v>
      </c>
      <c r="AQ15" s="14">
        <v>3000.0</v>
      </c>
      <c r="AR15" s="94">
        <f t="shared" si="13"/>
        <v>0</v>
      </c>
      <c r="AS15" s="98">
        <v>0.0</v>
      </c>
      <c r="AT15" s="14">
        <v>7000.0</v>
      </c>
      <c r="AU15" s="94">
        <f t="shared" si="14"/>
        <v>0</v>
      </c>
      <c r="AV15" s="98">
        <v>0.0</v>
      </c>
      <c r="AW15" s="14">
        <v>2000.0</v>
      </c>
      <c r="AX15" s="94">
        <f t="shared" si="15"/>
        <v>0</v>
      </c>
      <c r="AY15" s="101">
        <v>0.0</v>
      </c>
      <c r="AZ15" s="102">
        <v>50000.0</v>
      </c>
      <c r="BA15" s="103">
        <f t="shared" si="16"/>
        <v>0</v>
      </c>
      <c r="BB15" s="96">
        <f t="shared" si="17"/>
        <v>61309</v>
      </c>
      <c r="BC15" s="104">
        <f t="shared" si="18"/>
        <v>153.2725</v>
      </c>
      <c r="BD15" s="105">
        <f t="shared" si="20"/>
        <v>0.006524327586</v>
      </c>
      <c r="BE15" s="8" t="str">
        <f t="shared" si="19"/>
        <v>YES</v>
      </c>
      <c r="BF15" s="8"/>
      <c r="BG15" s="8"/>
      <c r="BH15" s="8"/>
      <c r="BI15" s="8"/>
      <c r="BJ15" s="8"/>
    </row>
    <row r="16" ht="15.75" customHeight="1">
      <c r="A16" s="17"/>
      <c r="B16" s="18" t="s">
        <v>117</v>
      </c>
      <c r="C16" s="7" t="s">
        <v>124</v>
      </c>
      <c r="D16" s="7" t="s">
        <v>23</v>
      </c>
      <c r="E16" s="42" t="s">
        <v>125</v>
      </c>
      <c r="F16" s="9" t="s">
        <v>126</v>
      </c>
      <c r="G16" s="8"/>
      <c r="H16" s="8" t="s">
        <v>127</v>
      </c>
      <c r="I16" s="24" t="s">
        <v>370</v>
      </c>
      <c r="J16" s="127" t="s">
        <v>129</v>
      </c>
      <c r="K16" s="8">
        <v>100.0</v>
      </c>
      <c r="L16" s="8">
        <v>5.0</v>
      </c>
      <c r="M16" s="8">
        <v>180000.0</v>
      </c>
      <c r="N16" s="8">
        <v>0.0</v>
      </c>
      <c r="O16" s="8">
        <v>0.0</v>
      </c>
      <c r="P16" s="14">
        <f t="shared" si="1"/>
        <v>36000</v>
      </c>
      <c r="Q16" s="14">
        <f t="shared" si="2"/>
        <v>7200</v>
      </c>
      <c r="R16" s="8">
        <v>1.0</v>
      </c>
      <c r="S16" s="94">
        <f t="shared" si="3"/>
        <v>180000</v>
      </c>
      <c r="T16" s="107">
        <v>10.0</v>
      </c>
      <c r="U16" s="8">
        <v>0.6</v>
      </c>
      <c r="V16" s="8">
        <v>20.0</v>
      </c>
      <c r="W16" s="8">
        <f t="shared" si="4"/>
        <v>438000</v>
      </c>
      <c r="X16" s="24">
        <f t="shared" si="21"/>
        <v>481800</v>
      </c>
      <c r="Y16" s="108">
        <f t="shared" si="6"/>
        <v>43800</v>
      </c>
      <c r="Z16" s="107">
        <v>79.0</v>
      </c>
      <c r="AA16" s="110">
        <v>20000.0</v>
      </c>
      <c r="AB16" s="111">
        <f t="shared" si="7"/>
        <v>15800</v>
      </c>
      <c r="AC16" s="107">
        <v>97.0</v>
      </c>
      <c r="AD16" s="8">
        <v>50000.0</v>
      </c>
      <c r="AE16" s="8">
        <v>0.15</v>
      </c>
      <c r="AF16" s="8">
        <f t="shared" si="8"/>
        <v>7500</v>
      </c>
      <c r="AG16" s="24">
        <f t="shared" si="9"/>
        <v>7275</v>
      </c>
      <c r="AH16" s="109">
        <v>0.0</v>
      </c>
      <c r="AI16" s="8">
        <v>5000.0</v>
      </c>
      <c r="AJ16" s="24">
        <f t="shared" si="10"/>
        <v>0</v>
      </c>
      <c r="AK16" s="109">
        <v>0.0</v>
      </c>
      <c r="AL16" s="24">
        <f t="shared" si="11"/>
        <v>0</v>
      </c>
      <c r="AM16" s="107">
        <v>33.0</v>
      </c>
      <c r="AN16" s="8">
        <v>40000.0</v>
      </c>
      <c r="AO16" s="24">
        <f t="shared" si="12"/>
        <v>13200</v>
      </c>
      <c r="AP16" s="109">
        <v>0.0</v>
      </c>
      <c r="AQ16" s="8">
        <v>3000.0</v>
      </c>
      <c r="AR16" s="24">
        <f t="shared" si="13"/>
        <v>0</v>
      </c>
      <c r="AS16" s="109">
        <v>0.0</v>
      </c>
      <c r="AT16" s="8">
        <v>7000.0</v>
      </c>
      <c r="AU16" s="24">
        <f t="shared" si="14"/>
        <v>0</v>
      </c>
      <c r="AV16" s="109">
        <v>0.0</v>
      </c>
      <c r="AW16" s="8">
        <v>2000.0</v>
      </c>
      <c r="AX16" s="24">
        <f t="shared" si="15"/>
        <v>0</v>
      </c>
      <c r="AY16" s="112">
        <v>0.0</v>
      </c>
      <c r="AZ16" s="113">
        <v>50000.0</v>
      </c>
      <c r="BA16" s="114">
        <f t="shared" si="16"/>
        <v>0</v>
      </c>
      <c r="BB16" s="96">
        <f t="shared" si="17"/>
        <v>36875</v>
      </c>
      <c r="BC16" s="104">
        <f t="shared" si="18"/>
        <v>0.2048611111</v>
      </c>
      <c r="BD16" s="105">
        <f t="shared" si="20"/>
        <v>4.881355932</v>
      </c>
      <c r="BE16" s="8" t="str">
        <f t="shared" si="19"/>
        <v>YES</v>
      </c>
      <c r="BF16" s="8"/>
      <c r="BG16" s="8"/>
      <c r="BH16" s="8"/>
      <c r="BI16" s="8"/>
      <c r="BJ16" s="8"/>
    </row>
    <row r="17" ht="15.75" customHeight="1">
      <c r="A17" s="17"/>
      <c r="B17" s="18" t="s">
        <v>117</v>
      </c>
      <c r="C17" s="7" t="s">
        <v>130</v>
      </c>
      <c r="D17" s="7" t="s">
        <v>131</v>
      </c>
      <c r="E17" s="8" t="s">
        <v>132</v>
      </c>
      <c r="F17" s="9" t="s">
        <v>133</v>
      </c>
      <c r="G17" s="8"/>
      <c r="H17" s="8" t="s">
        <v>127</v>
      </c>
      <c r="I17" s="24" t="s">
        <v>134</v>
      </c>
      <c r="J17" s="127" t="s">
        <v>135</v>
      </c>
      <c r="K17" s="8">
        <v>100.0</v>
      </c>
      <c r="L17" s="8">
        <v>5.0</v>
      </c>
      <c r="M17" s="8">
        <v>85000.0</v>
      </c>
      <c r="N17" s="8">
        <v>0.0</v>
      </c>
      <c r="O17" s="8">
        <v>0.0</v>
      </c>
      <c r="P17" s="14">
        <f t="shared" si="1"/>
        <v>17000</v>
      </c>
      <c r="Q17" s="14">
        <f t="shared" si="2"/>
        <v>3400</v>
      </c>
      <c r="R17" s="8">
        <v>1.0</v>
      </c>
      <c r="S17" s="94">
        <f t="shared" si="3"/>
        <v>85000</v>
      </c>
      <c r="T17" s="107">
        <v>10.0</v>
      </c>
      <c r="U17" s="8">
        <v>0.6</v>
      </c>
      <c r="V17" s="8">
        <v>20.0</v>
      </c>
      <c r="W17" s="8">
        <f t="shared" si="4"/>
        <v>438000</v>
      </c>
      <c r="X17" s="24">
        <f t="shared" si="21"/>
        <v>481800</v>
      </c>
      <c r="Y17" s="108">
        <f t="shared" si="6"/>
        <v>43800</v>
      </c>
      <c r="Z17" s="107">
        <v>20.0</v>
      </c>
      <c r="AA17" s="110">
        <v>20000.0</v>
      </c>
      <c r="AB17" s="111">
        <f t="shared" si="7"/>
        <v>4000</v>
      </c>
      <c r="AC17" s="107">
        <v>39.0</v>
      </c>
      <c r="AD17" s="8">
        <v>50000.0</v>
      </c>
      <c r="AE17" s="8">
        <v>0.15</v>
      </c>
      <c r="AF17" s="8">
        <f t="shared" si="8"/>
        <v>7500</v>
      </c>
      <c r="AG17" s="24">
        <f t="shared" si="9"/>
        <v>2925</v>
      </c>
      <c r="AH17" s="109">
        <v>0.0</v>
      </c>
      <c r="AI17" s="8">
        <v>5000.0</v>
      </c>
      <c r="AJ17" s="24">
        <f t="shared" si="10"/>
        <v>0</v>
      </c>
      <c r="AK17" s="109">
        <v>0.0</v>
      </c>
      <c r="AL17" s="24">
        <f t="shared" si="11"/>
        <v>0</v>
      </c>
      <c r="AM17" s="109">
        <v>0.0</v>
      </c>
      <c r="AN17" s="8">
        <v>40000.0</v>
      </c>
      <c r="AO17" s="24">
        <f t="shared" si="12"/>
        <v>0</v>
      </c>
      <c r="AP17" s="109">
        <v>0.0</v>
      </c>
      <c r="AQ17" s="8">
        <v>3000.0</v>
      </c>
      <c r="AR17" s="24">
        <f t="shared" si="13"/>
        <v>0</v>
      </c>
      <c r="AS17" s="109">
        <v>0.0</v>
      </c>
      <c r="AT17" s="8">
        <v>7000.0</v>
      </c>
      <c r="AU17" s="24">
        <f t="shared" si="14"/>
        <v>0</v>
      </c>
      <c r="AV17" s="109">
        <v>0.0</v>
      </c>
      <c r="AW17" s="8">
        <v>2000.0</v>
      </c>
      <c r="AX17" s="24">
        <f t="shared" si="15"/>
        <v>0</v>
      </c>
      <c r="AY17" s="112">
        <v>0.0</v>
      </c>
      <c r="AZ17" s="113">
        <v>50000.0</v>
      </c>
      <c r="BA17" s="114">
        <f t="shared" si="16"/>
        <v>0</v>
      </c>
      <c r="BB17" s="96">
        <f t="shared" si="17"/>
        <v>30325</v>
      </c>
      <c r="BC17" s="104">
        <f t="shared" si="18"/>
        <v>0.3567647059</v>
      </c>
      <c r="BD17" s="105">
        <f t="shared" si="20"/>
        <v>2.802967848</v>
      </c>
      <c r="BE17" s="8" t="str">
        <f t="shared" si="19"/>
        <v>YES</v>
      </c>
      <c r="BF17" s="8"/>
      <c r="BG17" s="8"/>
      <c r="BH17" s="8"/>
      <c r="BI17" s="8"/>
      <c r="BJ17" s="8"/>
    </row>
    <row r="18" ht="15.75" customHeight="1">
      <c r="A18" s="17"/>
      <c r="B18" s="18" t="s">
        <v>117</v>
      </c>
      <c r="C18" s="7" t="s">
        <v>136</v>
      </c>
      <c r="D18" s="7" t="s">
        <v>23</v>
      </c>
      <c r="E18" s="43" t="s">
        <v>137</v>
      </c>
      <c r="F18" s="22" t="s">
        <v>138</v>
      </c>
      <c r="G18" s="8"/>
      <c r="H18" s="8" t="s">
        <v>127</v>
      </c>
      <c r="I18" s="24" t="s">
        <v>371</v>
      </c>
      <c r="J18" s="127" t="s">
        <v>140</v>
      </c>
      <c r="K18" s="8">
        <v>100.0</v>
      </c>
      <c r="L18" s="8">
        <v>5.0</v>
      </c>
      <c r="M18" s="8">
        <v>8500.0</v>
      </c>
      <c r="N18" s="8">
        <v>0.0</v>
      </c>
      <c r="O18" s="8">
        <v>0.0</v>
      </c>
      <c r="P18" s="14">
        <f t="shared" si="1"/>
        <v>1700</v>
      </c>
      <c r="Q18" s="14">
        <f t="shared" si="2"/>
        <v>340</v>
      </c>
      <c r="R18" s="8">
        <v>1.0</v>
      </c>
      <c r="S18" s="94">
        <f t="shared" si="3"/>
        <v>8500</v>
      </c>
      <c r="T18" s="107">
        <v>10.0</v>
      </c>
      <c r="U18" s="8">
        <v>0.6</v>
      </c>
      <c r="V18" s="8">
        <v>20.0</v>
      </c>
      <c r="W18" s="8">
        <f t="shared" si="4"/>
        <v>438000</v>
      </c>
      <c r="X18" s="24">
        <f t="shared" si="21"/>
        <v>481800</v>
      </c>
      <c r="Y18" s="108">
        <f t="shared" si="6"/>
        <v>43800</v>
      </c>
      <c r="Z18" s="107">
        <v>65.0</v>
      </c>
      <c r="AA18" s="110">
        <v>20000.0</v>
      </c>
      <c r="AB18" s="111">
        <f t="shared" si="7"/>
        <v>13000</v>
      </c>
      <c r="AC18" s="107">
        <v>39.0</v>
      </c>
      <c r="AD18" s="8">
        <v>50000.0</v>
      </c>
      <c r="AE18" s="8">
        <v>0.15</v>
      </c>
      <c r="AF18" s="8">
        <f t="shared" si="8"/>
        <v>7500</v>
      </c>
      <c r="AG18" s="24">
        <f t="shared" si="9"/>
        <v>2925</v>
      </c>
      <c r="AH18" s="109">
        <v>0.0</v>
      </c>
      <c r="AI18" s="8">
        <v>5000.0</v>
      </c>
      <c r="AJ18" s="24">
        <f t="shared" si="10"/>
        <v>0</v>
      </c>
      <c r="AK18" s="109">
        <v>0.0</v>
      </c>
      <c r="AL18" s="24">
        <f t="shared" si="11"/>
        <v>0</v>
      </c>
      <c r="AM18" s="109">
        <v>0.0</v>
      </c>
      <c r="AN18" s="8">
        <v>40000.0</v>
      </c>
      <c r="AO18" s="24">
        <f t="shared" si="12"/>
        <v>0</v>
      </c>
      <c r="AP18" s="109">
        <v>0.0</v>
      </c>
      <c r="AQ18" s="8">
        <v>3000.0</v>
      </c>
      <c r="AR18" s="24">
        <f t="shared" si="13"/>
        <v>0</v>
      </c>
      <c r="AS18" s="109">
        <v>0.0</v>
      </c>
      <c r="AT18" s="8">
        <v>7000.0</v>
      </c>
      <c r="AU18" s="24">
        <f t="shared" si="14"/>
        <v>0</v>
      </c>
      <c r="AV18" s="109">
        <v>0.0</v>
      </c>
      <c r="AW18" s="8">
        <v>2000.0</v>
      </c>
      <c r="AX18" s="24">
        <f t="shared" si="15"/>
        <v>0</v>
      </c>
      <c r="AY18" s="112">
        <v>0.0</v>
      </c>
      <c r="AZ18" s="113">
        <v>50000.0</v>
      </c>
      <c r="BA18" s="114">
        <f t="shared" si="16"/>
        <v>0</v>
      </c>
      <c r="BB18" s="96">
        <f t="shared" si="17"/>
        <v>57685</v>
      </c>
      <c r="BC18" s="104">
        <f t="shared" si="18"/>
        <v>6.786470588</v>
      </c>
      <c r="BD18" s="105">
        <f t="shared" si="20"/>
        <v>0.1473519979</v>
      </c>
      <c r="BE18" s="8" t="str">
        <f t="shared" si="19"/>
        <v>YES</v>
      </c>
      <c r="BF18" s="8"/>
      <c r="BG18" s="8"/>
      <c r="BH18" s="8"/>
      <c r="BI18" s="8"/>
      <c r="BJ18" s="8"/>
    </row>
    <row r="19" ht="15.75" customHeight="1">
      <c r="A19" s="17"/>
      <c r="B19" s="18" t="s">
        <v>141</v>
      </c>
      <c r="C19" s="7" t="s">
        <v>142</v>
      </c>
      <c r="D19" s="7" t="s">
        <v>54</v>
      </c>
      <c r="E19" s="8" t="s">
        <v>143</v>
      </c>
      <c r="F19" s="22" t="s">
        <v>144</v>
      </c>
      <c r="G19" s="8"/>
      <c r="H19" s="8" t="s">
        <v>127</v>
      </c>
      <c r="I19" s="24" t="s">
        <v>372</v>
      </c>
      <c r="J19" s="127" t="s">
        <v>146</v>
      </c>
      <c r="K19" s="8">
        <v>100.0</v>
      </c>
      <c r="L19" s="8">
        <v>5.0</v>
      </c>
      <c r="M19" s="8">
        <v>175000.0</v>
      </c>
      <c r="N19" s="8">
        <v>0.0</v>
      </c>
      <c r="O19" s="8">
        <v>0.0</v>
      </c>
      <c r="P19" s="14">
        <f t="shared" si="1"/>
        <v>35000</v>
      </c>
      <c r="Q19" s="14">
        <f t="shared" si="2"/>
        <v>7000</v>
      </c>
      <c r="R19" s="8">
        <v>1.0</v>
      </c>
      <c r="S19" s="94">
        <f t="shared" si="3"/>
        <v>175000</v>
      </c>
      <c r="T19" s="107">
        <v>10.0</v>
      </c>
      <c r="U19" s="8">
        <v>0.6</v>
      </c>
      <c r="V19" s="8">
        <v>20.0</v>
      </c>
      <c r="W19" s="8">
        <f t="shared" si="4"/>
        <v>438000</v>
      </c>
      <c r="X19" s="24">
        <f t="shared" si="21"/>
        <v>481800</v>
      </c>
      <c r="Y19" s="108">
        <f t="shared" si="6"/>
        <v>43800</v>
      </c>
      <c r="Z19" s="107">
        <v>20.0</v>
      </c>
      <c r="AA19" s="110">
        <v>20000.0</v>
      </c>
      <c r="AB19" s="111">
        <f t="shared" si="7"/>
        <v>4000</v>
      </c>
      <c r="AC19" s="107">
        <v>39.0</v>
      </c>
      <c r="AD19" s="8">
        <v>50000.0</v>
      </c>
      <c r="AE19" s="8">
        <v>0.15</v>
      </c>
      <c r="AF19" s="8">
        <f t="shared" si="8"/>
        <v>7500</v>
      </c>
      <c r="AG19" s="24">
        <f t="shared" si="9"/>
        <v>2925</v>
      </c>
      <c r="AH19" s="109">
        <v>0.0</v>
      </c>
      <c r="AI19" s="8">
        <v>5000.0</v>
      </c>
      <c r="AJ19" s="24">
        <f t="shared" si="10"/>
        <v>0</v>
      </c>
      <c r="AK19" s="109">
        <v>0.0</v>
      </c>
      <c r="AL19" s="24">
        <f t="shared" si="11"/>
        <v>0</v>
      </c>
      <c r="AM19" s="109">
        <v>0.0</v>
      </c>
      <c r="AN19" s="8">
        <v>40000.0</v>
      </c>
      <c r="AO19" s="24">
        <f t="shared" si="12"/>
        <v>0</v>
      </c>
      <c r="AP19" s="107">
        <v>75.0</v>
      </c>
      <c r="AQ19" s="8">
        <v>3000.0</v>
      </c>
      <c r="AR19" s="24">
        <f t="shared" si="13"/>
        <v>2250</v>
      </c>
      <c r="AS19" s="109">
        <v>0.0</v>
      </c>
      <c r="AT19" s="8">
        <v>7000.0</v>
      </c>
      <c r="AU19" s="24">
        <f t="shared" si="14"/>
        <v>0</v>
      </c>
      <c r="AV19" s="109">
        <v>0.0</v>
      </c>
      <c r="AW19" s="8">
        <v>2000.0</v>
      </c>
      <c r="AX19" s="24">
        <f t="shared" si="15"/>
        <v>0</v>
      </c>
      <c r="AY19" s="112">
        <v>0.0</v>
      </c>
      <c r="AZ19" s="113">
        <v>50000.0</v>
      </c>
      <c r="BA19" s="114">
        <f t="shared" si="16"/>
        <v>0</v>
      </c>
      <c r="BB19" s="96">
        <f t="shared" si="17"/>
        <v>10975</v>
      </c>
      <c r="BC19" s="104">
        <f t="shared" si="18"/>
        <v>0.06271428571</v>
      </c>
      <c r="BD19" s="105">
        <f t="shared" si="20"/>
        <v>15.9453303</v>
      </c>
      <c r="BE19" s="8" t="str">
        <f t="shared" si="19"/>
        <v>NO</v>
      </c>
      <c r="BF19" s="8"/>
      <c r="BG19" s="8"/>
      <c r="BH19" s="8"/>
      <c r="BI19" s="8"/>
      <c r="BJ19" s="8"/>
    </row>
    <row r="20" ht="15.75" customHeight="1">
      <c r="A20" s="17"/>
      <c r="B20" s="18" t="s">
        <v>141</v>
      </c>
      <c r="C20" s="7" t="s">
        <v>147</v>
      </c>
      <c r="D20" s="7" t="s">
        <v>148</v>
      </c>
      <c r="E20" s="7" t="s">
        <v>149</v>
      </c>
      <c r="F20" s="9" t="s">
        <v>373</v>
      </c>
      <c r="G20" s="8"/>
      <c r="H20" s="8" t="s">
        <v>127</v>
      </c>
      <c r="I20" s="24" t="s">
        <v>374</v>
      </c>
      <c r="J20" s="127" t="s">
        <v>152</v>
      </c>
      <c r="K20" s="8">
        <v>100.0</v>
      </c>
      <c r="L20" s="8">
        <v>5.0</v>
      </c>
      <c r="M20" s="8">
        <v>50000.0</v>
      </c>
      <c r="N20" s="8">
        <v>0.0</v>
      </c>
      <c r="O20" s="8">
        <v>0.0</v>
      </c>
      <c r="P20" s="14">
        <f t="shared" si="1"/>
        <v>10000</v>
      </c>
      <c r="Q20" s="14">
        <f t="shared" si="2"/>
        <v>2000</v>
      </c>
      <c r="R20" s="8">
        <v>1.0</v>
      </c>
      <c r="S20" s="94">
        <f t="shared" si="3"/>
        <v>50000</v>
      </c>
      <c r="T20" s="107">
        <v>10.0</v>
      </c>
      <c r="U20" s="8">
        <v>0.6</v>
      </c>
      <c r="V20" s="8">
        <v>20.0</v>
      </c>
      <c r="W20" s="8">
        <f t="shared" si="4"/>
        <v>438000</v>
      </c>
      <c r="X20" s="24">
        <f t="shared" si="21"/>
        <v>481800</v>
      </c>
      <c r="Y20" s="108">
        <f t="shared" si="6"/>
        <v>43800</v>
      </c>
      <c r="Z20" s="107">
        <v>25.0</v>
      </c>
      <c r="AA20" s="110">
        <v>20000.0</v>
      </c>
      <c r="AB20" s="111">
        <f t="shared" si="7"/>
        <v>5000</v>
      </c>
      <c r="AC20" s="107">
        <v>39.0</v>
      </c>
      <c r="AD20" s="8">
        <v>50000.0</v>
      </c>
      <c r="AE20" s="8">
        <v>0.15</v>
      </c>
      <c r="AF20" s="8">
        <f t="shared" si="8"/>
        <v>7500</v>
      </c>
      <c r="AG20" s="24">
        <f t="shared" si="9"/>
        <v>2925</v>
      </c>
      <c r="AH20" s="109">
        <v>0.0</v>
      </c>
      <c r="AI20" s="8">
        <v>5000.0</v>
      </c>
      <c r="AJ20" s="24">
        <f t="shared" si="10"/>
        <v>0</v>
      </c>
      <c r="AK20" s="109">
        <v>0.0</v>
      </c>
      <c r="AL20" s="24">
        <f t="shared" si="11"/>
        <v>0</v>
      </c>
      <c r="AM20" s="107">
        <v>33.0</v>
      </c>
      <c r="AN20" s="8">
        <v>40000.0</v>
      </c>
      <c r="AO20" s="24">
        <f t="shared" si="12"/>
        <v>13200</v>
      </c>
      <c r="AP20" s="109">
        <v>0.0</v>
      </c>
      <c r="AQ20" s="8">
        <v>3000.0</v>
      </c>
      <c r="AR20" s="24">
        <f t="shared" si="13"/>
        <v>0</v>
      </c>
      <c r="AS20" s="109">
        <v>0.0</v>
      </c>
      <c r="AT20" s="8">
        <v>7000.0</v>
      </c>
      <c r="AU20" s="24">
        <f t="shared" si="14"/>
        <v>0</v>
      </c>
      <c r="AV20" s="109">
        <v>0.0</v>
      </c>
      <c r="AW20" s="8">
        <v>2000.0</v>
      </c>
      <c r="AX20" s="24">
        <f t="shared" si="15"/>
        <v>0</v>
      </c>
      <c r="AY20" s="112">
        <v>0.0</v>
      </c>
      <c r="AZ20" s="113">
        <v>50000.0</v>
      </c>
      <c r="BA20" s="114">
        <f t="shared" si="16"/>
        <v>0</v>
      </c>
      <c r="BB20" s="96">
        <f t="shared" si="17"/>
        <v>52925</v>
      </c>
      <c r="BC20" s="104">
        <f t="shared" si="18"/>
        <v>1.0585</v>
      </c>
      <c r="BD20" s="105">
        <f t="shared" si="20"/>
        <v>0.9447331129</v>
      </c>
      <c r="BE20" s="8" t="str">
        <f t="shared" si="19"/>
        <v>YES</v>
      </c>
      <c r="BF20" s="8"/>
      <c r="BG20" s="8"/>
      <c r="BH20" s="8"/>
      <c r="BI20" s="8"/>
      <c r="BJ20" s="8"/>
    </row>
    <row r="21" ht="15.75" customHeight="1">
      <c r="A21" s="17"/>
      <c r="B21" s="7" t="s">
        <v>141</v>
      </c>
      <c r="C21" s="7" t="s">
        <v>153</v>
      </c>
      <c r="D21" s="7" t="s">
        <v>154</v>
      </c>
      <c r="E21" s="8" t="s">
        <v>155</v>
      </c>
      <c r="F21" s="22" t="s">
        <v>156</v>
      </c>
      <c r="G21" s="22" t="s">
        <v>91</v>
      </c>
      <c r="H21" s="8" t="s">
        <v>157</v>
      </c>
      <c r="I21" s="24" t="s">
        <v>158</v>
      </c>
      <c r="J21" s="127" t="s">
        <v>159</v>
      </c>
      <c r="K21" s="8">
        <v>100.0</v>
      </c>
      <c r="L21" s="8">
        <v>5.0</v>
      </c>
      <c r="M21" s="8">
        <v>75000.0</v>
      </c>
      <c r="N21" s="8">
        <v>0.0</v>
      </c>
      <c r="O21" s="8">
        <v>0.0</v>
      </c>
      <c r="P21" s="14">
        <f t="shared" si="1"/>
        <v>15000</v>
      </c>
      <c r="Q21" s="14">
        <f t="shared" si="2"/>
        <v>3000</v>
      </c>
      <c r="R21" s="8">
        <v>1.0</v>
      </c>
      <c r="S21" s="94">
        <f t="shared" si="3"/>
        <v>75000</v>
      </c>
      <c r="T21" s="107">
        <v>10.0</v>
      </c>
      <c r="U21" s="8">
        <v>0.6</v>
      </c>
      <c r="V21" s="8">
        <v>20.0</v>
      </c>
      <c r="W21" s="8">
        <f t="shared" si="4"/>
        <v>438000</v>
      </c>
      <c r="X21" s="24">
        <f t="shared" si="21"/>
        <v>481800</v>
      </c>
      <c r="Y21" s="108">
        <f t="shared" si="6"/>
        <v>43800</v>
      </c>
      <c r="Z21" s="107">
        <v>20.0</v>
      </c>
      <c r="AA21" s="110">
        <v>20000.0</v>
      </c>
      <c r="AB21" s="111">
        <f t="shared" si="7"/>
        <v>4000</v>
      </c>
      <c r="AC21" s="107">
        <v>39.0</v>
      </c>
      <c r="AD21" s="8">
        <v>50000.0</v>
      </c>
      <c r="AE21" s="8">
        <v>0.15</v>
      </c>
      <c r="AF21" s="8">
        <f t="shared" si="8"/>
        <v>7500</v>
      </c>
      <c r="AG21" s="24">
        <f t="shared" si="9"/>
        <v>2925</v>
      </c>
      <c r="AH21" s="109">
        <v>0.0</v>
      </c>
      <c r="AI21" s="8">
        <v>5000.0</v>
      </c>
      <c r="AJ21" s="24">
        <f t="shared" si="10"/>
        <v>0</v>
      </c>
      <c r="AK21" s="109">
        <v>0.0</v>
      </c>
      <c r="AL21" s="24">
        <f t="shared" si="11"/>
        <v>0</v>
      </c>
      <c r="AM21" s="109">
        <v>0.0</v>
      </c>
      <c r="AN21" s="8">
        <v>40000.0</v>
      </c>
      <c r="AO21" s="24">
        <f t="shared" si="12"/>
        <v>0</v>
      </c>
      <c r="AP21" s="109">
        <v>0.0</v>
      </c>
      <c r="AQ21" s="8">
        <v>3000.0</v>
      </c>
      <c r="AR21" s="24">
        <f t="shared" si="13"/>
        <v>0</v>
      </c>
      <c r="AS21" s="109">
        <v>0.0</v>
      </c>
      <c r="AT21" s="8">
        <v>7000.0</v>
      </c>
      <c r="AU21" s="24">
        <f t="shared" si="14"/>
        <v>0</v>
      </c>
      <c r="AV21" s="109">
        <v>0.0</v>
      </c>
      <c r="AW21" s="8">
        <v>2000.0</v>
      </c>
      <c r="AX21" s="24">
        <f t="shared" si="15"/>
        <v>0</v>
      </c>
      <c r="AY21" s="112">
        <v>0.0</v>
      </c>
      <c r="AZ21" s="113">
        <v>50000.0</v>
      </c>
      <c r="BA21" s="114">
        <f t="shared" si="16"/>
        <v>0</v>
      </c>
      <c r="BB21" s="96">
        <f t="shared" si="17"/>
        <v>32725</v>
      </c>
      <c r="BC21" s="104">
        <f t="shared" si="18"/>
        <v>0.4363333333</v>
      </c>
      <c r="BD21" s="105">
        <f t="shared" si="20"/>
        <v>2.291825821</v>
      </c>
      <c r="BE21" s="8" t="str">
        <f t="shared" si="19"/>
        <v>YES</v>
      </c>
      <c r="BF21" s="8"/>
      <c r="BG21" s="8"/>
      <c r="BH21" s="8"/>
      <c r="BI21" s="8"/>
      <c r="BJ21" s="8"/>
    </row>
    <row r="22" ht="15.75" customHeight="1">
      <c r="A22" s="17"/>
      <c r="B22" s="18" t="s">
        <v>160</v>
      </c>
      <c r="C22" s="7" t="s">
        <v>161</v>
      </c>
      <c r="D22" s="7" t="s">
        <v>148</v>
      </c>
      <c r="E22" s="8" t="s">
        <v>162</v>
      </c>
      <c r="F22" s="9" t="s">
        <v>375</v>
      </c>
      <c r="G22" s="8"/>
      <c r="H22" s="6" t="s">
        <v>164</v>
      </c>
      <c r="I22" s="24" t="s">
        <v>376</v>
      </c>
      <c r="J22" s="127" t="s">
        <v>166</v>
      </c>
      <c r="K22" s="8">
        <v>100.0</v>
      </c>
      <c r="L22" s="8">
        <v>5.0</v>
      </c>
      <c r="M22" s="8">
        <v>35000.0</v>
      </c>
      <c r="N22" s="8">
        <v>0.0</v>
      </c>
      <c r="O22" s="8">
        <v>0.0</v>
      </c>
      <c r="P22" s="14">
        <f t="shared" si="1"/>
        <v>7000</v>
      </c>
      <c r="Q22" s="14">
        <f t="shared" si="2"/>
        <v>1400</v>
      </c>
      <c r="R22" s="8">
        <v>1.0</v>
      </c>
      <c r="S22" s="94">
        <f t="shared" si="3"/>
        <v>35000</v>
      </c>
      <c r="T22" s="107">
        <v>10.0</v>
      </c>
      <c r="U22" s="8">
        <v>0.6</v>
      </c>
      <c r="V22" s="8">
        <v>20.0</v>
      </c>
      <c r="W22" s="8">
        <f t="shared" si="4"/>
        <v>438000</v>
      </c>
      <c r="X22" s="24">
        <f t="shared" si="21"/>
        <v>481800</v>
      </c>
      <c r="Y22" s="108">
        <f t="shared" si="6"/>
        <v>43800</v>
      </c>
      <c r="Z22" s="107">
        <v>20.0</v>
      </c>
      <c r="AA22" s="110">
        <v>20000.0</v>
      </c>
      <c r="AB22" s="111">
        <f t="shared" si="7"/>
        <v>4000</v>
      </c>
      <c r="AC22" s="107">
        <v>39.0</v>
      </c>
      <c r="AD22" s="8">
        <v>50000.0</v>
      </c>
      <c r="AE22" s="8">
        <v>0.15</v>
      </c>
      <c r="AF22" s="8">
        <f t="shared" si="8"/>
        <v>7500</v>
      </c>
      <c r="AG22" s="24">
        <f t="shared" si="9"/>
        <v>2925</v>
      </c>
      <c r="AH22" s="109">
        <v>0.0</v>
      </c>
      <c r="AI22" s="8">
        <v>5000.0</v>
      </c>
      <c r="AJ22" s="24">
        <f t="shared" si="10"/>
        <v>0</v>
      </c>
      <c r="AK22" s="109">
        <v>0.0</v>
      </c>
      <c r="AL22" s="24">
        <f t="shared" si="11"/>
        <v>0</v>
      </c>
      <c r="AM22" s="109">
        <v>0.0</v>
      </c>
      <c r="AN22" s="8">
        <v>40000.0</v>
      </c>
      <c r="AO22" s="24">
        <f t="shared" si="12"/>
        <v>0</v>
      </c>
      <c r="AP22" s="109">
        <v>0.0</v>
      </c>
      <c r="AQ22" s="8">
        <v>3000.0</v>
      </c>
      <c r="AR22" s="24">
        <f t="shared" si="13"/>
        <v>0</v>
      </c>
      <c r="AS22" s="109">
        <v>0.0</v>
      </c>
      <c r="AT22" s="8">
        <v>7000.0</v>
      </c>
      <c r="AU22" s="24">
        <f t="shared" si="14"/>
        <v>0</v>
      </c>
      <c r="AV22" s="109">
        <v>0.0</v>
      </c>
      <c r="AW22" s="8">
        <v>2000.0</v>
      </c>
      <c r="AX22" s="24">
        <f t="shared" si="15"/>
        <v>0</v>
      </c>
      <c r="AY22" s="112">
        <v>0.0</v>
      </c>
      <c r="AZ22" s="113">
        <v>50000.0</v>
      </c>
      <c r="BA22" s="114">
        <f t="shared" si="16"/>
        <v>0</v>
      </c>
      <c r="BB22" s="96">
        <f t="shared" si="17"/>
        <v>42325</v>
      </c>
      <c r="BC22" s="104">
        <f t="shared" si="18"/>
        <v>1.209285714</v>
      </c>
      <c r="BD22" s="105">
        <f t="shared" si="20"/>
        <v>0.8269344359</v>
      </c>
      <c r="BE22" s="8" t="str">
        <f t="shared" si="19"/>
        <v>YES</v>
      </c>
      <c r="BF22" s="8"/>
      <c r="BG22" s="8"/>
      <c r="BH22" s="8"/>
      <c r="BI22" s="8"/>
      <c r="BJ22" s="8"/>
    </row>
    <row r="23" ht="15.0" customHeight="1">
      <c r="A23" s="17"/>
      <c r="B23" s="18" t="s">
        <v>117</v>
      </c>
      <c r="C23" s="7" t="s">
        <v>167</v>
      </c>
      <c r="D23" s="7" t="s">
        <v>168</v>
      </c>
      <c r="E23" s="7" t="s">
        <v>169</v>
      </c>
      <c r="F23" s="22" t="s">
        <v>170</v>
      </c>
      <c r="G23" s="8"/>
      <c r="H23" s="6" t="s">
        <v>164</v>
      </c>
      <c r="I23" s="24" t="s">
        <v>171</v>
      </c>
      <c r="J23" s="127" t="s">
        <v>159</v>
      </c>
      <c r="K23" s="8">
        <v>100.0</v>
      </c>
      <c r="L23" s="8">
        <v>5.0</v>
      </c>
      <c r="M23" s="8">
        <v>75000.0</v>
      </c>
      <c r="N23" s="8">
        <v>0.0</v>
      </c>
      <c r="O23" s="8">
        <v>0.0</v>
      </c>
      <c r="P23" s="14">
        <f t="shared" si="1"/>
        <v>15000</v>
      </c>
      <c r="Q23" s="14">
        <f t="shared" si="2"/>
        <v>3000</v>
      </c>
      <c r="R23" s="8">
        <v>1.0</v>
      </c>
      <c r="S23" s="94">
        <f t="shared" si="3"/>
        <v>75000</v>
      </c>
      <c r="T23" s="107">
        <v>10.0</v>
      </c>
      <c r="U23" s="8">
        <v>0.6</v>
      </c>
      <c r="V23" s="8">
        <v>20.0</v>
      </c>
      <c r="W23" s="8">
        <f t="shared" si="4"/>
        <v>438000</v>
      </c>
      <c r="X23" s="24">
        <f t="shared" si="21"/>
        <v>481800</v>
      </c>
      <c r="Y23" s="108">
        <f t="shared" si="6"/>
        <v>43800</v>
      </c>
      <c r="Z23" s="107">
        <v>20.0</v>
      </c>
      <c r="AA23" s="110">
        <v>20000.0</v>
      </c>
      <c r="AB23" s="111">
        <f t="shared" si="7"/>
        <v>4000</v>
      </c>
      <c r="AC23" s="107">
        <v>39.0</v>
      </c>
      <c r="AD23" s="8">
        <v>50000.0</v>
      </c>
      <c r="AE23" s="8">
        <v>0.15</v>
      </c>
      <c r="AF23" s="8">
        <f t="shared" si="8"/>
        <v>7500</v>
      </c>
      <c r="AG23" s="24">
        <f t="shared" si="9"/>
        <v>2925</v>
      </c>
      <c r="AH23" s="109">
        <v>0.0</v>
      </c>
      <c r="AI23" s="8">
        <v>5000.0</v>
      </c>
      <c r="AJ23" s="24">
        <f t="shared" si="10"/>
        <v>0</v>
      </c>
      <c r="AK23" s="109">
        <v>0.0</v>
      </c>
      <c r="AL23" s="24">
        <f t="shared" si="11"/>
        <v>0</v>
      </c>
      <c r="AM23" s="109">
        <v>0.0</v>
      </c>
      <c r="AN23" s="8">
        <v>40000.0</v>
      </c>
      <c r="AO23" s="24">
        <f t="shared" si="12"/>
        <v>0</v>
      </c>
      <c r="AP23" s="109">
        <v>0.0</v>
      </c>
      <c r="AQ23" s="8">
        <v>3000.0</v>
      </c>
      <c r="AR23" s="24">
        <f t="shared" si="13"/>
        <v>0</v>
      </c>
      <c r="AS23" s="109">
        <v>0.0</v>
      </c>
      <c r="AT23" s="8">
        <v>7000.0</v>
      </c>
      <c r="AU23" s="24">
        <f t="shared" si="14"/>
        <v>0</v>
      </c>
      <c r="AV23" s="109">
        <v>0.0</v>
      </c>
      <c r="AW23" s="8">
        <v>2000.0</v>
      </c>
      <c r="AX23" s="24">
        <f t="shared" si="15"/>
        <v>0</v>
      </c>
      <c r="AY23" s="112">
        <v>0.0</v>
      </c>
      <c r="AZ23" s="113">
        <v>50000.0</v>
      </c>
      <c r="BA23" s="114">
        <f t="shared" si="16"/>
        <v>0</v>
      </c>
      <c r="BB23" s="96">
        <f t="shared" si="17"/>
        <v>32725</v>
      </c>
      <c r="BC23" s="104">
        <f t="shared" si="18"/>
        <v>0.4363333333</v>
      </c>
      <c r="BD23" s="105">
        <f t="shared" si="20"/>
        <v>2.291825821</v>
      </c>
      <c r="BE23" s="8" t="str">
        <f t="shared" si="19"/>
        <v>YES</v>
      </c>
      <c r="BF23" s="8"/>
      <c r="BG23" s="8"/>
      <c r="BH23" s="8"/>
      <c r="BI23" s="8"/>
      <c r="BJ23" s="8"/>
    </row>
    <row r="24" ht="17.25" customHeight="1">
      <c r="A24" s="25"/>
      <c r="B24" s="37" t="s">
        <v>141</v>
      </c>
      <c r="C24" s="26" t="s">
        <v>172</v>
      </c>
      <c r="D24" s="26" t="s">
        <v>173</v>
      </c>
      <c r="E24" s="26" t="s">
        <v>174</v>
      </c>
      <c r="F24" s="129" t="s">
        <v>377</v>
      </c>
      <c r="G24" s="28"/>
      <c r="H24" s="28" t="s">
        <v>127</v>
      </c>
      <c r="I24" s="29" t="s">
        <v>176</v>
      </c>
      <c r="J24" s="128" t="s">
        <v>177</v>
      </c>
      <c r="K24" s="28">
        <v>100.0</v>
      </c>
      <c r="L24" s="28">
        <v>5.0</v>
      </c>
      <c r="M24" s="28">
        <v>15000.0</v>
      </c>
      <c r="N24" s="28">
        <v>0.0</v>
      </c>
      <c r="O24" s="28">
        <v>0.0</v>
      </c>
      <c r="P24" s="14">
        <f t="shared" si="1"/>
        <v>3000</v>
      </c>
      <c r="Q24" s="14">
        <f t="shared" si="2"/>
        <v>600</v>
      </c>
      <c r="R24" s="28">
        <v>1.0</v>
      </c>
      <c r="S24" s="94">
        <f t="shared" si="3"/>
        <v>15000</v>
      </c>
      <c r="T24" s="120">
        <v>10.0</v>
      </c>
      <c r="U24" s="8">
        <v>0.6</v>
      </c>
      <c r="V24" s="8">
        <v>20.0</v>
      </c>
      <c r="W24" s="28">
        <f t="shared" si="4"/>
        <v>438000</v>
      </c>
      <c r="X24" s="29">
        <f t="shared" si="21"/>
        <v>481800</v>
      </c>
      <c r="Y24" s="121">
        <f t="shared" si="6"/>
        <v>43800</v>
      </c>
      <c r="Z24" s="120">
        <v>70.0</v>
      </c>
      <c r="AA24" s="130">
        <v>20000.0</v>
      </c>
      <c r="AB24" s="122">
        <f t="shared" si="7"/>
        <v>14000</v>
      </c>
      <c r="AC24" s="120">
        <v>20.0</v>
      </c>
      <c r="AD24" s="8">
        <v>50000.0</v>
      </c>
      <c r="AE24" s="8">
        <v>0.15</v>
      </c>
      <c r="AF24" s="28">
        <f t="shared" si="8"/>
        <v>7500</v>
      </c>
      <c r="AG24" s="29">
        <f t="shared" si="9"/>
        <v>1500</v>
      </c>
      <c r="AH24" s="123">
        <v>0.0</v>
      </c>
      <c r="AI24" s="8">
        <v>5000.0</v>
      </c>
      <c r="AJ24" s="29">
        <f t="shared" si="10"/>
        <v>0</v>
      </c>
      <c r="AK24" s="123">
        <v>0.0</v>
      </c>
      <c r="AL24" s="29">
        <f t="shared" si="11"/>
        <v>0</v>
      </c>
      <c r="AM24" s="123">
        <v>0.0</v>
      </c>
      <c r="AN24" s="8">
        <v>40000.0</v>
      </c>
      <c r="AO24" s="29">
        <f t="shared" si="12"/>
        <v>0</v>
      </c>
      <c r="AP24" s="123">
        <v>0.0</v>
      </c>
      <c r="AQ24" s="8">
        <v>3000.0</v>
      </c>
      <c r="AR24" s="29">
        <f t="shared" si="13"/>
        <v>0</v>
      </c>
      <c r="AS24" s="123">
        <v>0.0</v>
      </c>
      <c r="AT24" s="8">
        <v>7000.0</v>
      </c>
      <c r="AU24" s="29">
        <f t="shared" si="14"/>
        <v>0</v>
      </c>
      <c r="AV24" s="123">
        <v>0.0</v>
      </c>
      <c r="AW24" s="8">
        <v>2000.0</v>
      </c>
      <c r="AX24" s="29">
        <f t="shared" si="15"/>
        <v>0</v>
      </c>
      <c r="AY24" s="124">
        <v>0.0</v>
      </c>
      <c r="AZ24" s="113">
        <v>50000.0</v>
      </c>
      <c r="BA24" s="125">
        <f t="shared" si="16"/>
        <v>0</v>
      </c>
      <c r="BB24" s="96">
        <f t="shared" si="17"/>
        <v>55700</v>
      </c>
      <c r="BC24" s="104">
        <f t="shared" si="18"/>
        <v>3.713333333</v>
      </c>
      <c r="BD24" s="105">
        <f t="shared" si="20"/>
        <v>0.2692998205</v>
      </c>
      <c r="BE24" s="8" t="str">
        <f t="shared" si="19"/>
        <v>YES</v>
      </c>
      <c r="BF24" s="8"/>
      <c r="BG24" s="8"/>
      <c r="BH24" s="8"/>
      <c r="BI24" s="8"/>
      <c r="BJ24" s="8"/>
    </row>
    <row r="25" ht="15.75" customHeight="1">
      <c r="A25" s="11" t="s">
        <v>237</v>
      </c>
      <c r="B25" s="30" t="s">
        <v>238</v>
      </c>
      <c r="C25" s="13" t="s">
        <v>239</v>
      </c>
      <c r="D25" s="13" t="s">
        <v>240</v>
      </c>
      <c r="E25" s="13" t="s">
        <v>241</v>
      </c>
      <c r="F25" s="15" t="s">
        <v>242</v>
      </c>
      <c r="G25" s="14"/>
      <c r="H25" s="14" t="s">
        <v>243</v>
      </c>
      <c r="I25" s="94" t="s">
        <v>378</v>
      </c>
      <c r="J25" s="127" t="s">
        <v>245</v>
      </c>
      <c r="K25" s="8">
        <v>100.0</v>
      </c>
      <c r="L25" s="8">
        <v>5.0</v>
      </c>
      <c r="M25" s="8">
        <v>0.0</v>
      </c>
      <c r="N25" s="8">
        <v>0.0</v>
      </c>
      <c r="O25" s="8">
        <v>3.75</v>
      </c>
      <c r="P25" s="14">
        <f t="shared" si="1"/>
        <v>0</v>
      </c>
      <c r="Q25" s="14">
        <f t="shared" si="2"/>
        <v>0</v>
      </c>
      <c r="R25" s="8">
        <v>1.0</v>
      </c>
      <c r="S25" s="94">
        <f t="shared" si="3"/>
        <v>0</v>
      </c>
      <c r="T25" s="109">
        <v>0.0</v>
      </c>
      <c r="U25" s="14">
        <v>0.6</v>
      </c>
      <c r="V25" s="14">
        <v>20.0</v>
      </c>
      <c r="W25" s="8">
        <f t="shared" si="4"/>
        <v>438000</v>
      </c>
      <c r="X25" s="24">
        <f t="shared" si="21"/>
        <v>438000</v>
      </c>
      <c r="Y25" s="108">
        <f t="shared" si="6"/>
        <v>0</v>
      </c>
      <c r="Z25" s="107">
        <v>25.0</v>
      </c>
      <c r="AA25" s="110">
        <v>20000.0</v>
      </c>
      <c r="AB25" s="111">
        <f t="shared" si="7"/>
        <v>5000</v>
      </c>
      <c r="AC25" s="109">
        <v>0.0</v>
      </c>
      <c r="AD25" s="14">
        <v>50000.0</v>
      </c>
      <c r="AE25" s="14">
        <v>0.15</v>
      </c>
      <c r="AF25" s="8">
        <f t="shared" si="8"/>
        <v>7500</v>
      </c>
      <c r="AG25" s="24">
        <f t="shared" si="9"/>
        <v>0</v>
      </c>
      <c r="AH25" s="109">
        <v>0.0</v>
      </c>
      <c r="AI25" s="14">
        <v>5000.0</v>
      </c>
      <c r="AJ25" s="24">
        <f t="shared" si="10"/>
        <v>0</v>
      </c>
      <c r="AK25" s="109">
        <v>0.0</v>
      </c>
      <c r="AL25" s="24">
        <f t="shared" si="11"/>
        <v>0</v>
      </c>
      <c r="AM25" s="109">
        <v>0.0</v>
      </c>
      <c r="AN25" s="14">
        <v>40000.0</v>
      </c>
      <c r="AO25" s="24">
        <f t="shared" si="12"/>
        <v>0</v>
      </c>
      <c r="AP25" s="109">
        <v>0.0</v>
      </c>
      <c r="AQ25" s="14">
        <v>3000.0</v>
      </c>
      <c r="AR25" s="24">
        <f t="shared" si="13"/>
        <v>0</v>
      </c>
      <c r="AS25" s="109">
        <v>0.0</v>
      </c>
      <c r="AT25" s="14">
        <v>7000.0</v>
      </c>
      <c r="AU25" s="24">
        <f t="shared" si="14"/>
        <v>0</v>
      </c>
      <c r="AV25" s="109">
        <v>0.0</v>
      </c>
      <c r="AW25" s="14">
        <v>2000.0</v>
      </c>
      <c r="AX25" s="24">
        <f t="shared" si="15"/>
        <v>0</v>
      </c>
      <c r="AY25" s="112">
        <v>0.0</v>
      </c>
      <c r="AZ25" s="102">
        <v>50000.0</v>
      </c>
      <c r="BA25" s="114">
        <f t="shared" si="16"/>
        <v>0</v>
      </c>
      <c r="BB25" s="96">
        <f t="shared" si="17"/>
        <v>500</v>
      </c>
      <c r="BC25" s="104" t="str">
        <f t="shared" si="18"/>
        <v>The DAT is free</v>
      </c>
      <c r="BD25" s="105">
        <f t="shared" si="20"/>
        <v>0</v>
      </c>
      <c r="BE25" s="8" t="str">
        <f t="shared" si="19"/>
        <v>YES</v>
      </c>
      <c r="BF25" s="8"/>
      <c r="BG25" s="8"/>
      <c r="BH25" s="8"/>
      <c r="BI25" s="8"/>
      <c r="BJ25" s="8"/>
    </row>
    <row r="26" ht="15.75" customHeight="1">
      <c r="A26" s="17"/>
      <c r="B26" s="18" t="s">
        <v>246</v>
      </c>
      <c r="C26" s="7" t="s">
        <v>247</v>
      </c>
      <c r="D26" s="7" t="s">
        <v>248</v>
      </c>
      <c r="E26" s="8" t="s">
        <v>249</v>
      </c>
      <c r="F26" s="9" t="s">
        <v>250</v>
      </c>
      <c r="G26" s="8"/>
      <c r="H26" s="8" t="s">
        <v>251</v>
      </c>
      <c r="I26" s="24" t="s">
        <v>252</v>
      </c>
      <c r="J26" s="127" t="s">
        <v>253</v>
      </c>
      <c r="K26" s="8">
        <v>100.0</v>
      </c>
      <c r="L26" s="8">
        <v>5.0</v>
      </c>
      <c r="M26" s="8">
        <v>3000.0</v>
      </c>
      <c r="N26" s="8">
        <v>0.0</v>
      </c>
      <c r="O26" s="8">
        <v>0.0</v>
      </c>
      <c r="P26" s="14">
        <f t="shared" si="1"/>
        <v>600</v>
      </c>
      <c r="Q26" s="14">
        <f t="shared" si="2"/>
        <v>120</v>
      </c>
      <c r="R26" s="8">
        <v>1.0</v>
      </c>
      <c r="S26" s="94">
        <f t="shared" si="3"/>
        <v>3000</v>
      </c>
      <c r="T26" s="107">
        <v>0.0</v>
      </c>
      <c r="U26" s="8">
        <v>0.6</v>
      </c>
      <c r="V26" s="8">
        <v>20.0</v>
      </c>
      <c r="W26" s="8">
        <f t="shared" si="4"/>
        <v>438000</v>
      </c>
      <c r="X26" s="24">
        <f t="shared" si="21"/>
        <v>438000</v>
      </c>
      <c r="Y26" s="108">
        <f t="shared" si="6"/>
        <v>0</v>
      </c>
      <c r="Z26" s="107">
        <v>0.0</v>
      </c>
      <c r="AA26" s="110">
        <v>20000.0</v>
      </c>
      <c r="AB26" s="111">
        <f t="shared" si="7"/>
        <v>0</v>
      </c>
      <c r="AC26" s="107">
        <v>0.0</v>
      </c>
      <c r="AD26" s="8">
        <v>50000.0</v>
      </c>
      <c r="AE26" s="8">
        <v>0.15</v>
      </c>
      <c r="AF26" s="8">
        <f t="shared" si="8"/>
        <v>7500</v>
      </c>
      <c r="AG26" s="24">
        <f t="shared" si="9"/>
        <v>0</v>
      </c>
      <c r="AH26" s="107">
        <v>0.0</v>
      </c>
      <c r="AI26" s="8">
        <v>5000.0</v>
      </c>
      <c r="AJ26" s="24">
        <f t="shared" si="10"/>
        <v>0</v>
      </c>
      <c r="AK26" s="107">
        <v>0.0</v>
      </c>
      <c r="AL26" s="24">
        <f t="shared" si="11"/>
        <v>0</v>
      </c>
      <c r="AM26" s="107">
        <v>0.0</v>
      </c>
      <c r="AN26" s="8">
        <v>40000.0</v>
      </c>
      <c r="AO26" s="24">
        <f t="shared" si="12"/>
        <v>0</v>
      </c>
      <c r="AP26" s="107">
        <v>0.0</v>
      </c>
      <c r="AQ26" s="8">
        <v>3000.0</v>
      </c>
      <c r="AR26" s="24">
        <f t="shared" si="13"/>
        <v>0</v>
      </c>
      <c r="AS26" s="107">
        <v>0.0</v>
      </c>
      <c r="AT26" s="8">
        <v>7000.0</v>
      </c>
      <c r="AU26" s="24">
        <f t="shared" si="14"/>
        <v>0</v>
      </c>
      <c r="AV26" s="107">
        <v>0.0</v>
      </c>
      <c r="AW26" s="8">
        <v>2000.0</v>
      </c>
      <c r="AX26" s="24">
        <f t="shared" si="15"/>
        <v>0</v>
      </c>
      <c r="AY26" s="112">
        <v>5.0</v>
      </c>
      <c r="AZ26" s="113">
        <v>50000.0</v>
      </c>
      <c r="BA26" s="114">
        <f t="shared" si="16"/>
        <v>2500</v>
      </c>
      <c r="BB26" s="96">
        <f t="shared" si="17"/>
        <v>1780</v>
      </c>
      <c r="BC26" s="104">
        <f t="shared" si="18"/>
        <v>0.5933333333</v>
      </c>
      <c r="BD26" s="105">
        <f t="shared" si="20"/>
        <v>1.685393258</v>
      </c>
      <c r="BE26" s="8" t="str">
        <f t="shared" si="19"/>
        <v>YES</v>
      </c>
      <c r="BF26" s="8"/>
      <c r="BG26" s="8"/>
      <c r="BH26" s="8"/>
      <c r="BI26" s="8"/>
      <c r="BJ26" s="8"/>
    </row>
    <row r="27" ht="16.5" customHeight="1">
      <c r="A27" s="17"/>
      <c r="B27" s="18" t="s">
        <v>72</v>
      </c>
      <c r="C27" s="7" t="s">
        <v>73</v>
      </c>
      <c r="D27" s="7" t="s">
        <v>254</v>
      </c>
      <c r="E27" s="8" t="s">
        <v>255</v>
      </c>
      <c r="F27" s="9" t="s">
        <v>76</v>
      </c>
      <c r="G27" s="8"/>
      <c r="H27" s="8" t="s">
        <v>256</v>
      </c>
      <c r="I27" s="24" t="s">
        <v>257</v>
      </c>
      <c r="J27" s="127" t="s">
        <v>258</v>
      </c>
      <c r="K27" s="8">
        <v>100.0</v>
      </c>
      <c r="L27" s="8">
        <v>5.0</v>
      </c>
      <c r="M27" s="8">
        <v>0.0</v>
      </c>
      <c r="N27" s="8">
        <v>40.0</v>
      </c>
      <c r="O27" s="8">
        <v>4.0</v>
      </c>
      <c r="P27" s="14">
        <f t="shared" si="1"/>
        <v>800</v>
      </c>
      <c r="Q27" s="14">
        <f t="shared" si="2"/>
        <v>160</v>
      </c>
      <c r="R27" s="8">
        <v>1.0</v>
      </c>
      <c r="S27" s="94">
        <f t="shared" si="3"/>
        <v>4000</v>
      </c>
      <c r="T27" s="109">
        <v>0.0</v>
      </c>
      <c r="U27" s="8">
        <v>0.6</v>
      </c>
      <c r="V27" s="8">
        <v>20.0</v>
      </c>
      <c r="W27" s="8">
        <f t="shared" si="4"/>
        <v>438000</v>
      </c>
      <c r="X27" s="24">
        <f t="shared" si="21"/>
        <v>438000</v>
      </c>
      <c r="Y27" s="108">
        <f t="shared" si="6"/>
        <v>0</v>
      </c>
      <c r="Z27" s="109">
        <v>0.0</v>
      </c>
      <c r="AA27" s="110">
        <v>20000.0</v>
      </c>
      <c r="AB27" s="111">
        <f t="shared" si="7"/>
        <v>0</v>
      </c>
      <c r="AC27" s="109">
        <v>0.0</v>
      </c>
      <c r="AD27" s="8">
        <v>50000.0</v>
      </c>
      <c r="AE27" s="8">
        <v>0.15</v>
      </c>
      <c r="AF27" s="8">
        <f t="shared" si="8"/>
        <v>7500</v>
      </c>
      <c r="AG27" s="24">
        <f t="shared" si="9"/>
        <v>0</v>
      </c>
      <c r="AH27" s="109">
        <v>0.0</v>
      </c>
      <c r="AI27" s="8">
        <v>5000.0</v>
      </c>
      <c r="AJ27" s="24">
        <f t="shared" si="10"/>
        <v>0</v>
      </c>
      <c r="AK27" s="109">
        <v>0.0</v>
      </c>
      <c r="AL27" s="24">
        <f t="shared" si="11"/>
        <v>0</v>
      </c>
      <c r="AM27" s="109">
        <v>0.0</v>
      </c>
      <c r="AN27" s="8">
        <v>40000.0</v>
      </c>
      <c r="AO27" s="24">
        <f t="shared" si="12"/>
        <v>0</v>
      </c>
      <c r="AP27" s="109">
        <v>0.0</v>
      </c>
      <c r="AQ27" s="8">
        <v>3000.0</v>
      </c>
      <c r="AR27" s="24">
        <f t="shared" si="13"/>
        <v>0</v>
      </c>
      <c r="AS27" s="107">
        <v>60.0</v>
      </c>
      <c r="AT27" s="8">
        <v>7000.0</v>
      </c>
      <c r="AU27" s="24">
        <f t="shared" si="14"/>
        <v>4200</v>
      </c>
      <c r="AV27" s="109">
        <v>0.0</v>
      </c>
      <c r="AW27" s="8">
        <v>2000.0</v>
      </c>
      <c r="AX27" s="24">
        <f t="shared" si="15"/>
        <v>0</v>
      </c>
      <c r="AY27" s="112">
        <v>0.0</v>
      </c>
      <c r="AZ27" s="113">
        <v>50000.0</v>
      </c>
      <c r="BA27" s="114">
        <f t="shared" si="16"/>
        <v>0</v>
      </c>
      <c r="BB27" s="96">
        <f t="shared" si="17"/>
        <v>-1560</v>
      </c>
      <c r="BC27" s="104">
        <f t="shared" si="18"/>
        <v>-0.39</v>
      </c>
      <c r="BD27" s="105" t="str">
        <f t="shared" si="20"/>
        <v>Payback period not applicable: the investment does not recover its cost under current conditions.</v>
      </c>
      <c r="BE27" s="8" t="str">
        <f t="shared" si="19"/>
        <v>NO</v>
      </c>
      <c r="BF27" s="8"/>
      <c r="BG27" s="8"/>
      <c r="BH27" s="8"/>
      <c r="BI27" s="8"/>
      <c r="BJ27" s="8"/>
    </row>
    <row r="28" ht="14.25" customHeight="1">
      <c r="A28" s="25"/>
      <c r="B28" s="37" t="s">
        <v>259</v>
      </c>
      <c r="C28" s="26" t="s">
        <v>260</v>
      </c>
      <c r="D28" s="26" t="s">
        <v>23</v>
      </c>
      <c r="E28" s="131" t="s">
        <v>137</v>
      </c>
      <c r="F28" s="27" t="s">
        <v>261</v>
      </c>
      <c r="G28" s="28"/>
      <c r="H28" s="28" t="s">
        <v>262</v>
      </c>
      <c r="I28" s="29" t="s">
        <v>263</v>
      </c>
      <c r="J28" s="128" t="s">
        <v>264</v>
      </c>
      <c r="K28" s="28">
        <v>100.0</v>
      </c>
      <c r="L28" s="28">
        <v>5.0</v>
      </c>
      <c r="M28" s="28">
        <v>150.0</v>
      </c>
      <c r="N28" s="28">
        <v>0.0</v>
      </c>
      <c r="O28" s="28">
        <v>0.0</v>
      </c>
      <c r="P28" s="14">
        <f t="shared" si="1"/>
        <v>0</v>
      </c>
      <c r="Q28" s="14">
        <f t="shared" si="2"/>
        <v>6</v>
      </c>
      <c r="R28" s="28">
        <v>1.0</v>
      </c>
      <c r="S28" s="94">
        <f t="shared" si="3"/>
        <v>150</v>
      </c>
      <c r="T28" s="120">
        <v>10.0</v>
      </c>
      <c r="U28" s="28">
        <v>0.6</v>
      </c>
      <c r="V28" s="28">
        <v>20.0</v>
      </c>
      <c r="W28" s="28">
        <f t="shared" si="4"/>
        <v>438000</v>
      </c>
      <c r="X28" s="29">
        <f t="shared" si="21"/>
        <v>481800</v>
      </c>
      <c r="Y28" s="121">
        <f t="shared" si="6"/>
        <v>43800</v>
      </c>
      <c r="Z28" s="123">
        <v>0.0</v>
      </c>
      <c r="AA28" s="130">
        <v>20000.0</v>
      </c>
      <c r="AB28" s="122">
        <f t="shared" si="7"/>
        <v>0</v>
      </c>
      <c r="AC28" s="123">
        <v>0.0</v>
      </c>
      <c r="AD28" s="28">
        <v>50000.0</v>
      </c>
      <c r="AE28" s="28">
        <v>0.15</v>
      </c>
      <c r="AF28" s="28">
        <f t="shared" si="8"/>
        <v>7500</v>
      </c>
      <c r="AG28" s="29">
        <f t="shared" si="9"/>
        <v>0</v>
      </c>
      <c r="AH28" s="123">
        <v>0.0</v>
      </c>
      <c r="AI28" s="8">
        <v>5000.0</v>
      </c>
      <c r="AJ28" s="29">
        <f t="shared" si="10"/>
        <v>0</v>
      </c>
      <c r="AK28" s="123">
        <v>0.0</v>
      </c>
      <c r="AL28" s="29">
        <f t="shared" si="11"/>
        <v>0</v>
      </c>
      <c r="AM28" s="123">
        <v>0.0</v>
      </c>
      <c r="AN28" s="8">
        <v>40000.0</v>
      </c>
      <c r="AO28" s="29">
        <f t="shared" si="12"/>
        <v>0</v>
      </c>
      <c r="AP28" s="123">
        <v>0.0</v>
      </c>
      <c r="AQ28" s="8">
        <v>3000.0</v>
      </c>
      <c r="AR28" s="29">
        <f t="shared" si="13"/>
        <v>0</v>
      </c>
      <c r="AS28" s="123">
        <v>0.0</v>
      </c>
      <c r="AT28" s="8">
        <v>7000.0</v>
      </c>
      <c r="AU28" s="29">
        <f t="shared" si="14"/>
        <v>0</v>
      </c>
      <c r="AV28" s="123">
        <v>0.0</v>
      </c>
      <c r="AW28" s="8">
        <v>2000.0</v>
      </c>
      <c r="AX28" s="29">
        <f t="shared" si="15"/>
        <v>0</v>
      </c>
      <c r="AY28" s="124">
        <v>0.0</v>
      </c>
      <c r="AZ28" s="113">
        <v>50000.0</v>
      </c>
      <c r="BA28" s="125">
        <f t="shared" si="16"/>
        <v>0</v>
      </c>
      <c r="BB28" s="96">
        <f t="shared" si="17"/>
        <v>43794</v>
      </c>
      <c r="BC28" s="104">
        <f t="shared" si="18"/>
        <v>291.96</v>
      </c>
      <c r="BD28" s="105">
        <f t="shared" si="20"/>
        <v>0.00342512673</v>
      </c>
      <c r="BE28" s="8" t="str">
        <f t="shared" si="19"/>
        <v>YES</v>
      </c>
      <c r="BF28" s="8"/>
      <c r="BG28" s="8"/>
      <c r="BH28" s="8"/>
      <c r="BI28" s="8"/>
      <c r="BJ28" s="8"/>
    </row>
    <row r="29" ht="21.75" customHeight="1">
      <c r="A29" s="5"/>
      <c r="B29" s="18"/>
      <c r="C29" s="7"/>
      <c r="D29" s="7"/>
      <c r="E29" s="8"/>
      <c r="F29" s="8"/>
      <c r="G29" s="8"/>
      <c r="H29" s="8"/>
      <c r="I29" s="8"/>
      <c r="J29" s="7"/>
      <c r="K29" s="8"/>
      <c r="L29" s="8"/>
      <c r="M29" s="8"/>
      <c r="N29" s="8"/>
      <c r="O29" s="8"/>
      <c r="P29" s="8"/>
      <c r="Q29" s="8"/>
      <c r="R29" s="8"/>
      <c r="S29" s="8"/>
      <c r="T29" s="8"/>
      <c r="U29" s="8"/>
      <c r="V29" s="8"/>
      <c r="W29" s="8"/>
      <c r="X29" s="8"/>
      <c r="Y29" s="8"/>
      <c r="Z29" s="8"/>
      <c r="AA29" s="8"/>
      <c r="AB29" s="8"/>
      <c r="AC29" s="8"/>
      <c r="AD29" s="8"/>
      <c r="AE29" s="8"/>
      <c r="AF29" s="8"/>
      <c r="AG29" s="8"/>
      <c r="AH29" s="132" t="s">
        <v>379</v>
      </c>
      <c r="AI29" s="133"/>
      <c r="AJ29" s="134"/>
      <c r="AK29" s="8"/>
      <c r="AL29" s="8"/>
      <c r="AM29" s="8"/>
      <c r="AN29" s="8"/>
      <c r="AO29" s="8"/>
      <c r="AP29" s="8"/>
      <c r="AQ29" s="8"/>
      <c r="AR29" s="8"/>
      <c r="AS29" s="8"/>
      <c r="AT29" s="8"/>
      <c r="AU29" s="8"/>
      <c r="AV29" s="132" t="s">
        <v>379</v>
      </c>
      <c r="AW29" s="133"/>
      <c r="AX29" s="134"/>
      <c r="AY29" s="135"/>
      <c r="AZ29" s="136"/>
      <c r="BA29" s="137"/>
      <c r="BB29" s="8"/>
      <c r="BC29" s="8"/>
      <c r="BD29" s="138"/>
      <c r="BE29" s="8"/>
      <c r="BF29" s="8"/>
      <c r="BG29" s="8"/>
      <c r="BH29" s="8"/>
      <c r="BI29" s="8"/>
      <c r="BJ29" s="8"/>
    </row>
    <row r="30" ht="15.75" customHeight="1">
      <c r="A30" s="5"/>
      <c r="B30" s="18"/>
      <c r="C30" s="7"/>
      <c r="D30" s="7"/>
      <c r="E30" s="8"/>
      <c r="F30" s="8"/>
      <c r="G30" s="8"/>
      <c r="H30" s="8"/>
      <c r="I30" s="8"/>
      <c r="J30" s="7"/>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138"/>
      <c r="BE30" s="8"/>
      <c r="BF30" s="8"/>
      <c r="BG30" s="8"/>
      <c r="BH30" s="8"/>
      <c r="BI30" s="8"/>
      <c r="BJ30" s="8"/>
    </row>
    <row r="31" ht="15.75" customHeight="1">
      <c r="A31" s="5"/>
      <c r="B31" s="18"/>
      <c r="C31" s="7"/>
      <c r="D31" s="7"/>
      <c r="E31" s="8"/>
      <c r="F31" s="8"/>
      <c r="G31" s="8"/>
      <c r="H31" s="8"/>
      <c r="I31" s="8"/>
      <c r="J31" s="7"/>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138"/>
      <c r="BE31" s="8"/>
      <c r="BF31" s="8"/>
      <c r="BG31" s="8"/>
      <c r="BH31" s="8"/>
      <c r="BI31" s="8"/>
      <c r="BJ31" s="8"/>
    </row>
    <row r="32" ht="15.75" customHeight="1">
      <c r="A32" s="5"/>
      <c r="B32" s="18"/>
      <c r="C32" s="7"/>
      <c r="D32" s="7"/>
      <c r="E32" s="8"/>
      <c r="F32" s="8"/>
      <c r="G32" s="8"/>
      <c r="H32" s="8"/>
      <c r="I32" s="8"/>
      <c r="J32" s="7"/>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138"/>
      <c r="BE32" s="8"/>
      <c r="BF32" s="8"/>
      <c r="BG32" s="8"/>
      <c r="BH32" s="8"/>
      <c r="BI32" s="8"/>
      <c r="BJ32" s="8"/>
    </row>
    <row r="33" ht="15.75" customHeight="1">
      <c r="A33" s="5"/>
      <c r="B33" s="18"/>
      <c r="C33" s="7"/>
      <c r="D33" s="7"/>
      <c r="E33" s="8"/>
      <c r="F33" s="8"/>
      <c r="G33" s="8"/>
      <c r="H33" s="8"/>
      <c r="I33" s="8"/>
      <c r="J33" s="7"/>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138"/>
      <c r="BE33" s="8"/>
      <c r="BF33" s="8"/>
      <c r="BG33" s="8"/>
      <c r="BH33" s="8"/>
      <c r="BI33" s="8"/>
      <c r="BJ33" s="8"/>
    </row>
    <row r="34" ht="15.75" customHeight="1">
      <c r="A34" s="5"/>
      <c r="B34" s="18"/>
      <c r="C34" s="7"/>
      <c r="D34" s="7"/>
      <c r="E34" s="8"/>
      <c r="F34" s="8"/>
      <c r="G34" s="8"/>
      <c r="H34" s="8"/>
      <c r="I34" s="8"/>
      <c r="J34" s="7"/>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138"/>
      <c r="BE34" s="8"/>
      <c r="BF34" s="8"/>
      <c r="BG34" s="8"/>
      <c r="BH34" s="8"/>
      <c r="BI34" s="8"/>
      <c r="BJ34" s="8"/>
    </row>
    <row r="35" ht="15.75" customHeight="1">
      <c r="A35" s="5"/>
      <c r="B35" s="18"/>
      <c r="C35" s="7"/>
      <c r="D35" s="7"/>
      <c r="E35" s="8"/>
      <c r="F35" s="8"/>
      <c r="G35" s="8"/>
      <c r="H35" s="8"/>
      <c r="I35" s="8"/>
      <c r="J35" s="7"/>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138"/>
      <c r="BE35" s="8"/>
      <c r="BF35" s="8"/>
      <c r="BG35" s="8"/>
      <c r="BH35" s="8"/>
      <c r="BI35" s="8"/>
      <c r="BJ35" s="8"/>
    </row>
    <row r="36" ht="15.75" customHeight="1">
      <c r="A36" s="5"/>
      <c r="B36" s="18"/>
      <c r="C36" s="7"/>
      <c r="D36" s="7"/>
      <c r="E36" s="8"/>
      <c r="F36" s="8"/>
      <c r="G36" s="8"/>
      <c r="H36" s="8"/>
      <c r="I36" s="8"/>
      <c r="J36" s="7"/>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138"/>
      <c r="BE36" s="8"/>
      <c r="BF36" s="8"/>
      <c r="BG36" s="8"/>
      <c r="BH36" s="8"/>
      <c r="BI36" s="8"/>
      <c r="BJ36" s="8"/>
    </row>
    <row r="37" ht="15.75" customHeight="1">
      <c r="A37" s="5"/>
      <c r="B37" s="18"/>
      <c r="C37" s="7"/>
      <c r="D37" s="7"/>
      <c r="E37" s="8"/>
      <c r="F37" s="8"/>
      <c r="G37" s="8"/>
      <c r="H37" s="8"/>
      <c r="I37" s="8"/>
      <c r="J37" s="7"/>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138"/>
      <c r="BE37" s="8"/>
      <c r="BF37" s="8"/>
      <c r="BG37" s="8"/>
      <c r="BH37" s="8"/>
      <c r="BI37" s="8"/>
      <c r="BJ37" s="8"/>
    </row>
    <row r="38" ht="15.75" customHeight="1">
      <c r="A38" s="5"/>
      <c r="B38" s="18"/>
      <c r="C38" s="7"/>
      <c r="D38" s="7"/>
      <c r="E38" s="8"/>
      <c r="F38" s="8"/>
      <c r="G38" s="8"/>
      <c r="H38" s="8"/>
      <c r="I38" s="8"/>
      <c r="J38" s="7"/>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138"/>
      <c r="BE38" s="8"/>
      <c r="BF38" s="8"/>
      <c r="BG38" s="8"/>
      <c r="BH38" s="8"/>
      <c r="BI38" s="8"/>
      <c r="BJ38" s="8"/>
    </row>
    <row r="39" ht="15.75" customHeight="1">
      <c r="A39" s="5"/>
      <c r="B39" s="18"/>
      <c r="C39" s="7"/>
      <c r="D39" s="7"/>
      <c r="E39" s="8"/>
      <c r="F39" s="8"/>
      <c r="G39" s="8"/>
      <c r="H39" s="8"/>
      <c r="I39" s="8"/>
      <c r="J39" s="7"/>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138"/>
      <c r="BE39" s="8"/>
      <c r="BF39" s="8"/>
      <c r="BG39" s="8"/>
      <c r="BH39" s="8"/>
      <c r="BI39" s="8"/>
      <c r="BJ39" s="8"/>
    </row>
    <row r="40" ht="15.75" customHeight="1">
      <c r="A40" s="5"/>
      <c r="B40" s="18"/>
      <c r="C40" s="7"/>
      <c r="D40" s="7"/>
      <c r="E40" s="8"/>
      <c r="F40" s="8"/>
      <c r="G40" s="8"/>
      <c r="H40" s="8"/>
      <c r="I40" s="8"/>
      <c r="J40" s="7"/>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138"/>
      <c r="BE40" s="8"/>
      <c r="BF40" s="8"/>
      <c r="BG40" s="8"/>
      <c r="BH40" s="8"/>
      <c r="BI40" s="8"/>
      <c r="BJ40" s="8"/>
    </row>
    <row r="41" ht="15.75" customHeight="1">
      <c r="BD41" s="139"/>
    </row>
    <row r="42" ht="15.75" customHeight="1">
      <c r="BD42" s="139"/>
    </row>
    <row r="43" ht="15.75" customHeight="1">
      <c r="BD43" s="139"/>
    </row>
    <row r="44" ht="15.75" customHeight="1">
      <c r="BD44" s="139"/>
    </row>
    <row r="45" ht="15.75" customHeight="1">
      <c r="BD45" s="139"/>
    </row>
    <row r="46" ht="15.75" customHeight="1">
      <c r="BD46" s="139"/>
    </row>
    <row r="47" ht="15.75" customHeight="1">
      <c r="BD47" s="139"/>
    </row>
    <row r="48" ht="15.75" customHeight="1">
      <c r="BD48" s="139"/>
    </row>
    <row r="49" ht="15.75" customHeight="1">
      <c r="BD49" s="139"/>
    </row>
    <row r="50" ht="15.75" customHeight="1">
      <c r="BD50" s="139"/>
    </row>
    <row r="51" ht="15.75" customHeight="1">
      <c r="BD51" s="139"/>
    </row>
    <row r="52" ht="15.75" customHeight="1">
      <c r="BD52" s="139"/>
    </row>
    <row r="53" ht="15.75" customHeight="1">
      <c r="BD53" s="139"/>
    </row>
    <row r="54" ht="15.75" customHeight="1">
      <c r="BD54" s="139"/>
    </row>
    <row r="55" ht="15.75" customHeight="1">
      <c r="BD55" s="139"/>
    </row>
    <row r="56" ht="15.75" customHeight="1">
      <c r="BD56" s="139"/>
    </row>
    <row r="57" ht="15.75" customHeight="1">
      <c r="BD57" s="139"/>
    </row>
    <row r="58" ht="15.75" customHeight="1">
      <c r="BD58" s="139"/>
    </row>
    <row r="59" ht="15.75" customHeight="1">
      <c r="BD59" s="139"/>
    </row>
    <row r="60" ht="15.75" customHeight="1">
      <c r="BD60" s="139"/>
    </row>
    <row r="61" ht="15.75" customHeight="1">
      <c r="BD61" s="139"/>
    </row>
    <row r="62" ht="15.75" customHeight="1">
      <c r="BD62" s="139"/>
    </row>
    <row r="63" ht="15.75" customHeight="1">
      <c r="BD63" s="139"/>
    </row>
    <row r="64" ht="15.75" customHeight="1">
      <c r="BD64" s="139"/>
    </row>
    <row r="65" ht="15.75" customHeight="1">
      <c r="BD65" s="139"/>
    </row>
    <row r="66" ht="15.75" customHeight="1">
      <c r="BD66" s="139"/>
    </row>
    <row r="67" ht="15.75" customHeight="1">
      <c r="BD67" s="139"/>
    </row>
    <row r="68" ht="15.75" customHeight="1">
      <c r="BD68" s="139"/>
    </row>
    <row r="69" ht="15.75" customHeight="1">
      <c r="BD69" s="139"/>
    </row>
    <row r="70" ht="15.75" customHeight="1">
      <c r="BD70" s="139"/>
    </row>
    <row r="71" ht="15.75" customHeight="1">
      <c r="BD71" s="139"/>
    </row>
    <row r="72" ht="15.75" customHeight="1">
      <c r="BD72" s="139"/>
    </row>
    <row r="73" ht="15.75" customHeight="1">
      <c r="BD73" s="139"/>
    </row>
    <row r="74" ht="15.75" customHeight="1">
      <c r="BD74" s="139"/>
    </row>
    <row r="75" ht="15.75" customHeight="1">
      <c r="BD75" s="139"/>
    </row>
    <row r="76" ht="15.75" customHeight="1">
      <c r="BD76" s="139"/>
    </row>
    <row r="77" ht="15.75" customHeight="1">
      <c r="BD77" s="139"/>
    </row>
    <row r="78" ht="15.75" customHeight="1">
      <c r="BD78" s="139"/>
    </row>
    <row r="79" ht="15.75" customHeight="1">
      <c r="BD79" s="139"/>
    </row>
    <row r="80" ht="15.75" customHeight="1">
      <c r="BD80" s="139"/>
    </row>
    <row r="81" ht="15.75" customHeight="1">
      <c r="BD81" s="139"/>
    </row>
    <row r="82" ht="15.75" customHeight="1">
      <c r="BD82" s="139"/>
    </row>
    <row r="83" ht="15.75" customHeight="1">
      <c r="BD83" s="139"/>
    </row>
    <row r="84" ht="15.75" customHeight="1">
      <c r="BD84" s="139"/>
    </row>
    <row r="85" ht="15.75" customHeight="1">
      <c r="BD85" s="139"/>
    </row>
    <row r="86" ht="15.75" customHeight="1">
      <c r="BD86" s="139"/>
    </row>
    <row r="87" ht="15.75" customHeight="1">
      <c r="BD87" s="139"/>
    </row>
    <row r="88" ht="15.75" customHeight="1">
      <c r="BD88" s="139"/>
    </row>
    <row r="89" ht="15.75" customHeight="1">
      <c r="BD89" s="139"/>
    </row>
    <row r="90" ht="15.75" customHeight="1">
      <c r="BD90" s="139"/>
    </row>
    <row r="91" ht="15.75" customHeight="1">
      <c r="BD91" s="139"/>
    </row>
    <row r="92" ht="15.75" customHeight="1">
      <c r="BD92" s="139"/>
    </row>
    <row r="93" ht="15.75" customHeight="1">
      <c r="BD93" s="139"/>
    </row>
    <row r="94" ht="15.75" customHeight="1">
      <c r="BD94" s="139"/>
    </row>
    <row r="95" ht="15.75" customHeight="1">
      <c r="BD95" s="139"/>
    </row>
    <row r="96" ht="15.75" customHeight="1">
      <c r="BD96" s="139"/>
    </row>
    <row r="97" ht="15.75" customHeight="1">
      <c r="BD97" s="139"/>
    </row>
    <row r="98" ht="15.75" customHeight="1">
      <c r="BD98" s="139"/>
    </row>
    <row r="99" ht="15.75" customHeight="1">
      <c r="BD99" s="139"/>
    </row>
    <row r="100" ht="15.75" customHeight="1">
      <c r="BD100" s="139"/>
    </row>
    <row r="101" ht="15.75" customHeight="1">
      <c r="BD101" s="139"/>
    </row>
    <row r="102" ht="15.75" customHeight="1">
      <c r="BD102" s="139"/>
    </row>
    <row r="103" ht="15.75" customHeight="1">
      <c r="BD103" s="139"/>
    </row>
    <row r="104" ht="15.75" customHeight="1">
      <c r="BD104" s="139"/>
    </row>
    <row r="105" ht="15.75" customHeight="1">
      <c r="BD105" s="139"/>
    </row>
    <row r="106" ht="15.75" customHeight="1">
      <c r="BD106" s="139"/>
    </row>
    <row r="107" ht="15.75" customHeight="1">
      <c r="BD107" s="139"/>
    </row>
    <row r="108" ht="15.75" customHeight="1">
      <c r="BD108" s="139"/>
    </row>
    <row r="109" ht="15.75" customHeight="1">
      <c r="BD109" s="139"/>
    </row>
    <row r="110" ht="15.75" customHeight="1">
      <c r="BD110" s="139"/>
    </row>
    <row r="111" ht="15.75" customHeight="1">
      <c r="BD111" s="139"/>
    </row>
    <row r="112" ht="15.75" customHeight="1">
      <c r="BD112" s="139"/>
    </row>
    <row r="113" ht="15.75" customHeight="1">
      <c r="BD113" s="139"/>
    </row>
    <row r="114" ht="15.75" customHeight="1">
      <c r="BD114" s="139"/>
    </row>
    <row r="115" ht="15.75" customHeight="1">
      <c r="BD115" s="139"/>
    </row>
    <row r="116" ht="15.75" customHeight="1">
      <c r="BD116" s="139"/>
    </row>
    <row r="117" ht="15.75" customHeight="1">
      <c r="BD117" s="139"/>
    </row>
    <row r="118" ht="15.75" customHeight="1">
      <c r="BD118" s="139"/>
    </row>
    <row r="119" ht="15.75" customHeight="1">
      <c r="BD119" s="139"/>
    </row>
    <row r="120" ht="15.75" customHeight="1">
      <c r="BD120" s="139"/>
    </row>
    <row r="121" ht="15.75" customHeight="1">
      <c r="BD121" s="139"/>
    </row>
    <row r="122" ht="15.75" customHeight="1">
      <c r="BD122" s="139"/>
    </row>
    <row r="123" ht="15.75" customHeight="1">
      <c r="BD123" s="139"/>
    </row>
    <row r="124" ht="15.75" customHeight="1">
      <c r="BD124" s="139"/>
    </row>
    <row r="125" ht="15.75" customHeight="1">
      <c r="BD125" s="139"/>
    </row>
    <row r="126" ht="15.75" customHeight="1">
      <c r="BD126" s="139"/>
    </row>
    <row r="127" ht="15.75" customHeight="1">
      <c r="BD127" s="139"/>
    </row>
    <row r="128" ht="15.75" customHeight="1">
      <c r="BD128" s="139"/>
    </row>
    <row r="129" ht="15.75" customHeight="1">
      <c r="BD129" s="139"/>
    </row>
    <row r="130" ht="15.75" customHeight="1">
      <c r="BD130" s="139"/>
    </row>
    <row r="131" ht="15.75" customHeight="1">
      <c r="BD131" s="139"/>
    </row>
    <row r="132" ht="15.75" customHeight="1">
      <c r="BD132" s="139"/>
    </row>
    <row r="133" ht="15.75" customHeight="1">
      <c r="BD133" s="139"/>
    </row>
    <row r="134" ht="15.75" customHeight="1">
      <c r="BD134" s="139"/>
    </row>
    <row r="135" ht="15.75" customHeight="1">
      <c r="BD135" s="139"/>
    </row>
    <row r="136" ht="15.75" customHeight="1">
      <c r="BD136" s="139"/>
    </row>
    <row r="137" ht="15.75" customHeight="1">
      <c r="BD137" s="139"/>
    </row>
    <row r="138" ht="15.75" customHeight="1">
      <c r="BD138" s="139"/>
    </row>
    <row r="139" ht="15.75" customHeight="1">
      <c r="BD139" s="139"/>
    </row>
    <row r="140" ht="15.75" customHeight="1">
      <c r="BD140" s="139"/>
    </row>
    <row r="141" ht="15.75" customHeight="1">
      <c r="BD141" s="139"/>
    </row>
    <row r="142" ht="15.75" customHeight="1">
      <c r="BD142" s="139"/>
    </row>
    <row r="143" ht="15.75" customHeight="1">
      <c r="BD143" s="139"/>
    </row>
    <row r="144" ht="15.75" customHeight="1">
      <c r="BD144" s="139"/>
    </row>
    <row r="145" ht="15.75" customHeight="1">
      <c r="BD145" s="139"/>
    </row>
    <row r="146" ht="15.75" customHeight="1">
      <c r="BD146" s="139"/>
    </row>
    <row r="147" ht="15.75" customHeight="1">
      <c r="BD147" s="139"/>
    </row>
    <row r="148" ht="15.75" customHeight="1">
      <c r="BD148" s="139"/>
    </row>
    <row r="149" ht="15.75" customHeight="1">
      <c r="BD149" s="139"/>
    </row>
    <row r="150" ht="15.75" customHeight="1">
      <c r="BD150" s="139"/>
    </row>
    <row r="151" ht="15.75" customHeight="1">
      <c r="BD151" s="139"/>
    </row>
    <row r="152" ht="15.75" customHeight="1">
      <c r="BD152" s="139"/>
    </row>
    <row r="153" ht="15.75" customHeight="1">
      <c r="BD153" s="139"/>
    </row>
    <row r="154" ht="15.75" customHeight="1">
      <c r="BD154" s="139"/>
    </row>
    <row r="155" ht="15.75" customHeight="1">
      <c r="BD155" s="139"/>
    </row>
    <row r="156" ht="15.75" customHeight="1">
      <c r="BD156" s="139"/>
    </row>
    <row r="157" ht="15.75" customHeight="1">
      <c r="BD157" s="139"/>
    </row>
    <row r="158" ht="15.75" customHeight="1">
      <c r="BD158" s="139"/>
    </row>
    <row r="159" ht="15.75" customHeight="1">
      <c r="BD159" s="139"/>
    </row>
    <row r="160" ht="15.75" customHeight="1">
      <c r="BD160" s="139"/>
    </row>
    <row r="161" ht="15.75" customHeight="1">
      <c r="BD161" s="139"/>
    </row>
    <row r="162" ht="15.75" customHeight="1">
      <c r="BD162" s="139"/>
    </row>
    <row r="163" ht="15.75" customHeight="1">
      <c r="BD163" s="139"/>
    </row>
    <row r="164" ht="15.75" customHeight="1">
      <c r="BD164" s="139"/>
    </row>
    <row r="165" ht="15.75" customHeight="1">
      <c r="BD165" s="139"/>
    </row>
    <row r="166" ht="15.75" customHeight="1">
      <c r="BD166" s="139"/>
    </row>
    <row r="167" ht="15.75" customHeight="1">
      <c r="BD167" s="139"/>
    </row>
    <row r="168" ht="15.75" customHeight="1">
      <c r="BD168" s="139"/>
    </row>
    <row r="169" ht="15.75" customHeight="1">
      <c r="BD169" s="139"/>
    </row>
    <row r="170" ht="15.75" customHeight="1">
      <c r="BD170" s="139"/>
    </row>
    <row r="171" ht="15.75" customHeight="1">
      <c r="BD171" s="139"/>
    </row>
    <row r="172" ht="15.75" customHeight="1">
      <c r="BD172" s="139"/>
    </row>
    <row r="173" ht="15.75" customHeight="1">
      <c r="BD173" s="139"/>
    </row>
    <row r="174" ht="15.75" customHeight="1">
      <c r="BD174" s="139"/>
    </row>
    <row r="175" ht="15.75" customHeight="1">
      <c r="BD175" s="139"/>
    </row>
    <row r="176" ht="15.75" customHeight="1">
      <c r="BD176" s="139"/>
    </row>
    <row r="177" ht="15.75" customHeight="1">
      <c r="BD177" s="139"/>
    </row>
    <row r="178" ht="15.75" customHeight="1">
      <c r="BD178" s="139"/>
    </row>
    <row r="179" ht="15.75" customHeight="1">
      <c r="BD179" s="139"/>
    </row>
    <row r="180" ht="15.75" customHeight="1">
      <c r="BD180" s="139"/>
    </row>
    <row r="181" ht="15.75" customHeight="1">
      <c r="BD181" s="139"/>
    </row>
    <row r="182" ht="15.75" customHeight="1">
      <c r="BD182" s="139"/>
    </row>
    <row r="183" ht="15.75" customHeight="1">
      <c r="BD183" s="139"/>
    </row>
    <row r="184" ht="15.75" customHeight="1">
      <c r="BD184" s="139"/>
    </row>
    <row r="185" ht="15.75" customHeight="1">
      <c r="BD185" s="139"/>
    </row>
    <row r="186" ht="15.75" customHeight="1">
      <c r="BD186" s="139"/>
    </row>
    <row r="187" ht="15.75" customHeight="1">
      <c r="BD187" s="139"/>
    </row>
    <row r="188" ht="15.75" customHeight="1">
      <c r="BD188" s="139"/>
    </row>
    <row r="189" ht="15.75" customHeight="1">
      <c r="BD189" s="139"/>
    </row>
    <row r="190" ht="15.75" customHeight="1">
      <c r="BD190" s="139"/>
    </row>
    <row r="191" ht="15.75" customHeight="1">
      <c r="BD191" s="139"/>
    </row>
    <row r="192" ht="15.75" customHeight="1">
      <c r="BD192" s="139"/>
    </row>
    <row r="193" ht="15.75" customHeight="1">
      <c r="BD193" s="139"/>
    </row>
    <row r="194" ht="15.75" customHeight="1">
      <c r="BD194" s="139"/>
    </row>
    <row r="195" ht="15.75" customHeight="1">
      <c r="BD195" s="139"/>
    </row>
    <row r="196" ht="15.75" customHeight="1">
      <c r="BD196" s="139"/>
    </row>
    <row r="197" ht="15.75" customHeight="1">
      <c r="BD197" s="139"/>
    </row>
    <row r="198" ht="15.75" customHeight="1">
      <c r="BD198" s="139"/>
    </row>
    <row r="199" ht="15.75" customHeight="1">
      <c r="BD199" s="139"/>
    </row>
    <row r="200" ht="15.75" customHeight="1">
      <c r="BD200" s="139"/>
    </row>
    <row r="201" ht="15.75" customHeight="1">
      <c r="BD201" s="139"/>
    </row>
    <row r="202" ht="15.75" customHeight="1">
      <c r="BD202" s="139"/>
    </row>
    <row r="203" ht="15.75" customHeight="1">
      <c r="BD203" s="139"/>
    </row>
    <row r="204" ht="15.75" customHeight="1">
      <c r="BD204" s="139"/>
    </row>
    <row r="205" ht="15.75" customHeight="1">
      <c r="BD205" s="139"/>
    </row>
    <row r="206" ht="15.75" customHeight="1">
      <c r="BD206" s="139"/>
    </row>
    <row r="207" ht="15.75" customHeight="1">
      <c r="BD207" s="139"/>
    </row>
    <row r="208" ht="15.75" customHeight="1">
      <c r="BD208" s="139"/>
    </row>
    <row r="209" ht="15.75" customHeight="1">
      <c r="BD209" s="139"/>
    </row>
    <row r="210" ht="15.75" customHeight="1">
      <c r="BD210" s="139"/>
    </row>
    <row r="211" ht="15.75" customHeight="1">
      <c r="BD211" s="139"/>
    </row>
    <row r="212" ht="15.75" customHeight="1">
      <c r="BD212" s="139"/>
    </row>
    <row r="213" ht="15.75" customHeight="1">
      <c r="BD213" s="139"/>
    </row>
    <row r="214" ht="15.75" customHeight="1">
      <c r="BD214" s="139"/>
    </row>
    <row r="215" ht="15.75" customHeight="1">
      <c r="BD215" s="139"/>
    </row>
    <row r="216" ht="15.75" customHeight="1">
      <c r="BD216" s="139"/>
    </row>
    <row r="217" ht="15.75" customHeight="1">
      <c r="BD217" s="139"/>
    </row>
    <row r="218" ht="15.75" customHeight="1">
      <c r="BD218" s="139"/>
    </row>
    <row r="219" ht="15.75" customHeight="1">
      <c r="BD219" s="139"/>
    </row>
    <row r="220" ht="15.75" customHeight="1">
      <c r="BD220" s="139"/>
    </row>
    <row r="221" ht="15.75" customHeight="1">
      <c r="BD221" s="139"/>
    </row>
    <row r="222" ht="15.75" customHeight="1">
      <c r="BD222" s="139"/>
    </row>
    <row r="223" ht="15.75" customHeight="1">
      <c r="BD223" s="139"/>
    </row>
    <row r="224" ht="15.75" customHeight="1">
      <c r="BD224" s="139"/>
    </row>
    <row r="225" ht="15.75" customHeight="1">
      <c r="BD225" s="139"/>
    </row>
    <row r="226" ht="15.75" customHeight="1">
      <c r="BD226" s="139"/>
    </row>
    <row r="227" ht="15.75" customHeight="1">
      <c r="BD227" s="139"/>
    </row>
    <row r="228" ht="15.75" customHeight="1">
      <c r="BD228" s="139"/>
    </row>
    <row r="229" ht="15.75" customHeight="1">
      <c r="BD229" s="139"/>
    </row>
    <row r="230" ht="15.75" customHeight="1">
      <c r="BD230" s="139"/>
    </row>
    <row r="231" ht="15.75" customHeight="1">
      <c r="BD231" s="139"/>
    </row>
    <row r="232" ht="15.75" customHeight="1">
      <c r="BD232" s="139"/>
    </row>
    <row r="233" ht="15.75" customHeight="1">
      <c r="BD233" s="139"/>
    </row>
    <row r="234" ht="15.75" customHeight="1">
      <c r="BD234" s="139"/>
    </row>
    <row r="235" ht="15.75" customHeight="1">
      <c r="BD235" s="139"/>
    </row>
    <row r="236" ht="15.75" customHeight="1">
      <c r="BD236" s="139"/>
    </row>
    <row r="237" ht="15.75" customHeight="1">
      <c r="BD237" s="139"/>
    </row>
    <row r="238" ht="15.75" customHeight="1">
      <c r="BD238" s="139"/>
    </row>
    <row r="239" ht="15.75" customHeight="1">
      <c r="BD239" s="139"/>
    </row>
    <row r="240" ht="15.75" customHeight="1">
      <c r="BD240" s="139"/>
    </row>
    <row r="241" ht="15.75" customHeight="1">
      <c r="BD241" s="139"/>
    </row>
    <row r="242" ht="15.75" customHeight="1">
      <c r="BD242" s="139"/>
    </row>
    <row r="243" ht="15.75" customHeight="1">
      <c r="BD243" s="139"/>
    </row>
    <row r="244" ht="15.75" customHeight="1">
      <c r="BD244" s="139"/>
    </row>
    <row r="245" ht="15.75" customHeight="1">
      <c r="BD245" s="139"/>
    </row>
    <row r="246" ht="15.75" customHeight="1">
      <c r="BD246" s="139"/>
    </row>
    <row r="247" ht="15.75" customHeight="1">
      <c r="BD247" s="139"/>
    </row>
    <row r="248" ht="15.75" customHeight="1">
      <c r="BD248" s="139"/>
    </row>
    <row r="249" ht="15.75" customHeight="1">
      <c r="BD249" s="139"/>
    </row>
    <row r="250" ht="15.75" customHeight="1">
      <c r="BD250" s="139"/>
    </row>
    <row r="251" ht="15.75" customHeight="1">
      <c r="BD251" s="139"/>
    </row>
    <row r="252" ht="15.75" customHeight="1">
      <c r="BD252" s="139"/>
    </row>
    <row r="253" ht="15.75" customHeight="1">
      <c r="BD253" s="139"/>
    </row>
    <row r="254" ht="15.75" customHeight="1">
      <c r="BD254" s="139"/>
    </row>
    <row r="255" ht="15.75" customHeight="1">
      <c r="BD255" s="139"/>
    </row>
    <row r="256" ht="15.75" customHeight="1">
      <c r="BD256" s="139"/>
    </row>
    <row r="257" ht="15.75" customHeight="1">
      <c r="BD257" s="139"/>
    </row>
    <row r="258" ht="15.75" customHeight="1">
      <c r="BD258" s="139"/>
    </row>
    <row r="259" ht="15.75" customHeight="1">
      <c r="BD259" s="139"/>
    </row>
    <row r="260" ht="15.75" customHeight="1">
      <c r="BD260" s="139"/>
    </row>
    <row r="261" ht="15.75" customHeight="1">
      <c r="BD261" s="139"/>
    </row>
    <row r="262" ht="15.75" customHeight="1">
      <c r="BD262" s="139"/>
    </row>
    <row r="263" ht="15.75" customHeight="1">
      <c r="BD263" s="139"/>
    </row>
    <row r="264" ht="15.75" customHeight="1">
      <c r="BD264" s="139"/>
    </row>
    <row r="265" ht="15.75" customHeight="1">
      <c r="BD265" s="139"/>
    </row>
    <row r="266" ht="15.75" customHeight="1">
      <c r="BD266" s="139"/>
    </row>
    <row r="267" ht="15.75" customHeight="1">
      <c r="BD267" s="139"/>
    </row>
    <row r="268" ht="15.75" customHeight="1">
      <c r="BD268" s="139"/>
    </row>
    <row r="269" ht="15.75" customHeight="1">
      <c r="BD269" s="139"/>
    </row>
    <row r="270" ht="15.75" customHeight="1">
      <c r="BD270" s="139"/>
    </row>
    <row r="271" ht="15.75" customHeight="1">
      <c r="BD271" s="139"/>
    </row>
    <row r="272" ht="15.75" customHeight="1">
      <c r="BD272" s="139"/>
    </row>
    <row r="273" ht="15.75" customHeight="1">
      <c r="BD273" s="139"/>
    </row>
    <row r="274" ht="15.75" customHeight="1">
      <c r="BD274" s="139"/>
    </row>
    <row r="275" ht="15.75" customHeight="1">
      <c r="BD275" s="139"/>
    </row>
    <row r="276" ht="15.75" customHeight="1">
      <c r="BD276" s="139"/>
    </row>
    <row r="277" ht="15.75" customHeight="1">
      <c r="BD277" s="139"/>
    </row>
    <row r="278" ht="15.75" customHeight="1">
      <c r="BD278" s="139"/>
    </row>
    <row r="279" ht="15.75" customHeight="1">
      <c r="BD279" s="139"/>
    </row>
    <row r="280" ht="15.75" customHeight="1">
      <c r="BD280" s="139"/>
    </row>
    <row r="281" ht="15.75" customHeight="1">
      <c r="BD281" s="139"/>
    </row>
    <row r="282" ht="15.75" customHeight="1">
      <c r="BD282" s="139"/>
    </row>
    <row r="283" ht="15.75" customHeight="1">
      <c r="BD283" s="139"/>
    </row>
    <row r="284" ht="15.75" customHeight="1">
      <c r="BD284" s="139"/>
    </row>
    <row r="285" ht="15.75" customHeight="1">
      <c r="BD285" s="139"/>
    </row>
    <row r="286" ht="15.75" customHeight="1">
      <c r="BD286" s="139"/>
    </row>
    <row r="287" ht="15.75" customHeight="1">
      <c r="BD287" s="139"/>
    </row>
    <row r="288" ht="15.75" customHeight="1">
      <c r="BD288" s="139"/>
    </row>
    <row r="289" ht="15.75" customHeight="1">
      <c r="BD289" s="139"/>
    </row>
    <row r="290" ht="15.75" customHeight="1">
      <c r="BD290" s="139"/>
    </row>
    <row r="291" ht="15.75" customHeight="1">
      <c r="BD291" s="139"/>
    </row>
    <row r="292" ht="15.75" customHeight="1">
      <c r="BD292" s="139"/>
    </row>
    <row r="293" ht="15.75" customHeight="1">
      <c r="BD293" s="139"/>
    </row>
    <row r="294" ht="15.75" customHeight="1">
      <c r="BD294" s="139"/>
    </row>
    <row r="295" ht="15.75" customHeight="1">
      <c r="BD295" s="139"/>
    </row>
    <row r="296" ht="15.75" customHeight="1">
      <c r="BD296" s="139"/>
    </row>
    <row r="297" ht="15.75" customHeight="1">
      <c r="BD297" s="139"/>
    </row>
    <row r="298" ht="15.75" customHeight="1">
      <c r="BD298" s="139"/>
    </row>
    <row r="299" ht="15.75" customHeight="1">
      <c r="BD299" s="139"/>
    </row>
    <row r="300" ht="15.75" customHeight="1">
      <c r="BD300" s="139"/>
    </row>
    <row r="301" ht="15.75" customHeight="1">
      <c r="BD301" s="139"/>
    </row>
    <row r="302" ht="15.75" customHeight="1">
      <c r="BD302" s="139"/>
    </row>
    <row r="303" ht="15.75" customHeight="1">
      <c r="BD303" s="139"/>
    </row>
    <row r="304" ht="15.75" customHeight="1">
      <c r="BD304" s="139"/>
    </row>
    <row r="305" ht="15.75" customHeight="1">
      <c r="BD305" s="139"/>
    </row>
    <row r="306" ht="15.75" customHeight="1">
      <c r="BD306" s="139"/>
    </row>
    <row r="307" ht="15.75" customHeight="1">
      <c r="BD307" s="139"/>
    </row>
    <row r="308" ht="15.75" customHeight="1">
      <c r="BD308" s="139"/>
    </row>
    <row r="309" ht="15.75" customHeight="1">
      <c r="BD309" s="139"/>
    </row>
    <row r="310" ht="15.75" customHeight="1">
      <c r="BD310" s="139"/>
    </row>
    <row r="311" ht="15.75" customHeight="1">
      <c r="BD311" s="139"/>
    </row>
    <row r="312" ht="15.75" customHeight="1">
      <c r="BD312" s="139"/>
    </row>
    <row r="313" ht="15.75" customHeight="1">
      <c r="BD313" s="139"/>
    </row>
    <row r="314" ht="15.75" customHeight="1">
      <c r="BD314" s="139"/>
    </row>
    <row r="315" ht="15.75" customHeight="1">
      <c r="BD315" s="139"/>
    </row>
    <row r="316" ht="15.75" customHeight="1">
      <c r="BD316" s="139"/>
    </row>
    <row r="317" ht="15.75" customHeight="1">
      <c r="BD317" s="139"/>
    </row>
    <row r="318" ht="15.75" customHeight="1">
      <c r="BD318" s="139"/>
    </row>
    <row r="319" ht="15.75" customHeight="1">
      <c r="BD319" s="139"/>
    </row>
    <row r="320" ht="15.75" customHeight="1">
      <c r="BD320" s="139"/>
    </row>
    <row r="321" ht="15.75" customHeight="1">
      <c r="BD321" s="139"/>
    </row>
    <row r="322" ht="15.75" customHeight="1">
      <c r="BD322" s="139"/>
    </row>
    <row r="323" ht="15.75" customHeight="1">
      <c r="BD323" s="139"/>
    </row>
    <row r="324" ht="15.75" customHeight="1">
      <c r="BD324" s="139"/>
    </row>
    <row r="325" ht="15.75" customHeight="1">
      <c r="BD325" s="139"/>
    </row>
    <row r="326" ht="15.75" customHeight="1">
      <c r="BD326" s="139"/>
    </row>
    <row r="327" ht="15.75" customHeight="1">
      <c r="BD327" s="139"/>
    </row>
    <row r="328" ht="15.75" customHeight="1">
      <c r="BD328" s="139"/>
    </row>
    <row r="329" ht="15.75" customHeight="1">
      <c r="BD329" s="139"/>
    </row>
    <row r="330" ht="15.75" customHeight="1">
      <c r="BD330" s="139"/>
    </row>
    <row r="331" ht="15.75" customHeight="1">
      <c r="BD331" s="139"/>
    </row>
    <row r="332" ht="15.75" customHeight="1">
      <c r="BD332" s="139"/>
    </row>
    <row r="333" ht="15.75" customHeight="1">
      <c r="BD333" s="139"/>
    </row>
    <row r="334" ht="15.75" customHeight="1">
      <c r="BD334" s="139"/>
    </row>
    <row r="335" ht="15.75" customHeight="1">
      <c r="BD335" s="139"/>
    </row>
    <row r="336" ht="15.75" customHeight="1">
      <c r="BD336" s="139"/>
    </row>
    <row r="337" ht="15.75" customHeight="1">
      <c r="BD337" s="139"/>
    </row>
    <row r="338" ht="15.75" customHeight="1">
      <c r="BD338" s="139"/>
    </row>
    <row r="339" ht="15.75" customHeight="1">
      <c r="BD339" s="139"/>
    </row>
    <row r="340" ht="15.75" customHeight="1">
      <c r="BD340" s="139"/>
    </row>
    <row r="341" ht="15.75" customHeight="1">
      <c r="BD341" s="139"/>
    </row>
    <row r="342" ht="15.75" customHeight="1">
      <c r="BD342" s="139"/>
    </row>
    <row r="343" ht="15.75" customHeight="1">
      <c r="BD343" s="139"/>
    </row>
    <row r="344" ht="15.75" customHeight="1">
      <c r="BD344" s="139"/>
    </row>
    <row r="345" ht="15.75" customHeight="1">
      <c r="BD345" s="139"/>
    </row>
    <row r="346" ht="15.75" customHeight="1">
      <c r="BD346" s="139"/>
    </row>
    <row r="347" ht="15.75" customHeight="1">
      <c r="BD347" s="139"/>
    </row>
    <row r="348" ht="15.75" customHeight="1">
      <c r="BD348" s="139"/>
    </row>
    <row r="349" ht="15.75" customHeight="1">
      <c r="BD349" s="139"/>
    </row>
    <row r="350" ht="15.75" customHeight="1">
      <c r="BD350" s="139"/>
    </row>
    <row r="351" ht="15.75" customHeight="1">
      <c r="BD351" s="139"/>
    </row>
    <row r="352" ht="15.75" customHeight="1">
      <c r="BD352" s="139"/>
    </row>
    <row r="353" ht="15.75" customHeight="1">
      <c r="BD353" s="139"/>
    </row>
    <row r="354" ht="15.75" customHeight="1">
      <c r="BD354" s="139"/>
    </row>
    <row r="355" ht="15.75" customHeight="1">
      <c r="BD355" s="139"/>
    </row>
    <row r="356" ht="15.75" customHeight="1">
      <c r="BD356" s="139"/>
    </row>
    <row r="357" ht="15.75" customHeight="1">
      <c r="BD357" s="139"/>
    </row>
    <row r="358" ht="15.75" customHeight="1">
      <c r="BD358" s="139"/>
    </row>
    <row r="359" ht="15.75" customHeight="1">
      <c r="BD359" s="139"/>
    </row>
    <row r="360" ht="15.75" customHeight="1">
      <c r="BD360" s="139"/>
    </row>
    <row r="361" ht="15.75" customHeight="1">
      <c r="BD361" s="139"/>
    </row>
    <row r="362" ht="15.75" customHeight="1">
      <c r="BD362" s="139"/>
    </row>
    <row r="363" ht="15.75" customHeight="1">
      <c r="BD363" s="139"/>
    </row>
    <row r="364" ht="15.75" customHeight="1">
      <c r="BD364" s="139"/>
    </row>
    <row r="365" ht="15.75" customHeight="1">
      <c r="BD365" s="139"/>
    </row>
    <row r="366" ht="15.75" customHeight="1">
      <c r="BD366" s="139"/>
    </row>
    <row r="367" ht="15.75" customHeight="1">
      <c r="BD367" s="139"/>
    </row>
    <row r="368" ht="15.75" customHeight="1">
      <c r="BD368" s="139"/>
    </row>
    <row r="369" ht="15.75" customHeight="1">
      <c r="BD369" s="139"/>
    </row>
    <row r="370" ht="15.75" customHeight="1">
      <c r="BD370" s="139"/>
    </row>
    <row r="371" ht="15.75" customHeight="1">
      <c r="BD371" s="139"/>
    </row>
    <row r="372" ht="15.75" customHeight="1">
      <c r="BD372" s="139"/>
    </row>
    <row r="373" ht="15.75" customHeight="1">
      <c r="BD373" s="139"/>
    </row>
    <row r="374" ht="15.75" customHeight="1">
      <c r="BD374" s="139"/>
    </row>
    <row r="375" ht="15.75" customHeight="1">
      <c r="BD375" s="139"/>
    </row>
    <row r="376" ht="15.75" customHeight="1">
      <c r="BD376" s="139"/>
    </row>
    <row r="377" ht="15.75" customHeight="1">
      <c r="BD377" s="139"/>
    </row>
    <row r="378" ht="15.75" customHeight="1">
      <c r="BD378" s="139"/>
    </row>
    <row r="379" ht="15.75" customHeight="1">
      <c r="BD379" s="139"/>
    </row>
    <row r="380" ht="15.75" customHeight="1">
      <c r="BD380" s="139"/>
    </row>
    <row r="381" ht="15.75" customHeight="1">
      <c r="BD381" s="139"/>
    </row>
    <row r="382" ht="15.75" customHeight="1">
      <c r="BD382" s="139"/>
    </row>
    <row r="383" ht="15.75" customHeight="1">
      <c r="BD383" s="139"/>
    </row>
    <row r="384" ht="15.75" customHeight="1">
      <c r="BD384" s="139"/>
    </row>
    <row r="385" ht="15.75" customHeight="1">
      <c r="BD385" s="139"/>
    </row>
    <row r="386" ht="15.75" customHeight="1">
      <c r="BD386" s="139"/>
    </row>
    <row r="387" ht="15.75" customHeight="1">
      <c r="BD387" s="139"/>
    </row>
    <row r="388" ht="15.75" customHeight="1">
      <c r="BD388" s="139"/>
    </row>
    <row r="389" ht="15.75" customHeight="1">
      <c r="BD389" s="139"/>
    </row>
    <row r="390" ht="15.75" customHeight="1">
      <c r="BD390" s="139"/>
    </row>
    <row r="391" ht="15.75" customHeight="1">
      <c r="BD391" s="139"/>
    </row>
    <row r="392" ht="15.75" customHeight="1">
      <c r="BD392" s="139"/>
    </row>
    <row r="393" ht="15.75" customHeight="1">
      <c r="BD393" s="139"/>
    </row>
    <row r="394" ht="15.75" customHeight="1">
      <c r="BD394" s="139"/>
    </row>
    <row r="395" ht="15.75" customHeight="1">
      <c r="BD395" s="139"/>
    </row>
    <row r="396" ht="15.75" customHeight="1">
      <c r="BD396" s="139"/>
    </row>
    <row r="397" ht="15.75" customHeight="1">
      <c r="BD397" s="139"/>
    </row>
    <row r="398" ht="15.75" customHeight="1">
      <c r="BD398" s="139"/>
    </row>
    <row r="399" ht="15.75" customHeight="1">
      <c r="BD399" s="139"/>
    </row>
    <row r="400" ht="15.75" customHeight="1">
      <c r="BD400" s="139"/>
    </row>
    <row r="401" ht="15.75" customHeight="1">
      <c r="BD401" s="139"/>
    </row>
    <row r="402" ht="15.75" customHeight="1">
      <c r="BD402" s="139"/>
    </row>
    <row r="403" ht="15.75" customHeight="1">
      <c r="BD403" s="139"/>
    </row>
    <row r="404" ht="15.75" customHeight="1">
      <c r="BD404" s="139"/>
    </row>
    <row r="405" ht="15.75" customHeight="1">
      <c r="BD405" s="139"/>
    </row>
    <row r="406" ht="15.75" customHeight="1">
      <c r="BD406" s="139"/>
    </row>
    <row r="407" ht="15.75" customHeight="1">
      <c r="BD407" s="139"/>
    </row>
    <row r="408" ht="15.75" customHeight="1">
      <c r="BD408" s="139"/>
    </row>
    <row r="409" ht="15.75" customHeight="1">
      <c r="BD409" s="139"/>
    </row>
    <row r="410" ht="15.75" customHeight="1">
      <c r="BD410" s="139"/>
    </row>
    <row r="411" ht="15.75" customHeight="1">
      <c r="BD411" s="139"/>
    </row>
    <row r="412" ht="15.75" customHeight="1">
      <c r="BD412" s="139"/>
    </row>
    <row r="413" ht="15.75" customHeight="1">
      <c r="BD413" s="139"/>
    </row>
    <row r="414" ht="15.75" customHeight="1">
      <c r="BD414" s="139"/>
    </row>
    <row r="415" ht="15.75" customHeight="1">
      <c r="BD415" s="139"/>
    </row>
    <row r="416" ht="15.75" customHeight="1">
      <c r="BD416" s="139"/>
    </row>
    <row r="417" ht="15.75" customHeight="1">
      <c r="BD417" s="139"/>
    </row>
    <row r="418" ht="15.75" customHeight="1">
      <c r="BD418" s="139"/>
    </row>
    <row r="419" ht="15.75" customHeight="1">
      <c r="BD419" s="139"/>
    </row>
    <row r="420" ht="15.75" customHeight="1">
      <c r="BD420" s="139"/>
    </row>
    <row r="421" ht="15.75" customHeight="1">
      <c r="BD421" s="139"/>
    </row>
    <row r="422" ht="15.75" customHeight="1">
      <c r="BD422" s="139"/>
    </row>
    <row r="423" ht="15.75" customHeight="1">
      <c r="BD423" s="139"/>
    </row>
    <row r="424" ht="15.75" customHeight="1">
      <c r="BD424" s="139"/>
    </row>
    <row r="425" ht="15.75" customHeight="1">
      <c r="BD425" s="139"/>
    </row>
    <row r="426" ht="15.75" customHeight="1">
      <c r="BD426" s="139"/>
    </row>
    <row r="427" ht="15.75" customHeight="1">
      <c r="BD427" s="139"/>
    </row>
    <row r="428" ht="15.75" customHeight="1">
      <c r="BD428" s="139"/>
    </row>
    <row r="429" ht="15.75" customHeight="1">
      <c r="BD429" s="139"/>
    </row>
    <row r="430" ht="15.75" customHeight="1">
      <c r="BD430" s="139"/>
    </row>
    <row r="431" ht="15.75" customHeight="1">
      <c r="BD431" s="139"/>
    </row>
    <row r="432" ht="15.75" customHeight="1">
      <c r="BD432" s="139"/>
    </row>
    <row r="433" ht="15.75" customHeight="1">
      <c r="BD433" s="139"/>
    </row>
    <row r="434" ht="15.75" customHeight="1">
      <c r="BD434" s="139"/>
    </row>
    <row r="435" ht="15.75" customHeight="1">
      <c r="BD435" s="139"/>
    </row>
    <row r="436" ht="15.75" customHeight="1">
      <c r="BD436" s="139"/>
    </row>
    <row r="437" ht="15.75" customHeight="1">
      <c r="BD437" s="139"/>
    </row>
    <row r="438" ht="15.75" customHeight="1">
      <c r="BD438" s="139"/>
    </row>
    <row r="439" ht="15.75" customHeight="1">
      <c r="BD439" s="139"/>
    </row>
    <row r="440" ht="15.75" customHeight="1">
      <c r="BD440" s="139"/>
    </row>
    <row r="441" ht="15.75" customHeight="1">
      <c r="BD441" s="139"/>
    </row>
    <row r="442" ht="15.75" customHeight="1">
      <c r="BD442" s="139"/>
    </row>
    <row r="443" ht="15.75" customHeight="1">
      <c r="BD443" s="139"/>
    </row>
    <row r="444" ht="15.75" customHeight="1">
      <c r="BD444" s="139"/>
    </row>
    <row r="445" ht="15.75" customHeight="1">
      <c r="BD445" s="139"/>
    </row>
    <row r="446" ht="15.75" customHeight="1">
      <c r="BD446" s="139"/>
    </row>
    <row r="447" ht="15.75" customHeight="1">
      <c r="BD447" s="139"/>
    </row>
    <row r="448" ht="15.75" customHeight="1">
      <c r="BD448" s="139"/>
    </row>
    <row r="449" ht="15.75" customHeight="1">
      <c r="BD449" s="139"/>
    </row>
    <row r="450" ht="15.75" customHeight="1">
      <c r="BD450" s="139"/>
    </row>
    <row r="451" ht="15.75" customHeight="1">
      <c r="BD451" s="139"/>
    </row>
    <row r="452" ht="15.75" customHeight="1">
      <c r="BD452" s="139"/>
    </row>
    <row r="453" ht="15.75" customHeight="1">
      <c r="BD453" s="139"/>
    </row>
    <row r="454" ht="15.75" customHeight="1">
      <c r="BD454" s="139"/>
    </row>
    <row r="455" ht="15.75" customHeight="1">
      <c r="BD455" s="139"/>
    </row>
    <row r="456" ht="15.75" customHeight="1">
      <c r="BD456" s="139"/>
    </row>
    <row r="457" ht="15.75" customHeight="1">
      <c r="BD457" s="139"/>
    </row>
    <row r="458" ht="15.75" customHeight="1">
      <c r="BD458" s="139"/>
    </row>
    <row r="459" ht="15.75" customHeight="1">
      <c r="BD459" s="139"/>
    </row>
    <row r="460" ht="15.75" customHeight="1">
      <c r="BD460" s="139"/>
    </row>
    <row r="461" ht="15.75" customHeight="1">
      <c r="BD461" s="139"/>
    </row>
    <row r="462" ht="15.75" customHeight="1">
      <c r="BD462" s="139"/>
    </row>
    <row r="463" ht="15.75" customHeight="1">
      <c r="BD463" s="139"/>
    </row>
    <row r="464" ht="15.75" customHeight="1">
      <c r="BD464" s="139"/>
    </row>
    <row r="465" ht="15.75" customHeight="1">
      <c r="BD465" s="139"/>
    </row>
    <row r="466" ht="15.75" customHeight="1">
      <c r="BD466" s="139"/>
    </row>
    <row r="467" ht="15.75" customHeight="1">
      <c r="BD467" s="139"/>
    </row>
    <row r="468" ht="15.75" customHeight="1">
      <c r="BD468" s="139"/>
    </row>
    <row r="469" ht="15.75" customHeight="1">
      <c r="BD469" s="139"/>
    </row>
    <row r="470" ht="15.75" customHeight="1">
      <c r="BD470" s="139"/>
    </row>
    <row r="471" ht="15.75" customHeight="1">
      <c r="BD471" s="139"/>
    </row>
    <row r="472" ht="15.75" customHeight="1">
      <c r="BD472" s="139"/>
    </row>
    <row r="473" ht="15.75" customHeight="1">
      <c r="BD473" s="139"/>
    </row>
    <row r="474" ht="15.75" customHeight="1">
      <c r="BD474" s="139"/>
    </row>
    <row r="475" ht="15.75" customHeight="1">
      <c r="BD475" s="139"/>
    </row>
    <row r="476" ht="15.75" customHeight="1">
      <c r="BD476" s="139"/>
    </row>
    <row r="477" ht="15.75" customHeight="1">
      <c r="BD477" s="139"/>
    </row>
    <row r="478" ht="15.75" customHeight="1">
      <c r="BD478" s="139"/>
    </row>
    <row r="479" ht="15.75" customHeight="1">
      <c r="BD479" s="139"/>
    </row>
    <row r="480" ht="15.75" customHeight="1">
      <c r="BD480" s="139"/>
    </row>
    <row r="481" ht="15.75" customHeight="1">
      <c r="BD481" s="139"/>
    </row>
    <row r="482" ht="15.75" customHeight="1">
      <c r="BD482" s="139"/>
    </row>
    <row r="483" ht="15.75" customHeight="1">
      <c r="BD483" s="139"/>
    </row>
    <row r="484" ht="15.75" customHeight="1">
      <c r="BD484" s="139"/>
    </row>
    <row r="485" ht="15.75" customHeight="1">
      <c r="BD485" s="139"/>
    </row>
    <row r="486" ht="15.75" customHeight="1">
      <c r="BD486" s="139"/>
    </row>
    <row r="487" ht="15.75" customHeight="1">
      <c r="BD487" s="139"/>
    </row>
    <row r="488" ht="15.75" customHeight="1">
      <c r="BD488" s="139"/>
    </row>
    <row r="489" ht="15.75" customHeight="1">
      <c r="BD489" s="139"/>
    </row>
    <row r="490" ht="15.75" customHeight="1">
      <c r="BD490" s="139"/>
    </row>
    <row r="491" ht="15.75" customHeight="1">
      <c r="BD491" s="139"/>
    </row>
    <row r="492" ht="15.75" customHeight="1">
      <c r="BD492" s="139"/>
    </row>
    <row r="493" ht="15.75" customHeight="1">
      <c r="BD493" s="139"/>
    </row>
    <row r="494" ht="15.75" customHeight="1">
      <c r="BD494" s="139"/>
    </row>
    <row r="495" ht="15.75" customHeight="1">
      <c r="BD495" s="139"/>
    </row>
    <row r="496" ht="15.75" customHeight="1">
      <c r="BD496" s="139"/>
    </row>
    <row r="497" ht="15.75" customHeight="1">
      <c r="BD497" s="139"/>
    </row>
    <row r="498" ht="15.75" customHeight="1">
      <c r="BD498" s="139"/>
    </row>
    <row r="499" ht="15.75" customHeight="1">
      <c r="BD499" s="139"/>
    </row>
    <row r="500" ht="15.75" customHeight="1">
      <c r="BD500" s="139"/>
    </row>
    <row r="501" ht="15.75" customHeight="1">
      <c r="BD501" s="139"/>
    </row>
    <row r="502" ht="15.75" customHeight="1">
      <c r="BD502" s="139"/>
    </row>
    <row r="503" ht="15.75" customHeight="1">
      <c r="BD503" s="139"/>
    </row>
    <row r="504" ht="15.75" customHeight="1">
      <c r="BD504" s="139"/>
    </row>
    <row r="505" ht="15.75" customHeight="1">
      <c r="BD505" s="139"/>
    </row>
    <row r="506" ht="15.75" customHeight="1">
      <c r="BD506" s="139"/>
    </row>
    <row r="507" ht="15.75" customHeight="1">
      <c r="BD507" s="139"/>
    </row>
    <row r="508" ht="15.75" customHeight="1">
      <c r="BD508" s="139"/>
    </row>
    <row r="509" ht="15.75" customHeight="1">
      <c r="BD509" s="139"/>
    </row>
    <row r="510" ht="15.75" customHeight="1">
      <c r="BD510" s="139"/>
    </row>
    <row r="511" ht="15.75" customHeight="1">
      <c r="BD511" s="139"/>
    </row>
    <row r="512" ht="15.75" customHeight="1">
      <c r="BD512" s="139"/>
    </row>
    <row r="513" ht="15.75" customHeight="1">
      <c r="BD513" s="139"/>
    </row>
    <row r="514" ht="15.75" customHeight="1">
      <c r="BD514" s="139"/>
    </row>
    <row r="515" ht="15.75" customHeight="1">
      <c r="BD515" s="139"/>
    </row>
    <row r="516" ht="15.75" customHeight="1">
      <c r="BD516" s="139"/>
    </row>
    <row r="517" ht="15.75" customHeight="1">
      <c r="BD517" s="139"/>
    </row>
    <row r="518" ht="15.75" customHeight="1">
      <c r="BD518" s="139"/>
    </row>
    <row r="519" ht="15.75" customHeight="1">
      <c r="BD519" s="139"/>
    </row>
    <row r="520" ht="15.75" customHeight="1">
      <c r="BD520" s="139"/>
    </row>
    <row r="521" ht="15.75" customHeight="1">
      <c r="BD521" s="139"/>
    </row>
    <row r="522" ht="15.75" customHeight="1">
      <c r="BD522" s="139"/>
    </row>
    <row r="523" ht="15.75" customHeight="1">
      <c r="BD523" s="139"/>
    </row>
    <row r="524" ht="15.75" customHeight="1">
      <c r="BD524" s="139"/>
    </row>
    <row r="525" ht="15.75" customHeight="1">
      <c r="BD525" s="139"/>
    </row>
    <row r="526" ht="15.75" customHeight="1">
      <c r="BD526" s="139"/>
    </row>
    <row r="527" ht="15.75" customHeight="1">
      <c r="BD527" s="139"/>
    </row>
    <row r="528" ht="15.75" customHeight="1">
      <c r="BD528" s="139"/>
    </row>
    <row r="529" ht="15.75" customHeight="1">
      <c r="BD529" s="139"/>
    </row>
    <row r="530" ht="15.75" customHeight="1">
      <c r="BD530" s="139"/>
    </row>
    <row r="531" ht="15.75" customHeight="1">
      <c r="BD531" s="139"/>
    </row>
    <row r="532" ht="15.75" customHeight="1">
      <c r="BD532" s="139"/>
    </row>
    <row r="533" ht="15.75" customHeight="1">
      <c r="BD533" s="139"/>
    </row>
    <row r="534" ht="15.75" customHeight="1">
      <c r="BD534" s="139"/>
    </row>
    <row r="535" ht="15.75" customHeight="1">
      <c r="BD535" s="139"/>
    </row>
    <row r="536" ht="15.75" customHeight="1">
      <c r="BD536" s="139"/>
    </row>
    <row r="537" ht="15.75" customHeight="1">
      <c r="BD537" s="139"/>
    </row>
    <row r="538" ht="15.75" customHeight="1">
      <c r="BD538" s="139"/>
    </row>
    <row r="539" ht="15.75" customHeight="1">
      <c r="BD539" s="139"/>
    </row>
    <row r="540" ht="15.75" customHeight="1">
      <c r="BD540" s="139"/>
    </row>
    <row r="541" ht="15.75" customHeight="1">
      <c r="BD541" s="139"/>
    </row>
    <row r="542" ht="15.75" customHeight="1">
      <c r="BD542" s="139"/>
    </row>
    <row r="543" ht="15.75" customHeight="1">
      <c r="BD543" s="139"/>
    </row>
    <row r="544" ht="15.75" customHeight="1">
      <c r="BD544" s="139"/>
    </row>
    <row r="545" ht="15.75" customHeight="1">
      <c r="BD545" s="139"/>
    </row>
    <row r="546" ht="15.75" customHeight="1">
      <c r="BD546" s="139"/>
    </row>
    <row r="547" ht="15.75" customHeight="1">
      <c r="BD547" s="139"/>
    </row>
    <row r="548" ht="15.75" customHeight="1">
      <c r="BD548" s="139"/>
    </row>
    <row r="549" ht="15.75" customHeight="1">
      <c r="BD549" s="139"/>
    </row>
    <row r="550" ht="15.75" customHeight="1">
      <c r="BD550" s="139"/>
    </row>
    <row r="551" ht="15.75" customHeight="1">
      <c r="BD551" s="139"/>
    </row>
    <row r="552" ht="15.75" customHeight="1">
      <c r="BD552" s="139"/>
    </row>
    <row r="553" ht="15.75" customHeight="1">
      <c r="BD553" s="139"/>
    </row>
    <row r="554" ht="15.75" customHeight="1">
      <c r="BD554" s="139"/>
    </row>
    <row r="555" ht="15.75" customHeight="1">
      <c r="BD555" s="139"/>
    </row>
    <row r="556" ht="15.75" customHeight="1">
      <c r="BD556" s="139"/>
    </row>
    <row r="557" ht="15.75" customHeight="1">
      <c r="BD557" s="139"/>
    </row>
    <row r="558" ht="15.75" customHeight="1">
      <c r="BD558" s="139"/>
    </row>
    <row r="559" ht="15.75" customHeight="1">
      <c r="BD559" s="139"/>
    </row>
    <row r="560" ht="15.75" customHeight="1">
      <c r="BD560" s="139"/>
    </row>
    <row r="561" ht="15.75" customHeight="1">
      <c r="BD561" s="139"/>
    </row>
    <row r="562" ht="15.75" customHeight="1">
      <c r="BD562" s="139"/>
    </row>
    <row r="563" ht="15.75" customHeight="1">
      <c r="BD563" s="139"/>
    </row>
    <row r="564" ht="15.75" customHeight="1">
      <c r="BD564" s="139"/>
    </row>
    <row r="565" ht="15.75" customHeight="1">
      <c r="BD565" s="139"/>
    </row>
    <row r="566" ht="15.75" customHeight="1">
      <c r="BD566" s="139"/>
    </row>
    <row r="567" ht="15.75" customHeight="1">
      <c r="BD567" s="139"/>
    </row>
    <row r="568" ht="15.75" customHeight="1">
      <c r="BD568" s="139"/>
    </row>
    <row r="569" ht="15.75" customHeight="1">
      <c r="BD569" s="139"/>
    </row>
    <row r="570" ht="15.75" customHeight="1">
      <c r="BD570" s="139"/>
    </row>
    <row r="571" ht="15.75" customHeight="1">
      <c r="BD571" s="139"/>
    </row>
    <row r="572" ht="15.75" customHeight="1">
      <c r="BD572" s="139"/>
    </row>
    <row r="573" ht="15.75" customHeight="1">
      <c r="BD573" s="139"/>
    </row>
    <row r="574" ht="15.75" customHeight="1">
      <c r="BD574" s="139"/>
    </row>
    <row r="575" ht="15.75" customHeight="1">
      <c r="BD575" s="139"/>
    </row>
    <row r="576" ht="15.75" customHeight="1">
      <c r="BD576" s="139"/>
    </row>
    <row r="577" ht="15.75" customHeight="1">
      <c r="BD577" s="139"/>
    </row>
    <row r="578" ht="15.75" customHeight="1">
      <c r="BD578" s="139"/>
    </row>
    <row r="579" ht="15.75" customHeight="1">
      <c r="BD579" s="139"/>
    </row>
    <row r="580" ht="15.75" customHeight="1">
      <c r="BD580" s="139"/>
    </row>
    <row r="581" ht="15.75" customHeight="1">
      <c r="BD581" s="139"/>
    </row>
    <row r="582" ht="15.75" customHeight="1">
      <c r="BD582" s="139"/>
    </row>
    <row r="583" ht="15.75" customHeight="1">
      <c r="BD583" s="139"/>
    </row>
    <row r="584" ht="15.75" customHeight="1">
      <c r="BD584" s="139"/>
    </row>
    <row r="585" ht="15.75" customHeight="1">
      <c r="BD585" s="139"/>
    </row>
    <row r="586" ht="15.75" customHeight="1">
      <c r="BD586" s="139"/>
    </row>
    <row r="587" ht="15.75" customHeight="1">
      <c r="BD587" s="139"/>
    </row>
    <row r="588" ht="15.75" customHeight="1">
      <c r="BD588" s="139"/>
    </row>
    <row r="589" ht="15.75" customHeight="1">
      <c r="BD589" s="139"/>
    </row>
    <row r="590" ht="15.75" customHeight="1">
      <c r="BD590" s="139"/>
    </row>
    <row r="591" ht="15.75" customHeight="1">
      <c r="BD591" s="139"/>
    </row>
    <row r="592" ht="15.75" customHeight="1">
      <c r="BD592" s="139"/>
    </row>
    <row r="593" ht="15.75" customHeight="1">
      <c r="BD593" s="139"/>
    </row>
    <row r="594" ht="15.75" customHeight="1">
      <c r="BD594" s="139"/>
    </row>
    <row r="595" ht="15.75" customHeight="1">
      <c r="BD595" s="139"/>
    </row>
    <row r="596" ht="15.75" customHeight="1">
      <c r="BD596" s="139"/>
    </row>
    <row r="597" ht="15.75" customHeight="1">
      <c r="BD597" s="139"/>
    </row>
    <row r="598" ht="15.75" customHeight="1">
      <c r="BD598" s="139"/>
    </row>
    <row r="599" ht="15.75" customHeight="1">
      <c r="BD599" s="139"/>
    </row>
    <row r="600" ht="15.75" customHeight="1">
      <c r="BD600" s="139"/>
    </row>
    <row r="601" ht="15.75" customHeight="1">
      <c r="BD601" s="139"/>
    </row>
    <row r="602" ht="15.75" customHeight="1">
      <c r="BD602" s="139"/>
    </row>
    <row r="603" ht="15.75" customHeight="1">
      <c r="BD603" s="139"/>
    </row>
    <row r="604" ht="15.75" customHeight="1">
      <c r="BD604" s="139"/>
    </row>
    <row r="605" ht="15.75" customHeight="1">
      <c r="BD605" s="139"/>
    </row>
    <row r="606" ht="15.75" customHeight="1">
      <c r="BD606" s="139"/>
    </row>
    <row r="607" ht="15.75" customHeight="1">
      <c r="BD607" s="139"/>
    </row>
    <row r="608" ht="15.75" customHeight="1">
      <c r="BD608" s="139"/>
    </row>
    <row r="609" ht="15.75" customHeight="1">
      <c r="BD609" s="139"/>
    </row>
    <row r="610" ht="15.75" customHeight="1">
      <c r="BD610" s="139"/>
    </row>
    <row r="611" ht="15.75" customHeight="1">
      <c r="BD611" s="139"/>
    </row>
    <row r="612" ht="15.75" customHeight="1">
      <c r="BD612" s="139"/>
    </row>
    <row r="613" ht="15.75" customHeight="1">
      <c r="BD613" s="139"/>
    </row>
    <row r="614" ht="15.75" customHeight="1">
      <c r="BD614" s="139"/>
    </row>
    <row r="615" ht="15.75" customHeight="1">
      <c r="BD615" s="139"/>
    </row>
    <row r="616" ht="15.75" customHeight="1">
      <c r="BD616" s="139"/>
    </row>
    <row r="617" ht="15.75" customHeight="1">
      <c r="BD617" s="139"/>
    </row>
    <row r="618" ht="15.75" customHeight="1">
      <c r="BD618" s="139"/>
    </row>
    <row r="619" ht="15.75" customHeight="1">
      <c r="BD619" s="139"/>
    </row>
    <row r="620" ht="15.75" customHeight="1">
      <c r="BD620" s="139"/>
    </row>
    <row r="621" ht="15.75" customHeight="1">
      <c r="BD621" s="139"/>
    </row>
    <row r="622" ht="15.75" customHeight="1">
      <c r="BD622" s="139"/>
    </row>
    <row r="623" ht="15.75" customHeight="1">
      <c r="BD623" s="139"/>
    </row>
    <row r="624" ht="15.75" customHeight="1">
      <c r="BD624" s="139"/>
    </row>
    <row r="625" ht="15.75" customHeight="1">
      <c r="BD625" s="139"/>
    </row>
    <row r="626" ht="15.75" customHeight="1">
      <c r="BD626" s="139"/>
    </row>
    <row r="627" ht="15.75" customHeight="1">
      <c r="BD627" s="139"/>
    </row>
    <row r="628" ht="15.75" customHeight="1">
      <c r="BD628" s="139"/>
    </row>
    <row r="629" ht="15.75" customHeight="1">
      <c r="BD629" s="139"/>
    </row>
    <row r="630" ht="15.75" customHeight="1">
      <c r="BD630" s="139"/>
    </row>
    <row r="631" ht="15.75" customHeight="1">
      <c r="BD631" s="139"/>
    </row>
    <row r="632" ht="15.75" customHeight="1">
      <c r="BD632" s="139"/>
    </row>
    <row r="633" ht="15.75" customHeight="1">
      <c r="BD633" s="139"/>
    </row>
    <row r="634" ht="15.75" customHeight="1">
      <c r="BD634" s="139"/>
    </row>
    <row r="635" ht="15.75" customHeight="1">
      <c r="BD635" s="139"/>
    </row>
    <row r="636" ht="15.75" customHeight="1">
      <c r="BD636" s="139"/>
    </row>
    <row r="637" ht="15.75" customHeight="1">
      <c r="BD637" s="139"/>
    </row>
    <row r="638" ht="15.75" customHeight="1">
      <c r="BD638" s="139"/>
    </row>
    <row r="639" ht="15.75" customHeight="1">
      <c r="BD639" s="139"/>
    </row>
    <row r="640" ht="15.75" customHeight="1">
      <c r="BD640" s="139"/>
    </row>
    <row r="641" ht="15.75" customHeight="1">
      <c r="BD641" s="139"/>
    </row>
    <row r="642" ht="15.75" customHeight="1">
      <c r="BD642" s="139"/>
    </row>
    <row r="643" ht="15.75" customHeight="1">
      <c r="BD643" s="139"/>
    </row>
    <row r="644" ht="15.75" customHeight="1">
      <c r="BD644" s="139"/>
    </row>
    <row r="645" ht="15.75" customHeight="1">
      <c r="BD645" s="139"/>
    </row>
    <row r="646" ht="15.75" customHeight="1">
      <c r="BD646" s="139"/>
    </row>
    <row r="647" ht="15.75" customHeight="1">
      <c r="BD647" s="139"/>
    </row>
    <row r="648" ht="15.75" customHeight="1">
      <c r="BD648" s="139"/>
    </row>
    <row r="649" ht="15.75" customHeight="1">
      <c r="BD649" s="139"/>
    </row>
    <row r="650" ht="15.75" customHeight="1">
      <c r="BD650" s="139"/>
    </row>
    <row r="651" ht="15.75" customHeight="1">
      <c r="BD651" s="139"/>
    </row>
    <row r="652" ht="15.75" customHeight="1">
      <c r="BD652" s="139"/>
    </row>
    <row r="653" ht="15.75" customHeight="1">
      <c r="BD653" s="139"/>
    </row>
    <row r="654" ht="15.75" customHeight="1">
      <c r="BD654" s="139"/>
    </row>
    <row r="655" ht="15.75" customHeight="1">
      <c r="BD655" s="139"/>
    </row>
    <row r="656" ht="15.75" customHeight="1">
      <c r="BD656" s="139"/>
    </row>
    <row r="657" ht="15.75" customHeight="1">
      <c r="BD657" s="139"/>
    </row>
    <row r="658" ht="15.75" customHeight="1">
      <c r="BD658" s="139"/>
    </row>
    <row r="659" ht="15.75" customHeight="1">
      <c r="BD659" s="139"/>
    </row>
    <row r="660" ht="15.75" customHeight="1">
      <c r="BD660" s="139"/>
    </row>
    <row r="661" ht="15.75" customHeight="1">
      <c r="BD661" s="139"/>
    </row>
    <row r="662" ht="15.75" customHeight="1">
      <c r="BD662" s="139"/>
    </row>
    <row r="663" ht="15.75" customHeight="1">
      <c r="BD663" s="139"/>
    </row>
    <row r="664" ht="15.75" customHeight="1">
      <c r="BD664" s="139"/>
    </row>
    <row r="665" ht="15.75" customHeight="1">
      <c r="BD665" s="139"/>
    </row>
    <row r="666" ht="15.75" customHeight="1">
      <c r="BD666" s="139"/>
    </row>
    <row r="667" ht="15.75" customHeight="1">
      <c r="BD667" s="139"/>
    </row>
    <row r="668" ht="15.75" customHeight="1">
      <c r="BD668" s="139"/>
    </row>
    <row r="669" ht="15.75" customHeight="1">
      <c r="BD669" s="139"/>
    </row>
    <row r="670" ht="15.75" customHeight="1">
      <c r="BD670" s="139"/>
    </row>
    <row r="671" ht="15.75" customHeight="1">
      <c r="BD671" s="139"/>
    </row>
    <row r="672" ht="15.75" customHeight="1">
      <c r="BD672" s="139"/>
    </row>
    <row r="673" ht="15.75" customHeight="1">
      <c r="BD673" s="139"/>
    </row>
    <row r="674" ht="15.75" customHeight="1">
      <c r="BD674" s="139"/>
    </row>
    <row r="675" ht="15.75" customHeight="1">
      <c r="BD675" s="139"/>
    </row>
    <row r="676" ht="15.75" customHeight="1">
      <c r="BD676" s="139"/>
    </row>
    <row r="677" ht="15.75" customHeight="1">
      <c r="BD677" s="139"/>
    </row>
    <row r="678" ht="15.75" customHeight="1">
      <c r="BD678" s="139"/>
    </row>
    <row r="679" ht="15.75" customHeight="1">
      <c r="BD679" s="139"/>
    </row>
    <row r="680" ht="15.75" customHeight="1">
      <c r="BD680" s="139"/>
    </row>
    <row r="681" ht="15.75" customHeight="1">
      <c r="BD681" s="139"/>
    </row>
    <row r="682" ht="15.75" customHeight="1">
      <c r="BD682" s="139"/>
    </row>
    <row r="683" ht="15.75" customHeight="1">
      <c r="BD683" s="139"/>
    </row>
    <row r="684" ht="15.75" customHeight="1">
      <c r="BD684" s="139"/>
    </row>
    <row r="685" ht="15.75" customHeight="1">
      <c r="BD685" s="139"/>
    </row>
    <row r="686" ht="15.75" customHeight="1">
      <c r="BD686" s="139"/>
    </row>
    <row r="687" ht="15.75" customHeight="1">
      <c r="BD687" s="139"/>
    </row>
    <row r="688" ht="15.75" customHeight="1">
      <c r="BD688" s="139"/>
    </row>
    <row r="689" ht="15.75" customHeight="1">
      <c r="BD689" s="139"/>
    </row>
    <row r="690" ht="15.75" customHeight="1">
      <c r="BD690" s="139"/>
    </row>
    <row r="691" ht="15.75" customHeight="1">
      <c r="BD691" s="139"/>
    </row>
    <row r="692" ht="15.75" customHeight="1">
      <c r="BD692" s="139"/>
    </row>
    <row r="693" ht="15.75" customHeight="1">
      <c r="BD693" s="139"/>
    </row>
    <row r="694" ht="15.75" customHeight="1">
      <c r="BD694" s="139"/>
    </row>
    <row r="695" ht="15.75" customHeight="1">
      <c r="BD695" s="139"/>
    </row>
    <row r="696" ht="15.75" customHeight="1">
      <c r="BD696" s="139"/>
    </row>
    <row r="697" ht="15.75" customHeight="1">
      <c r="BD697" s="139"/>
    </row>
    <row r="698" ht="15.75" customHeight="1">
      <c r="BD698" s="139"/>
    </row>
    <row r="699" ht="15.75" customHeight="1">
      <c r="BD699" s="139"/>
    </row>
    <row r="700" ht="15.75" customHeight="1">
      <c r="BD700" s="139"/>
    </row>
    <row r="701" ht="15.75" customHeight="1">
      <c r="BD701" s="139"/>
    </row>
    <row r="702" ht="15.75" customHeight="1">
      <c r="BD702" s="139"/>
    </row>
    <row r="703" ht="15.75" customHeight="1">
      <c r="BD703" s="139"/>
    </row>
    <row r="704" ht="15.75" customHeight="1">
      <c r="BD704" s="139"/>
    </row>
    <row r="705" ht="15.75" customHeight="1">
      <c r="BD705" s="139"/>
    </row>
    <row r="706" ht="15.75" customHeight="1">
      <c r="BD706" s="139"/>
    </row>
    <row r="707" ht="15.75" customHeight="1">
      <c r="BD707" s="139"/>
    </row>
    <row r="708" ht="15.75" customHeight="1">
      <c r="BD708" s="139"/>
    </row>
    <row r="709" ht="15.75" customHeight="1">
      <c r="BD709" s="139"/>
    </row>
    <row r="710" ht="15.75" customHeight="1">
      <c r="BD710" s="139"/>
    </row>
    <row r="711" ht="15.75" customHeight="1">
      <c r="BD711" s="139"/>
    </row>
    <row r="712" ht="15.75" customHeight="1">
      <c r="BD712" s="139"/>
    </row>
    <row r="713" ht="15.75" customHeight="1">
      <c r="BD713" s="139"/>
    </row>
    <row r="714" ht="15.75" customHeight="1">
      <c r="BD714" s="139"/>
    </row>
    <row r="715" ht="15.75" customHeight="1">
      <c r="BD715" s="139"/>
    </row>
    <row r="716" ht="15.75" customHeight="1">
      <c r="BD716" s="139"/>
    </row>
    <row r="717" ht="15.75" customHeight="1">
      <c r="BD717" s="139"/>
    </row>
    <row r="718" ht="15.75" customHeight="1">
      <c r="BD718" s="139"/>
    </row>
    <row r="719" ht="15.75" customHeight="1">
      <c r="BD719" s="139"/>
    </row>
    <row r="720" ht="15.75" customHeight="1">
      <c r="BD720" s="139"/>
    </row>
    <row r="721" ht="15.75" customHeight="1">
      <c r="BD721" s="139"/>
    </row>
    <row r="722" ht="15.75" customHeight="1">
      <c r="BD722" s="139"/>
    </row>
    <row r="723" ht="15.75" customHeight="1">
      <c r="BD723" s="139"/>
    </row>
    <row r="724" ht="15.75" customHeight="1">
      <c r="BD724" s="139"/>
    </row>
    <row r="725" ht="15.75" customHeight="1">
      <c r="BD725" s="139"/>
    </row>
    <row r="726" ht="15.75" customHeight="1">
      <c r="BD726" s="139"/>
    </row>
    <row r="727" ht="15.75" customHeight="1">
      <c r="BD727" s="139"/>
    </row>
    <row r="728" ht="15.75" customHeight="1">
      <c r="BD728" s="139"/>
    </row>
    <row r="729" ht="15.75" customHeight="1">
      <c r="BD729" s="139"/>
    </row>
    <row r="730" ht="15.75" customHeight="1">
      <c r="BD730" s="139"/>
    </row>
    <row r="731" ht="15.75" customHeight="1">
      <c r="BD731" s="139"/>
    </row>
    <row r="732" ht="15.75" customHeight="1">
      <c r="BD732" s="139"/>
    </row>
    <row r="733" ht="15.75" customHeight="1">
      <c r="BD733" s="139"/>
    </row>
    <row r="734" ht="15.75" customHeight="1">
      <c r="BD734" s="139"/>
    </row>
    <row r="735" ht="15.75" customHeight="1">
      <c r="BD735" s="139"/>
    </row>
    <row r="736" ht="15.75" customHeight="1">
      <c r="BD736" s="139"/>
    </row>
    <row r="737" ht="15.75" customHeight="1">
      <c r="BD737" s="139"/>
    </row>
    <row r="738" ht="15.75" customHeight="1">
      <c r="BD738" s="139"/>
    </row>
    <row r="739" ht="15.75" customHeight="1">
      <c r="BD739" s="139"/>
    </row>
    <row r="740" ht="15.75" customHeight="1">
      <c r="BD740" s="139"/>
    </row>
    <row r="741" ht="15.75" customHeight="1">
      <c r="BD741" s="139"/>
    </row>
    <row r="742" ht="15.75" customHeight="1">
      <c r="BD742" s="139"/>
    </row>
    <row r="743" ht="15.75" customHeight="1">
      <c r="BD743" s="139"/>
    </row>
    <row r="744" ht="15.75" customHeight="1">
      <c r="BD744" s="139"/>
    </row>
    <row r="745" ht="15.75" customHeight="1">
      <c r="BD745" s="139"/>
    </row>
    <row r="746" ht="15.75" customHeight="1">
      <c r="BD746" s="139"/>
    </row>
    <row r="747" ht="15.75" customHeight="1">
      <c r="BD747" s="139"/>
    </row>
    <row r="748" ht="15.75" customHeight="1">
      <c r="BD748" s="139"/>
    </row>
    <row r="749" ht="15.75" customHeight="1">
      <c r="BD749" s="139"/>
    </row>
    <row r="750" ht="15.75" customHeight="1">
      <c r="BD750" s="139"/>
    </row>
    <row r="751" ht="15.75" customHeight="1">
      <c r="BD751" s="139"/>
    </row>
    <row r="752" ht="15.75" customHeight="1">
      <c r="BD752" s="139"/>
    </row>
    <row r="753" ht="15.75" customHeight="1">
      <c r="BD753" s="139"/>
    </row>
    <row r="754" ht="15.75" customHeight="1">
      <c r="BD754" s="139"/>
    </row>
    <row r="755" ht="15.75" customHeight="1">
      <c r="BD755" s="139"/>
    </row>
    <row r="756" ht="15.75" customHeight="1">
      <c r="BD756" s="139"/>
    </row>
    <row r="757" ht="15.75" customHeight="1">
      <c r="BD757" s="139"/>
    </row>
    <row r="758" ht="15.75" customHeight="1">
      <c r="BD758" s="139"/>
    </row>
    <row r="759" ht="15.75" customHeight="1">
      <c r="BD759" s="139"/>
    </row>
    <row r="760" ht="15.75" customHeight="1">
      <c r="BD760" s="139"/>
    </row>
    <row r="761" ht="15.75" customHeight="1">
      <c r="BD761" s="139"/>
    </row>
    <row r="762" ht="15.75" customHeight="1">
      <c r="BD762" s="139"/>
    </row>
    <row r="763" ht="15.75" customHeight="1">
      <c r="BD763" s="139"/>
    </row>
    <row r="764" ht="15.75" customHeight="1">
      <c r="BD764" s="139"/>
    </row>
    <row r="765" ht="15.75" customHeight="1">
      <c r="BD765" s="139"/>
    </row>
    <row r="766" ht="15.75" customHeight="1">
      <c r="BD766" s="139"/>
    </row>
    <row r="767" ht="15.75" customHeight="1">
      <c r="BD767" s="139"/>
    </row>
    <row r="768" ht="15.75" customHeight="1">
      <c r="BD768" s="139"/>
    </row>
    <row r="769" ht="15.75" customHeight="1">
      <c r="BD769" s="139"/>
    </row>
    <row r="770" ht="15.75" customHeight="1">
      <c r="BD770" s="139"/>
    </row>
    <row r="771" ht="15.75" customHeight="1">
      <c r="BD771" s="139"/>
    </row>
    <row r="772" ht="15.75" customHeight="1">
      <c r="BD772" s="139"/>
    </row>
    <row r="773" ht="15.75" customHeight="1">
      <c r="BD773" s="139"/>
    </row>
    <row r="774" ht="15.75" customHeight="1">
      <c r="BD774" s="139"/>
    </row>
    <row r="775" ht="15.75" customHeight="1">
      <c r="BD775" s="139"/>
    </row>
    <row r="776" ht="15.75" customHeight="1">
      <c r="BD776" s="139"/>
    </row>
    <row r="777" ht="15.75" customHeight="1">
      <c r="BD777" s="139"/>
    </row>
    <row r="778" ht="15.75" customHeight="1">
      <c r="BD778" s="139"/>
    </row>
    <row r="779" ht="15.75" customHeight="1">
      <c r="BD779" s="139"/>
    </row>
    <row r="780" ht="15.75" customHeight="1">
      <c r="BD780" s="139"/>
    </row>
    <row r="781" ht="15.75" customHeight="1">
      <c r="BD781" s="139"/>
    </row>
    <row r="782" ht="15.75" customHeight="1">
      <c r="BD782" s="139"/>
    </row>
    <row r="783" ht="15.75" customHeight="1">
      <c r="BD783" s="139"/>
    </row>
    <row r="784" ht="15.75" customHeight="1">
      <c r="BD784" s="139"/>
    </row>
    <row r="785" ht="15.75" customHeight="1">
      <c r="BD785" s="139"/>
    </row>
    <row r="786" ht="15.75" customHeight="1">
      <c r="BD786" s="139"/>
    </row>
    <row r="787" ht="15.75" customHeight="1">
      <c r="BD787" s="139"/>
    </row>
    <row r="788" ht="15.75" customHeight="1">
      <c r="BD788" s="139"/>
    </row>
    <row r="789" ht="15.75" customHeight="1">
      <c r="BD789" s="139"/>
    </row>
    <row r="790" ht="15.75" customHeight="1">
      <c r="BD790" s="139"/>
    </row>
    <row r="791" ht="15.75" customHeight="1">
      <c r="BD791" s="139"/>
    </row>
    <row r="792" ht="15.75" customHeight="1">
      <c r="BD792" s="139"/>
    </row>
    <row r="793" ht="15.75" customHeight="1">
      <c r="BD793" s="139"/>
    </row>
    <row r="794" ht="15.75" customHeight="1">
      <c r="BD794" s="139"/>
    </row>
    <row r="795" ht="15.75" customHeight="1">
      <c r="BD795" s="139"/>
    </row>
    <row r="796" ht="15.75" customHeight="1">
      <c r="BD796" s="139"/>
    </row>
    <row r="797" ht="15.75" customHeight="1">
      <c r="BD797" s="139"/>
    </row>
    <row r="798" ht="15.75" customHeight="1">
      <c r="BD798" s="139"/>
    </row>
    <row r="799" ht="15.75" customHeight="1">
      <c r="BD799" s="139"/>
    </row>
    <row r="800" ht="15.75" customHeight="1">
      <c r="BD800" s="139"/>
    </row>
    <row r="801" ht="15.75" customHeight="1">
      <c r="BD801" s="139"/>
    </row>
    <row r="802" ht="15.75" customHeight="1">
      <c r="BD802" s="139"/>
    </row>
    <row r="803" ht="15.75" customHeight="1">
      <c r="BD803" s="139"/>
    </row>
    <row r="804" ht="15.75" customHeight="1">
      <c r="BD804" s="139"/>
    </row>
    <row r="805" ht="15.75" customHeight="1">
      <c r="BD805" s="139"/>
    </row>
    <row r="806" ht="15.75" customHeight="1">
      <c r="BD806" s="139"/>
    </row>
    <row r="807" ht="15.75" customHeight="1">
      <c r="BD807" s="139"/>
    </row>
    <row r="808" ht="15.75" customHeight="1">
      <c r="BD808" s="139"/>
    </row>
    <row r="809" ht="15.75" customHeight="1">
      <c r="BD809" s="139"/>
    </row>
    <row r="810" ht="15.75" customHeight="1">
      <c r="BD810" s="139"/>
    </row>
    <row r="811" ht="15.75" customHeight="1">
      <c r="BD811" s="139"/>
    </row>
    <row r="812" ht="15.75" customHeight="1">
      <c r="BD812" s="139"/>
    </row>
    <row r="813" ht="15.75" customHeight="1">
      <c r="BD813" s="139"/>
    </row>
    <row r="814" ht="15.75" customHeight="1">
      <c r="BD814" s="139"/>
    </row>
    <row r="815" ht="15.75" customHeight="1">
      <c r="BD815" s="139"/>
    </row>
    <row r="816" ht="15.75" customHeight="1">
      <c r="BD816" s="139"/>
    </row>
    <row r="817" ht="15.75" customHeight="1">
      <c r="BD817" s="139"/>
    </row>
    <row r="818" ht="15.75" customHeight="1">
      <c r="BD818" s="139"/>
    </row>
    <row r="819" ht="15.75" customHeight="1">
      <c r="BD819" s="139"/>
    </row>
    <row r="820" ht="15.75" customHeight="1">
      <c r="BD820" s="139"/>
    </row>
    <row r="821" ht="15.75" customHeight="1">
      <c r="BD821" s="139"/>
    </row>
    <row r="822" ht="15.75" customHeight="1">
      <c r="BD822" s="139"/>
    </row>
    <row r="823" ht="15.75" customHeight="1">
      <c r="BD823" s="139"/>
    </row>
    <row r="824" ht="15.75" customHeight="1">
      <c r="BD824" s="139"/>
    </row>
    <row r="825" ht="15.75" customHeight="1">
      <c r="BD825" s="139"/>
    </row>
    <row r="826" ht="15.75" customHeight="1">
      <c r="BD826" s="139"/>
    </row>
    <row r="827" ht="15.75" customHeight="1">
      <c r="BD827" s="139"/>
    </row>
    <row r="828" ht="15.75" customHeight="1">
      <c r="BD828" s="139"/>
    </row>
    <row r="829" ht="15.75" customHeight="1">
      <c r="BD829" s="139"/>
    </row>
    <row r="830" ht="15.75" customHeight="1">
      <c r="BD830" s="139"/>
    </row>
    <row r="831" ht="15.75" customHeight="1">
      <c r="BD831" s="139"/>
    </row>
    <row r="832" ht="15.75" customHeight="1">
      <c r="BD832" s="139"/>
    </row>
    <row r="833" ht="15.75" customHeight="1">
      <c r="BD833" s="139"/>
    </row>
    <row r="834" ht="15.75" customHeight="1">
      <c r="BD834" s="139"/>
    </row>
    <row r="835" ht="15.75" customHeight="1">
      <c r="BD835" s="139"/>
    </row>
    <row r="836" ht="15.75" customHeight="1">
      <c r="BD836" s="139"/>
    </row>
    <row r="837" ht="15.75" customHeight="1">
      <c r="BD837" s="139"/>
    </row>
    <row r="838" ht="15.75" customHeight="1">
      <c r="BD838" s="139"/>
    </row>
    <row r="839" ht="15.75" customHeight="1">
      <c r="BD839" s="139"/>
    </row>
    <row r="840" ht="15.75" customHeight="1">
      <c r="BD840" s="139"/>
    </row>
    <row r="841" ht="15.75" customHeight="1">
      <c r="BD841" s="139"/>
    </row>
    <row r="842" ht="15.75" customHeight="1">
      <c r="BD842" s="139"/>
    </row>
    <row r="843" ht="15.75" customHeight="1">
      <c r="BD843" s="139"/>
    </row>
    <row r="844" ht="15.75" customHeight="1">
      <c r="BD844" s="139"/>
    </row>
    <row r="845" ht="15.75" customHeight="1">
      <c r="BD845" s="139"/>
    </row>
    <row r="846" ht="15.75" customHeight="1">
      <c r="BD846" s="139"/>
    </row>
    <row r="847" ht="15.75" customHeight="1">
      <c r="BD847" s="139"/>
    </row>
    <row r="848" ht="15.75" customHeight="1">
      <c r="BD848" s="139"/>
    </row>
    <row r="849" ht="15.75" customHeight="1">
      <c r="BD849" s="139"/>
    </row>
    <row r="850" ht="15.75" customHeight="1">
      <c r="BD850" s="139"/>
    </row>
    <row r="851" ht="15.75" customHeight="1">
      <c r="BD851" s="139"/>
    </row>
    <row r="852" ht="15.75" customHeight="1">
      <c r="BD852" s="139"/>
    </row>
    <row r="853" ht="15.75" customHeight="1">
      <c r="BD853" s="139"/>
    </row>
    <row r="854" ht="15.75" customHeight="1">
      <c r="BD854" s="139"/>
    </row>
    <row r="855" ht="15.75" customHeight="1">
      <c r="BD855" s="139"/>
    </row>
    <row r="856" ht="15.75" customHeight="1">
      <c r="BD856" s="139"/>
    </row>
    <row r="857" ht="15.75" customHeight="1">
      <c r="BD857" s="139"/>
    </row>
    <row r="858" ht="15.75" customHeight="1">
      <c r="BD858" s="139"/>
    </row>
    <row r="859" ht="15.75" customHeight="1">
      <c r="BD859" s="139"/>
    </row>
    <row r="860" ht="15.75" customHeight="1">
      <c r="BD860" s="139"/>
    </row>
    <row r="861" ht="15.75" customHeight="1">
      <c r="BD861" s="139"/>
    </row>
    <row r="862" ht="15.75" customHeight="1">
      <c r="BD862" s="139"/>
    </row>
    <row r="863" ht="15.75" customHeight="1">
      <c r="BD863" s="139"/>
    </row>
    <row r="864" ht="15.75" customHeight="1">
      <c r="BD864" s="139"/>
    </row>
    <row r="865" ht="15.75" customHeight="1">
      <c r="BD865" s="139"/>
    </row>
    <row r="866" ht="15.75" customHeight="1">
      <c r="BD866" s="139"/>
    </row>
    <row r="867" ht="15.75" customHeight="1">
      <c r="BD867" s="139"/>
    </row>
    <row r="868" ht="15.75" customHeight="1">
      <c r="BD868" s="139"/>
    </row>
    <row r="869" ht="15.75" customHeight="1">
      <c r="BD869" s="139"/>
    </row>
    <row r="870" ht="15.75" customHeight="1">
      <c r="BD870" s="139"/>
    </row>
    <row r="871" ht="15.75" customHeight="1">
      <c r="BD871" s="139"/>
    </row>
    <row r="872" ht="15.75" customHeight="1">
      <c r="BD872" s="139"/>
    </row>
    <row r="873" ht="15.75" customHeight="1">
      <c r="BD873" s="139"/>
    </row>
    <row r="874" ht="15.75" customHeight="1">
      <c r="BD874" s="139"/>
    </row>
    <row r="875" ht="15.75" customHeight="1">
      <c r="BD875" s="139"/>
    </row>
    <row r="876" ht="15.75" customHeight="1">
      <c r="BD876" s="139"/>
    </row>
    <row r="877" ht="15.75" customHeight="1">
      <c r="BD877" s="139"/>
    </row>
    <row r="878" ht="15.75" customHeight="1">
      <c r="BD878" s="139"/>
    </row>
    <row r="879" ht="15.75" customHeight="1">
      <c r="BD879" s="139"/>
    </row>
    <row r="880" ht="15.75" customHeight="1">
      <c r="BD880" s="139"/>
    </row>
    <row r="881" ht="15.75" customHeight="1">
      <c r="BD881" s="139"/>
    </row>
    <row r="882" ht="15.75" customHeight="1">
      <c r="BD882" s="139"/>
    </row>
    <row r="883" ht="15.75" customHeight="1">
      <c r="BD883" s="139"/>
    </row>
    <row r="884" ht="15.75" customHeight="1">
      <c r="BD884" s="139"/>
    </row>
    <row r="885" ht="15.75" customHeight="1">
      <c r="BD885" s="139"/>
    </row>
    <row r="886" ht="15.75" customHeight="1">
      <c r="BD886" s="139"/>
    </row>
    <row r="887" ht="15.75" customHeight="1">
      <c r="BD887" s="139"/>
    </row>
    <row r="888" ht="15.75" customHeight="1">
      <c r="BD888" s="139"/>
    </row>
    <row r="889" ht="15.75" customHeight="1">
      <c r="BD889" s="139"/>
    </row>
    <row r="890" ht="15.75" customHeight="1">
      <c r="BD890" s="139"/>
    </row>
    <row r="891" ht="15.75" customHeight="1">
      <c r="BD891" s="139"/>
    </row>
    <row r="892" ht="15.75" customHeight="1">
      <c r="BD892" s="139"/>
    </row>
    <row r="893" ht="15.75" customHeight="1">
      <c r="BD893" s="139"/>
    </row>
    <row r="894" ht="15.75" customHeight="1">
      <c r="BD894" s="139"/>
    </row>
    <row r="895" ht="15.75" customHeight="1">
      <c r="BD895" s="139"/>
    </row>
    <row r="896" ht="15.75" customHeight="1">
      <c r="BD896" s="139"/>
    </row>
    <row r="897" ht="15.75" customHeight="1">
      <c r="BD897" s="139"/>
    </row>
    <row r="898" ht="15.75" customHeight="1">
      <c r="BD898" s="139"/>
    </row>
    <row r="899" ht="15.75" customHeight="1">
      <c r="BD899" s="139"/>
    </row>
    <row r="900" ht="15.75" customHeight="1">
      <c r="BD900" s="139"/>
    </row>
    <row r="901" ht="15.75" customHeight="1">
      <c r="BD901" s="139"/>
    </row>
    <row r="902" ht="15.75" customHeight="1">
      <c r="BD902" s="139"/>
    </row>
    <row r="903" ht="15.75" customHeight="1">
      <c r="BD903" s="139"/>
    </row>
    <row r="904" ht="15.75" customHeight="1">
      <c r="BD904" s="139"/>
    </row>
    <row r="905" ht="15.75" customHeight="1">
      <c r="BD905" s="139"/>
    </row>
    <row r="906" ht="15.75" customHeight="1">
      <c r="BD906" s="139"/>
    </row>
    <row r="907" ht="15.75" customHeight="1">
      <c r="BD907" s="139"/>
    </row>
    <row r="908" ht="15.75" customHeight="1">
      <c r="BD908" s="139"/>
    </row>
    <row r="909" ht="15.75" customHeight="1">
      <c r="BD909" s="139"/>
    </row>
    <row r="910" ht="15.75" customHeight="1">
      <c r="BD910" s="139"/>
    </row>
    <row r="911" ht="15.75" customHeight="1">
      <c r="BD911" s="139"/>
    </row>
    <row r="912" ht="15.75" customHeight="1">
      <c r="BD912" s="139"/>
    </row>
    <row r="913" ht="15.75" customHeight="1">
      <c r="BD913" s="139"/>
    </row>
    <row r="914" ht="15.75" customHeight="1">
      <c r="BD914" s="139"/>
    </row>
    <row r="915" ht="15.75" customHeight="1">
      <c r="BD915" s="139"/>
    </row>
    <row r="916" ht="15.75" customHeight="1">
      <c r="BD916" s="139"/>
    </row>
    <row r="917" ht="15.75" customHeight="1">
      <c r="BD917" s="139"/>
    </row>
    <row r="918" ht="15.75" customHeight="1">
      <c r="BD918" s="139"/>
    </row>
    <row r="919" ht="15.75" customHeight="1">
      <c r="BD919" s="139"/>
    </row>
    <row r="920" ht="15.75" customHeight="1">
      <c r="BD920" s="139"/>
    </row>
    <row r="921" ht="15.75" customHeight="1">
      <c r="BD921" s="139"/>
    </row>
    <row r="922" ht="15.75" customHeight="1">
      <c r="BD922" s="139"/>
    </row>
    <row r="923" ht="15.75" customHeight="1">
      <c r="BD923" s="139"/>
    </row>
    <row r="924" ht="15.75" customHeight="1">
      <c r="BD924" s="139"/>
    </row>
    <row r="925" ht="15.75" customHeight="1">
      <c r="BD925" s="139"/>
    </row>
    <row r="926" ht="15.75" customHeight="1">
      <c r="BD926" s="139"/>
    </row>
    <row r="927" ht="15.75" customHeight="1">
      <c r="BD927" s="139"/>
    </row>
    <row r="928" ht="15.75" customHeight="1">
      <c r="BD928" s="139"/>
    </row>
    <row r="929" ht="15.75" customHeight="1">
      <c r="BD929" s="139"/>
    </row>
    <row r="930" ht="15.75" customHeight="1">
      <c r="BD930" s="139"/>
    </row>
    <row r="931" ht="15.75" customHeight="1">
      <c r="BD931" s="139"/>
    </row>
    <row r="932" ht="15.75" customHeight="1">
      <c r="BD932" s="139"/>
    </row>
    <row r="933" ht="15.75" customHeight="1">
      <c r="BD933" s="139"/>
    </row>
    <row r="934" ht="15.75" customHeight="1">
      <c r="BD934" s="139"/>
    </row>
    <row r="935" ht="15.75" customHeight="1">
      <c r="BD935" s="139"/>
    </row>
    <row r="936" ht="15.75" customHeight="1">
      <c r="BD936" s="139"/>
    </row>
    <row r="937" ht="15.75" customHeight="1">
      <c r="BD937" s="139"/>
    </row>
    <row r="938" ht="15.75" customHeight="1">
      <c r="BD938" s="139"/>
    </row>
    <row r="939" ht="15.75" customHeight="1">
      <c r="BD939" s="139"/>
    </row>
    <row r="940" ht="15.75" customHeight="1">
      <c r="BD940" s="139"/>
    </row>
    <row r="941" ht="15.75" customHeight="1">
      <c r="BD941" s="139"/>
    </row>
    <row r="942" ht="15.75" customHeight="1">
      <c r="BD942" s="139"/>
    </row>
    <row r="943" ht="15.75" customHeight="1">
      <c r="BD943" s="139"/>
    </row>
    <row r="944" ht="15.75" customHeight="1">
      <c r="BD944" s="139"/>
    </row>
    <row r="945" ht="15.75" customHeight="1">
      <c r="BD945" s="139"/>
    </row>
    <row r="946" ht="15.75" customHeight="1">
      <c r="BD946" s="139"/>
    </row>
    <row r="947" ht="15.75" customHeight="1">
      <c r="BD947" s="139"/>
    </row>
    <row r="948" ht="15.75" customHeight="1">
      <c r="BD948" s="139"/>
    </row>
    <row r="949" ht="15.75" customHeight="1">
      <c r="BD949" s="139"/>
    </row>
    <row r="950" ht="15.75" customHeight="1">
      <c r="BD950" s="139"/>
    </row>
    <row r="951" ht="15.75" customHeight="1">
      <c r="BD951" s="139"/>
    </row>
    <row r="952" ht="15.75" customHeight="1">
      <c r="BD952" s="139"/>
    </row>
    <row r="953" ht="15.75" customHeight="1">
      <c r="BD953" s="139"/>
    </row>
    <row r="954" ht="15.75" customHeight="1">
      <c r="BD954" s="139"/>
    </row>
    <row r="955" ht="15.75" customHeight="1">
      <c r="BD955" s="139"/>
    </row>
    <row r="956" ht="15.75" customHeight="1">
      <c r="BD956" s="139"/>
    </row>
    <row r="957" ht="15.75" customHeight="1">
      <c r="BD957" s="139"/>
    </row>
    <row r="958" ht="15.75" customHeight="1">
      <c r="BD958" s="139"/>
    </row>
    <row r="959" ht="15.75" customHeight="1">
      <c r="BD959" s="139"/>
    </row>
    <row r="960" ht="15.75" customHeight="1">
      <c r="BD960" s="139"/>
    </row>
    <row r="961" ht="15.75" customHeight="1">
      <c r="BD961" s="139"/>
    </row>
    <row r="962" ht="15.75" customHeight="1">
      <c r="BD962" s="139"/>
    </row>
    <row r="963" ht="15.75" customHeight="1">
      <c r="BD963" s="139"/>
    </row>
    <row r="964" ht="15.75" customHeight="1">
      <c r="BD964" s="139"/>
    </row>
    <row r="965" ht="15.75" customHeight="1">
      <c r="BD965" s="139"/>
    </row>
    <row r="966" ht="15.75" customHeight="1">
      <c r="BD966" s="139"/>
    </row>
    <row r="967" ht="15.75" customHeight="1">
      <c r="BD967" s="139"/>
    </row>
    <row r="968" ht="15.75" customHeight="1">
      <c r="BD968" s="139"/>
    </row>
    <row r="969" ht="15.75" customHeight="1">
      <c r="BD969" s="139"/>
    </row>
    <row r="970" ht="15.75" customHeight="1">
      <c r="BD970" s="139"/>
    </row>
    <row r="971" ht="15.75" customHeight="1">
      <c r="BD971" s="139"/>
    </row>
    <row r="972" ht="15.75" customHeight="1">
      <c r="BD972" s="139"/>
    </row>
    <row r="973" ht="15.75" customHeight="1">
      <c r="BD973" s="139"/>
    </row>
    <row r="974" ht="15.75" customHeight="1">
      <c r="BD974" s="139"/>
    </row>
    <row r="975" ht="15.75" customHeight="1">
      <c r="BD975" s="139"/>
    </row>
    <row r="976" ht="15.75" customHeight="1">
      <c r="BD976" s="139"/>
    </row>
    <row r="977" ht="15.75" customHeight="1">
      <c r="BD977" s="139"/>
    </row>
    <row r="978" ht="15.75" customHeight="1">
      <c r="BD978" s="139"/>
    </row>
    <row r="979" ht="15.75" customHeight="1">
      <c r="BD979" s="139"/>
    </row>
    <row r="980" ht="15.75" customHeight="1">
      <c r="BD980" s="139"/>
    </row>
    <row r="981" ht="15.75" customHeight="1">
      <c r="BD981" s="139"/>
    </row>
    <row r="982" ht="15.75" customHeight="1">
      <c r="BD982" s="139"/>
    </row>
    <row r="983" ht="15.75" customHeight="1">
      <c r="BD983" s="139"/>
    </row>
    <row r="984" ht="15.75" customHeight="1">
      <c r="BD984" s="139"/>
    </row>
    <row r="985" ht="15.75" customHeight="1">
      <c r="BD985" s="139"/>
    </row>
    <row r="986" ht="15.75" customHeight="1">
      <c r="BD986" s="139"/>
    </row>
    <row r="987" ht="15.75" customHeight="1">
      <c r="BD987" s="139"/>
    </row>
    <row r="988" ht="15.75" customHeight="1">
      <c r="BD988" s="139"/>
    </row>
    <row r="989" ht="15.75" customHeight="1">
      <c r="BD989" s="139"/>
    </row>
    <row r="990" ht="15.75" customHeight="1">
      <c r="BD990" s="139"/>
    </row>
    <row r="991" ht="15.75" customHeight="1">
      <c r="BD991" s="139"/>
    </row>
    <row r="992" ht="15.75" customHeight="1">
      <c r="BD992" s="139"/>
    </row>
    <row r="993" ht="15.75" customHeight="1">
      <c r="BD993" s="139"/>
    </row>
    <row r="994" ht="15.75" customHeight="1">
      <c r="BD994" s="139"/>
    </row>
    <row r="995" ht="15.75" customHeight="1">
      <c r="BD995" s="139"/>
    </row>
    <row r="996" ht="15.75" customHeight="1">
      <c r="BD996" s="139"/>
    </row>
    <row r="997" ht="15.75" customHeight="1">
      <c r="BD997" s="139"/>
    </row>
    <row r="998" ht="15.75" customHeight="1">
      <c r="BD998" s="139"/>
    </row>
    <row r="999" ht="15.75" customHeight="1">
      <c r="BD999" s="139"/>
    </row>
    <row r="1000" ht="15.75" customHeight="1">
      <c r="BD1000" s="139"/>
    </row>
  </sheetData>
  <mergeCells count="18">
    <mergeCell ref="AP1:AR1"/>
    <mergeCell ref="AS1:AU1"/>
    <mergeCell ref="AV1:AX1"/>
    <mergeCell ref="AY1:BA1"/>
    <mergeCell ref="BB1:BE1"/>
    <mergeCell ref="AH29:AJ29"/>
    <mergeCell ref="AV29:AX29"/>
    <mergeCell ref="A3:A10"/>
    <mergeCell ref="A11:A14"/>
    <mergeCell ref="A15:A24"/>
    <mergeCell ref="A25:A28"/>
    <mergeCell ref="J1:S1"/>
    <mergeCell ref="T1:X1"/>
    <mergeCell ref="Z1:AB1"/>
    <mergeCell ref="AC1:AG1"/>
    <mergeCell ref="AH1:AJ1"/>
    <mergeCell ref="AK1:AL1"/>
    <mergeCell ref="AM1:AO1"/>
  </mergeCells>
  <hyperlinks>
    <hyperlink r:id="rId2" ref="F3"/>
    <hyperlink r:id="rId3" ref="F4"/>
    <hyperlink r:id="rId4" ref="F6"/>
    <hyperlink r:id="rId5" ref="F7"/>
    <hyperlink r:id="rId6" ref="F8"/>
    <hyperlink r:id="rId7" ref="F9"/>
    <hyperlink r:id="rId8" ref="F10"/>
    <hyperlink r:id="rId9" ref="F11"/>
    <hyperlink r:id="rId10" ref="G11"/>
    <hyperlink r:id="rId11" ref="E12"/>
    <hyperlink r:id="rId12" location="afiact2" ref="F12"/>
    <hyperlink r:id="rId13" ref="F13"/>
    <hyperlink r:id="rId14" ref="G13"/>
    <hyperlink r:id="rId15" ref="F15"/>
    <hyperlink r:id="rId16" ref="F16"/>
    <hyperlink r:id="rId17" ref="F17"/>
    <hyperlink r:id="rId18" ref="F18"/>
    <hyperlink r:id="rId19" ref="F19"/>
    <hyperlink r:id="rId20" ref="F20"/>
    <hyperlink r:id="rId21" ref="F21"/>
    <hyperlink r:id="rId22" ref="G21"/>
    <hyperlink r:id="rId23" ref="F22"/>
    <hyperlink r:id="rId24" location="haut" ref="F23"/>
    <hyperlink r:id="rId25" ref="F24"/>
    <hyperlink r:id="rId26" ref="F25"/>
    <hyperlink r:id="rId27" location="how-it-works" ref="F26"/>
    <hyperlink r:id="rId28" ref="F27"/>
    <hyperlink r:id="rId29" ref="F28"/>
  </hyperlinks>
  <printOptions/>
  <pageMargins bottom="0.75" footer="0.0" header="0.0" left="0.7" right="0.7" top="0.75"/>
  <pageSetup paperSize="9" orientation="portrait"/>
  <drawing r:id="rId30"/>
  <legacyDrawing r:id="rId3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0"/>
  <cols>
    <col customWidth="1" min="1" max="1" width="14.5"/>
    <col customWidth="1" min="2" max="2" width="9.88"/>
    <col customWidth="1" min="3" max="3" width="11.88"/>
    <col customWidth="1" min="4" max="4" width="25.0"/>
    <col customWidth="1" min="5" max="5" width="26.88"/>
    <col customWidth="1" min="6" max="6" width="12.88"/>
    <col customWidth="1" min="7" max="7" width="10.38"/>
    <col customWidth="1" min="8" max="8" width="11.75"/>
    <col customWidth="1" min="9" max="9" width="12.38"/>
    <col customWidth="1" min="10" max="10" width="29.5"/>
    <col customWidth="1" min="11" max="11" width="21.5"/>
    <col customWidth="1" min="12" max="12" width="24.13"/>
    <col customWidth="1" min="13" max="13" width="24.38"/>
    <col customWidth="1" min="14" max="14" width="24.13"/>
    <col customWidth="1" min="15" max="15" width="23.25"/>
    <col customWidth="1" min="16" max="16" width="25.0"/>
    <col customWidth="1" min="17" max="19" width="26.88"/>
    <col customWidth="1" min="20" max="20" width="39.13"/>
    <col customWidth="1" min="21" max="21" width="22.88"/>
    <col customWidth="1" min="22" max="22" width="26.75"/>
    <col customWidth="1" min="23" max="23" width="38.13"/>
    <col customWidth="1" min="24" max="24" width="25.38"/>
    <col customWidth="1" min="25" max="25" width="33.13"/>
    <col customWidth="1" min="26" max="26" width="24.75"/>
    <col customWidth="1" min="27" max="27" width="26.5"/>
    <col customWidth="1" min="28" max="28" width="24.5"/>
    <col customWidth="1" min="29" max="29" width="24.75"/>
    <col customWidth="1" min="30" max="30" width="29.75"/>
    <col customWidth="1" min="31" max="31" width="43.88"/>
    <col customWidth="1" min="32" max="32" width="21.0"/>
    <col customWidth="1" min="33" max="33" width="43.38"/>
    <col customWidth="1" min="34" max="34" width="25.88"/>
    <col customWidth="1" min="35" max="35" width="26.13"/>
    <col customWidth="1" min="36" max="36" width="24.63"/>
    <col customWidth="1" min="37" max="37" width="24.13"/>
    <col customWidth="1" min="38" max="38" width="26.5"/>
    <col customWidth="1" min="39" max="39" width="27.75"/>
    <col customWidth="1" min="40" max="40" width="18.38"/>
    <col customWidth="1" min="41" max="41" width="24.0"/>
    <col customWidth="1" min="42" max="42" width="23.63"/>
    <col customWidth="1" min="43" max="43" width="18.5"/>
    <col customWidth="1" min="44" max="44" width="29.13"/>
    <col customWidth="1" min="45" max="45" width="28.75"/>
    <col customWidth="1" min="46" max="46" width="26.0"/>
    <col customWidth="1" min="47" max="47" width="27.88"/>
    <col customWidth="1" min="48" max="48" width="27.38"/>
    <col customWidth="1" min="49" max="49" width="26.88"/>
    <col customWidth="1" min="50" max="50" width="26.5"/>
    <col customWidth="1" min="51" max="51" width="26.13"/>
    <col customWidth="1" min="52" max="52" width="24.0"/>
    <col customWidth="1" min="53" max="53" width="24.5"/>
    <col customWidth="1" min="54" max="54" width="21.13"/>
    <col customWidth="1" min="55" max="56" width="26.5"/>
    <col customWidth="1" min="57" max="57" width="19.75"/>
    <col customWidth="1" min="58" max="58" width="17.63"/>
    <col customWidth="1" min="59" max="59" width="14.25"/>
  </cols>
  <sheetData>
    <row r="1" ht="15.75" customHeight="1">
      <c r="A1" s="140" t="s">
        <v>0</v>
      </c>
      <c r="B1" s="141" t="s">
        <v>1</v>
      </c>
      <c r="C1" s="141" t="s">
        <v>2</v>
      </c>
      <c r="D1" s="141" t="s">
        <v>3</v>
      </c>
      <c r="E1" s="142" t="s">
        <v>4</v>
      </c>
      <c r="F1" s="142" t="s">
        <v>5</v>
      </c>
      <c r="G1" s="142" t="s">
        <v>6</v>
      </c>
      <c r="H1" s="142" t="s">
        <v>7</v>
      </c>
      <c r="I1" s="70" t="s">
        <v>380</v>
      </c>
      <c r="J1" s="143" t="s">
        <v>8</v>
      </c>
      <c r="K1" s="58" t="s">
        <v>381</v>
      </c>
      <c r="L1" s="59"/>
      <c r="M1" s="59"/>
      <c r="N1" s="59"/>
      <c r="O1" s="59"/>
      <c r="P1" s="59"/>
      <c r="Q1" s="59"/>
      <c r="R1" s="59"/>
      <c r="S1" s="59"/>
      <c r="T1" s="60"/>
      <c r="U1" s="61" t="s">
        <v>304</v>
      </c>
      <c r="V1" s="62"/>
      <c r="W1" s="62"/>
      <c r="X1" s="62"/>
      <c r="Y1" s="63"/>
      <c r="Z1" s="64" t="s">
        <v>305</v>
      </c>
      <c r="AA1" s="65" t="s">
        <v>306</v>
      </c>
      <c r="AB1" s="66"/>
      <c r="AC1" s="67"/>
      <c r="AD1" s="61" t="s">
        <v>307</v>
      </c>
      <c r="AE1" s="62"/>
      <c r="AF1" s="62"/>
      <c r="AG1" s="62"/>
      <c r="AH1" s="63"/>
      <c r="AI1" s="61" t="s">
        <v>308</v>
      </c>
      <c r="AJ1" s="62"/>
      <c r="AK1" s="63"/>
      <c r="AL1" s="61" t="s">
        <v>309</v>
      </c>
      <c r="AM1" s="63"/>
      <c r="AN1" s="61" t="s">
        <v>310</v>
      </c>
      <c r="AO1" s="62"/>
      <c r="AP1" s="63"/>
      <c r="AQ1" s="61" t="s">
        <v>311</v>
      </c>
      <c r="AR1" s="62"/>
      <c r="AS1" s="63"/>
      <c r="AT1" s="61" t="s">
        <v>312</v>
      </c>
      <c r="AU1" s="62"/>
      <c r="AV1" s="63"/>
      <c r="AW1" s="61" t="s">
        <v>313</v>
      </c>
      <c r="AX1" s="62"/>
      <c r="AY1" s="63"/>
      <c r="AZ1" s="61" t="s">
        <v>314</v>
      </c>
      <c r="BA1" s="62"/>
      <c r="BB1" s="63"/>
      <c r="BC1" s="68" t="s">
        <v>315</v>
      </c>
      <c r="BD1" s="62"/>
      <c r="BE1" s="62"/>
      <c r="BF1" s="69"/>
      <c r="BG1" s="144"/>
    </row>
    <row r="2" ht="15.75" customHeight="1">
      <c r="A2" s="5"/>
      <c r="B2" s="5"/>
      <c r="C2" s="5"/>
      <c r="D2" s="5"/>
      <c r="E2" s="145"/>
      <c r="F2" s="145"/>
      <c r="G2" s="145"/>
      <c r="H2" s="145"/>
      <c r="I2" s="45"/>
      <c r="J2" s="45"/>
      <c r="K2" s="146" t="s">
        <v>9</v>
      </c>
      <c r="L2" s="76" t="s">
        <v>382</v>
      </c>
      <c r="M2" s="76" t="s">
        <v>383</v>
      </c>
      <c r="N2" s="147" t="s">
        <v>384</v>
      </c>
      <c r="O2" s="45" t="s">
        <v>385</v>
      </c>
      <c r="P2" s="78" t="s">
        <v>386</v>
      </c>
      <c r="Q2" s="79" t="s">
        <v>387</v>
      </c>
      <c r="R2" s="80" t="s">
        <v>388</v>
      </c>
      <c r="S2" s="81" t="s">
        <v>389</v>
      </c>
      <c r="T2" s="82" t="s">
        <v>390</v>
      </c>
      <c r="U2" s="83" t="s">
        <v>391</v>
      </c>
      <c r="V2" s="81" t="s">
        <v>326</v>
      </c>
      <c r="W2" s="81" t="s">
        <v>327</v>
      </c>
      <c r="X2" s="36" t="s">
        <v>328</v>
      </c>
      <c r="Y2" s="36" t="s">
        <v>329</v>
      </c>
      <c r="Z2" s="84" t="s">
        <v>330</v>
      </c>
      <c r="AA2" s="83" t="s">
        <v>331</v>
      </c>
      <c r="AB2" s="81" t="s">
        <v>332</v>
      </c>
      <c r="AC2" s="85" t="s">
        <v>333</v>
      </c>
      <c r="AD2" s="86" t="s">
        <v>334</v>
      </c>
      <c r="AE2" s="81" t="s">
        <v>335</v>
      </c>
      <c r="AF2" s="81" t="s">
        <v>336</v>
      </c>
      <c r="AG2" s="87" t="s">
        <v>337</v>
      </c>
      <c r="AH2" s="88" t="s">
        <v>338</v>
      </c>
      <c r="AI2" s="83" t="s">
        <v>339</v>
      </c>
      <c r="AJ2" s="81" t="s">
        <v>340</v>
      </c>
      <c r="AK2" s="85" t="s">
        <v>341</v>
      </c>
      <c r="AL2" s="83" t="s">
        <v>342</v>
      </c>
      <c r="AM2" s="85" t="s">
        <v>343</v>
      </c>
      <c r="AN2" s="83" t="s">
        <v>344</v>
      </c>
      <c r="AO2" s="81" t="s">
        <v>345</v>
      </c>
      <c r="AP2" s="85" t="s">
        <v>346</v>
      </c>
      <c r="AQ2" s="83" t="s">
        <v>347</v>
      </c>
      <c r="AR2" s="81" t="s">
        <v>348</v>
      </c>
      <c r="AS2" s="85" t="s">
        <v>349</v>
      </c>
      <c r="AT2" s="83" t="s">
        <v>350</v>
      </c>
      <c r="AU2" s="81" t="s">
        <v>351</v>
      </c>
      <c r="AV2" s="85" t="s">
        <v>352</v>
      </c>
      <c r="AW2" s="83" t="s">
        <v>353</v>
      </c>
      <c r="AX2" s="81" t="s">
        <v>354</v>
      </c>
      <c r="AY2" s="85" t="s">
        <v>355</v>
      </c>
      <c r="AZ2" s="83" t="s">
        <v>356</v>
      </c>
      <c r="BA2" s="81" t="s">
        <v>357</v>
      </c>
      <c r="BB2" s="85" t="s">
        <v>358</v>
      </c>
      <c r="BC2" s="90" t="s">
        <v>359</v>
      </c>
      <c r="BD2" s="91" t="s">
        <v>392</v>
      </c>
      <c r="BE2" s="92" t="s">
        <v>393</v>
      </c>
      <c r="BF2" s="93" t="s">
        <v>394</v>
      </c>
      <c r="BG2" s="93"/>
    </row>
    <row r="3" ht="15.75" customHeight="1">
      <c r="A3" s="11" t="s">
        <v>71</v>
      </c>
      <c r="B3" s="30" t="s">
        <v>99</v>
      </c>
      <c r="C3" s="30" t="s">
        <v>100</v>
      </c>
      <c r="D3" s="30" t="s">
        <v>101</v>
      </c>
      <c r="E3" s="148" t="s">
        <v>102</v>
      </c>
      <c r="F3" s="149" t="s">
        <v>103</v>
      </c>
      <c r="G3" s="148" t="s">
        <v>104</v>
      </c>
      <c r="H3" s="148" t="s">
        <v>105</v>
      </c>
      <c r="I3" s="14" t="s">
        <v>106</v>
      </c>
      <c r="J3" s="72" t="s">
        <v>107</v>
      </c>
      <c r="K3" s="96" t="s">
        <v>106</v>
      </c>
      <c r="L3" s="14">
        <v>200.0</v>
      </c>
      <c r="M3" s="14">
        <v>6.0</v>
      </c>
      <c r="N3" s="14">
        <v>7500.0</v>
      </c>
      <c r="O3" s="14"/>
      <c r="P3" s="14"/>
      <c r="Q3" s="14">
        <f t="shared" ref="Q3:Q12" si="1">if(T3&lt;500,0,T3/M3)</f>
        <v>1250</v>
      </c>
      <c r="R3" s="14">
        <f t="shared" ref="R3:R12" si="2">0.04*T3</f>
        <v>300</v>
      </c>
      <c r="S3" s="14">
        <v>1.0</v>
      </c>
      <c r="T3" s="94">
        <f t="shared" ref="T3:T12" si="3">(N3*S3)+(O3*L3)</f>
        <v>7500</v>
      </c>
      <c r="U3" s="98">
        <v>0.0</v>
      </c>
      <c r="V3" s="14"/>
      <c r="W3" s="14"/>
      <c r="X3" s="14">
        <f t="shared" ref="X3:X12" si="4">V3*W3*L3*365</f>
        <v>0</v>
      </c>
      <c r="Y3" s="94">
        <f t="shared" ref="Y3:Y12" si="5">X3*(1+U3%)</f>
        <v>0</v>
      </c>
      <c r="Z3" s="97">
        <f t="shared" ref="Z3:Z12" si="6">Y3-X3</f>
        <v>0</v>
      </c>
      <c r="AA3" s="150">
        <v>95.0</v>
      </c>
      <c r="AB3" s="99">
        <v>25000.0</v>
      </c>
      <c r="AC3" s="100">
        <f t="shared" ref="AC3:AC12" si="7">AB3-(AB3*(1-AA3%))</f>
        <v>23750</v>
      </c>
      <c r="AD3" s="151">
        <v>0.0</v>
      </c>
      <c r="AE3" s="14">
        <v>60000.0</v>
      </c>
      <c r="AF3" s="14">
        <v>0.18</v>
      </c>
      <c r="AG3" s="14">
        <f t="shared" ref="AG3:AG12" si="8">AE3*AF3</f>
        <v>10800</v>
      </c>
      <c r="AH3" s="94">
        <f t="shared" ref="AH3:AH12" si="9">AG3-(AG3*(1-AD3%))</f>
        <v>0</v>
      </c>
      <c r="AI3" s="98">
        <v>0.0</v>
      </c>
      <c r="AJ3" s="14">
        <v>4500.0</v>
      </c>
      <c r="AK3" s="94">
        <f t="shared" ref="AK3:AK12" si="10">AJ3-(AJ3*(1-AI3%))</f>
        <v>0</v>
      </c>
      <c r="AL3" s="98">
        <v>0.0</v>
      </c>
      <c r="AM3" s="94">
        <f t="shared" ref="AM3:AM12" si="11">AL3*L3</f>
        <v>0</v>
      </c>
      <c r="AN3" s="98">
        <v>0.0</v>
      </c>
      <c r="AO3" s="14">
        <v>35000.0</v>
      </c>
      <c r="AP3" s="94">
        <f t="shared" ref="AP3:AP12" si="12">AO3-(AO3*(1-AN3%))</f>
        <v>0</v>
      </c>
      <c r="AQ3" s="98">
        <v>0.0</v>
      </c>
      <c r="AR3" s="14"/>
      <c r="AS3" s="94">
        <f t="shared" ref="AS3:AS12" si="13">AR3-(AR3*(1-AQ3%))</f>
        <v>0</v>
      </c>
      <c r="AT3" s="98">
        <v>0.0</v>
      </c>
      <c r="AU3" s="14">
        <v>5000.0</v>
      </c>
      <c r="AV3" s="94">
        <f t="shared" ref="AV3:AV12" si="14">AU3-(AU3*(1-AT3%))</f>
        <v>0</v>
      </c>
      <c r="AW3" s="98">
        <v>0.0</v>
      </c>
      <c r="AX3" s="14">
        <v>1000.0</v>
      </c>
      <c r="AY3" s="94">
        <f t="shared" ref="AY3:AY12" si="15">AX3-(AX3*(1-AW3%))</f>
        <v>0</v>
      </c>
      <c r="AZ3" s="98">
        <v>0.0</v>
      </c>
      <c r="BA3" s="14">
        <v>40000.0</v>
      </c>
      <c r="BB3" s="94">
        <f t="shared" ref="BB3:BB12" si="16">BA3-(BA3*(1-AZ3%))</f>
        <v>0</v>
      </c>
      <c r="BC3" s="96">
        <f t="shared" ref="BC3:BC12" si="17">(Z3+AC3+AH3+AK3+AM3+AP3+AS3+AV3+AY3+BB3)-Q3-R3-(P3*12*L3)</f>
        <v>22200</v>
      </c>
      <c r="BD3" s="104">
        <f t="shared" ref="BD3:BD12" si="18">if(T3&gt;0,BC3/T3,"The DAT is free")</f>
        <v>2.96</v>
      </c>
      <c r="BE3" s="94">
        <f t="shared" ref="BE3:BE12" si="19">IF(BC3&gt;0,T3/BC3,"Payback period not applicable: the investment does not recover its cost under current conditions.")</f>
        <v>0.3378378378</v>
      </c>
      <c r="BF3" s="8" t="str">
        <f t="shared" ref="BF3:BF12" si="20">IF(BE3&lt;6, "YES", "NO")</f>
        <v>YES</v>
      </c>
      <c r="BG3" s="8"/>
    </row>
    <row r="4" ht="15.75" customHeight="1">
      <c r="A4" s="25"/>
      <c r="B4" s="37" t="s">
        <v>108</v>
      </c>
      <c r="C4" s="37" t="s">
        <v>109</v>
      </c>
      <c r="D4" s="38" t="s">
        <v>110</v>
      </c>
      <c r="E4" s="39" t="s">
        <v>111</v>
      </c>
      <c r="F4" s="40" t="s">
        <v>112</v>
      </c>
      <c r="G4" s="39" t="s">
        <v>104</v>
      </c>
      <c r="H4" s="39" t="s">
        <v>113</v>
      </c>
      <c r="I4" s="28" t="s">
        <v>114</v>
      </c>
      <c r="J4" s="41" t="s">
        <v>395</v>
      </c>
      <c r="K4" s="120" t="s">
        <v>114</v>
      </c>
      <c r="L4" s="152">
        <v>200.0</v>
      </c>
      <c r="M4" s="28">
        <v>6.0</v>
      </c>
      <c r="N4" s="28">
        <v>3750.0</v>
      </c>
      <c r="O4" s="28"/>
      <c r="P4" s="28"/>
      <c r="Q4" s="14">
        <f t="shared" si="1"/>
        <v>625</v>
      </c>
      <c r="R4" s="14">
        <f t="shared" si="2"/>
        <v>150</v>
      </c>
      <c r="S4" s="28">
        <v>1.0</v>
      </c>
      <c r="T4" s="94">
        <f t="shared" si="3"/>
        <v>3750</v>
      </c>
      <c r="U4" s="123">
        <v>0.0</v>
      </c>
      <c r="V4" s="28"/>
      <c r="W4" s="28"/>
      <c r="X4" s="28">
        <f t="shared" si="4"/>
        <v>0</v>
      </c>
      <c r="Y4" s="29">
        <f t="shared" si="5"/>
        <v>0</v>
      </c>
      <c r="Z4" s="121">
        <f t="shared" si="6"/>
        <v>0</v>
      </c>
      <c r="AA4" s="153">
        <v>0.0</v>
      </c>
      <c r="AB4" s="130">
        <v>25000.0</v>
      </c>
      <c r="AC4" s="122">
        <f t="shared" si="7"/>
        <v>0</v>
      </c>
      <c r="AD4" s="154">
        <v>0.0</v>
      </c>
      <c r="AE4" s="28">
        <v>60000.0</v>
      </c>
      <c r="AF4" s="28">
        <v>0.18</v>
      </c>
      <c r="AG4" s="28">
        <f t="shared" si="8"/>
        <v>10800</v>
      </c>
      <c r="AH4" s="29">
        <f t="shared" si="9"/>
        <v>0</v>
      </c>
      <c r="AI4" s="123">
        <v>0.0</v>
      </c>
      <c r="AJ4" s="28">
        <v>4500.0</v>
      </c>
      <c r="AK4" s="29">
        <f t="shared" si="10"/>
        <v>0</v>
      </c>
      <c r="AL4" s="123">
        <v>0.0</v>
      </c>
      <c r="AM4" s="29">
        <f t="shared" si="11"/>
        <v>0</v>
      </c>
      <c r="AN4" s="123">
        <v>0.0</v>
      </c>
      <c r="AO4" s="28">
        <v>35000.0</v>
      </c>
      <c r="AP4" s="29">
        <f t="shared" si="12"/>
        <v>0</v>
      </c>
      <c r="AQ4" s="123">
        <v>0.0</v>
      </c>
      <c r="AR4" s="28"/>
      <c r="AS4" s="29">
        <f t="shared" si="13"/>
        <v>0</v>
      </c>
      <c r="AT4" s="123">
        <v>0.0</v>
      </c>
      <c r="AU4" s="28">
        <v>5000.0</v>
      </c>
      <c r="AV4" s="29">
        <f t="shared" si="14"/>
        <v>0</v>
      </c>
      <c r="AW4" s="123">
        <v>0.0</v>
      </c>
      <c r="AX4" s="28">
        <v>1000.0</v>
      </c>
      <c r="AY4" s="29">
        <f t="shared" si="15"/>
        <v>0</v>
      </c>
      <c r="AZ4" s="123">
        <v>0.0</v>
      </c>
      <c r="BA4" s="28">
        <v>40000.0</v>
      </c>
      <c r="BB4" s="29">
        <f t="shared" si="16"/>
        <v>0</v>
      </c>
      <c r="BC4" s="96">
        <f t="shared" si="17"/>
        <v>-775</v>
      </c>
      <c r="BD4" s="104">
        <f t="shared" si="18"/>
        <v>-0.2066666667</v>
      </c>
      <c r="BE4" s="94" t="str">
        <f t="shared" si="19"/>
        <v>Payback period not applicable: the investment does not recover its cost under current conditions.</v>
      </c>
      <c r="BF4" s="8" t="str">
        <f t="shared" si="20"/>
        <v>NO</v>
      </c>
      <c r="BG4" s="8"/>
    </row>
    <row r="5" ht="15.75" customHeight="1">
      <c r="A5" s="11" t="s">
        <v>116</v>
      </c>
      <c r="B5" s="30" t="s">
        <v>178</v>
      </c>
      <c r="C5" s="30" t="s">
        <v>179</v>
      </c>
      <c r="D5" s="30" t="s">
        <v>180</v>
      </c>
      <c r="E5" s="148" t="s">
        <v>181</v>
      </c>
      <c r="F5" s="155" t="s">
        <v>182</v>
      </c>
      <c r="G5" s="148" t="s">
        <v>104</v>
      </c>
      <c r="H5" s="148" t="s">
        <v>183</v>
      </c>
      <c r="I5" s="14" t="s">
        <v>185</v>
      </c>
      <c r="J5" s="72" t="s">
        <v>396</v>
      </c>
      <c r="K5" s="96" t="s">
        <v>185</v>
      </c>
      <c r="L5" s="156">
        <v>200.0</v>
      </c>
      <c r="M5" s="14">
        <v>6.0</v>
      </c>
      <c r="N5" s="14">
        <v>1500.0</v>
      </c>
      <c r="O5" s="14"/>
      <c r="P5" s="14"/>
      <c r="Q5" s="14">
        <f t="shared" si="1"/>
        <v>250</v>
      </c>
      <c r="R5" s="14">
        <f t="shared" si="2"/>
        <v>60</v>
      </c>
      <c r="S5" s="14">
        <v>1.0</v>
      </c>
      <c r="T5" s="94">
        <f t="shared" si="3"/>
        <v>1500</v>
      </c>
      <c r="U5" s="98">
        <v>0.0</v>
      </c>
      <c r="V5" s="14"/>
      <c r="W5" s="14"/>
      <c r="X5" s="14">
        <f t="shared" si="4"/>
        <v>0</v>
      </c>
      <c r="Y5" s="94">
        <f t="shared" si="5"/>
        <v>0</v>
      </c>
      <c r="Z5" s="97">
        <f t="shared" si="6"/>
        <v>0</v>
      </c>
      <c r="AA5" s="157">
        <v>0.0</v>
      </c>
      <c r="AB5" s="99">
        <v>25000.0</v>
      </c>
      <c r="AC5" s="100">
        <f t="shared" si="7"/>
        <v>0</v>
      </c>
      <c r="AD5" s="151">
        <v>0.0</v>
      </c>
      <c r="AE5" s="14">
        <v>60000.0</v>
      </c>
      <c r="AF5" s="14">
        <v>0.18</v>
      </c>
      <c r="AG5" s="14">
        <f t="shared" si="8"/>
        <v>10800</v>
      </c>
      <c r="AH5" s="94">
        <f t="shared" si="9"/>
        <v>0</v>
      </c>
      <c r="AI5" s="98">
        <v>0.0</v>
      </c>
      <c r="AJ5" s="14">
        <v>4500.0</v>
      </c>
      <c r="AK5" s="94">
        <f t="shared" si="10"/>
        <v>0</v>
      </c>
      <c r="AL5" s="98">
        <v>0.0</v>
      </c>
      <c r="AM5" s="94">
        <f t="shared" si="11"/>
        <v>0</v>
      </c>
      <c r="AN5" s="96">
        <v>10.0</v>
      </c>
      <c r="AO5" s="14">
        <v>35000.0</v>
      </c>
      <c r="AP5" s="94">
        <f t="shared" si="12"/>
        <v>3500</v>
      </c>
      <c r="AQ5" s="98">
        <v>0.0</v>
      </c>
      <c r="AR5" s="14"/>
      <c r="AS5" s="94">
        <f t="shared" si="13"/>
        <v>0</v>
      </c>
      <c r="AT5" s="98">
        <v>0.0</v>
      </c>
      <c r="AU5" s="14">
        <v>5000.0</v>
      </c>
      <c r="AV5" s="94">
        <f t="shared" si="14"/>
        <v>0</v>
      </c>
      <c r="AW5" s="98">
        <v>0.0</v>
      </c>
      <c r="AX5" s="14">
        <v>1000.0</v>
      </c>
      <c r="AY5" s="94">
        <f t="shared" si="15"/>
        <v>0</v>
      </c>
      <c r="AZ5" s="96">
        <v>10.0</v>
      </c>
      <c r="BA5" s="14">
        <v>40000.0</v>
      </c>
      <c r="BB5" s="94">
        <f t="shared" si="16"/>
        <v>4000</v>
      </c>
      <c r="BC5" s="96">
        <f t="shared" si="17"/>
        <v>7190</v>
      </c>
      <c r="BD5" s="104">
        <f t="shared" si="18"/>
        <v>4.793333333</v>
      </c>
      <c r="BE5" s="94">
        <f t="shared" si="19"/>
        <v>0.2086230876</v>
      </c>
      <c r="BF5" s="8" t="str">
        <f t="shared" si="20"/>
        <v>YES</v>
      </c>
      <c r="BG5" s="8"/>
    </row>
    <row r="6" ht="18.75" customHeight="1">
      <c r="A6" s="17"/>
      <c r="B6" s="18" t="s">
        <v>186</v>
      </c>
      <c r="C6" s="18" t="s">
        <v>187</v>
      </c>
      <c r="D6" s="18" t="s">
        <v>188</v>
      </c>
      <c r="E6" s="34" t="s">
        <v>189</v>
      </c>
      <c r="F6" s="35" t="s">
        <v>190</v>
      </c>
      <c r="G6" s="34" t="s">
        <v>104</v>
      </c>
      <c r="H6" s="34" t="s">
        <v>183</v>
      </c>
      <c r="I6" s="8" t="s">
        <v>192</v>
      </c>
      <c r="J6" s="36" t="s">
        <v>191</v>
      </c>
      <c r="K6" s="107" t="s">
        <v>192</v>
      </c>
      <c r="L6" s="156">
        <v>200.0</v>
      </c>
      <c r="M6" s="8">
        <v>6.0</v>
      </c>
      <c r="N6" s="8">
        <v>20000.0</v>
      </c>
      <c r="O6" s="8"/>
      <c r="P6" s="8"/>
      <c r="Q6" s="14">
        <f t="shared" si="1"/>
        <v>3333.333333</v>
      </c>
      <c r="R6" s="14">
        <f t="shared" si="2"/>
        <v>800</v>
      </c>
      <c r="S6" s="8">
        <v>1.0</v>
      </c>
      <c r="T6" s="94">
        <f t="shared" si="3"/>
        <v>20000</v>
      </c>
      <c r="U6" s="109">
        <v>0.0</v>
      </c>
      <c r="V6" s="8"/>
      <c r="W6" s="8"/>
      <c r="X6" s="8">
        <f t="shared" si="4"/>
        <v>0</v>
      </c>
      <c r="Y6" s="24">
        <f t="shared" si="5"/>
        <v>0</v>
      </c>
      <c r="Z6" s="108">
        <f t="shared" si="6"/>
        <v>0</v>
      </c>
      <c r="AA6" s="158">
        <v>0.0</v>
      </c>
      <c r="AB6" s="110">
        <v>25000.0</v>
      </c>
      <c r="AC6" s="111">
        <f t="shared" si="7"/>
        <v>0</v>
      </c>
      <c r="AD6" s="159">
        <v>0.0</v>
      </c>
      <c r="AE6" s="8">
        <v>60000.0</v>
      </c>
      <c r="AF6" s="8">
        <v>0.18</v>
      </c>
      <c r="AG6" s="8">
        <f t="shared" si="8"/>
        <v>10800</v>
      </c>
      <c r="AH6" s="24">
        <f t="shared" si="9"/>
        <v>0</v>
      </c>
      <c r="AI6" s="109">
        <v>0.0</v>
      </c>
      <c r="AJ6" s="8">
        <v>4500.0</v>
      </c>
      <c r="AK6" s="24">
        <f t="shared" si="10"/>
        <v>0</v>
      </c>
      <c r="AL6" s="109">
        <v>0.0</v>
      </c>
      <c r="AM6" s="24">
        <f t="shared" si="11"/>
        <v>0</v>
      </c>
      <c r="AN6" s="107">
        <v>10.0</v>
      </c>
      <c r="AO6" s="8">
        <v>35000.0</v>
      </c>
      <c r="AP6" s="24">
        <f t="shared" si="12"/>
        <v>3500</v>
      </c>
      <c r="AQ6" s="109">
        <v>0.0</v>
      </c>
      <c r="AR6" s="8"/>
      <c r="AS6" s="24">
        <f t="shared" si="13"/>
        <v>0</v>
      </c>
      <c r="AT6" s="109">
        <v>0.0</v>
      </c>
      <c r="AU6" s="8">
        <v>5000.0</v>
      </c>
      <c r="AV6" s="24">
        <f t="shared" si="14"/>
        <v>0</v>
      </c>
      <c r="AW6" s="109">
        <v>0.0</v>
      </c>
      <c r="AX6" s="8">
        <v>1000.0</v>
      </c>
      <c r="AY6" s="24">
        <f t="shared" si="15"/>
        <v>0</v>
      </c>
      <c r="AZ6" s="107">
        <v>10.0</v>
      </c>
      <c r="BA6" s="8">
        <v>40000.0</v>
      </c>
      <c r="BB6" s="24">
        <f t="shared" si="16"/>
        <v>4000</v>
      </c>
      <c r="BC6" s="96">
        <f t="shared" si="17"/>
        <v>3366.666667</v>
      </c>
      <c r="BD6" s="104">
        <f t="shared" si="18"/>
        <v>0.1683333333</v>
      </c>
      <c r="BE6" s="94">
        <f t="shared" si="19"/>
        <v>5.940594059</v>
      </c>
      <c r="BF6" s="8" t="str">
        <f t="shared" si="20"/>
        <v>YES</v>
      </c>
      <c r="BG6" s="8"/>
    </row>
    <row r="7" ht="15.0" customHeight="1">
      <c r="A7" s="17"/>
      <c r="B7" s="18" t="s">
        <v>193</v>
      </c>
      <c r="C7" s="18" t="s">
        <v>194</v>
      </c>
      <c r="D7" s="18" t="s">
        <v>148</v>
      </c>
      <c r="E7" s="34" t="s">
        <v>195</v>
      </c>
      <c r="F7" s="44" t="s">
        <v>397</v>
      </c>
      <c r="G7" s="34" t="s">
        <v>104</v>
      </c>
      <c r="H7" s="46" t="s">
        <v>164</v>
      </c>
      <c r="I7" s="8" t="s">
        <v>166</v>
      </c>
      <c r="J7" s="36" t="s">
        <v>398</v>
      </c>
      <c r="K7" s="107" t="s">
        <v>166</v>
      </c>
      <c r="L7" s="156">
        <v>200.0</v>
      </c>
      <c r="M7" s="8">
        <v>6.0</v>
      </c>
      <c r="N7" s="8">
        <v>35000.0</v>
      </c>
      <c r="O7" s="8"/>
      <c r="P7" s="8"/>
      <c r="Q7" s="14">
        <f t="shared" si="1"/>
        <v>5833.333333</v>
      </c>
      <c r="R7" s="14">
        <f t="shared" si="2"/>
        <v>1400</v>
      </c>
      <c r="S7" s="8">
        <v>1.0</v>
      </c>
      <c r="T7" s="94">
        <f t="shared" si="3"/>
        <v>35000</v>
      </c>
      <c r="U7" s="109">
        <v>0.0</v>
      </c>
      <c r="V7" s="8"/>
      <c r="W7" s="8"/>
      <c r="X7" s="8">
        <f t="shared" si="4"/>
        <v>0</v>
      </c>
      <c r="Y7" s="24">
        <f t="shared" si="5"/>
        <v>0</v>
      </c>
      <c r="Z7" s="108">
        <f t="shared" si="6"/>
        <v>0</v>
      </c>
      <c r="AA7" s="158">
        <v>0.0</v>
      </c>
      <c r="AB7" s="110">
        <v>25000.0</v>
      </c>
      <c r="AC7" s="111">
        <f t="shared" si="7"/>
        <v>0</v>
      </c>
      <c r="AD7" s="159">
        <v>0.0</v>
      </c>
      <c r="AE7" s="8">
        <v>60000.0</v>
      </c>
      <c r="AF7" s="8">
        <v>0.18</v>
      </c>
      <c r="AG7" s="8">
        <f t="shared" si="8"/>
        <v>10800</v>
      </c>
      <c r="AH7" s="24">
        <f t="shared" si="9"/>
        <v>0</v>
      </c>
      <c r="AI7" s="109">
        <v>0.0</v>
      </c>
      <c r="AJ7" s="8">
        <v>4500.0</v>
      </c>
      <c r="AK7" s="24">
        <f t="shared" si="10"/>
        <v>0</v>
      </c>
      <c r="AL7" s="109">
        <v>0.0</v>
      </c>
      <c r="AM7" s="24">
        <f t="shared" si="11"/>
        <v>0</v>
      </c>
      <c r="AN7" s="107">
        <v>10.0</v>
      </c>
      <c r="AO7" s="8">
        <v>35000.0</v>
      </c>
      <c r="AP7" s="24">
        <f t="shared" si="12"/>
        <v>3500</v>
      </c>
      <c r="AQ7" s="109">
        <v>0.0</v>
      </c>
      <c r="AR7" s="8"/>
      <c r="AS7" s="24">
        <f t="shared" si="13"/>
        <v>0</v>
      </c>
      <c r="AT7" s="109">
        <v>0.0</v>
      </c>
      <c r="AU7" s="8">
        <v>5000.0</v>
      </c>
      <c r="AV7" s="24">
        <f t="shared" si="14"/>
        <v>0</v>
      </c>
      <c r="AW7" s="109">
        <v>0.0</v>
      </c>
      <c r="AX7" s="8">
        <v>1000.0</v>
      </c>
      <c r="AY7" s="24">
        <f t="shared" si="15"/>
        <v>0</v>
      </c>
      <c r="AZ7" s="107">
        <v>10.0</v>
      </c>
      <c r="BA7" s="8">
        <v>40000.0</v>
      </c>
      <c r="BB7" s="24">
        <f t="shared" si="16"/>
        <v>4000</v>
      </c>
      <c r="BC7" s="96">
        <f t="shared" si="17"/>
        <v>266.6666667</v>
      </c>
      <c r="BD7" s="104">
        <f t="shared" si="18"/>
        <v>0.007619047619</v>
      </c>
      <c r="BE7" s="94">
        <f t="shared" si="19"/>
        <v>131.25</v>
      </c>
      <c r="BF7" s="8" t="str">
        <f t="shared" si="20"/>
        <v>NO</v>
      </c>
      <c r="BG7" s="8"/>
    </row>
    <row r="8" ht="15.75" customHeight="1">
      <c r="A8" s="17"/>
      <c r="B8" s="18" t="s">
        <v>198</v>
      </c>
      <c r="C8" s="18" t="s">
        <v>199</v>
      </c>
      <c r="D8" s="18" t="s">
        <v>200</v>
      </c>
      <c r="E8" s="34" t="s">
        <v>201</v>
      </c>
      <c r="F8" s="35" t="s">
        <v>202</v>
      </c>
      <c r="G8" s="34" t="s">
        <v>104</v>
      </c>
      <c r="H8" s="34" t="s">
        <v>203</v>
      </c>
      <c r="I8" s="8" t="s">
        <v>205</v>
      </c>
      <c r="J8" s="36" t="s">
        <v>204</v>
      </c>
      <c r="K8" s="107" t="s">
        <v>205</v>
      </c>
      <c r="L8" s="156">
        <v>200.0</v>
      </c>
      <c r="M8" s="8">
        <v>6.0</v>
      </c>
      <c r="N8" s="8"/>
      <c r="O8" s="8">
        <v>30.0</v>
      </c>
      <c r="P8" s="8"/>
      <c r="Q8" s="14">
        <f t="shared" si="1"/>
        <v>1000</v>
      </c>
      <c r="R8" s="14">
        <f t="shared" si="2"/>
        <v>240</v>
      </c>
      <c r="S8" s="8">
        <v>1.0</v>
      </c>
      <c r="T8" s="94">
        <f t="shared" si="3"/>
        <v>6000</v>
      </c>
      <c r="U8" s="109">
        <v>0.0</v>
      </c>
      <c r="V8" s="8"/>
      <c r="W8" s="8"/>
      <c r="X8" s="8">
        <f t="shared" si="4"/>
        <v>0</v>
      </c>
      <c r="Y8" s="24">
        <f t="shared" si="5"/>
        <v>0</v>
      </c>
      <c r="Z8" s="108">
        <f t="shared" si="6"/>
        <v>0</v>
      </c>
      <c r="AA8" s="158">
        <v>0.0</v>
      </c>
      <c r="AB8" s="110">
        <v>25000.0</v>
      </c>
      <c r="AC8" s="111">
        <f t="shared" si="7"/>
        <v>0</v>
      </c>
      <c r="AD8" s="159">
        <v>0.0</v>
      </c>
      <c r="AE8" s="8">
        <v>60000.0</v>
      </c>
      <c r="AF8" s="8">
        <v>0.18</v>
      </c>
      <c r="AG8" s="8">
        <f t="shared" si="8"/>
        <v>10800</v>
      </c>
      <c r="AH8" s="24">
        <f t="shared" si="9"/>
        <v>0</v>
      </c>
      <c r="AI8" s="109">
        <v>0.0</v>
      </c>
      <c r="AJ8" s="8">
        <v>4500.0</v>
      </c>
      <c r="AK8" s="24">
        <f t="shared" si="10"/>
        <v>0</v>
      </c>
      <c r="AL8" s="109">
        <v>0.0</v>
      </c>
      <c r="AM8" s="24">
        <f t="shared" si="11"/>
        <v>0</v>
      </c>
      <c r="AN8" s="107">
        <v>20.0</v>
      </c>
      <c r="AO8" s="8">
        <v>35000.0</v>
      </c>
      <c r="AP8" s="24">
        <f t="shared" si="12"/>
        <v>7000</v>
      </c>
      <c r="AQ8" s="107">
        <v>70.0</v>
      </c>
      <c r="AR8" s="8"/>
      <c r="AS8" s="24">
        <f t="shared" si="13"/>
        <v>0</v>
      </c>
      <c r="AT8" s="109">
        <v>0.0</v>
      </c>
      <c r="AU8" s="8">
        <v>5000.0</v>
      </c>
      <c r="AV8" s="24">
        <f t="shared" si="14"/>
        <v>0</v>
      </c>
      <c r="AW8" s="109">
        <v>0.0</v>
      </c>
      <c r="AX8" s="8">
        <v>1000.0</v>
      </c>
      <c r="AY8" s="24">
        <f t="shared" si="15"/>
        <v>0</v>
      </c>
      <c r="AZ8" s="107">
        <v>10.0</v>
      </c>
      <c r="BA8" s="8">
        <v>40000.0</v>
      </c>
      <c r="BB8" s="24">
        <f t="shared" si="16"/>
        <v>4000</v>
      </c>
      <c r="BC8" s="96">
        <f t="shared" si="17"/>
        <v>9760</v>
      </c>
      <c r="BD8" s="104">
        <f t="shared" si="18"/>
        <v>1.626666667</v>
      </c>
      <c r="BE8" s="94">
        <f t="shared" si="19"/>
        <v>0.6147540984</v>
      </c>
      <c r="BF8" s="8" t="str">
        <f t="shared" si="20"/>
        <v>YES</v>
      </c>
      <c r="BG8" s="8"/>
    </row>
    <row r="9" ht="15.75" customHeight="1">
      <c r="A9" s="25"/>
      <c r="B9" s="37" t="s">
        <v>206</v>
      </c>
      <c r="C9" s="37" t="s">
        <v>207</v>
      </c>
      <c r="D9" s="37" t="s">
        <v>208</v>
      </c>
      <c r="E9" s="39" t="s">
        <v>209</v>
      </c>
      <c r="F9" s="40" t="s">
        <v>210</v>
      </c>
      <c r="G9" s="39" t="s">
        <v>104</v>
      </c>
      <c r="H9" s="39" t="s">
        <v>203</v>
      </c>
      <c r="I9" s="28" t="s">
        <v>212</v>
      </c>
      <c r="J9" s="29" t="s">
        <v>399</v>
      </c>
      <c r="K9" s="120" t="s">
        <v>212</v>
      </c>
      <c r="L9" s="156">
        <v>200.0</v>
      </c>
      <c r="M9" s="28">
        <v>6.0</v>
      </c>
      <c r="N9" s="28"/>
      <c r="O9" s="28">
        <v>250.0</v>
      </c>
      <c r="P9" s="28"/>
      <c r="Q9" s="14">
        <f t="shared" si="1"/>
        <v>8333.333333</v>
      </c>
      <c r="R9" s="14">
        <f t="shared" si="2"/>
        <v>2000</v>
      </c>
      <c r="S9" s="28">
        <v>1.0</v>
      </c>
      <c r="T9" s="94">
        <f t="shared" si="3"/>
        <v>50000</v>
      </c>
      <c r="U9" s="123">
        <v>0.0</v>
      </c>
      <c r="V9" s="28"/>
      <c r="W9" s="28"/>
      <c r="X9" s="28">
        <f t="shared" si="4"/>
        <v>0</v>
      </c>
      <c r="Y9" s="29">
        <f t="shared" si="5"/>
        <v>0</v>
      </c>
      <c r="Z9" s="121">
        <f t="shared" si="6"/>
        <v>0</v>
      </c>
      <c r="AA9" s="153">
        <v>0.0</v>
      </c>
      <c r="AB9" s="110">
        <v>25000.0</v>
      </c>
      <c r="AC9" s="122">
        <f t="shared" si="7"/>
        <v>0</v>
      </c>
      <c r="AD9" s="154">
        <v>0.0</v>
      </c>
      <c r="AE9" s="8">
        <v>60000.0</v>
      </c>
      <c r="AF9" s="8">
        <v>0.18</v>
      </c>
      <c r="AG9" s="28">
        <f t="shared" si="8"/>
        <v>10800</v>
      </c>
      <c r="AH9" s="29">
        <f t="shared" si="9"/>
        <v>0</v>
      </c>
      <c r="AI9" s="123">
        <v>0.0</v>
      </c>
      <c r="AJ9" s="28">
        <v>4500.0</v>
      </c>
      <c r="AK9" s="29">
        <f t="shared" si="10"/>
        <v>0</v>
      </c>
      <c r="AL9" s="123">
        <v>0.0</v>
      </c>
      <c r="AM9" s="29">
        <f t="shared" si="11"/>
        <v>0</v>
      </c>
      <c r="AN9" s="120">
        <v>10.0</v>
      </c>
      <c r="AO9" s="8">
        <v>35000.0</v>
      </c>
      <c r="AP9" s="29">
        <f t="shared" si="12"/>
        <v>3500</v>
      </c>
      <c r="AQ9" s="123">
        <v>0.0</v>
      </c>
      <c r="AR9" s="28"/>
      <c r="AS9" s="29">
        <f t="shared" si="13"/>
        <v>0</v>
      </c>
      <c r="AT9" s="123">
        <v>0.0</v>
      </c>
      <c r="AU9" s="28">
        <v>5000.0</v>
      </c>
      <c r="AV9" s="29">
        <f t="shared" si="14"/>
        <v>0</v>
      </c>
      <c r="AW9" s="123">
        <v>0.0</v>
      </c>
      <c r="AX9" s="8">
        <v>1000.0</v>
      </c>
      <c r="AY9" s="29">
        <f t="shared" si="15"/>
        <v>0</v>
      </c>
      <c r="AZ9" s="120">
        <v>10.0</v>
      </c>
      <c r="BA9" s="8">
        <v>40000.0</v>
      </c>
      <c r="BB9" s="29">
        <f t="shared" si="16"/>
        <v>4000</v>
      </c>
      <c r="BC9" s="96">
        <f t="shared" si="17"/>
        <v>-2833.333333</v>
      </c>
      <c r="BD9" s="104">
        <f t="shared" si="18"/>
        <v>-0.05666666667</v>
      </c>
      <c r="BE9" s="94" t="str">
        <f t="shared" si="19"/>
        <v>Payback period not applicable: the investment does not recover its cost under current conditions.</v>
      </c>
      <c r="BF9" s="8" t="str">
        <f t="shared" si="20"/>
        <v>NO</v>
      </c>
      <c r="BG9" s="8"/>
    </row>
    <row r="10" ht="15.75" customHeight="1">
      <c r="A10" s="11" t="s">
        <v>237</v>
      </c>
      <c r="B10" s="30" t="s">
        <v>265</v>
      </c>
      <c r="C10" s="160" t="s">
        <v>266</v>
      </c>
      <c r="D10" s="30" t="s">
        <v>267</v>
      </c>
      <c r="E10" s="30" t="s">
        <v>268</v>
      </c>
      <c r="F10" s="149" t="s">
        <v>269</v>
      </c>
      <c r="G10" s="148" t="s">
        <v>104</v>
      </c>
      <c r="H10" s="148" t="s">
        <v>270</v>
      </c>
      <c r="I10" s="14" t="s">
        <v>272</v>
      </c>
      <c r="J10" s="72" t="s">
        <v>400</v>
      </c>
      <c r="K10" s="96" t="s">
        <v>272</v>
      </c>
      <c r="L10" s="161">
        <v>200.0</v>
      </c>
      <c r="M10" s="14">
        <v>6.0</v>
      </c>
      <c r="N10" s="14">
        <v>125.0</v>
      </c>
      <c r="O10" s="14"/>
      <c r="P10" s="14"/>
      <c r="Q10" s="14">
        <f t="shared" si="1"/>
        <v>0</v>
      </c>
      <c r="R10" s="14">
        <f t="shared" si="2"/>
        <v>5</v>
      </c>
      <c r="S10" s="14">
        <v>1.0</v>
      </c>
      <c r="T10" s="94">
        <f t="shared" si="3"/>
        <v>125</v>
      </c>
      <c r="U10" s="98">
        <v>0.0</v>
      </c>
      <c r="V10" s="14"/>
      <c r="W10" s="14"/>
      <c r="X10" s="14">
        <f t="shared" si="4"/>
        <v>0</v>
      </c>
      <c r="Y10" s="94">
        <f t="shared" si="5"/>
        <v>0</v>
      </c>
      <c r="Z10" s="97">
        <f t="shared" si="6"/>
        <v>0</v>
      </c>
      <c r="AA10" s="157">
        <v>0.0</v>
      </c>
      <c r="AB10" s="99">
        <v>25000.0</v>
      </c>
      <c r="AC10" s="100">
        <f t="shared" si="7"/>
        <v>0</v>
      </c>
      <c r="AD10" s="96">
        <v>70.0</v>
      </c>
      <c r="AE10" s="14">
        <v>65000.0</v>
      </c>
      <c r="AF10" s="14">
        <v>0.18</v>
      </c>
      <c r="AG10" s="14">
        <f t="shared" si="8"/>
        <v>11700</v>
      </c>
      <c r="AH10" s="94">
        <f t="shared" si="9"/>
        <v>8190</v>
      </c>
      <c r="AI10" s="98">
        <v>0.0</v>
      </c>
      <c r="AJ10" s="14">
        <v>4500.0</v>
      </c>
      <c r="AK10" s="94">
        <f t="shared" si="10"/>
        <v>0</v>
      </c>
      <c r="AL10" s="98">
        <v>0.0</v>
      </c>
      <c r="AM10" s="94">
        <f t="shared" si="11"/>
        <v>0</v>
      </c>
      <c r="AN10" s="98">
        <v>0.0</v>
      </c>
      <c r="AO10" s="14">
        <v>35000.0</v>
      </c>
      <c r="AP10" s="94">
        <f t="shared" si="12"/>
        <v>0</v>
      </c>
      <c r="AQ10" s="98">
        <v>0.0</v>
      </c>
      <c r="AR10" s="14"/>
      <c r="AS10" s="94">
        <f t="shared" si="13"/>
        <v>0</v>
      </c>
      <c r="AT10" s="98">
        <v>0.0</v>
      </c>
      <c r="AU10" s="14">
        <v>5000.0</v>
      </c>
      <c r="AV10" s="94">
        <f t="shared" si="14"/>
        <v>0</v>
      </c>
      <c r="AW10" s="98">
        <v>0.0</v>
      </c>
      <c r="AX10" s="14">
        <v>1000.0</v>
      </c>
      <c r="AY10" s="94">
        <f t="shared" si="15"/>
        <v>0</v>
      </c>
      <c r="AZ10" s="98">
        <v>0.0</v>
      </c>
      <c r="BA10" s="14">
        <v>40000.0</v>
      </c>
      <c r="BB10" s="94">
        <f t="shared" si="16"/>
        <v>0</v>
      </c>
      <c r="BC10" s="96">
        <f t="shared" si="17"/>
        <v>8185</v>
      </c>
      <c r="BD10" s="104">
        <f t="shared" si="18"/>
        <v>65.48</v>
      </c>
      <c r="BE10" s="94">
        <f t="shared" si="19"/>
        <v>0.01527183873</v>
      </c>
      <c r="BF10" s="8" t="str">
        <f t="shared" si="20"/>
        <v>YES</v>
      </c>
      <c r="BG10" s="8"/>
    </row>
    <row r="11" ht="15.75" customHeight="1">
      <c r="A11" s="17"/>
      <c r="B11" s="18" t="s">
        <v>273</v>
      </c>
      <c r="C11" s="162" t="s">
        <v>274</v>
      </c>
      <c r="D11" s="18" t="s">
        <v>274</v>
      </c>
      <c r="E11" s="34" t="s">
        <v>275</v>
      </c>
      <c r="F11" s="35" t="s">
        <v>276</v>
      </c>
      <c r="G11" s="34" t="s">
        <v>277</v>
      </c>
      <c r="H11" s="34" t="s">
        <v>105</v>
      </c>
      <c r="I11" s="8" t="s">
        <v>279</v>
      </c>
      <c r="J11" s="163" t="s">
        <v>401</v>
      </c>
      <c r="K11" s="107" t="s">
        <v>279</v>
      </c>
      <c r="L11" s="156">
        <v>200.0</v>
      </c>
      <c r="M11" s="8">
        <v>6.0</v>
      </c>
      <c r="N11" s="8">
        <v>2000.0</v>
      </c>
      <c r="O11" s="8"/>
      <c r="P11" s="8">
        <v>21.0</v>
      </c>
      <c r="Q11" s="14">
        <f t="shared" si="1"/>
        <v>333.3333333</v>
      </c>
      <c r="R11" s="14">
        <f t="shared" si="2"/>
        <v>80</v>
      </c>
      <c r="S11" s="8">
        <v>1.0</v>
      </c>
      <c r="T11" s="94">
        <f t="shared" si="3"/>
        <v>2000</v>
      </c>
      <c r="U11" s="109">
        <v>0.0</v>
      </c>
      <c r="V11" s="8"/>
      <c r="W11" s="8"/>
      <c r="X11" s="8">
        <f t="shared" si="4"/>
        <v>0</v>
      </c>
      <c r="Y11" s="24">
        <f t="shared" si="5"/>
        <v>0</v>
      </c>
      <c r="Z11" s="108">
        <f t="shared" si="6"/>
        <v>0</v>
      </c>
      <c r="AA11" s="158">
        <v>0.0</v>
      </c>
      <c r="AB11" s="110">
        <v>25000.0</v>
      </c>
      <c r="AC11" s="111">
        <f t="shared" si="7"/>
        <v>0</v>
      </c>
      <c r="AD11" s="109">
        <v>0.0</v>
      </c>
      <c r="AE11" s="8">
        <v>65000.0</v>
      </c>
      <c r="AF11" s="8">
        <v>0.18</v>
      </c>
      <c r="AG11" s="8">
        <f t="shared" si="8"/>
        <v>11700</v>
      </c>
      <c r="AH11" s="24">
        <f t="shared" si="9"/>
        <v>0</v>
      </c>
      <c r="AI11" s="109">
        <v>0.0</v>
      </c>
      <c r="AJ11" s="8">
        <v>4500.0</v>
      </c>
      <c r="AK11" s="24">
        <f t="shared" si="10"/>
        <v>0</v>
      </c>
      <c r="AL11" s="109">
        <v>0.0</v>
      </c>
      <c r="AM11" s="24">
        <f t="shared" si="11"/>
        <v>0</v>
      </c>
      <c r="AN11" s="109">
        <v>0.0</v>
      </c>
      <c r="AO11" s="8">
        <v>35000.0</v>
      </c>
      <c r="AP11" s="24">
        <f t="shared" si="12"/>
        <v>0</v>
      </c>
      <c r="AQ11" s="109">
        <v>0.0</v>
      </c>
      <c r="AR11" s="8"/>
      <c r="AS11" s="24">
        <f t="shared" si="13"/>
        <v>0</v>
      </c>
      <c r="AT11" s="107">
        <v>38.0</v>
      </c>
      <c r="AU11" s="8">
        <v>5000.0</v>
      </c>
      <c r="AV11" s="24">
        <f t="shared" si="14"/>
        <v>1900</v>
      </c>
      <c r="AW11" s="109">
        <v>0.0</v>
      </c>
      <c r="AX11" s="8">
        <v>1000.0</v>
      </c>
      <c r="AY11" s="24">
        <f t="shared" si="15"/>
        <v>0</v>
      </c>
      <c r="AZ11" s="109">
        <v>0.0</v>
      </c>
      <c r="BA11" s="8">
        <v>40000.0</v>
      </c>
      <c r="BB11" s="24">
        <f t="shared" si="16"/>
        <v>0</v>
      </c>
      <c r="BC11" s="96">
        <f t="shared" si="17"/>
        <v>-48913.33333</v>
      </c>
      <c r="BD11" s="104">
        <f t="shared" si="18"/>
        <v>-24.45666667</v>
      </c>
      <c r="BE11" s="94" t="str">
        <f t="shared" si="19"/>
        <v>Payback period not applicable: the investment does not recover its cost under current conditions.</v>
      </c>
      <c r="BF11" s="8" t="str">
        <f t="shared" si="20"/>
        <v>NO</v>
      </c>
      <c r="BG11" s="8"/>
    </row>
    <row r="12" ht="15.75" customHeight="1">
      <c r="A12" s="25"/>
      <c r="B12" s="37" t="s">
        <v>280</v>
      </c>
      <c r="C12" s="164" t="s">
        <v>281</v>
      </c>
      <c r="D12" s="38" t="s">
        <v>282</v>
      </c>
      <c r="E12" s="165" t="s">
        <v>283</v>
      </c>
      <c r="F12" s="40" t="s">
        <v>284</v>
      </c>
      <c r="G12" s="39" t="s">
        <v>104</v>
      </c>
      <c r="H12" s="39" t="s">
        <v>105</v>
      </c>
      <c r="I12" s="28" t="s">
        <v>286</v>
      </c>
      <c r="J12" s="29" t="s">
        <v>285</v>
      </c>
      <c r="K12" s="120" t="s">
        <v>286</v>
      </c>
      <c r="L12" s="152">
        <v>200.0</v>
      </c>
      <c r="M12" s="28">
        <v>6.0</v>
      </c>
      <c r="N12" s="28">
        <v>375.0</v>
      </c>
      <c r="O12" s="28"/>
      <c r="P12" s="28">
        <v>75.0</v>
      </c>
      <c r="Q12" s="14">
        <f t="shared" si="1"/>
        <v>0</v>
      </c>
      <c r="R12" s="14">
        <f t="shared" si="2"/>
        <v>15</v>
      </c>
      <c r="S12" s="28">
        <v>1.0</v>
      </c>
      <c r="T12" s="94">
        <f t="shared" si="3"/>
        <v>375</v>
      </c>
      <c r="U12" s="123">
        <v>0.0</v>
      </c>
      <c r="V12" s="28"/>
      <c r="W12" s="28"/>
      <c r="X12" s="28">
        <f t="shared" si="4"/>
        <v>0</v>
      </c>
      <c r="Y12" s="29">
        <f t="shared" si="5"/>
        <v>0</v>
      </c>
      <c r="Z12" s="121">
        <f t="shared" si="6"/>
        <v>0</v>
      </c>
      <c r="AA12" s="153">
        <v>0.0</v>
      </c>
      <c r="AB12" s="130">
        <v>25000.0</v>
      </c>
      <c r="AC12" s="122">
        <f t="shared" si="7"/>
        <v>0</v>
      </c>
      <c r="AD12" s="123">
        <v>0.0</v>
      </c>
      <c r="AE12" s="28">
        <v>65000.0</v>
      </c>
      <c r="AF12" s="28">
        <v>0.18</v>
      </c>
      <c r="AG12" s="28">
        <f t="shared" si="8"/>
        <v>11700</v>
      </c>
      <c r="AH12" s="29">
        <f t="shared" si="9"/>
        <v>0</v>
      </c>
      <c r="AI12" s="123">
        <v>0.0</v>
      </c>
      <c r="AJ12" s="28">
        <v>4500.0</v>
      </c>
      <c r="AK12" s="29">
        <f t="shared" si="10"/>
        <v>0</v>
      </c>
      <c r="AL12" s="123">
        <v>0.0</v>
      </c>
      <c r="AM12" s="29">
        <f t="shared" si="11"/>
        <v>0</v>
      </c>
      <c r="AN12" s="123">
        <v>0.0</v>
      </c>
      <c r="AO12" s="28">
        <v>35000.0</v>
      </c>
      <c r="AP12" s="29">
        <f t="shared" si="12"/>
        <v>0</v>
      </c>
      <c r="AQ12" s="123">
        <v>0.0</v>
      </c>
      <c r="AR12" s="28"/>
      <c r="AS12" s="29">
        <f t="shared" si="13"/>
        <v>0</v>
      </c>
      <c r="AT12" s="120">
        <v>50.0</v>
      </c>
      <c r="AU12" s="28">
        <v>5000.0</v>
      </c>
      <c r="AV12" s="29">
        <f t="shared" si="14"/>
        <v>2500</v>
      </c>
      <c r="AW12" s="120">
        <v>25.0</v>
      </c>
      <c r="AX12" s="28">
        <v>1000.0</v>
      </c>
      <c r="AY12" s="29">
        <f t="shared" si="15"/>
        <v>250</v>
      </c>
      <c r="AZ12" s="123">
        <v>0.0</v>
      </c>
      <c r="BA12" s="28">
        <v>40000.0</v>
      </c>
      <c r="BB12" s="29">
        <f t="shared" si="16"/>
        <v>0</v>
      </c>
      <c r="BC12" s="96">
        <f t="shared" si="17"/>
        <v>-177265</v>
      </c>
      <c r="BD12" s="104">
        <f t="shared" si="18"/>
        <v>-472.7066667</v>
      </c>
      <c r="BE12" s="94" t="str">
        <f t="shared" si="19"/>
        <v>Payback period not applicable: the investment does not recover its cost under current conditions.</v>
      </c>
      <c r="BF12" s="8" t="str">
        <f t="shared" si="20"/>
        <v>NO</v>
      </c>
      <c r="BG12" s="8"/>
    </row>
    <row r="13" ht="15.75" customHeight="1">
      <c r="A13" s="5"/>
      <c r="B13" s="18"/>
      <c r="C13" s="18"/>
      <c r="D13" s="18"/>
      <c r="E13" s="166"/>
      <c r="F13" s="34"/>
      <c r="G13" s="34"/>
      <c r="H13" s="34"/>
      <c r="I13" s="8"/>
      <c r="J13" s="8"/>
      <c r="K13" s="8"/>
      <c r="L13" s="8"/>
      <c r="M13" s="8"/>
      <c r="N13" s="8"/>
      <c r="O13" s="8"/>
      <c r="P13" s="8"/>
      <c r="Q13" s="8"/>
      <c r="R13" s="8"/>
      <c r="S13" s="8"/>
      <c r="T13" s="8"/>
      <c r="U13" s="132" t="s">
        <v>402</v>
      </c>
      <c r="V13" s="133"/>
      <c r="W13" s="133"/>
      <c r="X13" s="133"/>
      <c r="Y13" s="133"/>
      <c r="Z13" s="134"/>
      <c r="AA13" s="110"/>
      <c r="AB13" s="110"/>
      <c r="AC13" s="110"/>
      <c r="AD13" s="8"/>
      <c r="AE13" s="8"/>
      <c r="AF13" s="8"/>
      <c r="AG13" s="8"/>
      <c r="AH13" s="8"/>
      <c r="AI13" s="132" t="s">
        <v>402</v>
      </c>
      <c r="AJ13" s="133"/>
      <c r="AK13" s="134"/>
      <c r="AL13" s="132" t="s">
        <v>402</v>
      </c>
      <c r="AM13" s="134"/>
      <c r="AN13" s="8"/>
      <c r="AO13" s="8"/>
      <c r="AP13" s="8"/>
      <c r="AQ13" s="8"/>
      <c r="AR13" s="8"/>
      <c r="AS13" s="8"/>
      <c r="AT13" s="8"/>
      <c r="AU13" s="8"/>
      <c r="AV13" s="8"/>
      <c r="AW13" s="8"/>
      <c r="AX13" s="8"/>
      <c r="AY13" s="8"/>
      <c r="AZ13" s="8"/>
      <c r="BA13" s="8"/>
      <c r="BB13" s="8"/>
      <c r="BC13" s="8"/>
      <c r="BD13" s="8"/>
      <c r="BE13" s="8"/>
      <c r="BF13" s="8"/>
      <c r="BG13" s="8"/>
    </row>
    <row r="14" ht="15.75" customHeight="1">
      <c r="A14" s="5"/>
      <c r="B14" s="18"/>
      <c r="C14" s="18"/>
      <c r="D14" s="18"/>
      <c r="E14" s="166"/>
      <c r="F14" s="34"/>
      <c r="G14" s="34"/>
      <c r="H14" s="34"/>
      <c r="I14" s="8"/>
      <c r="J14" s="8"/>
      <c r="K14" s="8"/>
      <c r="L14" s="8"/>
      <c r="M14" s="8"/>
      <c r="N14" s="8"/>
      <c r="O14" s="8"/>
      <c r="P14" s="8"/>
      <c r="Q14" s="8"/>
      <c r="R14" s="8"/>
      <c r="S14" s="8"/>
      <c r="T14" s="8"/>
      <c r="U14" s="8"/>
      <c r="V14" s="8"/>
      <c r="W14" s="8"/>
      <c r="X14" s="8"/>
      <c r="Y14" s="8"/>
      <c r="Z14" s="8"/>
      <c r="AA14" s="110"/>
      <c r="AB14" s="110"/>
      <c r="AC14" s="110"/>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row>
    <row r="15" ht="15.75" customHeight="1">
      <c r="A15" s="5"/>
      <c r="B15" s="18"/>
      <c r="C15" s="18"/>
      <c r="D15" s="18"/>
      <c r="E15" s="166"/>
      <c r="F15" s="34"/>
      <c r="G15" s="34"/>
      <c r="H15" s="34"/>
      <c r="I15" s="8"/>
      <c r="J15" s="8"/>
      <c r="K15" s="8"/>
      <c r="L15" s="8"/>
      <c r="M15" s="8"/>
      <c r="N15" s="8"/>
      <c r="O15" s="8"/>
      <c r="P15" s="8"/>
      <c r="Q15" s="8"/>
      <c r="R15" s="8"/>
      <c r="S15" s="8"/>
      <c r="T15" s="8"/>
      <c r="U15" s="8"/>
      <c r="V15" s="8"/>
      <c r="W15" s="8"/>
      <c r="X15" s="8"/>
      <c r="Y15" s="8"/>
      <c r="Z15" s="8"/>
      <c r="AA15" s="110"/>
      <c r="AB15" s="110"/>
      <c r="AC15" s="110"/>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row>
    <row r="16" ht="15.75" customHeight="1">
      <c r="A16" s="5"/>
      <c r="B16" s="18"/>
      <c r="C16" s="18"/>
      <c r="D16" s="18"/>
      <c r="E16" s="166"/>
      <c r="F16" s="34"/>
      <c r="G16" s="34"/>
      <c r="H16" s="34"/>
      <c r="I16" s="8"/>
      <c r="J16" s="8"/>
      <c r="K16" s="8"/>
      <c r="L16" s="8"/>
      <c r="M16" s="8"/>
      <c r="N16" s="8"/>
      <c r="O16" s="8"/>
      <c r="P16" s="8"/>
      <c r="Q16" s="8"/>
      <c r="R16" s="8"/>
      <c r="S16" s="8"/>
      <c r="T16" s="8"/>
      <c r="U16" s="8"/>
      <c r="V16" s="8"/>
      <c r="W16" s="8"/>
      <c r="X16" s="8"/>
      <c r="Y16" s="8"/>
      <c r="Z16" s="8"/>
      <c r="AA16" s="110"/>
      <c r="AB16" s="110"/>
      <c r="AC16" s="110"/>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row>
    <row r="17" ht="15.75" customHeight="1">
      <c r="A17" s="5"/>
      <c r="B17" s="18"/>
      <c r="C17" s="18"/>
      <c r="D17" s="18"/>
      <c r="E17" s="166"/>
      <c r="F17" s="34"/>
      <c r="G17" s="34"/>
      <c r="H17" s="34"/>
      <c r="I17" s="8"/>
      <c r="J17" s="8"/>
      <c r="K17" s="8"/>
      <c r="L17" s="8"/>
      <c r="M17" s="8"/>
      <c r="N17" s="8"/>
      <c r="O17" s="8"/>
      <c r="P17" s="8"/>
      <c r="Q17" s="8"/>
      <c r="R17" s="8"/>
      <c r="S17" s="8"/>
      <c r="T17" s="8"/>
      <c r="U17" s="8"/>
      <c r="V17" s="8"/>
      <c r="W17" s="8"/>
      <c r="X17" s="8"/>
      <c r="Y17" s="8"/>
      <c r="Z17" s="8"/>
      <c r="AA17" s="110"/>
      <c r="AB17" s="110"/>
      <c r="AC17" s="110"/>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row>
    <row r="18" ht="15.75" customHeight="1">
      <c r="A18" s="5"/>
      <c r="B18" s="18"/>
      <c r="C18" s="18"/>
      <c r="D18" s="18"/>
      <c r="E18" s="166"/>
      <c r="F18" s="34"/>
      <c r="G18" s="34"/>
      <c r="H18" s="34"/>
      <c r="I18" s="8"/>
      <c r="J18" s="8"/>
      <c r="K18" s="8"/>
      <c r="L18" s="8"/>
      <c r="M18" s="8"/>
      <c r="N18" s="8"/>
      <c r="O18" s="8"/>
      <c r="P18" s="8"/>
      <c r="Q18" s="8"/>
      <c r="R18" s="8"/>
      <c r="S18" s="8"/>
      <c r="T18" s="8"/>
      <c r="U18" s="8"/>
      <c r="V18" s="8"/>
      <c r="W18" s="8"/>
      <c r="X18" s="8"/>
      <c r="Y18" s="8"/>
      <c r="Z18" s="8"/>
      <c r="AA18" s="110"/>
      <c r="AB18" s="110"/>
      <c r="AC18" s="110"/>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Q1:AS1"/>
    <mergeCell ref="AT1:AV1"/>
    <mergeCell ref="AW1:AY1"/>
    <mergeCell ref="AZ1:BB1"/>
    <mergeCell ref="BC1:BF1"/>
    <mergeCell ref="A3:A4"/>
    <mergeCell ref="A5:A9"/>
    <mergeCell ref="A10:A12"/>
    <mergeCell ref="U13:Z13"/>
    <mergeCell ref="AI13:AK13"/>
    <mergeCell ref="AL13:AM13"/>
    <mergeCell ref="K1:T1"/>
    <mergeCell ref="U1:Y1"/>
    <mergeCell ref="AA1:AC1"/>
    <mergeCell ref="AD1:AH1"/>
    <mergeCell ref="AI1:AK1"/>
    <mergeCell ref="AL1:AM1"/>
    <mergeCell ref="AN1:AP1"/>
  </mergeCells>
  <hyperlinks>
    <hyperlink r:id="rId2" ref="F3"/>
    <hyperlink r:id="rId3" ref="F4"/>
    <hyperlink r:id="rId4" ref="F5"/>
    <hyperlink r:id="rId5" ref="F6"/>
    <hyperlink r:id="rId6" ref="F7"/>
    <hyperlink r:id="rId7" ref="F8"/>
    <hyperlink r:id="rId8" ref="F9"/>
    <hyperlink r:id="rId9" ref="F10"/>
    <hyperlink r:id="rId10" ref="F11"/>
    <hyperlink r:id="rId11" ref="J11"/>
    <hyperlink r:id="rId12" ref="F12"/>
  </hyperlinks>
  <printOptions/>
  <pageMargins bottom="0.75" footer="0.0" header="0.0" left="0.7" right="0.7" top="0.75"/>
  <pageSetup orientation="landscape"/>
  <drawing r:id="rId13"/>
  <legacyDrawing r:id="rId1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0"/>
  <cols>
    <col customWidth="1" min="1" max="1" width="21.38"/>
    <col customWidth="1" min="2" max="2" width="11.63"/>
    <col customWidth="1" min="3" max="3" width="10.38"/>
    <col customWidth="1" min="4" max="4" width="18.38"/>
    <col customWidth="1" min="5" max="5" width="27.13"/>
    <col customWidth="1" min="6" max="6" width="24.13"/>
    <col customWidth="1" min="7" max="7" width="10.38"/>
    <col customWidth="1" min="8" max="8" width="18.0"/>
    <col customWidth="1" min="9" max="9" width="12.75"/>
    <col customWidth="1" min="10" max="10" width="71.13"/>
    <col customWidth="1" min="11" max="12" width="23.63"/>
    <col customWidth="1" min="13" max="13" width="22.88"/>
    <col customWidth="1" min="14" max="14" width="26.13"/>
    <col customWidth="1" min="15" max="15" width="23.63"/>
    <col customWidth="1" min="16" max="16" width="25.13"/>
    <col customWidth="1" min="17" max="19" width="27.75"/>
    <col customWidth="1" min="20" max="20" width="37.75"/>
    <col customWidth="1" min="21" max="21" width="22.88"/>
    <col customWidth="1" min="22" max="22" width="26.75"/>
    <col customWidth="1" min="23" max="23" width="38.13"/>
    <col customWidth="1" min="24" max="24" width="25.38"/>
    <col customWidth="1" min="25" max="25" width="33.13"/>
    <col customWidth="1" min="26" max="26" width="24.75"/>
    <col customWidth="1" min="27" max="27" width="26.5"/>
    <col customWidth="1" min="28" max="28" width="24.5"/>
    <col customWidth="1" min="29" max="29" width="24.75"/>
    <col customWidth="1" min="30" max="30" width="29.75"/>
    <col customWidth="1" min="31" max="31" width="43.88"/>
    <col customWidth="1" min="32" max="32" width="21.0"/>
    <col customWidth="1" min="33" max="33" width="43.38"/>
    <col customWidth="1" min="34" max="34" width="25.88"/>
    <col customWidth="1" min="35" max="35" width="26.13"/>
    <col customWidth="1" min="36" max="36" width="24.63"/>
    <col customWidth="1" min="37" max="37" width="24.13"/>
    <col customWidth="1" min="38" max="38" width="27.25"/>
    <col customWidth="1" min="39" max="39" width="27.38"/>
    <col customWidth="1" min="40" max="40" width="18.38"/>
    <col customWidth="1" min="41" max="41" width="24.0"/>
    <col customWidth="1" min="42" max="42" width="23.63"/>
    <col customWidth="1" min="43" max="43" width="18.5"/>
    <col customWidth="1" min="44" max="44" width="29.13"/>
    <col customWidth="1" min="45" max="45" width="28.75"/>
    <col customWidth="1" min="46" max="46" width="26.0"/>
    <col customWidth="1" min="47" max="47" width="27.88"/>
    <col customWidth="1" min="48" max="48" width="27.38"/>
    <col customWidth="1" min="49" max="49" width="26.88"/>
    <col customWidth="1" min="50" max="50" width="26.5"/>
    <col customWidth="1" min="51" max="51" width="26.13"/>
    <col customWidth="1" min="52" max="52" width="24.0"/>
    <col customWidth="1" min="53" max="53" width="24.5"/>
    <col customWidth="1" min="54" max="54" width="38.5"/>
    <col customWidth="1" min="55" max="55" width="39.13"/>
    <col customWidth="1" min="56" max="56" width="36.5"/>
    <col customWidth="1" min="57" max="57" width="29.38"/>
    <col customWidth="1" min="58" max="58" width="21.38"/>
  </cols>
  <sheetData>
    <row r="1" ht="15.75" customHeight="1">
      <c r="A1" s="167" t="s">
        <v>0</v>
      </c>
      <c r="B1" s="167" t="s">
        <v>1</v>
      </c>
      <c r="C1" s="167" t="s">
        <v>2</v>
      </c>
      <c r="D1" s="167" t="s">
        <v>3</v>
      </c>
      <c r="E1" s="167" t="s">
        <v>4</v>
      </c>
      <c r="F1" s="70" t="s">
        <v>5</v>
      </c>
      <c r="G1" s="70" t="s">
        <v>6</v>
      </c>
      <c r="H1" s="70" t="s">
        <v>7</v>
      </c>
      <c r="I1" s="70" t="s">
        <v>380</v>
      </c>
      <c r="J1" s="143" t="s">
        <v>8</v>
      </c>
      <c r="K1" s="58" t="s">
        <v>381</v>
      </c>
      <c r="L1" s="59"/>
      <c r="M1" s="59"/>
      <c r="N1" s="59"/>
      <c r="O1" s="59"/>
      <c r="P1" s="59"/>
      <c r="Q1" s="59"/>
      <c r="R1" s="59"/>
      <c r="S1" s="59"/>
      <c r="T1" s="60"/>
      <c r="U1" s="61" t="s">
        <v>304</v>
      </c>
      <c r="V1" s="62"/>
      <c r="W1" s="62"/>
      <c r="X1" s="62"/>
      <c r="Y1" s="63"/>
      <c r="Z1" s="64" t="s">
        <v>305</v>
      </c>
      <c r="AA1" s="65" t="s">
        <v>306</v>
      </c>
      <c r="AB1" s="66"/>
      <c r="AC1" s="67"/>
      <c r="AD1" s="61" t="s">
        <v>307</v>
      </c>
      <c r="AE1" s="62"/>
      <c r="AF1" s="62"/>
      <c r="AG1" s="62"/>
      <c r="AH1" s="63"/>
      <c r="AI1" s="61" t="s">
        <v>308</v>
      </c>
      <c r="AJ1" s="62"/>
      <c r="AK1" s="63"/>
      <c r="AL1" s="61" t="s">
        <v>309</v>
      </c>
      <c r="AM1" s="63"/>
      <c r="AN1" s="61" t="s">
        <v>310</v>
      </c>
      <c r="AO1" s="62"/>
      <c r="AP1" s="63"/>
      <c r="AQ1" s="61" t="s">
        <v>311</v>
      </c>
      <c r="AR1" s="62"/>
      <c r="AS1" s="63"/>
      <c r="AT1" s="61" t="s">
        <v>312</v>
      </c>
      <c r="AU1" s="62"/>
      <c r="AV1" s="63"/>
      <c r="AW1" s="61" t="s">
        <v>313</v>
      </c>
      <c r="AX1" s="62"/>
      <c r="AY1" s="63"/>
      <c r="AZ1" s="61" t="s">
        <v>314</v>
      </c>
      <c r="BA1" s="62"/>
      <c r="BB1" s="63"/>
      <c r="BC1" s="68" t="s">
        <v>315</v>
      </c>
      <c r="BD1" s="62"/>
      <c r="BE1" s="62"/>
      <c r="BF1" s="69"/>
    </row>
    <row r="2" ht="15.75" customHeight="1">
      <c r="A2" s="5"/>
      <c r="B2" s="5"/>
      <c r="C2" s="5"/>
      <c r="D2" s="5"/>
      <c r="E2" s="5"/>
      <c r="F2" s="168"/>
      <c r="G2" s="145"/>
      <c r="H2" s="145"/>
      <c r="I2" s="45"/>
      <c r="J2" s="145"/>
      <c r="K2" s="146" t="s">
        <v>9</v>
      </c>
      <c r="L2" s="76" t="s">
        <v>403</v>
      </c>
      <c r="M2" s="76" t="s">
        <v>383</v>
      </c>
      <c r="N2" s="147" t="s">
        <v>384</v>
      </c>
      <c r="O2" s="45" t="s">
        <v>404</v>
      </c>
      <c r="P2" s="78" t="s">
        <v>405</v>
      </c>
      <c r="Q2" s="79" t="s">
        <v>406</v>
      </c>
      <c r="R2" s="80" t="s">
        <v>407</v>
      </c>
      <c r="S2" s="81" t="s">
        <v>389</v>
      </c>
      <c r="T2" s="82" t="s">
        <v>408</v>
      </c>
      <c r="U2" s="83" t="s">
        <v>409</v>
      </c>
      <c r="V2" s="81" t="s">
        <v>326</v>
      </c>
      <c r="W2" s="81" t="s">
        <v>327</v>
      </c>
      <c r="X2" s="36" t="s">
        <v>328</v>
      </c>
      <c r="Y2" s="36" t="s">
        <v>329</v>
      </c>
      <c r="Z2" s="84" t="s">
        <v>330</v>
      </c>
      <c r="AA2" s="83" t="s">
        <v>331</v>
      </c>
      <c r="AB2" s="81" t="s">
        <v>332</v>
      </c>
      <c r="AC2" s="85" t="s">
        <v>333</v>
      </c>
      <c r="AD2" s="86" t="s">
        <v>334</v>
      </c>
      <c r="AE2" s="81" t="s">
        <v>335</v>
      </c>
      <c r="AF2" s="81" t="s">
        <v>336</v>
      </c>
      <c r="AG2" s="87" t="s">
        <v>337</v>
      </c>
      <c r="AH2" s="88" t="s">
        <v>338</v>
      </c>
      <c r="AI2" s="83" t="s">
        <v>339</v>
      </c>
      <c r="AJ2" s="81" t="s">
        <v>340</v>
      </c>
      <c r="AK2" s="85" t="s">
        <v>341</v>
      </c>
      <c r="AL2" s="83" t="s">
        <v>342</v>
      </c>
      <c r="AM2" s="85" t="s">
        <v>343</v>
      </c>
      <c r="AN2" s="83" t="s">
        <v>344</v>
      </c>
      <c r="AO2" s="81" t="s">
        <v>345</v>
      </c>
      <c r="AP2" s="85" t="s">
        <v>346</v>
      </c>
      <c r="AQ2" s="83" t="s">
        <v>347</v>
      </c>
      <c r="AR2" s="81" t="s">
        <v>348</v>
      </c>
      <c r="AS2" s="85" t="s">
        <v>349</v>
      </c>
      <c r="AT2" s="83" t="s">
        <v>350</v>
      </c>
      <c r="AU2" s="81" t="s">
        <v>351</v>
      </c>
      <c r="AV2" s="85" t="s">
        <v>352</v>
      </c>
      <c r="AW2" s="83" t="s">
        <v>353</v>
      </c>
      <c r="AX2" s="81" t="s">
        <v>354</v>
      </c>
      <c r="AY2" s="85" t="s">
        <v>355</v>
      </c>
      <c r="AZ2" s="83" t="s">
        <v>356</v>
      </c>
      <c r="BA2" s="81" t="s">
        <v>357</v>
      </c>
      <c r="BB2" s="85" t="s">
        <v>358</v>
      </c>
      <c r="BC2" s="90" t="s">
        <v>359</v>
      </c>
      <c r="BD2" s="91" t="s">
        <v>410</v>
      </c>
      <c r="BE2" s="92" t="s">
        <v>411</v>
      </c>
      <c r="BF2" s="93" t="s">
        <v>412</v>
      </c>
    </row>
    <row r="3" ht="19.5" customHeight="1">
      <c r="A3" s="11" t="s">
        <v>116</v>
      </c>
      <c r="B3" s="30" t="s">
        <v>160</v>
      </c>
      <c r="C3" s="30" t="s">
        <v>213</v>
      </c>
      <c r="D3" s="30" t="s">
        <v>148</v>
      </c>
      <c r="E3" s="30" t="s">
        <v>195</v>
      </c>
      <c r="F3" s="155" t="s">
        <v>413</v>
      </c>
      <c r="G3" s="148"/>
      <c r="H3" s="148" t="s">
        <v>164</v>
      </c>
      <c r="I3" s="14" t="s">
        <v>166</v>
      </c>
      <c r="J3" s="169" t="s">
        <v>414</v>
      </c>
      <c r="K3" s="96" t="s">
        <v>217</v>
      </c>
      <c r="L3" s="14">
        <v>10000.0</v>
      </c>
      <c r="M3" s="14">
        <v>4.0</v>
      </c>
      <c r="N3" s="14">
        <v>35000.0</v>
      </c>
      <c r="O3" s="14"/>
      <c r="P3" s="14"/>
      <c r="Q3" s="14">
        <f t="shared" ref="Q3:Q6" si="1">if(T3&lt;500,0,T3/M3)</f>
        <v>8750</v>
      </c>
      <c r="R3" s="14">
        <f t="shared" ref="R3:R6" si="2">T3*0.04</f>
        <v>1400</v>
      </c>
      <c r="S3" s="14">
        <v>1.0</v>
      </c>
      <c r="T3" s="94">
        <f t="shared" ref="T3:T6" si="3">(N3*S3)+(O3*L3)</f>
        <v>35000</v>
      </c>
      <c r="U3" s="96">
        <v>0.0</v>
      </c>
      <c r="V3" s="14"/>
      <c r="W3" s="14"/>
      <c r="X3" s="14">
        <f t="shared" ref="X3:X6" si="4">V3*W3*L3*365</f>
        <v>0</v>
      </c>
      <c r="Y3" s="94">
        <f t="shared" ref="Y3:Y6" si="5">X3*(1+U3%)</f>
        <v>0</v>
      </c>
      <c r="Z3" s="97">
        <f t="shared" ref="Z3:Z6" si="6">Y3-X3</f>
        <v>0</v>
      </c>
      <c r="AA3" s="157">
        <v>0.0</v>
      </c>
      <c r="AB3" s="99">
        <v>18000.0</v>
      </c>
      <c r="AC3" s="100">
        <f t="shared" ref="AC3:AC6" si="7">AB3-(AB3*(1-AA3%))</f>
        <v>0</v>
      </c>
      <c r="AD3" s="98">
        <v>0.0</v>
      </c>
      <c r="AE3" s="14">
        <v>45000.0</v>
      </c>
      <c r="AF3" s="14">
        <v>0.2</v>
      </c>
      <c r="AG3" s="14">
        <f t="shared" ref="AG3:AG6" si="8">AE3*AF3</f>
        <v>9000</v>
      </c>
      <c r="AH3" s="94">
        <f t="shared" ref="AH3:AH6" si="9">AG3-(AG3*(1-AD3%))</f>
        <v>0</v>
      </c>
      <c r="AI3" s="98">
        <v>0.0</v>
      </c>
      <c r="AJ3" s="14">
        <v>3000.0</v>
      </c>
      <c r="AK3" s="94">
        <f t="shared" ref="AK3:AK6" si="10">AJ3-(AJ3*(1-AI3%))</f>
        <v>0</v>
      </c>
      <c r="AL3" s="98">
        <v>0.0</v>
      </c>
      <c r="AM3" s="94">
        <f t="shared" ref="AM3:AM6" si="11">AL3*L3</f>
        <v>0</v>
      </c>
      <c r="AN3" s="98">
        <v>0.0</v>
      </c>
      <c r="AO3" s="14">
        <v>25000.0</v>
      </c>
      <c r="AP3" s="94">
        <f t="shared" ref="AP3:AP6" si="12">AO3-(AO3*(1-AN3%))</f>
        <v>0</v>
      </c>
      <c r="AQ3" s="98">
        <v>0.0</v>
      </c>
      <c r="AR3" s="14">
        <v>5000.0</v>
      </c>
      <c r="AS3" s="94">
        <f t="shared" ref="AS3:AS6" si="13">AR3-(AR3*(1-AQ3%))</f>
        <v>0</v>
      </c>
      <c r="AT3" s="98">
        <v>0.0</v>
      </c>
      <c r="AU3" s="14">
        <v>4000.0</v>
      </c>
      <c r="AV3" s="94">
        <f t="shared" ref="AV3:AV6" si="14">AU3-(AU3*(1-AT3%))</f>
        <v>0</v>
      </c>
      <c r="AW3" s="98">
        <v>0.0</v>
      </c>
      <c r="AX3" s="14">
        <v>1000.0</v>
      </c>
      <c r="AY3" s="94">
        <f t="shared" ref="AY3:AY6" si="15">AX3-(AX3*(1-AW3%))</f>
        <v>0</v>
      </c>
      <c r="AZ3" s="96">
        <v>10.0</v>
      </c>
      <c r="BA3" s="14">
        <v>30000.0</v>
      </c>
      <c r="BB3" s="94">
        <f t="shared" ref="BB3:BB6" si="16">BA3-(BA3*(1-AZ3%))</f>
        <v>3000</v>
      </c>
      <c r="BC3" s="96">
        <f t="shared" ref="BC3:BC6" si="17">(Z3+AC3+AH3+AK3+AM3+AP3+AS3+AV3+AY3+BB3)-R3-Q3-(P3*12*L3)</f>
        <v>-7150</v>
      </c>
      <c r="BD3" s="170">
        <f t="shared" ref="BD3:BD6" si="18">if(T3&gt;0,BC3/T3,"The DAT is free")</f>
        <v>-0.2042857143</v>
      </c>
      <c r="BE3" s="94" t="str">
        <f t="shared" ref="BE3:BE6" si="19">IF(BC3&gt;0,T3/BC3,"Payback period not applicable: the investment does not recover its cost under current conditions.")</f>
        <v>Payback period not applicable: the investment does not recover its cost under current conditions.</v>
      </c>
      <c r="BF3" s="8" t="str">
        <f t="shared" ref="BF3:BF6" si="20">IF(BE3&lt;6, "YES", "NO")</f>
        <v>NO</v>
      </c>
    </row>
    <row r="4" ht="17.25" customHeight="1">
      <c r="A4" s="25"/>
      <c r="B4" s="37" t="s">
        <v>117</v>
      </c>
      <c r="C4" s="26" t="s">
        <v>167</v>
      </c>
      <c r="D4" s="26" t="s">
        <v>168</v>
      </c>
      <c r="E4" s="26" t="s">
        <v>169</v>
      </c>
      <c r="F4" s="27" t="s">
        <v>170</v>
      </c>
      <c r="G4" s="28"/>
      <c r="H4" s="49" t="s">
        <v>164</v>
      </c>
      <c r="I4" s="28" t="s">
        <v>159</v>
      </c>
      <c r="J4" s="29" t="s">
        <v>171</v>
      </c>
      <c r="K4" s="120" t="s">
        <v>236</v>
      </c>
      <c r="L4" s="28">
        <v>10000.0</v>
      </c>
      <c r="M4" s="28">
        <v>4.0</v>
      </c>
      <c r="N4" s="28">
        <v>75000.0</v>
      </c>
      <c r="O4" s="28"/>
      <c r="P4" s="28"/>
      <c r="Q4" s="14">
        <f t="shared" si="1"/>
        <v>18750</v>
      </c>
      <c r="R4" s="14">
        <f t="shared" si="2"/>
        <v>3000</v>
      </c>
      <c r="S4" s="28">
        <v>1.0</v>
      </c>
      <c r="T4" s="94">
        <f t="shared" si="3"/>
        <v>75000</v>
      </c>
      <c r="U4" s="120">
        <v>0.0</v>
      </c>
      <c r="V4" s="28"/>
      <c r="W4" s="28"/>
      <c r="X4" s="28">
        <f t="shared" si="4"/>
        <v>0</v>
      </c>
      <c r="Y4" s="29">
        <f t="shared" si="5"/>
        <v>0</v>
      </c>
      <c r="Z4" s="121">
        <f t="shared" si="6"/>
        <v>0</v>
      </c>
      <c r="AA4" s="153">
        <v>0.0</v>
      </c>
      <c r="AB4" s="130">
        <v>18000.0</v>
      </c>
      <c r="AC4" s="122">
        <f t="shared" si="7"/>
        <v>0</v>
      </c>
      <c r="AD4" s="123">
        <v>0.0</v>
      </c>
      <c r="AE4" s="28">
        <v>45000.0</v>
      </c>
      <c r="AF4" s="28">
        <v>0.2</v>
      </c>
      <c r="AG4" s="28">
        <f t="shared" si="8"/>
        <v>9000</v>
      </c>
      <c r="AH4" s="29">
        <f t="shared" si="9"/>
        <v>0</v>
      </c>
      <c r="AI4" s="123">
        <v>0.0</v>
      </c>
      <c r="AJ4" s="28">
        <v>3000.0</v>
      </c>
      <c r="AK4" s="29">
        <f t="shared" si="10"/>
        <v>0</v>
      </c>
      <c r="AL4" s="123">
        <v>0.0</v>
      </c>
      <c r="AM4" s="29">
        <f t="shared" si="11"/>
        <v>0</v>
      </c>
      <c r="AN4" s="123">
        <v>0.0</v>
      </c>
      <c r="AO4" s="28">
        <v>25000.0</v>
      </c>
      <c r="AP4" s="29">
        <f t="shared" si="12"/>
        <v>0</v>
      </c>
      <c r="AQ4" s="123">
        <v>0.0</v>
      </c>
      <c r="AR4" s="28">
        <v>5000.0</v>
      </c>
      <c r="AS4" s="29">
        <f t="shared" si="13"/>
        <v>0</v>
      </c>
      <c r="AT4" s="123">
        <v>0.0</v>
      </c>
      <c r="AU4" s="28">
        <v>4000.0</v>
      </c>
      <c r="AV4" s="29">
        <f t="shared" si="14"/>
        <v>0</v>
      </c>
      <c r="AW4" s="123">
        <v>0.0</v>
      </c>
      <c r="AX4" s="28">
        <v>1000.0</v>
      </c>
      <c r="AY4" s="29">
        <f t="shared" si="15"/>
        <v>0</v>
      </c>
      <c r="AZ4" s="123">
        <v>0.0</v>
      </c>
      <c r="BA4" s="28">
        <v>30000.0</v>
      </c>
      <c r="BB4" s="29">
        <f t="shared" si="16"/>
        <v>0</v>
      </c>
      <c r="BC4" s="96">
        <f t="shared" si="17"/>
        <v>-21750</v>
      </c>
      <c r="BD4" s="170">
        <f t="shared" si="18"/>
        <v>-0.29</v>
      </c>
      <c r="BE4" s="94" t="str">
        <f t="shared" si="19"/>
        <v>Payback period not applicable: the investment does not recover its cost under current conditions.</v>
      </c>
      <c r="BF4" s="8" t="str">
        <f t="shared" si="20"/>
        <v>NO</v>
      </c>
    </row>
    <row r="5" ht="15.75" customHeight="1">
      <c r="A5" s="11" t="s">
        <v>237</v>
      </c>
      <c r="B5" s="13" t="s">
        <v>287</v>
      </c>
      <c r="C5" s="13" t="s">
        <v>288</v>
      </c>
      <c r="D5" s="13" t="s">
        <v>289</v>
      </c>
      <c r="E5" s="13" t="s">
        <v>290</v>
      </c>
      <c r="F5" s="171" t="s">
        <v>291</v>
      </c>
      <c r="G5" s="14"/>
      <c r="H5" s="14" t="s">
        <v>292</v>
      </c>
      <c r="I5" s="172">
        <v>14500.0</v>
      </c>
      <c r="J5" s="72" t="s">
        <v>293</v>
      </c>
      <c r="K5" s="173">
        <v>14500.0</v>
      </c>
      <c r="L5" s="8">
        <v>10000.0</v>
      </c>
      <c r="M5" s="8">
        <v>4.0</v>
      </c>
      <c r="N5" s="8">
        <v>14500.0</v>
      </c>
      <c r="O5" s="8"/>
      <c r="P5" s="8"/>
      <c r="Q5" s="14">
        <f t="shared" si="1"/>
        <v>3625</v>
      </c>
      <c r="R5" s="14">
        <f t="shared" si="2"/>
        <v>580</v>
      </c>
      <c r="S5" s="8">
        <v>1.0</v>
      </c>
      <c r="T5" s="94">
        <f t="shared" si="3"/>
        <v>14500</v>
      </c>
      <c r="U5" s="107">
        <v>0.0</v>
      </c>
      <c r="V5" s="8"/>
      <c r="W5" s="8"/>
      <c r="X5" s="8">
        <f t="shared" si="4"/>
        <v>0</v>
      </c>
      <c r="Y5" s="24">
        <f t="shared" si="5"/>
        <v>0</v>
      </c>
      <c r="Z5" s="108">
        <f t="shared" si="6"/>
        <v>0</v>
      </c>
      <c r="AA5" s="174">
        <v>50.0</v>
      </c>
      <c r="AB5" s="110">
        <v>18000.0</v>
      </c>
      <c r="AC5" s="111">
        <f t="shared" si="7"/>
        <v>9000</v>
      </c>
      <c r="AD5" s="109">
        <v>0.0</v>
      </c>
      <c r="AE5" s="8">
        <v>45000.0</v>
      </c>
      <c r="AF5" s="8">
        <v>0.2</v>
      </c>
      <c r="AG5" s="8">
        <f t="shared" si="8"/>
        <v>9000</v>
      </c>
      <c r="AH5" s="24">
        <f t="shared" si="9"/>
        <v>0</v>
      </c>
      <c r="AI5" s="109">
        <v>0.0</v>
      </c>
      <c r="AJ5" s="8">
        <v>3000.0</v>
      </c>
      <c r="AK5" s="24">
        <f t="shared" si="10"/>
        <v>0</v>
      </c>
      <c r="AL5" s="109">
        <v>0.0</v>
      </c>
      <c r="AM5" s="24">
        <f t="shared" si="11"/>
        <v>0</v>
      </c>
      <c r="AN5" s="109">
        <v>0.0</v>
      </c>
      <c r="AO5" s="8">
        <v>25000.0</v>
      </c>
      <c r="AP5" s="24">
        <f t="shared" si="12"/>
        <v>0</v>
      </c>
      <c r="AQ5" s="109">
        <v>0.0</v>
      </c>
      <c r="AR5" s="8">
        <v>5000.0</v>
      </c>
      <c r="AS5" s="24">
        <f t="shared" si="13"/>
        <v>0</v>
      </c>
      <c r="AT5" s="109">
        <v>0.0</v>
      </c>
      <c r="AU5" s="8">
        <v>4000.0</v>
      </c>
      <c r="AV5" s="24">
        <f t="shared" si="14"/>
        <v>0</v>
      </c>
      <c r="AW5" s="109">
        <v>0.0</v>
      </c>
      <c r="AX5" s="8">
        <v>1000.0</v>
      </c>
      <c r="AY5" s="24">
        <f t="shared" si="15"/>
        <v>0</v>
      </c>
      <c r="AZ5" s="109">
        <v>0.0</v>
      </c>
      <c r="BA5" s="8">
        <v>30000.0</v>
      </c>
      <c r="BB5" s="24">
        <f t="shared" si="16"/>
        <v>0</v>
      </c>
      <c r="BC5" s="96">
        <f t="shared" si="17"/>
        <v>4795</v>
      </c>
      <c r="BD5" s="170">
        <f t="shared" si="18"/>
        <v>0.3306896552</v>
      </c>
      <c r="BE5" s="94">
        <f t="shared" si="19"/>
        <v>3.023983316</v>
      </c>
      <c r="BF5" s="8" t="str">
        <f t="shared" si="20"/>
        <v>YES</v>
      </c>
    </row>
    <row r="6" ht="22.5" customHeight="1">
      <c r="A6" s="25"/>
      <c r="B6" s="26" t="s">
        <v>265</v>
      </c>
      <c r="C6" s="26" t="s">
        <v>266</v>
      </c>
      <c r="D6" s="26" t="s">
        <v>267</v>
      </c>
      <c r="E6" s="26" t="s">
        <v>268</v>
      </c>
      <c r="F6" s="27" t="s">
        <v>269</v>
      </c>
      <c r="G6" s="28"/>
      <c r="H6" s="28" t="s">
        <v>270</v>
      </c>
      <c r="I6" s="8" t="s">
        <v>272</v>
      </c>
      <c r="J6" s="41" t="s">
        <v>415</v>
      </c>
      <c r="K6" s="120" t="s">
        <v>272</v>
      </c>
      <c r="L6" s="28">
        <v>10000.0</v>
      </c>
      <c r="M6" s="28">
        <v>4.0</v>
      </c>
      <c r="N6" s="28">
        <v>125.0</v>
      </c>
      <c r="O6" s="28"/>
      <c r="P6" s="28"/>
      <c r="Q6" s="14">
        <f t="shared" si="1"/>
        <v>0</v>
      </c>
      <c r="R6" s="14">
        <f t="shared" si="2"/>
        <v>5</v>
      </c>
      <c r="S6" s="28">
        <v>1.0</v>
      </c>
      <c r="T6" s="94">
        <f t="shared" si="3"/>
        <v>125</v>
      </c>
      <c r="U6" s="120">
        <v>0.0</v>
      </c>
      <c r="V6" s="28"/>
      <c r="W6" s="28"/>
      <c r="X6" s="28">
        <f t="shared" si="4"/>
        <v>0</v>
      </c>
      <c r="Y6" s="29">
        <f t="shared" si="5"/>
        <v>0</v>
      </c>
      <c r="Z6" s="121">
        <f t="shared" si="6"/>
        <v>0</v>
      </c>
      <c r="AA6" s="153">
        <v>0.0</v>
      </c>
      <c r="AB6" s="130">
        <v>18000.0</v>
      </c>
      <c r="AC6" s="122">
        <f t="shared" si="7"/>
        <v>0</v>
      </c>
      <c r="AD6" s="123">
        <v>0.0</v>
      </c>
      <c r="AE6" s="28">
        <v>45000.0</v>
      </c>
      <c r="AF6" s="28">
        <v>0.2</v>
      </c>
      <c r="AG6" s="28">
        <f t="shared" si="8"/>
        <v>9000</v>
      </c>
      <c r="AH6" s="29">
        <f t="shared" si="9"/>
        <v>0</v>
      </c>
      <c r="AI6" s="123">
        <v>0.0</v>
      </c>
      <c r="AJ6" s="28">
        <v>3000.0</v>
      </c>
      <c r="AK6" s="29">
        <f t="shared" si="10"/>
        <v>0</v>
      </c>
      <c r="AL6" s="123">
        <v>0.0</v>
      </c>
      <c r="AM6" s="29">
        <f t="shared" si="11"/>
        <v>0</v>
      </c>
      <c r="AN6" s="123">
        <v>0.0</v>
      </c>
      <c r="AO6" s="28">
        <v>25000.0</v>
      </c>
      <c r="AP6" s="29">
        <f t="shared" si="12"/>
        <v>0</v>
      </c>
      <c r="AQ6" s="123">
        <v>0.0</v>
      </c>
      <c r="AR6" s="28">
        <v>5000.0</v>
      </c>
      <c r="AS6" s="29">
        <f t="shared" si="13"/>
        <v>0</v>
      </c>
      <c r="AT6" s="123">
        <v>0.0</v>
      </c>
      <c r="AU6" s="28">
        <v>4000.0</v>
      </c>
      <c r="AV6" s="29">
        <f t="shared" si="14"/>
        <v>0</v>
      </c>
      <c r="AW6" s="123">
        <v>0.0</v>
      </c>
      <c r="AX6" s="28">
        <v>1000.0</v>
      </c>
      <c r="AY6" s="29">
        <f t="shared" si="15"/>
        <v>0</v>
      </c>
      <c r="AZ6" s="123">
        <v>0.0</v>
      </c>
      <c r="BA6" s="28">
        <v>30000.0</v>
      </c>
      <c r="BB6" s="29">
        <f t="shared" si="16"/>
        <v>0</v>
      </c>
      <c r="BC6" s="96">
        <f t="shared" si="17"/>
        <v>-5</v>
      </c>
      <c r="BD6" s="170">
        <f t="shared" si="18"/>
        <v>-0.04</v>
      </c>
      <c r="BE6" s="94" t="str">
        <f t="shared" si="19"/>
        <v>Payback period not applicable: the investment does not recover its cost under current conditions.</v>
      </c>
      <c r="BF6" s="8" t="str">
        <f t="shared" si="20"/>
        <v>NO</v>
      </c>
    </row>
    <row r="7" ht="15.75" customHeight="1">
      <c r="A7" s="7"/>
      <c r="B7" s="7"/>
      <c r="C7" s="7"/>
      <c r="D7" s="7"/>
      <c r="E7" s="7"/>
      <c r="F7" s="8"/>
      <c r="G7" s="8"/>
      <c r="H7" s="8"/>
      <c r="I7" s="8"/>
      <c r="J7" s="45"/>
      <c r="K7" s="8"/>
      <c r="L7" s="8"/>
      <c r="M7" s="8"/>
      <c r="N7" s="8"/>
      <c r="O7" s="8"/>
      <c r="P7" s="8"/>
      <c r="Q7" s="8"/>
      <c r="R7" s="8"/>
      <c r="S7" s="8"/>
      <c r="T7" s="8"/>
      <c r="U7" s="132" t="s">
        <v>402</v>
      </c>
      <c r="V7" s="133"/>
      <c r="W7" s="133"/>
      <c r="X7" s="133"/>
      <c r="Y7" s="133"/>
      <c r="Z7" s="134"/>
      <c r="AA7" s="8"/>
      <c r="AB7" s="8"/>
      <c r="AC7" s="8"/>
      <c r="AD7" s="175" t="s">
        <v>416</v>
      </c>
      <c r="AE7" s="176"/>
      <c r="AF7" s="176"/>
      <c r="AG7" s="176"/>
      <c r="AH7" s="177"/>
      <c r="AI7" s="175" t="s">
        <v>416</v>
      </c>
      <c r="AJ7" s="176"/>
      <c r="AK7" s="177"/>
      <c r="AL7" s="175" t="s">
        <v>416</v>
      </c>
      <c r="AM7" s="177"/>
      <c r="AN7" s="175" t="s">
        <v>416</v>
      </c>
      <c r="AO7" s="176"/>
      <c r="AP7" s="177"/>
      <c r="AQ7" s="175" t="s">
        <v>416</v>
      </c>
      <c r="AR7" s="176"/>
      <c r="AS7" s="177"/>
      <c r="AT7" s="175" t="s">
        <v>416</v>
      </c>
      <c r="AU7" s="176"/>
      <c r="AV7" s="177"/>
      <c r="AW7" s="175" t="s">
        <v>416</v>
      </c>
      <c r="AX7" s="176"/>
      <c r="AY7" s="177"/>
      <c r="AZ7" s="8"/>
      <c r="BA7" s="8"/>
      <c r="BB7" s="8"/>
      <c r="BC7" s="8"/>
      <c r="BD7" s="8"/>
      <c r="BE7" s="8"/>
      <c r="BF7" s="8"/>
    </row>
    <row r="8" ht="15.75" customHeight="1">
      <c r="A8" s="7"/>
      <c r="B8" s="7"/>
      <c r="C8" s="7"/>
      <c r="D8" s="7"/>
      <c r="E8" s="7"/>
      <c r="F8" s="8"/>
      <c r="G8" s="8"/>
      <c r="H8" s="8"/>
      <c r="I8" s="8"/>
      <c r="J8" s="45"/>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row>
    <row r="9" ht="15.75" customHeight="1">
      <c r="A9" s="7"/>
      <c r="B9" s="7"/>
      <c r="C9" s="7"/>
      <c r="D9" s="7"/>
      <c r="E9" s="7"/>
      <c r="F9" s="8"/>
      <c r="G9" s="8"/>
      <c r="H9" s="8"/>
      <c r="I9" s="8"/>
      <c r="J9" s="45"/>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Q1:AS1"/>
    <mergeCell ref="AT1:AV1"/>
    <mergeCell ref="AW1:AY1"/>
    <mergeCell ref="AZ1:BB1"/>
    <mergeCell ref="BC1:BF1"/>
    <mergeCell ref="K1:T1"/>
    <mergeCell ref="U1:Y1"/>
    <mergeCell ref="AA1:AC1"/>
    <mergeCell ref="AD1:AH1"/>
    <mergeCell ref="AI1:AK1"/>
    <mergeCell ref="AL1:AM1"/>
    <mergeCell ref="AN1:AP1"/>
    <mergeCell ref="AQ7:AS7"/>
    <mergeCell ref="AT7:AV7"/>
    <mergeCell ref="AW7:AY7"/>
    <mergeCell ref="A3:A4"/>
    <mergeCell ref="A5:A6"/>
    <mergeCell ref="U7:Z7"/>
    <mergeCell ref="AD7:AH7"/>
    <mergeCell ref="AI7:AK7"/>
    <mergeCell ref="AL7:AM7"/>
    <mergeCell ref="AN7:AP7"/>
  </mergeCells>
  <hyperlinks>
    <hyperlink r:id="rId2" ref="F3"/>
    <hyperlink r:id="rId3" location="haut" ref="F4"/>
    <hyperlink r:id="rId4" ref="F5"/>
    <hyperlink r:id="rId5" ref="F6"/>
  </hyperlinks>
  <printOptions/>
  <pageMargins bottom="0.75" footer="0.0" header="0.0" left="0.7" right="0.7" top="0.75"/>
  <pageSetup orientation="landscape"/>
  <drawing r:id="rId6"/>
  <legacy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0"/>
  <cols>
    <col customWidth="1" min="1" max="1" width="14.25"/>
    <col customWidth="1" min="2" max="2" width="15.63"/>
    <col customWidth="1" min="3" max="3" width="15.0"/>
    <col customWidth="1" min="4" max="4" width="15.25"/>
    <col customWidth="1" min="5" max="6" width="33.0"/>
    <col customWidth="1" min="7" max="7" width="12.13"/>
    <col customWidth="1" min="8" max="8" width="10.75"/>
    <col customWidth="1" min="9" max="9" width="17.5"/>
    <col customWidth="1" min="10" max="10" width="21.13"/>
    <col customWidth="1" min="11" max="11" width="33.0"/>
    <col customWidth="1" min="12" max="12" width="24.88"/>
    <col customWidth="1" min="13" max="13" width="27.5"/>
    <col customWidth="1" min="14" max="14" width="25.75"/>
    <col customWidth="1" min="15" max="15" width="25.88"/>
    <col customWidth="1" min="16" max="16" width="21.5"/>
    <col customWidth="1" min="17" max="19" width="25.0"/>
    <col customWidth="1" min="20" max="20" width="38.5"/>
    <col customWidth="1" min="21" max="30" width="33.0"/>
    <col customWidth="1" min="31" max="31" width="47.0"/>
    <col customWidth="1" min="32" max="53" width="33.0"/>
    <col customWidth="1" min="54" max="54" width="44.25"/>
    <col customWidth="1" min="55" max="55" width="46.0"/>
    <col customWidth="1" min="56" max="56" width="42.38"/>
    <col customWidth="1" min="57" max="57" width="33.0"/>
  </cols>
  <sheetData>
    <row r="1" ht="15.75" customHeight="1">
      <c r="A1" s="140" t="s">
        <v>0</v>
      </c>
      <c r="B1" s="167" t="s">
        <v>1</v>
      </c>
      <c r="C1" s="167" t="s">
        <v>2</v>
      </c>
      <c r="D1" s="167" t="s">
        <v>3</v>
      </c>
      <c r="E1" s="167" t="s">
        <v>4</v>
      </c>
      <c r="F1" s="70" t="s">
        <v>5</v>
      </c>
      <c r="G1" s="70" t="s">
        <v>6</v>
      </c>
      <c r="H1" s="70" t="s">
        <v>7</v>
      </c>
      <c r="I1" s="70" t="s">
        <v>380</v>
      </c>
      <c r="J1" s="70" t="s">
        <v>8</v>
      </c>
      <c r="K1" s="58" t="s">
        <v>381</v>
      </c>
      <c r="L1" s="59"/>
      <c r="M1" s="59"/>
      <c r="N1" s="59"/>
      <c r="O1" s="59"/>
      <c r="P1" s="59"/>
      <c r="Q1" s="59"/>
      <c r="R1" s="59"/>
      <c r="S1" s="59"/>
      <c r="T1" s="60"/>
      <c r="U1" s="61" t="s">
        <v>304</v>
      </c>
      <c r="V1" s="62"/>
      <c r="W1" s="62"/>
      <c r="X1" s="62"/>
      <c r="Y1" s="63"/>
      <c r="Z1" s="64" t="s">
        <v>305</v>
      </c>
      <c r="AA1" s="65" t="s">
        <v>306</v>
      </c>
      <c r="AB1" s="66"/>
      <c r="AC1" s="67"/>
      <c r="AD1" s="61" t="s">
        <v>307</v>
      </c>
      <c r="AE1" s="62"/>
      <c r="AF1" s="62"/>
      <c r="AG1" s="62"/>
      <c r="AH1" s="63"/>
      <c r="AI1" s="61" t="s">
        <v>308</v>
      </c>
      <c r="AJ1" s="62"/>
      <c r="AK1" s="63"/>
      <c r="AL1" s="61" t="s">
        <v>309</v>
      </c>
      <c r="AM1" s="63"/>
      <c r="AN1" s="61" t="s">
        <v>310</v>
      </c>
      <c r="AO1" s="62"/>
      <c r="AP1" s="63"/>
      <c r="AQ1" s="61" t="s">
        <v>311</v>
      </c>
      <c r="AR1" s="62"/>
      <c r="AS1" s="63"/>
      <c r="AT1" s="61" t="s">
        <v>312</v>
      </c>
      <c r="AU1" s="62"/>
      <c r="AV1" s="63"/>
      <c r="AW1" s="61" t="s">
        <v>313</v>
      </c>
      <c r="AX1" s="62"/>
      <c r="AY1" s="63"/>
      <c r="AZ1" s="61" t="s">
        <v>314</v>
      </c>
      <c r="BA1" s="62"/>
      <c r="BB1" s="63"/>
      <c r="BC1" s="68" t="s">
        <v>315</v>
      </c>
      <c r="BD1" s="62"/>
      <c r="BE1" s="62"/>
      <c r="BF1" s="69"/>
    </row>
    <row r="2" ht="15.75" customHeight="1">
      <c r="A2" s="5"/>
      <c r="B2" s="48"/>
      <c r="C2" s="48"/>
      <c r="D2" s="48"/>
      <c r="E2" s="48"/>
      <c r="F2" s="45"/>
      <c r="G2" s="45"/>
      <c r="H2" s="45"/>
      <c r="I2" s="45"/>
      <c r="J2" s="45"/>
      <c r="K2" s="146" t="s">
        <v>9</v>
      </c>
      <c r="L2" s="76" t="s">
        <v>417</v>
      </c>
      <c r="M2" s="76" t="s">
        <v>383</v>
      </c>
      <c r="N2" s="147" t="s">
        <v>384</v>
      </c>
      <c r="O2" s="45" t="s">
        <v>418</v>
      </c>
      <c r="P2" s="78" t="s">
        <v>419</v>
      </c>
      <c r="Q2" s="79" t="s">
        <v>420</v>
      </c>
      <c r="R2" s="80" t="s">
        <v>421</v>
      </c>
      <c r="S2" s="81" t="s">
        <v>389</v>
      </c>
      <c r="T2" s="178" t="s">
        <v>422</v>
      </c>
      <c r="U2" s="83" t="s">
        <v>423</v>
      </c>
      <c r="V2" s="81" t="s">
        <v>326</v>
      </c>
      <c r="W2" s="81" t="s">
        <v>327</v>
      </c>
      <c r="X2" s="36" t="s">
        <v>328</v>
      </c>
      <c r="Y2" s="36" t="s">
        <v>329</v>
      </c>
      <c r="Z2" s="84" t="s">
        <v>330</v>
      </c>
      <c r="AA2" s="83" t="s">
        <v>331</v>
      </c>
      <c r="AB2" s="81" t="s">
        <v>332</v>
      </c>
      <c r="AC2" s="85" t="s">
        <v>333</v>
      </c>
      <c r="AD2" s="86" t="s">
        <v>334</v>
      </c>
      <c r="AE2" s="81" t="s">
        <v>335</v>
      </c>
      <c r="AF2" s="81" t="s">
        <v>336</v>
      </c>
      <c r="AG2" s="87" t="s">
        <v>337</v>
      </c>
      <c r="AH2" s="88" t="s">
        <v>338</v>
      </c>
      <c r="AI2" s="83" t="s">
        <v>339</v>
      </c>
      <c r="AJ2" s="81" t="s">
        <v>340</v>
      </c>
      <c r="AK2" s="85" t="s">
        <v>341</v>
      </c>
      <c r="AL2" s="83" t="s">
        <v>342</v>
      </c>
      <c r="AM2" s="85" t="s">
        <v>343</v>
      </c>
      <c r="AN2" s="83" t="s">
        <v>344</v>
      </c>
      <c r="AO2" s="81" t="s">
        <v>345</v>
      </c>
      <c r="AP2" s="85" t="s">
        <v>346</v>
      </c>
      <c r="AQ2" s="83" t="s">
        <v>347</v>
      </c>
      <c r="AR2" s="81" t="s">
        <v>348</v>
      </c>
      <c r="AS2" s="85" t="s">
        <v>349</v>
      </c>
      <c r="AT2" s="83" t="s">
        <v>350</v>
      </c>
      <c r="AU2" s="81" t="s">
        <v>351</v>
      </c>
      <c r="AV2" s="85" t="s">
        <v>352</v>
      </c>
      <c r="AW2" s="83" t="s">
        <v>353</v>
      </c>
      <c r="AX2" s="81" t="s">
        <v>354</v>
      </c>
      <c r="AY2" s="85" t="s">
        <v>355</v>
      </c>
      <c r="AZ2" s="83" t="s">
        <v>356</v>
      </c>
      <c r="BA2" s="81" t="s">
        <v>357</v>
      </c>
      <c r="BB2" s="85" t="s">
        <v>358</v>
      </c>
      <c r="BC2" s="90" t="s">
        <v>359</v>
      </c>
      <c r="BD2" s="91" t="s">
        <v>424</v>
      </c>
      <c r="BE2" s="92" t="s">
        <v>425</v>
      </c>
      <c r="BF2" s="93" t="s">
        <v>426</v>
      </c>
    </row>
    <row r="3" ht="19.5" customHeight="1">
      <c r="A3" s="11" t="s">
        <v>10</v>
      </c>
      <c r="B3" s="13" t="s">
        <v>52</v>
      </c>
      <c r="C3" s="13" t="s">
        <v>53</v>
      </c>
      <c r="D3" s="13" t="s">
        <v>54</v>
      </c>
      <c r="E3" s="13" t="s">
        <v>55</v>
      </c>
      <c r="F3" s="31" t="s">
        <v>56</v>
      </c>
      <c r="G3" s="14"/>
      <c r="H3" s="14" t="s">
        <v>57</v>
      </c>
      <c r="I3" s="14" t="s">
        <v>427</v>
      </c>
      <c r="J3" s="94" t="s">
        <v>428</v>
      </c>
      <c r="K3" s="96" t="s">
        <v>59</v>
      </c>
      <c r="L3" s="14">
        <v>150.0</v>
      </c>
      <c r="M3" s="14">
        <v>5.0</v>
      </c>
      <c r="N3" s="14">
        <v>200000.0</v>
      </c>
      <c r="O3" s="14"/>
      <c r="P3" s="14"/>
      <c r="Q3" s="14">
        <f t="shared" ref="Q3:Q12" si="1">if(T3&lt;500,0,T3/M3)</f>
        <v>40000</v>
      </c>
      <c r="R3" s="14">
        <f t="shared" ref="R3:R12" si="2">T3*0.04</f>
        <v>8000</v>
      </c>
      <c r="S3" s="14">
        <v>1.0</v>
      </c>
      <c r="T3" s="94">
        <f t="shared" ref="T3:T12" si="3">(N3*S3)+(O3*L3)</f>
        <v>200000</v>
      </c>
      <c r="U3" s="96">
        <v>17.0</v>
      </c>
      <c r="V3" s="14">
        <v>0.7</v>
      </c>
      <c r="W3" s="14">
        <v>2.5</v>
      </c>
      <c r="X3" s="14">
        <f t="shared" ref="X3:X12" si="4">V3*W3*L3*365</f>
        <v>95812.5</v>
      </c>
      <c r="Y3" s="94">
        <f t="shared" ref="Y3:Y12" si="5">X3*(1+U3%)</f>
        <v>112100.625</v>
      </c>
      <c r="Z3" s="97">
        <f t="shared" ref="Z3:Z12" si="6">Y3-X3</f>
        <v>16288.125</v>
      </c>
      <c r="AA3" s="150">
        <v>25.0</v>
      </c>
      <c r="AB3" s="99">
        <v>15000.0</v>
      </c>
      <c r="AC3" s="100">
        <f t="shared" ref="AC3:AC12" si="7">AB3-(AB3*(1-AA3%))</f>
        <v>3750</v>
      </c>
      <c r="AD3" s="98">
        <v>0.0</v>
      </c>
      <c r="AE3" s="14">
        <v>30000.0</v>
      </c>
      <c r="AF3" s="14">
        <v>0.17</v>
      </c>
      <c r="AG3" s="14">
        <v>500.0</v>
      </c>
      <c r="AH3" s="94">
        <f t="shared" ref="AH3:AH12" si="8">AG3-(AG3*(1-AD3%))</f>
        <v>0</v>
      </c>
      <c r="AI3" s="98">
        <v>0.0</v>
      </c>
      <c r="AJ3" s="14">
        <v>2500.0</v>
      </c>
      <c r="AK3" s="94">
        <f t="shared" ref="AK3:AK12" si="9">AJ3-(AJ3*(1-AI3%))</f>
        <v>0</v>
      </c>
      <c r="AL3" s="98">
        <v>0.0</v>
      </c>
      <c r="AM3" s="94">
        <f t="shared" ref="AM3:AM12" si="10">AL3*L3</f>
        <v>0</v>
      </c>
      <c r="AN3" s="98">
        <v>0.0</v>
      </c>
      <c r="AO3" s="14">
        <v>20000.0</v>
      </c>
      <c r="AP3" s="94">
        <f t="shared" ref="AP3:AP12" si="11">AO3-(AO3*(1-AN3%))</f>
        <v>0</v>
      </c>
      <c r="AQ3" s="98">
        <v>0.0</v>
      </c>
      <c r="AR3" s="14">
        <v>1000.0</v>
      </c>
      <c r="AS3" s="94">
        <f t="shared" ref="AS3:AS12" si="12">AR3-(AR3*(1-AQ3%))</f>
        <v>0</v>
      </c>
      <c r="AT3" s="98">
        <v>0.0</v>
      </c>
      <c r="AU3" s="14">
        <v>3000.0</v>
      </c>
      <c r="AV3" s="94">
        <f t="shared" ref="AV3:AV12" si="13">AU3-(AU3*(1-AT3%))</f>
        <v>0</v>
      </c>
      <c r="AW3" s="98">
        <v>0.0</v>
      </c>
      <c r="AX3" s="14">
        <v>2500.0</v>
      </c>
      <c r="AY3" s="94">
        <f t="shared" ref="AY3:AY12" si="14">AX3-(AX3*(1-AW3%))</f>
        <v>0</v>
      </c>
      <c r="AZ3" s="98">
        <v>0.0</v>
      </c>
      <c r="BA3" s="14">
        <v>25000.0</v>
      </c>
      <c r="BB3" s="94">
        <f t="shared" ref="BB3:BB12" si="15">BA3-(BA3*(1-AZ3%))</f>
        <v>0</v>
      </c>
      <c r="BC3" s="96">
        <f t="shared" ref="BC3:BC12" si="16">(Z3+AC3+AH3+AK3+AM3+AP3+AS3+AV3+AY3+BB3)-Q3-R3-(P3*12*L3)</f>
        <v>-27961.875</v>
      </c>
      <c r="BD3" s="170">
        <f t="shared" ref="BD3:BD12" si="17">if(T3&gt;0,BC3/T3,"The DAT is free")</f>
        <v>-0.139809375</v>
      </c>
      <c r="BE3" s="94" t="str">
        <f t="shared" ref="BE3:BE12" si="18">if(BC3&gt;0,T3/BC3,"Payback period not applicable: the investment does not recover its cost under current conditions.")</f>
        <v>Payback period not applicable: the investment does not recover its cost under current conditions.</v>
      </c>
      <c r="BF3" s="179" t="str">
        <f t="shared" ref="BF3:BF12" si="19">IF(BE3&lt;6, "YES", "NO")</f>
        <v>NO</v>
      </c>
    </row>
    <row r="4" ht="18.75" customHeight="1">
      <c r="A4" s="17"/>
      <c r="B4" s="7" t="s">
        <v>52</v>
      </c>
      <c r="C4" s="7" t="s">
        <v>60</v>
      </c>
      <c r="D4" s="7" t="s">
        <v>54</v>
      </c>
      <c r="E4" s="7" t="s">
        <v>61</v>
      </c>
      <c r="F4" s="22" t="s">
        <v>62</v>
      </c>
      <c r="G4" s="8"/>
      <c r="H4" s="8" t="s">
        <v>63</v>
      </c>
      <c r="I4" s="8" t="s">
        <v>429</v>
      </c>
      <c r="J4" s="24" t="s">
        <v>430</v>
      </c>
      <c r="K4" s="107" t="s">
        <v>59</v>
      </c>
      <c r="L4" s="8">
        <v>150.0</v>
      </c>
      <c r="M4" s="8">
        <v>5.0</v>
      </c>
      <c r="N4" s="8">
        <v>200000.0</v>
      </c>
      <c r="O4" s="8"/>
      <c r="P4" s="8"/>
      <c r="Q4" s="14">
        <f t="shared" si="1"/>
        <v>40000</v>
      </c>
      <c r="R4" s="14">
        <f t="shared" si="2"/>
        <v>8000</v>
      </c>
      <c r="S4" s="8">
        <v>1.0</v>
      </c>
      <c r="T4" s="94">
        <f t="shared" si="3"/>
        <v>200000</v>
      </c>
      <c r="U4" s="107">
        <v>17.0</v>
      </c>
      <c r="V4" s="8">
        <v>0.7</v>
      </c>
      <c r="W4" s="8">
        <v>2.5</v>
      </c>
      <c r="X4" s="8">
        <f t="shared" si="4"/>
        <v>95812.5</v>
      </c>
      <c r="Y4" s="24">
        <f t="shared" si="5"/>
        <v>112100.625</v>
      </c>
      <c r="Z4" s="108">
        <f t="shared" si="6"/>
        <v>16288.125</v>
      </c>
      <c r="AA4" s="174">
        <v>25.0</v>
      </c>
      <c r="AB4" s="110">
        <v>15000.0</v>
      </c>
      <c r="AC4" s="111">
        <f t="shared" si="7"/>
        <v>3750</v>
      </c>
      <c r="AD4" s="109">
        <v>0.0</v>
      </c>
      <c r="AE4" s="8">
        <v>30000.0</v>
      </c>
      <c r="AF4" s="8">
        <v>0.17</v>
      </c>
      <c r="AG4" s="8">
        <v>500.0</v>
      </c>
      <c r="AH4" s="24">
        <f t="shared" si="8"/>
        <v>0</v>
      </c>
      <c r="AI4" s="109">
        <v>0.0</v>
      </c>
      <c r="AJ4" s="8">
        <v>2500.0</v>
      </c>
      <c r="AK4" s="24">
        <f t="shared" si="9"/>
        <v>0</v>
      </c>
      <c r="AL4" s="109">
        <v>0.0</v>
      </c>
      <c r="AM4" s="24">
        <f t="shared" si="10"/>
        <v>0</v>
      </c>
      <c r="AN4" s="109">
        <v>0.0</v>
      </c>
      <c r="AO4" s="8">
        <v>20000.0</v>
      </c>
      <c r="AP4" s="24">
        <f t="shared" si="11"/>
        <v>0</v>
      </c>
      <c r="AQ4" s="109">
        <v>0.0</v>
      </c>
      <c r="AR4" s="8">
        <v>1000.0</v>
      </c>
      <c r="AS4" s="24">
        <f t="shared" si="12"/>
        <v>0</v>
      </c>
      <c r="AT4" s="109">
        <v>0.0</v>
      </c>
      <c r="AU4" s="8">
        <v>3000.0</v>
      </c>
      <c r="AV4" s="24">
        <f t="shared" si="13"/>
        <v>0</v>
      </c>
      <c r="AW4" s="109">
        <v>0.0</v>
      </c>
      <c r="AX4" s="8">
        <v>2500.0</v>
      </c>
      <c r="AY4" s="24">
        <f t="shared" si="14"/>
        <v>0</v>
      </c>
      <c r="AZ4" s="109">
        <v>0.0</v>
      </c>
      <c r="BA4" s="8">
        <v>25000.0</v>
      </c>
      <c r="BB4" s="24">
        <f t="shared" si="15"/>
        <v>0</v>
      </c>
      <c r="BC4" s="96">
        <f t="shared" si="16"/>
        <v>-27961.875</v>
      </c>
      <c r="BD4" s="170">
        <f t="shared" si="17"/>
        <v>-0.139809375</v>
      </c>
      <c r="BE4" s="94" t="str">
        <f t="shared" si="18"/>
        <v>Payback period not applicable: the investment does not recover its cost under current conditions.</v>
      </c>
      <c r="BF4" s="179" t="str">
        <f t="shared" si="19"/>
        <v>NO</v>
      </c>
    </row>
    <row r="5" ht="15.75" customHeight="1">
      <c r="A5" s="25"/>
      <c r="B5" s="26" t="s">
        <v>65</v>
      </c>
      <c r="C5" s="26" t="s">
        <v>66</v>
      </c>
      <c r="D5" s="26" t="s">
        <v>67</v>
      </c>
      <c r="E5" s="26" t="s">
        <v>68</v>
      </c>
      <c r="F5" s="27" t="s">
        <v>69</v>
      </c>
      <c r="G5" s="28"/>
      <c r="H5" s="28" t="s">
        <v>57</v>
      </c>
      <c r="I5" s="28" t="s">
        <v>431</v>
      </c>
      <c r="J5" s="29" t="s">
        <v>70</v>
      </c>
      <c r="K5" s="120" t="s">
        <v>59</v>
      </c>
      <c r="L5" s="8">
        <v>150.0</v>
      </c>
      <c r="M5" s="28">
        <v>5.0</v>
      </c>
      <c r="N5" s="28">
        <v>200000.0</v>
      </c>
      <c r="O5" s="28"/>
      <c r="P5" s="28"/>
      <c r="Q5" s="14">
        <f t="shared" si="1"/>
        <v>40000</v>
      </c>
      <c r="R5" s="14">
        <f t="shared" si="2"/>
        <v>8000</v>
      </c>
      <c r="S5" s="28">
        <v>1.0</v>
      </c>
      <c r="T5" s="94">
        <f t="shared" si="3"/>
        <v>200000</v>
      </c>
      <c r="U5" s="120">
        <v>14.0</v>
      </c>
      <c r="V5" s="8">
        <v>0.7</v>
      </c>
      <c r="W5" s="28">
        <v>2.5</v>
      </c>
      <c r="X5" s="28">
        <f t="shared" si="4"/>
        <v>95812.5</v>
      </c>
      <c r="Y5" s="29">
        <f t="shared" si="5"/>
        <v>109226.25</v>
      </c>
      <c r="Z5" s="121">
        <f t="shared" si="6"/>
        <v>13413.75</v>
      </c>
      <c r="AA5" s="180">
        <v>43.0</v>
      </c>
      <c r="AB5" s="110">
        <v>15000.0</v>
      </c>
      <c r="AC5" s="122">
        <f t="shared" si="7"/>
        <v>6450</v>
      </c>
      <c r="AD5" s="123">
        <v>0.0</v>
      </c>
      <c r="AE5" s="8">
        <v>30000.0</v>
      </c>
      <c r="AF5" s="28">
        <v>0.17</v>
      </c>
      <c r="AG5" s="28">
        <v>500.0</v>
      </c>
      <c r="AH5" s="29">
        <f t="shared" si="8"/>
        <v>0</v>
      </c>
      <c r="AI5" s="123">
        <v>0.0</v>
      </c>
      <c r="AJ5" s="28">
        <v>2500.0</v>
      </c>
      <c r="AK5" s="29">
        <f t="shared" si="9"/>
        <v>0</v>
      </c>
      <c r="AL5" s="123">
        <v>0.0</v>
      </c>
      <c r="AM5" s="29">
        <f t="shared" si="10"/>
        <v>0</v>
      </c>
      <c r="AN5" s="123">
        <v>0.0</v>
      </c>
      <c r="AO5" s="8">
        <v>20000.0</v>
      </c>
      <c r="AP5" s="29">
        <f t="shared" si="11"/>
        <v>0</v>
      </c>
      <c r="AQ5" s="123">
        <v>0.0</v>
      </c>
      <c r="AR5" s="28">
        <v>1000.0</v>
      </c>
      <c r="AS5" s="29">
        <f t="shared" si="12"/>
        <v>0</v>
      </c>
      <c r="AT5" s="123">
        <v>0.0</v>
      </c>
      <c r="AU5" s="28">
        <v>3000.0</v>
      </c>
      <c r="AV5" s="29">
        <f t="shared" si="13"/>
        <v>0</v>
      </c>
      <c r="AW5" s="123">
        <v>0.0</v>
      </c>
      <c r="AX5" s="28">
        <v>2500.0</v>
      </c>
      <c r="AY5" s="29">
        <f t="shared" si="14"/>
        <v>0</v>
      </c>
      <c r="AZ5" s="123">
        <v>0.0</v>
      </c>
      <c r="BA5" s="28">
        <v>25000.0</v>
      </c>
      <c r="BB5" s="29">
        <f t="shared" si="15"/>
        <v>0</v>
      </c>
      <c r="BC5" s="96">
        <f t="shared" si="16"/>
        <v>-28136.25</v>
      </c>
      <c r="BD5" s="170">
        <f t="shared" si="17"/>
        <v>-0.14068125</v>
      </c>
      <c r="BE5" s="94" t="str">
        <f t="shared" si="18"/>
        <v>Payback period not applicable: the investment does not recover its cost under current conditions.</v>
      </c>
      <c r="BF5" s="179" t="str">
        <f t="shared" si="19"/>
        <v>NO</v>
      </c>
    </row>
    <row r="6" ht="15.75" customHeight="1">
      <c r="A6" s="11" t="s">
        <v>116</v>
      </c>
      <c r="B6" s="30" t="s">
        <v>160</v>
      </c>
      <c r="C6" s="30" t="s">
        <v>213</v>
      </c>
      <c r="D6" s="30" t="s">
        <v>148</v>
      </c>
      <c r="E6" s="30" t="s">
        <v>195</v>
      </c>
      <c r="F6" s="155" t="s">
        <v>432</v>
      </c>
      <c r="G6" s="148"/>
      <c r="H6" s="12" t="s">
        <v>215</v>
      </c>
      <c r="I6" s="14" t="s">
        <v>166</v>
      </c>
      <c r="J6" s="181" t="s">
        <v>433</v>
      </c>
      <c r="K6" s="96" t="s">
        <v>217</v>
      </c>
      <c r="L6" s="14">
        <v>150.0</v>
      </c>
      <c r="M6" s="14">
        <v>5.0</v>
      </c>
      <c r="N6" s="14">
        <v>35000.0</v>
      </c>
      <c r="O6" s="14"/>
      <c r="P6" s="14"/>
      <c r="Q6" s="14">
        <f t="shared" si="1"/>
        <v>7000</v>
      </c>
      <c r="R6" s="14">
        <f t="shared" si="2"/>
        <v>1400</v>
      </c>
      <c r="S6" s="14">
        <v>1.0</v>
      </c>
      <c r="T6" s="94">
        <f t="shared" si="3"/>
        <v>35000</v>
      </c>
      <c r="U6" s="96">
        <v>10.0</v>
      </c>
      <c r="V6" s="14">
        <v>0.7</v>
      </c>
      <c r="W6" s="14">
        <v>2.5</v>
      </c>
      <c r="X6" s="14">
        <f t="shared" si="4"/>
        <v>95812.5</v>
      </c>
      <c r="Y6" s="94">
        <f t="shared" si="5"/>
        <v>105393.75</v>
      </c>
      <c r="Z6" s="97">
        <f t="shared" si="6"/>
        <v>9581.25</v>
      </c>
      <c r="AA6" s="157">
        <v>0.0</v>
      </c>
      <c r="AB6" s="99">
        <v>15000.0</v>
      </c>
      <c r="AC6" s="100">
        <f t="shared" si="7"/>
        <v>0</v>
      </c>
      <c r="AD6" s="98">
        <v>0.0</v>
      </c>
      <c r="AE6" s="14">
        <v>30000.0</v>
      </c>
      <c r="AF6" s="14">
        <v>0.17</v>
      </c>
      <c r="AG6" s="14">
        <v>500.0</v>
      </c>
      <c r="AH6" s="94">
        <f t="shared" si="8"/>
        <v>0</v>
      </c>
      <c r="AI6" s="98">
        <v>0.0</v>
      </c>
      <c r="AJ6" s="14">
        <v>2500.0</v>
      </c>
      <c r="AK6" s="94">
        <f t="shared" si="9"/>
        <v>0</v>
      </c>
      <c r="AL6" s="98">
        <v>0.0</v>
      </c>
      <c r="AM6" s="94">
        <f t="shared" si="10"/>
        <v>0</v>
      </c>
      <c r="AN6" s="98">
        <v>0.0</v>
      </c>
      <c r="AO6" s="14">
        <v>20000.0</v>
      </c>
      <c r="AP6" s="94">
        <f t="shared" si="11"/>
        <v>0</v>
      </c>
      <c r="AQ6" s="98">
        <v>0.0</v>
      </c>
      <c r="AR6" s="14">
        <v>1000.0</v>
      </c>
      <c r="AS6" s="94">
        <f t="shared" si="12"/>
        <v>0</v>
      </c>
      <c r="AT6" s="98">
        <v>0.0</v>
      </c>
      <c r="AU6" s="14">
        <v>3000.0</v>
      </c>
      <c r="AV6" s="94">
        <f t="shared" si="13"/>
        <v>0</v>
      </c>
      <c r="AW6" s="98">
        <v>0.0</v>
      </c>
      <c r="AX6" s="14">
        <v>2500.0</v>
      </c>
      <c r="AY6" s="94">
        <f t="shared" si="14"/>
        <v>0</v>
      </c>
      <c r="AZ6" s="98">
        <v>0.0</v>
      </c>
      <c r="BA6" s="14">
        <v>25000.0</v>
      </c>
      <c r="BB6" s="94">
        <f t="shared" si="15"/>
        <v>0</v>
      </c>
      <c r="BC6" s="96">
        <f t="shared" si="16"/>
        <v>1181.25</v>
      </c>
      <c r="BD6" s="170">
        <f t="shared" si="17"/>
        <v>0.03375</v>
      </c>
      <c r="BE6" s="94">
        <f t="shared" si="18"/>
        <v>29.62962963</v>
      </c>
      <c r="BF6" s="179" t="str">
        <f t="shared" si="19"/>
        <v>NO</v>
      </c>
    </row>
    <row r="7" ht="15.0" customHeight="1">
      <c r="A7" s="17"/>
      <c r="B7" s="18" t="s">
        <v>218</v>
      </c>
      <c r="C7" s="18" t="s">
        <v>219</v>
      </c>
      <c r="D7" s="18" t="s">
        <v>148</v>
      </c>
      <c r="E7" s="7" t="s">
        <v>220</v>
      </c>
      <c r="F7" s="9" t="s">
        <v>434</v>
      </c>
      <c r="G7" s="8"/>
      <c r="H7" s="8"/>
      <c r="I7" s="8" t="s">
        <v>152</v>
      </c>
      <c r="J7" s="24" t="s">
        <v>435</v>
      </c>
      <c r="K7" s="107" t="s">
        <v>223</v>
      </c>
      <c r="L7" s="8">
        <v>150.0</v>
      </c>
      <c r="M7" s="8">
        <v>5.0</v>
      </c>
      <c r="N7" s="8">
        <v>50000.0</v>
      </c>
      <c r="O7" s="8"/>
      <c r="P7" s="8"/>
      <c r="Q7" s="14">
        <f t="shared" si="1"/>
        <v>10000</v>
      </c>
      <c r="R7" s="14">
        <f t="shared" si="2"/>
        <v>2000</v>
      </c>
      <c r="S7" s="8">
        <v>1.0</v>
      </c>
      <c r="T7" s="94">
        <f t="shared" si="3"/>
        <v>50000</v>
      </c>
      <c r="U7" s="107">
        <v>10.0</v>
      </c>
      <c r="V7" s="8">
        <v>0.7</v>
      </c>
      <c r="W7" s="8">
        <v>2.5</v>
      </c>
      <c r="X7" s="8">
        <f t="shared" si="4"/>
        <v>95812.5</v>
      </c>
      <c r="Y7" s="24">
        <f t="shared" si="5"/>
        <v>105393.75</v>
      </c>
      <c r="Z7" s="108">
        <f t="shared" si="6"/>
        <v>9581.25</v>
      </c>
      <c r="AA7" s="174">
        <v>20.0</v>
      </c>
      <c r="AB7" s="110">
        <v>15000.0</v>
      </c>
      <c r="AC7" s="111">
        <f t="shared" si="7"/>
        <v>3000</v>
      </c>
      <c r="AD7" s="109">
        <v>0.0</v>
      </c>
      <c r="AE7" s="8">
        <v>30000.0</v>
      </c>
      <c r="AF7" s="8">
        <v>0.17</v>
      </c>
      <c r="AG7" s="8">
        <v>500.0</v>
      </c>
      <c r="AH7" s="24">
        <f t="shared" si="8"/>
        <v>0</v>
      </c>
      <c r="AI7" s="109">
        <v>0.0</v>
      </c>
      <c r="AJ7" s="8">
        <v>2500.0</v>
      </c>
      <c r="AK7" s="24">
        <f t="shared" si="9"/>
        <v>0</v>
      </c>
      <c r="AL7" s="109">
        <v>0.0</v>
      </c>
      <c r="AM7" s="24">
        <f t="shared" si="10"/>
        <v>0</v>
      </c>
      <c r="AN7" s="109">
        <v>0.0</v>
      </c>
      <c r="AO7" s="8">
        <v>20000.0</v>
      </c>
      <c r="AP7" s="24">
        <f t="shared" si="11"/>
        <v>0</v>
      </c>
      <c r="AQ7" s="107">
        <v>10.0</v>
      </c>
      <c r="AR7" s="8">
        <v>1000.0</v>
      </c>
      <c r="AS7" s="24">
        <f t="shared" si="12"/>
        <v>100</v>
      </c>
      <c r="AT7" s="109">
        <v>0.0</v>
      </c>
      <c r="AU7" s="8">
        <v>3000.0</v>
      </c>
      <c r="AV7" s="24">
        <f t="shared" si="13"/>
        <v>0</v>
      </c>
      <c r="AW7" s="109">
        <v>0.0</v>
      </c>
      <c r="AX7" s="8">
        <v>2500.0</v>
      </c>
      <c r="AY7" s="24">
        <f t="shared" si="14"/>
        <v>0</v>
      </c>
      <c r="AZ7" s="109">
        <v>0.0</v>
      </c>
      <c r="BA7" s="8">
        <v>25000.0</v>
      </c>
      <c r="BB7" s="24">
        <f t="shared" si="15"/>
        <v>0</v>
      </c>
      <c r="BC7" s="96">
        <f t="shared" si="16"/>
        <v>681.25</v>
      </c>
      <c r="BD7" s="170">
        <f t="shared" si="17"/>
        <v>0.013625</v>
      </c>
      <c r="BE7" s="94">
        <f t="shared" si="18"/>
        <v>73.39449541</v>
      </c>
      <c r="BF7" s="179" t="str">
        <f t="shared" si="19"/>
        <v>NO</v>
      </c>
    </row>
    <row r="8" ht="15.75" customHeight="1">
      <c r="A8" s="17"/>
      <c r="B8" s="18" t="s">
        <v>117</v>
      </c>
      <c r="C8" s="18" t="s">
        <v>124</v>
      </c>
      <c r="D8" s="7" t="s">
        <v>23</v>
      </c>
      <c r="E8" s="7" t="s">
        <v>125</v>
      </c>
      <c r="F8" s="9" t="s">
        <v>436</v>
      </c>
      <c r="G8" s="8"/>
      <c r="H8" s="8" t="s">
        <v>437</v>
      </c>
      <c r="I8" s="8" t="s">
        <v>129</v>
      </c>
      <c r="J8" s="24" t="s">
        <v>438</v>
      </c>
      <c r="K8" s="182">
        <v>180000.0</v>
      </c>
      <c r="L8" s="8">
        <v>150.0</v>
      </c>
      <c r="M8" s="8">
        <v>5.0</v>
      </c>
      <c r="N8" s="8">
        <v>180000.0</v>
      </c>
      <c r="O8" s="8"/>
      <c r="P8" s="8"/>
      <c r="Q8" s="14">
        <f t="shared" si="1"/>
        <v>36000</v>
      </c>
      <c r="R8" s="14">
        <f t="shared" si="2"/>
        <v>7200</v>
      </c>
      <c r="S8" s="8">
        <v>1.0</v>
      </c>
      <c r="T8" s="94">
        <f t="shared" si="3"/>
        <v>180000</v>
      </c>
      <c r="U8" s="107">
        <v>10.0</v>
      </c>
      <c r="V8" s="8">
        <v>0.7</v>
      </c>
      <c r="W8" s="8">
        <v>2.5</v>
      </c>
      <c r="X8" s="8">
        <f t="shared" si="4"/>
        <v>95812.5</v>
      </c>
      <c r="Y8" s="24">
        <f t="shared" si="5"/>
        <v>105393.75</v>
      </c>
      <c r="Z8" s="108">
        <f t="shared" si="6"/>
        <v>9581.25</v>
      </c>
      <c r="AA8" s="174">
        <v>79.0</v>
      </c>
      <c r="AB8" s="110">
        <v>15000.0</v>
      </c>
      <c r="AC8" s="111">
        <f t="shared" si="7"/>
        <v>11850</v>
      </c>
      <c r="AD8" s="107">
        <v>97.0</v>
      </c>
      <c r="AE8" s="8">
        <v>30000.0</v>
      </c>
      <c r="AF8" s="8">
        <v>0.17</v>
      </c>
      <c r="AG8" s="8">
        <v>500.0</v>
      </c>
      <c r="AH8" s="24">
        <f t="shared" si="8"/>
        <v>485</v>
      </c>
      <c r="AI8" s="109">
        <v>0.0</v>
      </c>
      <c r="AJ8" s="8">
        <v>2500.0</v>
      </c>
      <c r="AK8" s="24">
        <f t="shared" si="9"/>
        <v>0</v>
      </c>
      <c r="AL8" s="109">
        <v>0.0</v>
      </c>
      <c r="AM8" s="24">
        <f t="shared" si="10"/>
        <v>0</v>
      </c>
      <c r="AN8" s="107">
        <v>33.0</v>
      </c>
      <c r="AO8" s="8">
        <v>20000.0</v>
      </c>
      <c r="AP8" s="24">
        <f t="shared" si="11"/>
        <v>6600</v>
      </c>
      <c r="AQ8" s="109">
        <v>0.0</v>
      </c>
      <c r="AR8" s="8">
        <v>1000.0</v>
      </c>
      <c r="AS8" s="24">
        <f t="shared" si="12"/>
        <v>0</v>
      </c>
      <c r="AT8" s="109">
        <v>0.0</v>
      </c>
      <c r="AU8" s="8">
        <v>3000.0</v>
      </c>
      <c r="AV8" s="24">
        <f t="shared" si="13"/>
        <v>0</v>
      </c>
      <c r="AW8" s="109">
        <v>0.0</v>
      </c>
      <c r="AX8" s="8">
        <v>2500.0</v>
      </c>
      <c r="AY8" s="24">
        <f t="shared" si="14"/>
        <v>0</v>
      </c>
      <c r="AZ8" s="109">
        <v>0.0</v>
      </c>
      <c r="BA8" s="8">
        <v>25000.0</v>
      </c>
      <c r="BB8" s="24">
        <f t="shared" si="15"/>
        <v>0</v>
      </c>
      <c r="BC8" s="96">
        <f t="shared" si="16"/>
        <v>-14683.75</v>
      </c>
      <c r="BD8" s="170">
        <f t="shared" si="17"/>
        <v>-0.08157638889</v>
      </c>
      <c r="BE8" s="94" t="str">
        <f t="shared" si="18"/>
        <v>Payback period not applicable: the investment does not recover its cost under current conditions.</v>
      </c>
      <c r="BF8" s="179" t="str">
        <f t="shared" si="19"/>
        <v>NO</v>
      </c>
    </row>
    <row r="9" ht="15.75" customHeight="1">
      <c r="A9" s="17"/>
      <c r="B9" s="7" t="s">
        <v>141</v>
      </c>
      <c r="C9" s="7" t="s">
        <v>153</v>
      </c>
      <c r="D9" s="7" t="s">
        <v>154</v>
      </c>
      <c r="E9" s="7" t="s">
        <v>155</v>
      </c>
      <c r="F9" s="22" t="s">
        <v>156</v>
      </c>
      <c r="G9" s="22" t="s">
        <v>91</v>
      </c>
      <c r="H9" s="8" t="s">
        <v>157</v>
      </c>
      <c r="I9" s="8" t="s">
        <v>159</v>
      </c>
      <c r="J9" s="24" t="s">
        <v>158</v>
      </c>
      <c r="K9" s="107" t="s">
        <v>227</v>
      </c>
      <c r="L9" s="8">
        <v>150.0</v>
      </c>
      <c r="M9" s="8">
        <v>5.0</v>
      </c>
      <c r="N9" s="8">
        <v>75000.0</v>
      </c>
      <c r="O9" s="8"/>
      <c r="P9" s="8"/>
      <c r="Q9" s="14">
        <f t="shared" si="1"/>
        <v>15000</v>
      </c>
      <c r="R9" s="14">
        <f t="shared" si="2"/>
        <v>3000</v>
      </c>
      <c r="S9" s="8">
        <v>1.0</v>
      </c>
      <c r="T9" s="94">
        <f t="shared" si="3"/>
        <v>75000</v>
      </c>
      <c r="U9" s="107">
        <v>10.0</v>
      </c>
      <c r="V9" s="8">
        <v>0.7</v>
      </c>
      <c r="W9" s="8">
        <v>2.5</v>
      </c>
      <c r="X9" s="8">
        <f t="shared" si="4"/>
        <v>95812.5</v>
      </c>
      <c r="Y9" s="24">
        <f t="shared" si="5"/>
        <v>105393.75</v>
      </c>
      <c r="Z9" s="108">
        <f t="shared" si="6"/>
        <v>9581.25</v>
      </c>
      <c r="AA9" s="174">
        <v>20.0</v>
      </c>
      <c r="AB9" s="110">
        <v>15000.0</v>
      </c>
      <c r="AC9" s="111">
        <f t="shared" si="7"/>
        <v>3000</v>
      </c>
      <c r="AD9" s="109">
        <v>0.0</v>
      </c>
      <c r="AE9" s="8">
        <v>30000.0</v>
      </c>
      <c r="AF9" s="8">
        <v>0.17</v>
      </c>
      <c r="AG9" s="8">
        <v>500.0</v>
      </c>
      <c r="AH9" s="24">
        <f t="shared" si="8"/>
        <v>0</v>
      </c>
      <c r="AI9" s="109">
        <v>0.0</v>
      </c>
      <c r="AJ9" s="8">
        <v>2500.0</v>
      </c>
      <c r="AK9" s="24">
        <f t="shared" si="9"/>
        <v>0</v>
      </c>
      <c r="AL9" s="109">
        <v>0.0</v>
      </c>
      <c r="AM9" s="24">
        <f t="shared" si="10"/>
        <v>0</v>
      </c>
      <c r="AN9" s="109">
        <v>0.0</v>
      </c>
      <c r="AO9" s="8">
        <v>20000.0</v>
      </c>
      <c r="AP9" s="24">
        <f t="shared" si="11"/>
        <v>0</v>
      </c>
      <c r="AQ9" s="109">
        <v>0.0</v>
      </c>
      <c r="AR9" s="8">
        <v>1000.0</v>
      </c>
      <c r="AS9" s="24">
        <f t="shared" si="12"/>
        <v>0</v>
      </c>
      <c r="AT9" s="109">
        <v>0.0</v>
      </c>
      <c r="AU9" s="8">
        <v>3000.0</v>
      </c>
      <c r="AV9" s="24">
        <f t="shared" si="13"/>
        <v>0</v>
      </c>
      <c r="AW9" s="109">
        <v>0.0</v>
      </c>
      <c r="AX9" s="8">
        <v>2500.0</v>
      </c>
      <c r="AY9" s="24">
        <f t="shared" si="14"/>
        <v>0</v>
      </c>
      <c r="AZ9" s="109">
        <v>0.0</v>
      </c>
      <c r="BA9" s="8">
        <v>25000.0</v>
      </c>
      <c r="BB9" s="24">
        <f t="shared" si="15"/>
        <v>0</v>
      </c>
      <c r="BC9" s="96">
        <f t="shared" si="16"/>
        <v>-5418.75</v>
      </c>
      <c r="BD9" s="170">
        <f t="shared" si="17"/>
        <v>-0.07225</v>
      </c>
      <c r="BE9" s="94" t="str">
        <f t="shared" si="18"/>
        <v>Payback period not applicable: the investment does not recover its cost under current conditions.</v>
      </c>
      <c r="BF9" s="179" t="str">
        <f t="shared" si="19"/>
        <v>NO</v>
      </c>
    </row>
    <row r="10" ht="15.0" customHeight="1">
      <c r="A10" s="17"/>
      <c r="B10" s="7" t="s">
        <v>228</v>
      </c>
      <c r="C10" s="7" t="s">
        <v>229</v>
      </c>
      <c r="D10" s="48" t="s">
        <v>230</v>
      </c>
      <c r="E10" s="7" t="s">
        <v>231</v>
      </c>
      <c r="F10" s="22" t="s">
        <v>232</v>
      </c>
      <c r="G10" s="8"/>
      <c r="H10" s="8" t="s">
        <v>233</v>
      </c>
      <c r="I10" s="45" t="s">
        <v>439</v>
      </c>
      <c r="J10" s="24" t="s">
        <v>440</v>
      </c>
      <c r="K10" s="107" t="s">
        <v>235</v>
      </c>
      <c r="L10" s="8">
        <v>150.0</v>
      </c>
      <c r="M10" s="8">
        <v>5.0</v>
      </c>
      <c r="N10" s="8">
        <v>26000.0</v>
      </c>
      <c r="O10" s="8"/>
      <c r="P10" s="8"/>
      <c r="Q10" s="14">
        <f t="shared" si="1"/>
        <v>5200</v>
      </c>
      <c r="R10" s="14">
        <f t="shared" si="2"/>
        <v>1040</v>
      </c>
      <c r="S10" s="8">
        <v>1.0</v>
      </c>
      <c r="T10" s="94">
        <f t="shared" si="3"/>
        <v>26000</v>
      </c>
      <c r="U10" s="107">
        <v>20.0</v>
      </c>
      <c r="V10" s="8">
        <v>0.7</v>
      </c>
      <c r="W10" s="8">
        <v>2.5</v>
      </c>
      <c r="X10" s="8">
        <f t="shared" si="4"/>
        <v>95812.5</v>
      </c>
      <c r="Y10" s="24">
        <f t="shared" si="5"/>
        <v>114975</v>
      </c>
      <c r="Z10" s="108">
        <f t="shared" si="6"/>
        <v>19162.5</v>
      </c>
      <c r="AA10" s="158">
        <v>0.0</v>
      </c>
      <c r="AB10" s="110">
        <v>15000.0</v>
      </c>
      <c r="AC10" s="111">
        <f t="shared" si="7"/>
        <v>0</v>
      </c>
      <c r="AD10" s="109">
        <v>0.0</v>
      </c>
      <c r="AE10" s="8">
        <v>30000.0</v>
      </c>
      <c r="AF10" s="8">
        <v>0.17</v>
      </c>
      <c r="AG10" s="8">
        <v>500.0</v>
      </c>
      <c r="AH10" s="24">
        <f t="shared" si="8"/>
        <v>0</v>
      </c>
      <c r="AI10" s="109">
        <v>0.0</v>
      </c>
      <c r="AJ10" s="8">
        <v>2500.0</v>
      </c>
      <c r="AK10" s="24">
        <f t="shared" si="9"/>
        <v>0</v>
      </c>
      <c r="AL10" s="109">
        <v>0.0</v>
      </c>
      <c r="AM10" s="24">
        <f t="shared" si="10"/>
        <v>0</v>
      </c>
      <c r="AN10" s="107">
        <v>15.0</v>
      </c>
      <c r="AO10" s="8">
        <v>20000.0</v>
      </c>
      <c r="AP10" s="24">
        <f t="shared" si="11"/>
        <v>3000</v>
      </c>
      <c r="AQ10" s="109">
        <v>0.0</v>
      </c>
      <c r="AR10" s="8">
        <v>1000.0</v>
      </c>
      <c r="AS10" s="24">
        <f t="shared" si="12"/>
        <v>0</v>
      </c>
      <c r="AT10" s="109">
        <v>0.0</v>
      </c>
      <c r="AU10" s="8">
        <v>3000.0</v>
      </c>
      <c r="AV10" s="24">
        <f t="shared" si="13"/>
        <v>0</v>
      </c>
      <c r="AW10" s="109">
        <v>0.0</v>
      </c>
      <c r="AX10" s="8">
        <v>2500.0</v>
      </c>
      <c r="AY10" s="24">
        <f t="shared" si="14"/>
        <v>0</v>
      </c>
      <c r="AZ10" s="109">
        <v>0.0</v>
      </c>
      <c r="BA10" s="8">
        <v>25000.0</v>
      </c>
      <c r="BB10" s="24">
        <f t="shared" si="15"/>
        <v>0</v>
      </c>
      <c r="BC10" s="96">
        <f t="shared" si="16"/>
        <v>15922.5</v>
      </c>
      <c r="BD10" s="170">
        <f t="shared" si="17"/>
        <v>0.6124038462</v>
      </c>
      <c r="BE10" s="94">
        <f t="shared" si="18"/>
        <v>1.632909405</v>
      </c>
      <c r="BF10" s="179" t="str">
        <f t="shared" si="19"/>
        <v>YES</v>
      </c>
    </row>
    <row r="11" ht="14.25" customHeight="1">
      <c r="A11" s="25"/>
      <c r="B11" s="37" t="s">
        <v>117</v>
      </c>
      <c r="C11" s="26" t="s">
        <v>167</v>
      </c>
      <c r="D11" s="26" t="s">
        <v>168</v>
      </c>
      <c r="E11" s="26" t="s">
        <v>169</v>
      </c>
      <c r="F11" s="27" t="s">
        <v>170</v>
      </c>
      <c r="G11" s="28"/>
      <c r="H11" s="49" t="s">
        <v>164</v>
      </c>
      <c r="I11" s="28" t="s">
        <v>159</v>
      </c>
      <c r="J11" s="29" t="s">
        <v>171</v>
      </c>
      <c r="K11" s="120" t="s">
        <v>236</v>
      </c>
      <c r="L11" s="8">
        <v>150.0</v>
      </c>
      <c r="M11" s="28">
        <v>5.0</v>
      </c>
      <c r="N11" s="28">
        <v>75000.0</v>
      </c>
      <c r="O11" s="28"/>
      <c r="P11" s="28"/>
      <c r="Q11" s="14">
        <f t="shared" si="1"/>
        <v>15000</v>
      </c>
      <c r="R11" s="14">
        <f t="shared" si="2"/>
        <v>3000</v>
      </c>
      <c r="S11" s="28">
        <v>1.0</v>
      </c>
      <c r="T11" s="94">
        <f t="shared" si="3"/>
        <v>75000</v>
      </c>
      <c r="U11" s="120">
        <v>10.0</v>
      </c>
      <c r="V11" s="8">
        <v>0.7</v>
      </c>
      <c r="W11" s="8">
        <v>2.5</v>
      </c>
      <c r="X11" s="28">
        <f t="shared" si="4"/>
        <v>95812.5</v>
      </c>
      <c r="Y11" s="29">
        <f t="shared" si="5"/>
        <v>105393.75</v>
      </c>
      <c r="Z11" s="121">
        <f t="shared" si="6"/>
        <v>9581.25</v>
      </c>
      <c r="AA11" s="153">
        <v>0.0</v>
      </c>
      <c r="AB11" s="110">
        <v>15000.0</v>
      </c>
      <c r="AC11" s="122">
        <f t="shared" si="7"/>
        <v>0</v>
      </c>
      <c r="AD11" s="123">
        <v>0.0</v>
      </c>
      <c r="AE11" s="28">
        <v>30000.0</v>
      </c>
      <c r="AF11" s="8">
        <v>0.17</v>
      </c>
      <c r="AG11" s="8">
        <v>500.0</v>
      </c>
      <c r="AH11" s="29">
        <f t="shared" si="8"/>
        <v>0</v>
      </c>
      <c r="AI11" s="123">
        <v>0.0</v>
      </c>
      <c r="AJ11" s="8">
        <v>2500.0</v>
      </c>
      <c r="AK11" s="29">
        <f t="shared" si="9"/>
        <v>0</v>
      </c>
      <c r="AL11" s="109">
        <v>0.0</v>
      </c>
      <c r="AM11" s="29">
        <f t="shared" si="10"/>
        <v>0</v>
      </c>
      <c r="AN11" s="123">
        <v>0.0</v>
      </c>
      <c r="AO11" s="8">
        <v>20000.0</v>
      </c>
      <c r="AP11" s="29">
        <f t="shared" si="11"/>
        <v>0</v>
      </c>
      <c r="AQ11" s="123">
        <v>0.0</v>
      </c>
      <c r="AR11" s="28">
        <v>1000.0</v>
      </c>
      <c r="AS11" s="29">
        <f t="shared" si="12"/>
        <v>0</v>
      </c>
      <c r="AT11" s="123">
        <v>0.0</v>
      </c>
      <c r="AU11" s="8">
        <v>3000.0</v>
      </c>
      <c r="AV11" s="29">
        <f t="shared" si="13"/>
        <v>0</v>
      </c>
      <c r="AW11" s="123">
        <v>0.0</v>
      </c>
      <c r="AX11" s="8">
        <v>2500.0</v>
      </c>
      <c r="AY11" s="29">
        <f t="shared" si="14"/>
        <v>0</v>
      </c>
      <c r="AZ11" s="123">
        <v>0.0</v>
      </c>
      <c r="BA11" s="8">
        <v>25000.0</v>
      </c>
      <c r="BB11" s="29">
        <f t="shared" si="15"/>
        <v>0</v>
      </c>
      <c r="BC11" s="96">
        <f t="shared" si="16"/>
        <v>-8418.75</v>
      </c>
      <c r="BD11" s="170">
        <f t="shared" si="17"/>
        <v>-0.11225</v>
      </c>
      <c r="BE11" s="94" t="str">
        <f t="shared" si="18"/>
        <v>Payback period not applicable: the investment does not recover its cost under current conditions.</v>
      </c>
      <c r="BF11" s="179" t="str">
        <f t="shared" si="19"/>
        <v>NO</v>
      </c>
    </row>
    <row r="12" ht="88.5" customHeight="1">
      <c r="A12" s="183" t="s">
        <v>237</v>
      </c>
      <c r="B12" s="184" t="s">
        <v>295</v>
      </c>
      <c r="C12" s="184" t="s">
        <v>296</v>
      </c>
      <c r="D12" s="184" t="s">
        <v>297</v>
      </c>
      <c r="E12" s="184" t="s">
        <v>298</v>
      </c>
      <c r="F12" s="185" t="s">
        <v>299</v>
      </c>
      <c r="G12" s="186"/>
      <c r="H12" s="186" t="s">
        <v>300</v>
      </c>
      <c r="I12" s="186" t="s">
        <v>441</v>
      </c>
      <c r="J12" s="187" t="s">
        <v>442</v>
      </c>
      <c r="K12" s="188" t="s">
        <v>302</v>
      </c>
      <c r="L12" s="186">
        <v>150.0</v>
      </c>
      <c r="M12" s="39">
        <v>5.0</v>
      </c>
      <c r="N12" s="39">
        <v>200.0</v>
      </c>
      <c r="O12" s="39"/>
      <c r="P12" s="39"/>
      <c r="Q12" s="14">
        <f t="shared" si="1"/>
        <v>0</v>
      </c>
      <c r="R12" s="14">
        <f t="shared" si="2"/>
        <v>8</v>
      </c>
      <c r="S12" s="28">
        <v>1.0</v>
      </c>
      <c r="T12" s="94">
        <f t="shared" si="3"/>
        <v>200</v>
      </c>
      <c r="U12" s="189">
        <v>0.0</v>
      </c>
      <c r="V12" s="136">
        <v>0.7</v>
      </c>
      <c r="W12" s="186">
        <v>2.5</v>
      </c>
      <c r="X12" s="39">
        <f t="shared" si="4"/>
        <v>95812.5</v>
      </c>
      <c r="Y12" s="54">
        <f t="shared" si="5"/>
        <v>95812.5</v>
      </c>
      <c r="Z12" s="190">
        <f t="shared" si="6"/>
        <v>0</v>
      </c>
      <c r="AA12" s="191">
        <v>25.0</v>
      </c>
      <c r="AB12" s="192">
        <v>15000.0</v>
      </c>
      <c r="AC12" s="193">
        <f t="shared" si="7"/>
        <v>3750</v>
      </c>
      <c r="AD12" s="188">
        <v>0.0</v>
      </c>
      <c r="AE12" s="39">
        <v>30000.0</v>
      </c>
      <c r="AF12" s="186">
        <v>0.17</v>
      </c>
      <c r="AG12" s="186">
        <v>500.0</v>
      </c>
      <c r="AH12" s="54">
        <f t="shared" si="8"/>
        <v>0</v>
      </c>
      <c r="AI12" s="189">
        <v>0.0</v>
      </c>
      <c r="AJ12" s="39">
        <v>2500.0</v>
      </c>
      <c r="AK12" s="54">
        <f t="shared" si="9"/>
        <v>0</v>
      </c>
      <c r="AL12" s="189">
        <v>0.0</v>
      </c>
      <c r="AM12" s="54">
        <f t="shared" si="10"/>
        <v>0</v>
      </c>
      <c r="AN12" s="189">
        <v>0.0</v>
      </c>
      <c r="AO12" s="39">
        <v>20000.0</v>
      </c>
      <c r="AP12" s="54">
        <f t="shared" si="11"/>
        <v>0</v>
      </c>
      <c r="AQ12" s="123">
        <v>0.0</v>
      </c>
      <c r="AR12" s="39">
        <v>1000.0</v>
      </c>
      <c r="AS12" s="54">
        <f t="shared" si="12"/>
        <v>0</v>
      </c>
      <c r="AT12" s="123">
        <v>0.0</v>
      </c>
      <c r="AU12" s="39">
        <v>3000.0</v>
      </c>
      <c r="AV12" s="54">
        <f t="shared" si="13"/>
        <v>0</v>
      </c>
      <c r="AW12" s="123">
        <v>0.0</v>
      </c>
      <c r="AX12" s="39">
        <v>2500.0</v>
      </c>
      <c r="AY12" s="54">
        <f t="shared" si="14"/>
        <v>0</v>
      </c>
      <c r="AZ12" s="123">
        <v>0.0</v>
      </c>
      <c r="BA12" s="186">
        <v>25000.0</v>
      </c>
      <c r="BB12" s="54">
        <f t="shared" si="15"/>
        <v>0</v>
      </c>
      <c r="BC12" s="96">
        <f t="shared" si="16"/>
        <v>3742</v>
      </c>
      <c r="BD12" s="170">
        <f t="shared" si="17"/>
        <v>18.71</v>
      </c>
      <c r="BE12" s="94">
        <f t="shared" si="18"/>
        <v>0.05344735436</v>
      </c>
      <c r="BF12" s="179" t="str">
        <f t="shared" si="19"/>
        <v>YES</v>
      </c>
    </row>
    <row r="13" ht="15.75" customHeight="1">
      <c r="A13" s="5"/>
      <c r="B13" s="7"/>
      <c r="C13" s="7"/>
      <c r="D13" s="7"/>
      <c r="E13" s="7"/>
      <c r="F13" s="9"/>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175" t="s">
        <v>443</v>
      </c>
      <c r="AJ13" s="176"/>
      <c r="AK13" s="177"/>
      <c r="AL13" s="175" t="s">
        <v>443</v>
      </c>
      <c r="AM13" s="177"/>
      <c r="AN13" s="8"/>
      <c r="AO13" s="8"/>
      <c r="AP13" s="8"/>
      <c r="AQ13" s="8"/>
      <c r="AR13" s="8"/>
      <c r="AS13" s="8"/>
      <c r="AT13" s="175" t="s">
        <v>443</v>
      </c>
      <c r="AU13" s="176"/>
      <c r="AV13" s="177"/>
      <c r="AW13" s="175" t="s">
        <v>443</v>
      </c>
      <c r="AX13" s="176"/>
      <c r="AY13" s="177"/>
      <c r="AZ13" s="175" t="s">
        <v>443</v>
      </c>
      <c r="BA13" s="176"/>
      <c r="BB13" s="177"/>
      <c r="BC13" s="8"/>
      <c r="BD13" s="8"/>
      <c r="BE13" s="8"/>
    </row>
    <row r="14" ht="15.75" customHeight="1">
      <c r="A14" s="5"/>
      <c r="B14" s="7"/>
      <c r="C14" s="7"/>
      <c r="D14" s="7"/>
      <c r="E14" s="7"/>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row>
    <row r="15" ht="15.75" customHeight="1">
      <c r="A15" s="5"/>
      <c r="B15" s="7"/>
      <c r="C15" s="7"/>
      <c r="D15" s="7"/>
      <c r="E15" s="7"/>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row>
    <row r="16" ht="15.75" customHeight="1">
      <c r="A16" s="5"/>
      <c r="B16" s="7"/>
      <c r="C16" s="7"/>
      <c r="D16" s="7"/>
      <c r="E16" s="7"/>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row>
    <row r="17" ht="15.75" customHeight="1">
      <c r="A17" s="5"/>
      <c r="B17" s="7"/>
      <c r="C17" s="7"/>
      <c r="D17" s="7"/>
      <c r="E17" s="7"/>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A3:A5"/>
    <mergeCell ref="A6:A11"/>
    <mergeCell ref="K1:T1"/>
    <mergeCell ref="U1:Y1"/>
    <mergeCell ref="AA1:AC1"/>
    <mergeCell ref="AD1:AH1"/>
    <mergeCell ref="AI1:AK1"/>
    <mergeCell ref="AL1:AM1"/>
    <mergeCell ref="AN1:AP1"/>
    <mergeCell ref="AT13:AV13"/>
    <mergeCell ref="AW13:AY13"/>
    <mergeCell ref="AQ1:AS1"/>
    <mergeCell ref="AT1:AV1"/>
    <mergeCell ref="AW1:AY1"/>
    <mergeCell ref="AZ1:BB1"/>
    <mergeCell ref="BC1:BF1"/>
    <mergeCell ref="AI13:AK13"/>
    <mergeCell ref="AL13:AM13"/>
    <mergeCell ref="AZ13:BB13"/>
  </mergeCells>
  <hyperlinks>
    <hyperlink r:id="rId2" ref="F3"/>
    <hyperlink r:id="rId3" ref="F4"/>
    <hyperlink r:id="rId4" ref="F5"/>
    <hyperlink r:id="rId5" ref="F6"/>
    <hyperlink r:id="rId6" ref="F7"/>
    <hyperlink r:id="rId7" ref="F8"/>
    <hyperlink r:id="rId8" ref="F9"/>
    <hyperlink r:id="rId9" ref="G9"/>
    <hyperlink r:id="rId10" ref="F10"/>
    <hyperlink r:id="rId11" location="haut" ref="F11"/>
    <hyperlink r:id="rId12" ref="F12"/>
  </hyperlinks>
  <printOptions/>
  <pageMargins bottom="0.75" footer="0.0" header="0.0" left="0.7" right="0.7" top="0.75"/>
  <pageSetup orientation="landscape"/>
  <drawing r:id="rId13"/>
  <legacyDrawing r:id="rId1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2025-05-26T13:12:57Z</dcterms:created>
  <dc:creator>Sergio Vrontas</dc:creator>
</cp:coreProperties>
</file>