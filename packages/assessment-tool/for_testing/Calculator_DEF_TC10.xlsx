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francescoparigi/DIG Dropbox/Francesco Parigi/WP2 Calculator/For visualization/TC10/"/>
    </mc:Choice>
  </mc:AlternateContent>
  <xr:revisionPtr revIDLastSave="0" documentId="13_ncr:1_{C327F7FD-06D3-C543-81B9-CDDFB2D90E32}" xr6:coauthVersionLast="47" xr6:coauthVersionMax="47" xr10:uidLastSave="{00000000-0000-0000-0000-000000000000}"/>
  <bookViews>
    <workbookView xWindow="0" yWindow="500" windowWidth="28800" windowHeight="15700" firstSheet="2" activeTab="8" xr2:uid="{00000000-000D-0000-FFFF-FFFF00000000}"/>
  </bookViews>
  <sheets>
    <sheet name="Instructions " sheetId="4" r:id="rId1"/>
    <sheet name="General Information" sheetId="3" r:id="rId2"/>
    <sheet name="Parcel 1 with DATSs" sheetId="1" r:id="rId3"/>
    <sheet name="Parcel 1 without DATSs" sheetId="6" r:id="rId4"/>
    <sheet name="Cost-revenue DATS" sheetId="5" r:id="rId5"/>
    <sheet name="Cost-revenue NO DATS" sheetId="10" r:id="rId6"/>
    <sheet name="sust. impact KPIs DATS" sheetId="12" r:id="rId7"/>
    <sheet name="sust. impact KPIs NO DATS" sheetId="11" r:id="rId8"/>
    <sheet name="Analysis DATS vs. NO DATS" sheetId="9" r:id="rId9"/>
    <sheet name="Icons" sheetId="16" r:id="rId10"/>
    <sheet name="Validations" sheetId="14"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U12" i="14" l="1"/>
  <c r="S12" i="14"/>
  <c r="Q12" i="14"/>
  <c r="Q9" i="14"/>
  <c r="Q105" i="9"/>
  <c r="Q104" i="9"/>
  <c r="Q103" i="9"/>
  <c r="Q102" i="9"/>
  <c r="Q101" i="9"/>
  <c r="Q100" i="9"/>
  <c r="G99" i="9"/>
  <c r="G98" i="9"/>
  <c r="G97" i="9"/>
  <c r="G93" i="9"/>
  <c r="D87" i="9"/>
  <c r="D86" i="9"/>
  <c r="E75" i="9"/>
  <c r="F75" i="9" s="1"/>
  <c r="G75" i="9" s="1"/>
  <c r="G63" i="9"/>
  <c r="F63" i="9"/>
  <c r="E63" i="9"/>
  <c r="Q63" i="9" s="1"/>
  <c r="D55" i="9"/>
  <c r="D54" i="9"/>
  <c r="D53" i="9"/>
  <c r="D52" i="9"/>
  <c r="D51" i="9"/>
  <c r="T5" i="9"/>
  <c r="U5" i="9" s="1"/>
  <c r="E4" i="9"/>
  <c r="C100" i="11"/>
  <c r="A100" i="11"/>
  <c r="C99" i="11"/>
  <c r="A99" i="11"/>
  <c r="C98" i="11"/>
  <c r="A98" i="11"/>
  <c r="C90" i="11"/>
  <c r="E65" i="11"/>
  <c r="E64" i="11"/>
  <c r="E63" i="11"/>
  <c r="G62" i="11"/>
  <c r="E62" i="11" a="1"/>
  <c r="E62" i="11" s="1"/>
  <c r="D62" i="11"/>
  <c r="I57" i="11"/>
  <c r="E55" i="11"/>
  <c r="E54" i="11"/>
  <c r="E53" i="11"/>
  <c r="D53" i="11"/>
  <c r="D90" i="9" s="1"/>
  <c r="E52" i="11"/>
  <c r="H51" i="11"/>
  <c r="E51" i="11"/>
  <c r="D51" i="11"/>
  <c r="D88" i="9" s="1"/>
  <c r="E50" i="11"/>
  <c r="E49" i="11"/>
  <c r="E48" i="11"/>
  <c r="D48" i="11"/>
  <c r="D85" i="9" s="1"/>
  <c r="E47" i="11"/>
  <c r="D47" i="11"/>
  <c r="D84" i="9" s="1"/>
  <c r="E46" i="11"/>
  <c r="E45" i="11"/>
  <c r="E44" i="11"/>
  <c r="E43" i="11"/>
  <c r="E42" i="11"/>
  <c r="E41" i="11"/>
  <c r="E40" i="11"/>
  <c r="D40" i="11"/>
  <c r="D77" i="9" s="1"/>
  <c r="E39" i="11"/>
  <c r="E37" i="11"/>
  <c r="D37" i="11"/>
  <c r="D74" i="9" s="1"/>
  <c r="E36" i="11"/>
  <c r="E34" i="11"/>
  <c r="E35" i="11" s="1"/>
  <c r="E32" i="11"/>
  <c r="E33" i="11" s="1"/>
  <c r="E30" i="11"/>
  <c r="G57" i="11" s="1"/>
  <c r="E26" i="11"/>
  <c r="E25" i="11"/>
  <c r="E24" i="11"/>
  <c r="E19" i="11"/>
  <c r="E18" i="11"/>
  <c r="E17" i="11"/>
  <c r="E13" i="11"/>
  <c r="E12" i="11"/>
  <c r="E11" i="11"/>
  <c r="E10" i="11"/>
  <c r="E9" i="11"/>
  <c r="E8" i="11"/>
  <c r="E7" i="11"/>
  <c r="E6" i="11"/>
  <c r="E5" i="11"/>
  <c r="E4" i="11"/>
  <c r="E3" i="11"/>
  <c r="C100" i="12"/>
  <c r="E35" i="12" s="1"/>
  <c r="A100" i="12"/>
  <c r="C99" i="12"/>
  <c r="A99" i="12"/>
  <c r="C98" i="12"/>
  <c r="E31" i="12" s="1"/>
  <c r="A98" i="12"/>
  <c r="C90" i="12"/>
  <c r="E67" i="12" a="1"/>
  <c r="E67" i="12" s="1"/>
  <c r="E65" i="12"/>
  <c r="E99" i="9" s="1"/>
  <c r="Q99" i="9" s="1"/>
  <c r="E64" i="12"/>
  <c r="E98" i="9" s="1"/>
  <c r="Q98" i="9" s="1"/>
  <c r="E63" i="12"/>
  <c r="E97" i="9" s="1"/>
  <c r="Q97" i="9" s="1"/>
  <c r="E62" i="12" a="1"/>
  <c r="E62" i="12" s="1"/>
  <c r="E96" i="9" s="1"/>
  <c r="D62" i="12"/>
  <c r="E61" i="12"/>
  <c r="E95" i="9" s="1"/>
  <c r="I58" i="12"/>
  <c r="D58" i="12"/>
  <c r="I57" i="12"/>
  <c r="E55" i="12"/>
  <c r="E92" i="9" s="1"/>
  <c r="E54" i="12"/>
  <c r="E91" i="9" s="1"/>
  <c r="E53" i="12"/>
  <c r="E90" i="9" s="1"/>
  <c r="D53" i="12"/>
  <c r="E52" i="12"/>
  <c r="E89" i="9" s="1"/>
  <c r="E51" i="12"/>
  <c r="E88" i="9" s="1"/>
  <c r="D51" i="12"/>
  <c r="E50" i="12"/>
  <c r="E87" i="9" s="1"/>
  <c r="E49" i="12"/>
  <c r="E86" i="9" s="1"/>
  <c r="E48" i="12"/>
  <c r="E85" i="9" s="1"/>
  <c r="D48" i="12"/>
  <c r="E47" i="12"/>
  <c r="E84" i="9" s="1"/>
  <c r="D47" i="12"/>
  <c r="E46" i="12"/>
  <c r="E83" i="9" s="1"/>
  <c r="E45" i="12"/>
  <c r="E44" i="12"/>
  <c r="E81" i="9" s="1"/>
  <c r="E43" i="12"/>
  <c r="E80" i="9" s="1"/>
  <c r="H42" i="12"/>
  <c r="E42" i="12"/>
  <c r="E79" i="9" s="1"/>
  <c r="E41" i="12"/>
  <c r="E78" i="9" s="1"/>
  <c r="E40" i="12"/>
  <c r="E77" i="9" s="1"/>
  <c r="D40" i="12"/>
  <c r="E39" i="12"/>
  <c r="E76" i="9" s="1"/>
  <c r="E37" i="12"/>
  <c r="E74" i="9" s="1"/>
  <c r="D37" i="12"/>
  <c r="E36" i="12"/>
  <c r="E73" i="9" s="1"/>
  <c r="E34" i="12"/>
  <c r="E71" i="9" s="1"/>
  <c r="E32" i="12"/>
  <c r="E69" i="9" s="1"/>
  <c r="E30" i="12"/>
  <c r="E67" i="9" s="1"/>
  <c r="E26" i="12"/>
  <c r="E66" i="9" s="1"/>
  <c r="E25" i="12"/>
  <c r="E65" i="9" s="1"/>
  <c r="E24" i="12"/>
  <c r="E64" i="9" s="1"/>
  <c r="E19" i="12"/>
  <c r="E62" i="9" s="1"/>
  <c r="E18" i="12"/>
  <c r="E61" i="9" s="1"/>
  <c r="E17" i="12"/>
  <c r="E60" i="9" s="1"/>
  <c r="E13" i="12"/>
  <c r="E59" i="9" s="1"/>
  <c r="E12" i="12"/>
  <c r="E58" i="9" s="1"/>
  <c r="E11" i="12"/>
  <c r="E57" i="9" s="1"/>
  <c r="E10" i="12"/>
  <c r="E56" i="9" s="1"/>
  <c r="E9" i="12"/>
  <c r="E8" i="12"/>
  <c r="E55" i="9" s="1"/>
  <c r="E7" i="12"/>
  <c r="E54" i="9" s="1"/>
  <c r="E6" i="12"/>
  <c r="E53" i="9" s="1"/>
  <c r="E5" i="12"/>
  <c r="E52" i="9" s="1"/>
  <c r="E4" i="12"/>
  <c r="E51" i="9" s="1"/>
  <c r="E3" i="12"/>
  <c r="E50" i="9" s="1"/>
  <c r="E47" i="10"/>
  <c r="D47" i="10"/>
  <c r="E46" i="10"/>
  <c r="E45" i="10"/>
  <c r="E44" i="10"/>
  <c r="E43" i="10"/>
  <c r="D43" i="10"/>
  <c r="E42" i="10"/>
  <c r="D42" i="10"/>
  <c r="E41" i="10"/>
  <c r="D35" i="10"/>
  <c r="E34" i="10"/>
  <c r="D34" i="10"/>
  <c r="E33" i="10"/>
  <c r="D33" i="10"/>
  <c r="E32" i="10"/>
  <c r="D32" i="10"/>
  <c r="E31" i="10"/>
  <c r="D31" i="10"/>
  <c r="E30" i="10"/>
  <c r="D30" i="10"/>
  <c r="E29" i="10"/>
  <c r="D29" i="10"/>
  <c r="E28" i="10"/>
  <c r="D28" i="10"/>
  <c r="E27" i="10"/>
  <c r="D27" i="10"/>
  <c r="E26" i="10"/>
  <c r="D26" i="10"/>
  <c r="E25" i="10"/>
  <c r="D25" i="10"/>
  <c r="E24" i="10"/>
  <c r="D24" i="10"/>
  <c r="E23" i="10"/>
  <c r="D23" i="10"/>
  <c r="E22" i="10"/>
  <c r="D22" i="10"/>
  <c r="E21" i="10"/>
  <c r="D21" i="10"/>
  <c r="E20" i="10"/>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E6" i="10"/>
  <c r="D6" i="10"/>
  <c r="E5" i="10"/>
  <c r="D5" i="10"/>
  <c r="E4" i="10"/>
  <c r="D4" i="10"/>
  <c r="E3" i="10"/>
  <c r="E35" i="10" s="1"/>
  <c r="D3" i="10"/>
  <c r="E47" i="5"/>
  <c r="D47" i="5"/>
  <c r="E46" i="5"/>
  <c r="E44" i="9" s="1"/>
  <c r="E45" i="5"/>
  <c r="E43" i="9" s="1"/>
  <c r="E44" i="5"/>
  <c r="E42" i="9" s="1"/>
  <c r="E43" i="5"/>
  <c r="E41" i="9" s="1"/>
  <c r="D43" i="5"/>
  <c r="E42" i="5"/>
  <c r="E40" i="9" s="1"/>
  <c r="D42" i="5"/>
  <c r="E41" i="5"/>
  <c r="E39" i="9" s="1"/>
  <c r="E37" i="5"/>
  <c r="D37" i="5"/>
  <c r="E36" i="5"/>
  <c r="E3" i="9" s="1"/>
  <c r="D36" i="5"/>
  <c r="D38" i="9" s="1"/>
  <c r="D45" i="9" s="1"/>
  <c r="D46" i="9" s="1"/>
  <c r="D48" i="9" s="1"/>
  <c r="D49" i="9" s="1"/>
  <c r="D35" i="5"/>
  <c r="D37" i="9" s="1"/>
  <c r="E34" i="5"/>
  <c r="E36" i="9" s="1"/>
  <c r="D34" i="5"/>
  <c r="E33" i="5"/>
  <c r="E35" i="9" s="1"/>
  <c r="D33" i="5"/>
  <c r="E32" i="5"/>
  <c r="E34" i="9" s="1"/>
  <c r="D32" i="5"/>
  <c r="E31" i="5"/>
  <c r="E33" i="9" s="1"/>
  <c r="D31" i="5"/>
  <c r="E30" i="5"/>
  <c r="E32" i="9" s="1"/>
  <c r="D30" i="5"/>
  <c r="E29" i="5"/>
  <c r="E31" i="9" s="1"/>
  <c r="D29" i="5"/>
  <c r="E28" i="5"/>
  <c r="E30" i="9" s="1"/>
  <c r="D28" i="5"/>
  <c r="E27" i="5"/>
  <c r="E29" i="9" s="1"/>
  <c r="D27" i="5"/>
  <c r="E26" i="5"/>
  <c r="E28" i="9" s="1"/>
  <c r="D26" i="5"/>
  <c r="E25" i="5"/>
  <c r="E27" i="9" s="1"/>
  <c r="D25" i="5"/>
  <c r="E24" i="5"/>
  <c r="E26" i="9" s="1"/>
  <c r="D24" i="5"/>
  <c r="E23" i="5"/>
  <c r="E25" i="9" s="1"/>
  <c r="D23" i="5"/>
  <c r="E22" i="5"/>
  <c r="E24" i="9" s="1"/>
  <c r="Q24" i="9" s="1"/>
  <c r="D22" i="5"/>
  <c r="E21" i="5"/>
  <c r="E23" i="9" s="1"/>
  <c r="D21" i="5"/>
  <c r="E20" i="5"/>
  <c r="E22" i="9" s="1"/>
  <c r="F22" i="9" s="1"/>
  <c r="G22" i="9" s="1"/>
  <c r="D20" i="5"/>
  <c r="E19" i="5"/>
  <c r="E21" i="9" s="1"/>
  <c r="D19" i="5"/>
  <c r="E18" i="5"/>
  <c r="E20" i="9" s="1"/>
  <c r="D18" i="5"/>
  <c r="E17" i="5"/>
  <c r="E19" i="9" s="1"/>
  <c r="Q19" i="9" s="1"/>
  <c r="D17" i="5"/>
  <c r="E16" i="5"/>
  <c r="E18" i="9" s="1"/>
  <c r="F18" i="9" s="1"/>
  <c r="G18" i="9" s="1"/>
  <c r="D16" i="5"/>
  <c r="E15" i="5"/>
  <c r="E17" i="9" s="1"/>
  <c r="D15" i="5"/>
  <c r="E14" i="5"/>
  <c r="E16" i="9" s="1"/>
  <c r="D14" i="5"/>
  <c r="E13" i="5"/>
  <c r="E15" i="9" s="1"/>
  <c r="D13" i="5"/>
  <c r="E12" i="5"/>
  <c r="E14" i="9" s="1"/>
  <c r="D12" i="5"/>
  <c r="E11" i="5"/>
  <c r="E13" i="9" s="1"/>
  <c r="D11" i="5"/>
  <c r="E10" i="5"/>
  <c r="E12" i="9" s="1"/>
  <c r="D10" i="5"/>
  <c r="E9" i="5"/>
  <c r="E11" i="9" s="1"/>
  <c r="D9" i="5"/>
  <c r="E8" i="5"/>
  <c r="E10" i="9" s="1"/>
  <c r="D8" i="5"/>
  <c r="E7" i="5"/>
  <c r="E9" i="9" s="1"/>
  <c r="D7" i="5"/>
  <c r="E6" i="5"/>
  <c r="E8" i="9" s="1"/>
  <c r="D6" i="5"/>
  <c r="E5" i="5"/>
  <c r="E7" i="9" s="1"/>
  <c r="D5" i="5"/>
  <c r="E4" i="5"/>
  <c r="E6" i="9" s="1"/>
  <c r="D4" i="5"/>
  <c r="E3" i="5"/>
  <c r="E5" i="9" s="1"/>
  <c r="D3" i="5"/>
  <c r="D18" i="9" s="1"/>
  <c r="D225" i="6"/>
  <c r="E116" i="6"/>
  <c r="E109" i="6"/>
  <c r="E102" i="6"/>
  <c r="E95" i="6"/>
  <c r="E92" i="6"/>
  <c r="E89" i="6"/>
  <c r="E86" i="6"/>
  <c r="E83" i="6"/>
  <c r="E80" i="6"/>
  <c r="E77" i="6"/>
  <c r="E74" i="6"/>
  <c r="E71" i="6"/>
  <c r="E68" i="6"/>
  <c r="D225" i="1"/>
  <c r="E116" i="1"/>
  <c r="E109" i="1"/>
  <c r="E102" i="1"/>
  <c r="E95" i="1"/>
  <c r="E92" i="1"/>
  <c r="E89" i="1"/>
  <c r="E86" i="1"/>
  <c r="E83" i="1"/>
  <c r="E80" i="1"/>
  <c r="E77" i="1"/>
  <c r="E74" i="1"/>
  <c r="E71" i="1"/>
  <c r="E68" i="1"/>
  <c r="W5" i="9" l="1"/>
  <c r="F15" i="9"/>
  <c r="G15" i="9" s="1"/>
  <c r="Q15" i="9"/>
  <c r="F17" i="9"/>
  <c r="G17" i="9" s="1"/>
  <c r="Q17" i="9"/>
  <c r="F5" i="9"/>
  <c r="G5" i="9" s="1"/>
  <c r="Q5" i="9"/>
  <c r="Q7" i="9"/>
  <c r="F7" i="9"/>
  <c r="G7" i="9" s="1"/>
  <c r="Q9" i="9"/>
  <c r="F9" i="9"/>
  <c r="G9" i="9" s="1"/>
  <c r="F11" i="9"/>
  <c r="G11" i="9" s="1"/>
  <c r="Q11" i="9"/>
  <c r="E37" i="9"/>
  <c r="Q13" i="9"/>
  <c r="F13" i="9"/>
  <c r="G13" i="9" s="1"/>
  <c r="F21" i="9"/>
  <c r="G21" i="9" s="1"/>
  <c r="Q21" i="9"/>
  <c r="F96" i="9"/>
  <c r="G96" i="9" s="1"/>
  <c r="T9" i="9" s="1"/>
  <c r="Q96" i="9"/>
  <c r="E57" i="11"/>
  <c r="E58" i="11" s="1"/>
  <c r="E38" i="9"/>
  <c r="F6" i="9"/>
  <c r="G6" i="9" s="1"/>
  <c r="Q6" i="9"/>
  <c r="Q8" i="9"/>
  <c r="F8" i="9"/>
  <c r="G8" i="9" s="1"/>
  <c r="Q10" i="9"/>
  <c r="F10" i="9"/>
  <c r="G10" i="9" s="1"/>
  <c r="F12" i="9"/>
  <c r="G12" i="9" s="1"/>
  <c r="Q12" i="9"/>
  <c r="Q14" i="9"/>
  <c r="F14" i="9"/>
  <c r="G14" i="9" s="1"/>
  <c r="F16" i="9"/>
  <c r="G16" i="9" s="1"/>
  <c r="Q16" i="9"/>
  <c r="Q20" i="9"/>
  <c r="F20" i="9"/>
  <c r="G20" i="9" s="1"/>
  <c r="E72" i="9"/>
  <c r="F30" i="9"/>
  <c r="G30" i="9" s="1"/>
  <c r="Q30" i="9"/>
  <c r="Q34" i="9"/>
  <c r="F34" i="9"/>
  <c r="G34" i="9" s="1"/>
  <c r="Q42" i="9"/>
  <c r="F42" i="9"/>
  <c r="G42" i="9" s="1"/>
  <c r="F53" i="9"/>
  <c r="G53" i="9" s="1"/>
  <c r="Q53" i="9"/>
  <c r="Q56" i="9"/>
  <c r="F56" i="9"/>
  <c r="G56" i="9" s="1"/>
  <c r="Q60" i="9"/>
  <c r="F60" i="9"/>
  <c r="G60" i="9" s="1"/>
  <c r="Q65" i="9"/>
  <c r="F65" i="9"/>
  <c r="G65" i="9" s="1"/>
  <c r="F69" i="9"/>
  <c r="G69" i="9" s="1"/>
  <c r="Q69" i="9"/>
  <c r="Q73" i="9"/>
  <c r="F73" i="9"/>
  <c r="G73" i="9" s="1"/>
  <c r="F83" i="9"/>
  <c r="G83" i="9" s="1"/>
  <c r="Q83" i="9"/>
  <c r="Q85" i="9"/>
  <c r="F85" i="9"/>
  <c r="G85" i="9" s="1"/>
  <c r="Q88" i="9"/>
  <c r="F88" i="9"/>
  <c r="G88" i="9" s="1"/>
  <c r="Q91" i="9"/>
  <c r="F91" i="9"/>
  <c r="G91" i="9" s="1"/>
  <c r="D11" i="9"/>
  <c r="D15" i="9"/>
  <c r="Q18" i="9"/>
  <c r="Q22" i="9"/>
  <c r="Q28" i="9"/>
  <c r="F28" i="9"/>
  <c r="G28" i="9" s="1"/>
  <c r="Q43" i="9"/>
  <c r="F43" i="9"/>
  <c r="G43" i="9" s="1"/>
  <c r="F50" i="9"/>
  <c r="G50" i="9" s="1"/>
  <c r="Q50" i="9"/>
  <c r="F54" i="9"/>
  <c r="G54" i="9" s="1"/>
  <c r="Q54" i="9"/>
  <c r="Q57" i="9"/>
  <c r="F57" i="9"/>
  <c r="G57" i="9" s="1"/>
  <c r="Q61" i="9"/>
  <c r="F61" i="9"/>
  <c r="G61" i="9" s="1"/>
  <c r="Q66" i="9"/>
  <c r="F66" i="9"/>
  <c r="G66" i="9" s="1"/>
  <c r="E33" i="12"/>
  <c r="E70" i="9" s="1"/>
  <c r="F77" i="9"/>
  <c r="G77" i="9" s="1"/>
  <c r="T7" i="9" s="1"/>
  <c r="Q77" i="9"/>
  <c r="F80" i="9"/>
  <c r="G80" i="9" s="1"/>
  <c r="Q80" i="9"/>
  <c r="F86" i="9"/>
  <c r="G86" i="9" s="1"/>
  <c r="Q86" i="9"/>
  <c r="Q89" i="9"/>
  <c r="F89" i="9"/>
  <c r="G89" i="9" s="1"/>
  <c r="Q92" i="9"/>
  <c r="F92" i="9"/>
  <c r="G92" i="9" s="1"/>
  <c r="K57" i="12"/>
  <c r="Q95" i="9"/>
  <c r="F95" i="9"/>
  <c r="G95" i="9" s="1"/>
  <c r="K57" i="11"/>
  <c r="D5" i="9"/>
  <c r="D6" i="9"/>
  <c r="D12" i="9"/>
  <c r="D16" i="9"/>
  <c r="F19" i="9"/>
  <c r="G19" i="9" s="1"/>
  <c r="D21" i="9"/>
  <c r="F36" i="9"/>
  <c r="G36" i="9" s="1"/>
  <c r="Q36" i="9"/>
  <c r="F40" i="9"/>
  <c r="G40" i="9" s="1"/>
  <c r="Q40" i="9"/>
  <c r="Q23" i="9"/>
  <c r="F23" i="9"/>
  <c r="G23" i="9" s="1"/>
  <c r="Q27" i="9"/>
  <c r="F27" i="9"/>
  <c r="G27" i="9" s="1"/>
  <c r="F31" i="9"/>
  <c r="G31" i="9" s="1"/>
  <c r="Q31" i="9"/>
  <c r="Q35" i="9"/>
  <c r="F35" i="9"/>
  <c r="G35" i="9" s="1"/>
  <c r="E35" i="5"/>
  <c r="Q55" i="9"/>
  <c r="F55" i="9"/>
  <c r="G55" i="9" s="1"/>
  <c r="Q62" i="9"/>
  <c r="F62" i="9"/>
  <c r="G62" i="9" s="1"/>
  <c r="F71" i="9"/>
  <c r="G71" i="9" s="1"/>
  <c r="Q71" i="9"/>
  <c r="F74" i="9"/>
  <c r="G74" i="9" s="1"/>
  <c r="Q74" i="9"/>
  <c r="F78" i="9"/>
  <c r="G78" i="9" s="1"/>
  <c r="Q78" i="9"/>
  <c r="F81" i="9"/>
  <c r="G81" i="9" s="1"/>
  <c r="Q81" i="9"/>
  <c r="Q84" i="9"/>
  <c r="F84" i="9"/>
  <c r="G84" i="9" s="1"/>
  <c r="D58" i="11"/>
  <c r="D94" i="9" s="1"/>
  <c r="D3" i="9"/>
  <c r="D7" i="9"/>
  <c r="D8" i="9"/>
  <c r="D13" i="9"/>
  <c r="D17" i="9"/>
  <c r="F24" i="9"/>
  <c r="G24" i="9" s="1"/>
  <c r="F26" i="9"/>
  <c r="G26" i="9" s="1"/>
  <c r="Q26" i="9"/>
  <c r="F32" i="9"/>
  <c r="G32" i="9" s="1"/>
  <c r="Q32" i="9"/>
  <c r="D43" i="9"/>
  <c r="D39" i="9"/>
  <c r="D35" i="9"/>
  <c r="D28" i="9"/>
  <c r="D24" i="9"/>
  <c r="D20" i="9"/>
  <c r="D42" i="9"/>
  <c r="D34" i="9"/>
  <c r="D27" i="9"/>
  <c r="D23" i="9"/>
  <c r="D19" i="9"/>
  <c r="D41" i="9"/>
  <c r="D30" i="9"/>
  <c r="D26" i="9"/>
  <c r="D44" i="9"/>
  <c r="D40" i="9"/>
  <c r="D36" i="9"/>
  <c r="D29" i="9"/>
  <c r="D25" i="9"/>
  <c r="F25" i="9"/>
  <c r="G25" i="9" s="1"/>
  <c r="Q25" i="9"/>
  <c r="F29" i="9"/>
  <c r="G29" i="9" s="1"/>
  <c r="Q29" i="9"/>
  <c r="F33" i="9"/>
  <c r="G33" i="9" s="1"/>
  <c r="Q33" i="9"/>
  <c r="F44" i="9"/>
  <c r="G44" i="9" s="1"/>
  <c r="Q44" i="9"/>
  <c r="Q51" i="9"/>
  <c r="F51" i="9"/>
  <c r="G51" i="9" s="1"/>
  <c r="Q58" i="9"/>
  <c r="F58" i="9"/>
  <c r="G58" i="9" s="1"/>
  <c r="Q67" i="9"/>
  <c r="F67" i="9"/>
  <c r="G67" i="9" s="1"/>
  <c r="F87" i="9"/>
  <c r="G87" i="9" s="1"/>
  <c r="Q87" i="9"/>
  <c r="Q39" i="9"/>
  <c r="E45" i="9"/>
  <c r="F39" i="9"/>
  <c r="G39" i="9" s="1"/>
  <c r="F41" i="9"/>
  <c r="G41" i="9" s="1"/>
  <c r="Q41" i="9"/>
  <c r="Q52" i="9"/>
  <c r="F52" i="9"/>
  <c r="G52" i="9" s="1"/>
  <c r="Q59" i="9"/>
  <c r="F59" i="9"/>
  <c r="G59" i="9" s="1"/>
  <c r="Q64" i="9"/>
  <c r="F64" i="9"/>
  <c r="G64" i="9" s="1"/>
  <c r="F76" i="9"/>
  <c r="G76" i="9" s="1"/>
  <c r="Q76" i="9"/>
  <c r="F79" i="9"/>
  <c r="G79" i="9" s="1"/>
  <c r="Q79" i="9"/>
  <c r="E82" i="9"/>
  <c r="Q90" i="9"/>
  <c r="F90" i="9"/>
  <c r="G90" i="9" s="1"/>
  <c r="G57" i="12"/>
  <c r="E57" i="12" s="1"/>
  <c r="E31" i="11"/>
  <c r="E68" i="9" s="1"/>
  <c r="D4" i="9"/>
  <c r="D9" i="9"/>
  <c r="D10" i="9"/>
  <c r="D14" i="9"/>
  <c r="D22" i="9"/>
  <c r="Q75" i="9"/>
  <c r="G70" i="9" l="1"/>
  <c r="Q70" i="9"/>
  <c r="W7" i="9"/>
  <c r="U7" i="9"/>
  <c r="W9" i="9"/>
  <c r="Z8" i="9"/>
  <c r="U9" i="9"/>
  <c r="E93" i="9"/>
  <c r="Q93" i="9" s="1"/>
  <c r="E58" i="12"/>
  <c r="E94" i="9" s="1"/>
  <c r="Q45" i="9"/>
  <c r="E46" i="9"/>
  <c r="Q68" i="9"/>
  <c r="G68" i="9"/>
  <c r="T6" i="9" s="1"/>
  <c r="F82" i="9"/>
  <c r="G82" i="9" s="1"/>
  <c r="Q82" i="9"/>
  <c r="T4" i="9"/>
  <c r="Q72" i="9"/>
  <c r="G72" i="9"/>
  <c r="Q38" i="9"/>
  <c r="F38" i="9"/>
  <c r="G38" i="9" s="1"/>
  <c r="T3" i="9" s="1"/>
  <c r="F37" i="9"/>
  <c r="G37" i="9" s="1"/>
  <c r="Q37" i="9"/>
  <c r="U6" i="9" l="1"/>
  <c r="W6" i="9"/>
  <c r="Q46" i="9"/>
  <c r="E47" i="9"/>
  <c r="W4" i="9"/>
  <c r="U4" i="9"/>
  <c r="Q94" i="9"/>
  <c r="F94" i="9"/>
  <c r="G94" i="9" s="1"/>
  <c r="T8" i="9" s="1"/>
  <c r="Z6" i="9" s="1"/>
  <c r="W3" i="9"/>
  <c r="U3" i="9"/>
  <c r="Z4" i="9"/>
  <c r="W8" i="9" l="1"/>
  <c r="U8" i="9"/>
</calcChain>
</file>

<file path=xl/sharedStrings.xml><?xml version="1.0" encoding="utf-8"?>
<sst xmlns="http://schemas.openxmlformats.org/spreadsheetml/2006/main" count="3179" uniqueCount="834">
  <si>
    <t xml:space="preserve">WATER </t>
  </si>
  <si>
    <t>Irrigation</t>
  </si>
  <si>
    <t>Fertigation</t>
  </si>
  <si>
    <t xml:space="preserve">Cleaning </t>
  </si>
  <si>
    <t>Fertilisation</t>
  </si>
  <si>
    <t>FUEL</t>
  </si>
  <si>
    <t xml:space="preserve">LABOUR </t>
  </si>
  <si>
    <t xml:space="preserve">N. of treatements </t>
  </si>
  <si>
    <t xml:space="preserve">FERTILISER </t>
  </si>
  <si>
    <t>FEED</t>
  </si>
  <si>
    <t>Product 1</t>
  </si>
  <si>
    <t>Product 2</t>
  </si>
  <si>
    <t xml:space="preserve">DRUGS </t>
  </si>
  <si>
    <t xml:space="preserve">ELECTRICITY </t>
  </si>
  <si>
    <t xml:space="preserve">Irrigation </t>
  </si>
  <si>
    <t xml:space="preserve">Milking </t>
  </si>
  <si>
    <t xml:space="preserve">Pesticides </t>
  </si>
  <si>
    <t>Nitrogen applied</t>
  </si>
  <si>
    <t>Nitrogen use efficiency</t>
  </si>
  <si>
    <t>Phosphorus applied</t>
  </si>
  <si>
    <t>Phosphorus use efficiency</t>
  </si>
  <si>
    <t>Irrigation water productivity</t>
  </si>
  <si>
    <t>Electricity consumption</t>
  </si>
  <si>
    <t xml:space="preserve">Fuel GHG emission </t>
  </si>
  <si>
    <t xml:space="preserve">N2O GHG emission </t>
  </si>
  <si>
    <t>Training hours (for the use of DATs)</t>
  </si>
  <si>
    <t>Working time</t>
  </si>
  <si>
    <t xml:space="preserve">Frequency rate of occupational injuries </t>
  </si>
  <si>
    <t xml:space="preserve">Incidence of occupational injuries </t>
  </si>
  <si>
    <t>Contribution to local employment</t>
  </si>
  <si>
    <t xml:space="preserve">Pest dilution </t>
  </si>
  <si>
    <t xml:space="preserve">Pruning </t>
  </si>
  <si>
    <t>Temperature and Humidity Control</t>
  </si>
  <si>
    <t xml:space="preserve">Heat detection </t>
  </si>
  <si>
    <t xml:space="preserve">Calving detection </t>
  </si>
  <si>
    <t xml:space="preserve">Ease of movement </t>
  </si>
  <si>
    <t>Mortality rate at birth</t>
  </si>
  <si>
    <t xml:space="preserve">Beehives visits </t>
  </si>
  <si>
    <t xml:space="preserve">Transporting oysters to the laboratory  </t>
  </si>
  <si>
    <t xml:space="preserve">Feeding </t>
  </si>
  <si>
    <t>Question</t>
  </si>
  <si>
    <t>TC Number</t>
  </si>
  <si>
    <t>TC Leader</t>
  </si>
  <si>
    <t>Biogeographical region</t>
  </si>
  <si>
    <t xml:space="preserve">Value </t>
  </si>
  <si>
    <t>€</t>
  </si>
  <si>
    <t>y</t>
  </si>
  <si>
    <t>DATs maintenance costs</t>
  </si>
  <si>
    <t>€/y</t>
  </si>
  <si>
    <t xml:space="preserve">Instructions to be followed to complete the Data Collection Template </t>
  </si>
  <si>
    <t>Table of abbreviations</t>
  </si>
  <si>
    <t>-</t>
  </si>
  <si>
    <t>number (1, 2, 3, …)</t>
  </si>
  <si>
    <t>euro</t>
  </si>
  <si>
    <t/>
  </si>
  <si>
    <t>cubic centimetre</t>
  </si>
  <si>
    <t/>
  </si>
  <si>
    <t>cubic decimetre</t>
  </si>
  <si>
    <t>g</t>
  </si>
  <si>
    <t xml:space="preserve">grams </t>
  </si>
  <si>
    <t>h</t>
  </si>
  <si>
    <t>hour</t>
  </si>
  <si>
    <t>ha</t>
  </si>
  <si>
    <t>hectare</t>
  </si>
  <si>
    <t>K</t>
  </si>
  <si>
    <t>potassium</t>
  </si>
  <si>
    <t>k€</t>
  </si>
  <si>
    <t>kiloeuro (€ 1,000)</t>
  </si>
  <si>
    <t>kg</t>
  </si>
  <si>
    <t>kilograms</t>
  </si>
  <si>
    <t>kWh</t>
  </si>
  <si>
    <t>kilowatt-hour</t>
  </si>
  <si>
    <t>l</t>
  </si>
  <si>
    <t>litre</t>
  </si>
  <si>
    <t>mg</t>
  </si>
  <si>
    <t>micrograms</t>
  </si>
  <si>
    <t>mo</t>
  </si>
  <si>
    <t>month</t>
  </si>
  <si>
    <t/>
  </si>
  <si>
    <t xml:space="preserve">square metre </t>
  </si>
  <si>
    <t/>
  </si>
  <si>
    <t>cubic metre</t>
  </si>
  <si>
    <t>N</t>
  </si>
  <si>
    <t>nitrogen</t>
  </si>
  <si>
    <t>P</t>
  </si>
  <si>
    <t>phosphorus</t>
  </si>
  <si>
    <t>ppm</t>
  </si>
  <si>
    <t>parts per million</t>
  </si>
  <si>
    <t>t</t>
  </si>
  <si>
    <t>tonnes</t>
  </si>
  <si>
    <t>w</t>
  </si>
  <si>
    <t>week</t>
  </si>
  <si>
    <t>year</t>
  </si>
  <si>
    <t>Identification</t>
  </si>
  <si>
    <t>Parcel Name</t>
  </si>
  <si>
    <t xml:space="preserve"> </t>
  </si>
  <si>
    <t>yes</t>
  </si>
  <si>
    <t>no</t>
  </si>
  <si>
    <t xml:space="preserve">u.m. </t>
  </si>
  <si>
    <t>value</t>
  </si>
  <si>
    <t>Notes</t>
  </si>
  <si>
    <t>Parcel dimension</t>
  </si>
  <si>
    <t>Number of animals</t>
  </si>
  <si>
    <t>Livestock units per hectare</t>
  </si>
  <si>
    <t>LSU/ha</t>
  </si>
  <si>
    <t>%</t>
  </si>
  <si>
    <t>Soil Organic Carbon</t>
  </si>
  <si>
    <t>Year 1</t>
  </si>
  <si>
    <t>Year 2</t>
  </si>
  <si>
    <t>Year 3</t>
  </si>
  <si>
    <t>data</t>
  </si>
  <si>
    <t xml:space="preserve">Drinking </t>
  </si>
  <si>
    <t>#</t>
  </si>
  <si>
    <t>n</t>
  </si>
  <si>
    <t>Calves died in the first 24h</t>
  </si>
  <si>
    <t>Total number of lost working hours due to occupational injuries</t>
  </si>
  <si>
    <t>OUTPUT</t>
  </si>
  <si>
    <t xml:space="preserve">Milk </t>
  </si>
  <si>
    <t xml:space="preserve">Meat </t>
  </si>
  <si>
    <t xml:space="preserve">Oyster </t>
  </si>
  <si>
    <t xml:space="preserve">Honey </t>
  </si>
  <si>
    <t>Water price</t>
  </si>
  <si>
    <t>Fuel price</t>
  </si>
  <si>
    <t>Electricity price</t>
  </si>
  <si>
    <t>Tot. number  of calves born</t>
  </si>
  <si>
    <t>Unit of measure</t>
  </si>
  <si>
    <t>Number of beehives</t>
  </si>
  <si>
    <t>Sowing / Planting</t>
  </si>
  <si>
    <t xml:space="preserve">or Total water used </t>
  </si>
  <si>
    <t>number of days per year with access to pasture and outdoor loafing area</t>
  </si>
  <si>
    <t>Outdoor loafing area</t>
  </si>
  <si>
    <t xml:space="preserve">Number of days per year with access to pasture </t>
  </si>
  <si>
    <t>New injury cases</t>
  </si>
  <si>
    <t>Working hours</t>
  </si>
  <si>
    <t>Number of new local employees hired</t>
  </si>
  <si>
    <t>Number of new employees hired</t>
  </si>
  <si>
    <t xml:space="preserve">or Total fuel used </t>
  </si>
  <si>
    <t xml:space="preserve">or Total electricity used </t>
  </si>
  <si>
    <t xml:space="preserve">INDICATOR </t>
  </si>
  <si>
    <t>SCENARIO</t>
  </si>
  <si>
    <t>UoM</t>
  </si>
  <si>
    <t>Cost of water</t>
  </si>
  <si>
    <t>Without DATs</t>
  </si>
  <si>
    <t>€/ha</t>
  </si>
  <si>
    <t>Cost of  fuel</t>
  </si>
  <si>
    <t>INDICATOR</t>
  </si>
  <si>
    <t>Formula</t>
  </si>
  <si>
    <t>kg/ha</t>
  </si>
  <si>
    <t>kWh/ha</t>
  </si>
  <si>
    <t>kg Co2e/ha</t>
  </si>
  <si>
    <t>direct + indirect N2O emissions</t>
  </si>
  <si>
    <t>direct</t>
  </si>
  <si>
    <t>indirect volatilisation</t>
  </si>
  <si>
    <t>n./hours</t>
  </si>
  <si>
    <t xml:space="preserve">Number of new injury cases/Total number of working hours </t>
  </si>
  <si>
    <t xml:space="preserve">Total number of lost working hours due to occupational injuries/Total number of working hours </t>
  </si>
  <si>
    <t xml:space="preserve">Number of new local employees/Total new employees hired </t>
  </si>
  <si>
    <t>With DATs</t>
  </si>
  <si>
    <t>h/employee</t>
  </si>
  <si>
    <t>Time spent for training hours for all the employee/number of employees</t>
  </si>
  <si>
    <t>Without DAT</t>
  </si>
  <si>
    <t>Cost of electricity</t>
  </si>
  <si>
    <t>d/y</t>
  </si>
  <si>
    <t>(Number of deaths in a year/Average herd size)</t>
  </si>
  <si>
    <t>(Calves died in the first 24 h / Total number of calves born)</t>
  </si>
  <si>
    <t>FARM DATA</t>
  </si>
  <si>
    <t>INPUT</t>
  </si>
  <si>
    <t xml:space="preserve">FUEL </t>
  </si>
  <si>
    <t>ELECTRICITY</t>
  </si>
  <si>
    <t>Cost of labour for fertilisation</t>
  </si>
  <si>
    <t>Name product 2</t>
  </si>
  <si>
    <t>u.m.</t>
  </si>
  <si>
    <t>Cost of labour for irrigation</t>
  </si>
  <si>
    <t>Cost of labour for pesticide</t>
  </si>
  <si>
    <t xml:space="preserve">Cost of labour for sowing_planting </t>
  </si>
  <si>
    <t>Cost of labour for pruning</t>
  </si>
  <si>
    <t xml:space="preserve">Cost of labour for field visits </t>
  </si>
  <si>
    <t xml:space="preserve">PESTICIDE </t>
  </si>
  <si>
    <t xml:space="preserve">Cost for pesticide </t>
  </si>
  <si>
    <t>FERTILISER</t>
  </si>
  <si>
    <t xml:space="preserve">Cost of fertiliser </t>
  </si>
  <si>
    <t>COST ANALYSIS</t>
  </si>
  <si>
    <t>REVENUES ANALYSIS</t>
  </si>
  <si>
    <t xml:space="preserve">Yield*Product market price </t>
  </si>
  <si>
    <t>(yield *Average N content (%))/(Amount of N fertilizer used /total area)*100</t>
  </si>
  <si>
    <t>Amount of N fertilizer used/total area</t>
  </si>
  <si>
    <t>Amount of P fertilizer used/total area</t>
  </si>
  <si>
    <t>(yield*Average P content (%))/(Amount of P fertilizer used/total area)*100</t>
  </si>
  <si>
    <t>Amount of water used/total area</t>
  </si>
  <si>
    <t>Yield/Amount of water used for irrigation</t>
  </si>
  <si>
    <t>Tot. amount of electricity used/tot area</t>
  </si>
  <si>
    <t>Tot. amount of fuel used *Lower heating value*Emission factor</t>
  </si>
  <si>
    <t>tot</t>
  </si>
  <si>
    <t>LABOUR</t>
  </si>
  <si>
    <t xml:space="preserve">FORMULAS </t>
  </si>
  <si>
    <t xml:space="preserve">TOTAL </t>
  </si>
  <si>
    <t>Cost of labour for greenhouse maintenance</t>
  </si>
  <si>
    <t xml:space="preserve">Cost of labour for tracking the quantity of grain available in the silo </t>
  </si>
  <si>
    <t>Cost of labour for controlling purchase and sale prices and quantities</t>
  </si>
  <si>
    <t xml:space="preserve">Cost of labour for organise logistics </t>
  </si>
  <si>
    <t>Cost of labour for cleaning</t>
  </si>
  <si>
    <t xml:space="preserve">Cost of labour for stable visits </t>
  </si>
  <si>
    <t xml:space="preserve">Cost of labour for heat detection </t>
  </si>
  <si>
    <t xml:space="preserve">Cost of labour for calving detection </t>
  </si>
  <si>
    <t xml:space="preserve">Cost of labour for pigsty management </t>
  </si>
  <si>
    <t>Cost of labour for (milk) quality assessment</t>
  </si>
  <si>
    <t xml:space="preserve">Cost of labour for feeding </t>
  </si>
  <si>
    <t xml:space="preserve">Cost of labour for beehives visits </t>
  </si>
  <si>
    <t xml:space="preserve">Cost of labour for sampling of oysters </t>
  </si>
  <si>
    <t xml:space="preserve">Cost of labour for transporting oysters to the laboratory  </t>
  </si>
  <si>
    <t xml:space="preserve">Pesticide 1 price </t>
  </si>
  <si>
    <t xml:space="preserve">Pesticide 2 price </t>
  </si>
  <si>
    <t>Fertiliser 1 price</t>
  </si>
  <si>
    <t>Fertiliser 2 price</t>
  </si>
  <si>
    <t>Feed 1 price</t>
  </si>
  <si>
    <t>Feed 2 price</t>
  </si>
  <si>
    <t>Drug 1 price</t>
  </si>
  <si>
    <t>Drug 2 price</t>
  </si>
  <si>
    <t>Cost of feed</t>
  </si>
  <si>
    <t xml:space="preserve"> Cost of drugs</t>
  </si>
  <si>
    <t xml:space="preserve">Milk *Product market price </t>
  </si>
  <si>
    <t xml:space="preserve">Meat*Product market price </t>
  </si>
  <si>
    <t xml:space="preserve">Oyster*Product market price </t>
  </si>
  <si>
    <t xml:space="preserve">Honey*Product market price </t>
  </si>
  <si>
    <t xml:space="preserve">ENVIRONMENTAL ANALYSIS </t>
  </si>
  <si>
    <t xml:space="preserve">INPUT </t>
  </si>
  <si>
    <t>l/ha</t>
  </si>
  <si>
    <t xml:space="preserve">SOCIAL ANALYSIS </t>
  </si>
  <si>
    <t>IPCC 2006 methodology (2019 refinement) - Tier 1</t>
  </si>
  <si>
    <t xml:space="preserve">N2O EMISSIONS </t>
  </si>
  <si>
    <t>description</t>
  </si>
  <si>
    <t>direct emissions</t>
  </si>
  <si>
    <t>EF1</t>
  </si>
  <si>
    <t>(Kg N2O-N)/(kg N input)</t>
  </si>
  <si>
    <t>Emission Factor default value for direct emissions</t>
  </si>
  <si>
    <t>EF1 SW</t>
  </si>
  <si>
    <t>Emission Factor for Synthetic fertilizers in Wet climates (optional)</t>
  </si>
  <si>
    <t>EF1 OW</t>
  </si>
  <si>
    <t>Other N inputs in Wet climates (optional)</t>
  </si>
  <si>
    <t>EF1 AD</t>
  </si>
  <si>
    <t>All N inputs in Dry climates (optional)</t>
  </si>
  <si>
    <t>indirect emissions</t>
  </si>
  <si>
    <t>EF4</t>
  </si>
  <si>
    <t>(Kg N2O-N)/(kg N volatilised)</t>
  </si>
  <si>
    <t>Emission Factor default value for volatilization of N</t>
  </si>
  <si>
    <t>EF4 W</t>
  </si>
  <si>
    <t>Emission Factor default value for volatilization of N in wet cliamtes</t>
  </si>
  <si>
    <t>EF4 D</t>
  </si>
  <si>
    <t>Emission Factor default value for volatilization of N in dry climates</t>
  </si>
  <si>
    <t>Frac GASF</t>
  </si>
  <si>
    <t>(kg N volatilised)/(Kg of N input)</t>
  </si>
  <si>
    <t>Fraction of synthetic fertiliser N that volatilises</t>
  </si>
  <si>
    <t>Frac GASM</t>
  </si>
  <si>
    <t>Fraction of organic fertiliser N that volatilies</t>
  </si>
  <si>
    <t>FracLEACH</t>
  </si>
  <si>
    <t>(kg Nleaching&amp;runoff)/(Kg N input)</t>
  </si>
  <si>
    <t>For all N inputs</t>
  </si>
  <si>
    <t>FracLEACH D</t>
  </si>
  <si>
    <t>0 if leaching &amp; runoff process assumed to be absent or in dry climates</t>
  </si>
  <si>
    <t>EF5</t>
  </si>
  <si>
    <t>(kg N2O–N)/(kg N leached and runoff)</t>
  </si>
  <si>
    <t>Emission factor for N2O emissions from N leaching and runoff</t>
  </si>
  <si>
    <t>CF1</t>
  </si>
  <si>
    <t>Kg/kg</t>
  </si>
  <si>
    <t>Coversion factor from N to N2O</t>
  </si>
  <si>
    <t>GWP-N2O</t>
  </si>
  <si>
    <t>CO2 EMISSIONS FUEL</t>
  </si>
  <si>
    <t>Lower Heating Value Diesel</t>
  </si>
  <si>
    <t>MJ/l</t>
  </si>
  <si>
    <t>Castoldi &amp; Bechini, 2006</t>
  </si>
  <si>
    <t>EF diesel agri</t>
  </si>
  <si>
    <t>kg Co2e/Mj</t>
  </si>
  <si>
    <t xml:space="preserve"> IPCC 2006</t>
  </si>
  <si>
    <t xml:space="preserve">Number of employees </t>
  </si>
  <si>
    <t xml:space="preserve">Drugs use in apiculture </t>
  </si>
  <si>
    <t xml:space="preserve">Drugs use in aquaculture </t>
  </si>
  <si>
    <t>Amount of drugs used/ output</t>
  </si>
  <si>
    <t>Number of working weeks in a year</t>
  </si>
  <si>
    <t>OTHER DATA</t>
  </si>
  <si>
    <t>OTHER LABOUR DATA</t>
  </si>
  <si>
    <t xml:space="preserve">Cost of labour for organising logistics </t>
  </si>
  <si>
    <t xml:space="preserve">Additional revenues </t>
  </si>
  <si>
    <t xml:space="preserve">PRODUCTIVITY </t>
  </si>
  <si>
    <t xml:space="preserve">Drugs use in dairy livestock </t>
  </si>
  <si>
    <t xml:space="preserve">Drugs use in meat livestock   </t>
  </si>
  <si>
    <t>Amount of water used/production</t>
  </si>
  <si>
    <t xml:space="preserve"> Potassium applied</t>
  </si>
  <si>
    <t>Potassium use efficiency</t>
  </si>
  <si>
    <t>Amount of K fertilizer used/total area</t>
  </si>
  <si>
    <t>(yield*Average K content (%))/(Amount of K fertilizer used/total area)*100</t>
  </si>
  <si>
    <t xml:space="preserve">Cost of labour for greenhouse management </t>
  </si>
  <si>
    <t xml:space="preserve">Number of full-time employees </t>
  </si>
  <si>
    <t xml:space="preserve">Number of seasonal employees </t>
  </si>
  <si>
    <t>Area under aquaculture</t>
  </si>
  <si>
    <t/>
  </si>
  <si>
    <t>(Fixed values)</t>
  </si>
  <si>
    <t>DAT</t>
  </si>
  <si>
    <t>Cost of DAT</t>
  </si>
  <si>
    <t>Potassium applied</t>
  </si>
  <si>
    <t>pesticides, herbicides and fungicides use</t>
  </si>
  <si>
    <t>Amount of pesticides, herbicides and fungicide used/total area</t>
  </si>
  <si>
    <t>Amount of pesticides, herbicides and fungicides used/total area</t>
  </si>
  <si>
    <t xml:space="preserve">Arable and horticulture fuel consumption </t>
  </si>
  <si>
    <t xml:space="preserve">Livestock fuel consumption </t>
  </si>
  <si>
    <t xml:space="preserve">Aquaculture fuel consumption </t>
  </si>
  <si>
    <t xml:space="preserve">Apiculture fuel consumption </t>
  </si>
  <si>
    <t>t/m2</t>
  </si>
  <si>
    <t>Land Productivity</t>
  </si>
  <si>
    <t>total production / hours of labour employed</t>
  </si>
  <si>
    <t>Milk productivity</t>
  </si>
  <si>
    <t>total milk production / total number of cows</t>
  </si>
  <si>
    <t>Bees productivity</t>
  </si>
  <si>
    <t>Oyster productivity</t>
  </si>
  <si>
    <t>production / area used</t>
  </si>
  <si>
    <t xml:space="preserve">Meat productivity </t>
  </si>
  <si>
    <t>t / h</t>
  </si>
  <si>
    <t>t / ha</t>
  </si>
  <si>
    <t xml:space="preserve">EFFICIENCY </t>
  </si>
  <si>
    <t>Rate of time for quality analysis</t>
  </si>
  <si>
    <t>(hours spent for quality analysis / total number of working hours) *100</t>
  </si>
  <si>
    <t>Rate of on-time fulfilled orders</t>
  </si>
  <si>
    <t>(number of on-time fulfilled orders / number of orders received) * 100</t>
  </si>
  <si>
    <t>Number of wrong orders</t>
  </si>
  <si>
    <t xml:space="preserve">PRODUCT QUALITY  </t>
  </si>
  <si>
    <t xml:space="preserve">Intrinsic product quality </t>
  </si>
  <si>
    <t>Cows with high SCC</t>
  </si>
  <si>
    <t>number of cows producing high SCC milk / Total number of cows * 100</t>
  </si>
  <si>
    <t>Number of cows producing high SCC milk</t>
  </si>
  <si>
    <t>Tot. amount of fuel used/tot area</t>
  </si>
  <si>
    <t>Tot. amount of fuel used/LSU</t>
  </si>
  <si>
    <t xml:space="preserve">Tot. amount of fuel used/ area under aquaculture </t>
  </si>
  <si>
    <t>l/m2</t>
  </si>
  <si>
    <t xml:space="preserve">kg/beehives </t>
  </si>
  <si>
    <t>Tot. amount of fuel used/Number of beehives</t>
  </si>
  <si>
    <t xml:space="preserve">Tot. amount of fuel used/number of animals </t>
  </si>
  <si>
    <t>(hours assessing grain quality / total number of working hours) *100</t>
  </si>
  <si>
    <t>OTHER ECONOMIC DATA</t>
  </si>
  <si>
    <t xml:space="preserve">Economic - PRODUCTIVITY </t>
  </si>
  <si>
    <t xml:space="preserve">Economic - EFFICIENCY </t>
  </si>
  <si>
    <t>ENVIRONMENTAL KPIs</t>
  </si>
  <si>
    <t>SOCIAL KPIs</t>
  </si>
  <si>
    <t>€/l</t>
  </si>
  <si>
    <t>€/kWh</t>
  </si>
  <si>
    <t>€/h</t>
  </si>
  <si>
    <t xml:space="preserve">ANIMAL </t>
  </si>
  <si>
    <t xml:space="preserve">Number of people involved in the training </t>
  </si>
  <si>
    <t xml:space="preserve">Cost of labour for storage </t>
  </si>
  <si>
    <t>€/animal</t>
  </si>
  <si>
    <t xml:space="preserve">€/beehive </t>
  </si>
  <si>
    <t xml:space="preserve">€/piece </t>
  </si>
  <si>
    <t>number of hours for tracking the quantity of grain available in the silo *Average salary</t>
  </si>
  <si>
    <t>number of hours for assessing grain quality *Average salary</t>
  </si>
  <si>
    <t>number of hours for controlling purchase and sale prices and quantities *Average salary</t>
  </si>
  <si>
    <t>number of hours for  organise logistics *Average salary</t>
  </si>
  <si>
    <t xml:space="preserve">Cost of Training </t>
  </si>
  <si>
    <t>pieces</t>
  </si>
  <si>
    <t>Name fertiliser 3</t>
  </si>
  <si>
    <t>ADDITIONAL REVENUES</t>
  </si>
  <si>
    <t>CATEGORY</t>
  </si>
  <si>
    <t>Number of on-time fulfilled orders in a year</t>
  </si>
  <si>
    <t xml:space="preserve">Number of orders received in a year </t>
  </si>
  <si>
    <t xml:space="preserve">Number of wrong orders in a year </t>
  </si>
  <si>
    <t>Protein % DRY MATTER</t>
  </si>
  <si>
    <t>Humidity</t>
  </si>
  <si>
    <t xml:space="preserve">Test Weight </t>
  </si>
  <si>
    <t>kg/hl</t>
  </si>
  <si>
    <t>number of hours for pesticide activities *Average salary /Parcel dimension</t>
  </si>
  <si>
    <t>number of hours for field visits activities * Average professional salary /Parcel dimension</t>
  </si>
  <si>
    <t>(Amount of feed 1 * Feed 1 price) + (Amount of feed 2 * Feed 2 price) + … /animal</t>
  </si>
  <si>
    <t>number of hours for irrigation activities*Average salary /Parcel dimension</t>
  </si>
  <si>
    <t>number of hours for fertilisation activities * Average salary /Parcel dimension</t>
  </si>
  <si>
    <t>number of hours for sowing_planting activities * Average salary /Parcel dimension</t>
  </si>
  <si>
    <t>number of hours for pruning activities *Average salary /Parcel dimension</t>
  </si>
  <si>
    <t>number of hours for greenhouse management *Average salary /Parcel dimension</t>
  </si>
  <si>
    <t>number of hours for cleaning *Average salary /animal</t>
  </si>
  <si>
    <t>number of hours for stable visits*Average professional salary /animal</t>
  </si>
  <si>
    <t>number of hours for heat detection *Average salary /animal</t>
  </si>
  <si>
    <t>number of hours for calving detection *Average salary /animal</t>
  </si>
  <si>
    <t>number of hours for  pigsty management*Average salary /animal</t>
  </si>
  <si>
    <t>number of hours for (milk) quality assessment*Average salary /animal</t>
  </si>
  <si>
    <t>number of hours for feeding *Average salary /animal</t>
  </si>
  <si>
    <t>number of hours for beehives visits *Average salary / beehive</t>
  </si>
  <si>
    <t xml:space="preserve">number of hours for sampling of oysters* Average salary /piece </t>
  </si>
  <si>
    <t xml:space="preserve">number of hours for transporting oysters to the laboratory*Average salary /piece </t>
  </si>
  <si>
    <t xml:space="preserve">number of hours for harvesting oyster*Average salary /piece </t>
  </si>
  <si>
    <t xml:space="preserve">number of hours for storage *Average salary /piece </t>
  </si>
  <si>
    <t xml:space="preserve">(Amount of drugs 1 * Feed 1 price) + (Amount of drugs 2 * Feed 2 price) + … /animal or beehives  or pieces </t>
  </si>
  <si>
    <t xml:space="preserve">number of hours foradministrative activities *Average salary /parcel dimension or animal or beehives  or pieces </t>
  </si>
  <si>
    <t xml:space="preserve">Sum(Cost of labour for irrigation + Cost of labour for fertilisation + … /parcel dimension or animal or beehives  or pieces </t>
  </si>
  <si>
    <t xml:space="preserve">DAT maintenance + (Training hours*salary) /parcel dimension or animal or beehives  or pieces  </t>
  </si>
  <si>
    <t xml:space="preserve">Costs of external persons being paid to train employees on the use of DAT /parcel dimension or animal or beehives  or pieces </t>
  </si>
  <si>
    <t xml:space="preserve">kg / beehives </t>
  </si>
  <si>
    <t xml:space="preserve">total production / beehives </t>
  </si>
  <si>
    <t xml:space="preserve">total production / animals </t>
  </si>
  <si>
    <t>kg / animals / day</t>
  </si>
  <si>
    <t xml:space="preserve">total production / parcel area </t>
  </si>
  <si>
    <t>Pesticides, herbicides and fungicides use</t>
  </si>
  <si>
    <t xml:space="preserve">Aquaculture water productivity </t>
  </si>
  <si>
    <t xml:space="preserve">l/pieces </t>
  </si>
  <si>
    <t>Labour productivity (arable and horticulture)</t>
  </si>
  <si>
    <t>Labour productivity (dairy livestock)</t>
  </si>
  <si>
    <t>Labour productivity  (meat livestock)</t>
  </si>
  <si>
    <t>Labour productivity  (aquaculture)</t>
  </si>
  <si>
    <t>Labour productivity  (apiculture)</t>
  </si>
  <si>
    <t>l/h</t>
  </si>
  <si>
    <t>kg/h</t>
  </si>
  <si>
    <t xml:space="preserve">Tot. amount of electricity used/tot area or m2 or animal  </t>
  </si>
  <si>
    <t>Mortality rate (livestock)</t>
  </si>
  <si>
    <t>Mortality rate (aquaculture)</t>
  </si>
  <si>
    <t>Mortality rate (apiculture)</t>
  </si>
  <si>
    <t>(Number of deaths in a year/total animals)</t>
  </si>
  <si>
    <t xml:space="preserve">Mortality rate (livestock) </t>
  </si>
  <si>
    <t>indirect leaching/runoff</t>
  </si>
  <si>
    <t>Amount of N fertilizer used (kg-N) * fraction of leaching or runoff * emission factor 5</t>
  </si>
  <si>
    <t>[(Amount of synthetic N fertilizer used (kg-N) * fraction volatilized) + (Amount of organic N fertilizer used (kg-N) *fraction volatilized)] * Emission factor 4</t>
  </si>
  <si>
    <t>Amount of N fertilizer used (kg-N) * Emission factor 1</t>
  </si>
  <si>
    <t>Global Warming Potential of N2O compared to CO2 (IPCC AR6)</t>
  </si>
  <si>
    <t>Crop production</t>
  </si>
  <si>
    <t xml:space="preserve">Cost of milking </t>
  </si>
  <si>
    <t>number of hours for milking *Average salary /animal</t>
  </si>
  <si>
    <t>[(N. of treatements of pesticide 1*Amount of pesticide 1*pesticide 1 price)+(N. of treatements of pesticide 2 *Amount of pesticide 2 used *pesticide 2 price) + (N. of treatements of pesticide 3 *Amount of pesticide 3 used *pesticide 3 price (€/kg)]</t>
  </si>
  <si>
    <t>((Amount of fertilisers 1 used *Number of fertilizer 1 applications *Fertilisers 1 price) + (Amount of fertilisers 2 used *Number of fertilizer 2 applications *Fertilisers 2 price) + (Amount of fertilisers 3 used *Number of fertilizer 3 applications *Fertilisers 3 price)</t>
  </si>
  <si>
    <t>Cost of labour for harvesting</t>
  </si>
  <si>
    <t xml:space="preserve">Cost of labour for harvesting </t>
  </si>
  <si>
    <t>Average N content</t>
  </si>
  <si>
    <t>Average P content</t>
  </si>
  <si>
    <t>Average K content</t>
  </si>
  <si>
    <t>kg/m3</t>
  </si>
  <si>
    <t>IF(Total water used&gt;0; (Total water used * water price)/Parcel dimension; Sum(water Irrigation+ water Fertigation + water Pest dilution + …) * water price)</t>
  </si>
  <si>
    <t>IF(Total fuel used&gt;0; (Total fuel used*fuel price)/Parcel dimension; sum(Fertilisation+Pesticides +Irrigation+Sowing_Planting+Pruning+…) * fuel price)</t>
  </si>
  <si>
    <t>IF(Total electricity used &gt; 0; (Total electricity used* electricity price)/Parcel dimension; Sum(irrigation,…) *electricity price)</t>
  </si>
  <si>
    <t xml:space="preserve">TOT Cost </t>
  </si>
  <si>
    <t>Average nutrient content kg/kg</t>
  </si>
  <si>
    <t>BENEFIT</t>
  </si>
  <si>
    <t>Sum of costs</t>
  </si>
  <si>
    <t>COSTS</t>
  </si>
  <si>
    <t>NET BENEFIT</t>
  </si>
  <si>
    <t>PAYBACK PERIOD</t>
  </si>
  <si>
    <t>NPV</t>
  </si>
  <si>
    <t>ROI</t>
  </si>
  <si>
    <t xml:space="preserve">Total farm size </t>
  </si>
  <si>
    <t>DATS annual fees</t>
  </si>
  <si>
    <t>Cost of training service by external people (advisor, DATS providers, ...)</t>
  </si>
  <si>
    <t>Average professional salary (agronomist, veterinary, ...)</t>
  </si>
  <si>
    <t xml:space="preserve">Sold product market price </t>
  </si>
  <si>
    <t>Number of pesticide used (herbicides, fungicides, insecticides)</t>
  </si>
  <si>
    <t xml:space="preserve">Number of fertilizers used </t>
  </si>
  <si>
    <t>Number of feed used</t>
  </si>
  <si>
    <t>Number of drugs used</t>
  </si>
  <si>
    <t>Average salary (farmer and emloyees)</t>
  </si>
  <si>
    <t>Information about the TC</t>
  </si>
  <si>
    <t>Number of plants/trees</t>
  </si>
  <si>
    <t/>
  </si>
  <si>
    <t/>
  </si>
  <si>
    <t/>
  </si>
  <si>
    <t>l/beehive</t>
  </si>
  <si>
    <t>l/piece</t>
  </si>
  <si>
    <t>PESTICIDES (HERBICIDES, FUNGICIDES, INSECTICIDES)</t>
  </si>
  <si>
    <t>Average quantity per application</t>
  </si>
  <si>
    <t xml:space="preserve">N concentration </t>
  </si>
  <si>
    <t xml:space="preserve">P concentration </t>
  </si>
  <si>
    <t xml:space="preserve">K concentration </t>
  </si>
  <si>
    <t>€/t</t>
  </si>
  <si>
    <t>€/g</t>
  </si>
  <si>
    <t>Fuel 1</t>
  </si>
  <si>
    <t>Fuel 2</t>
  </si>
  <si>
    <t>Fuel n</t>
  </si>
  <si>
    <t>Name fuel 1</t>
  </si>
  <si>
    <t>Name fuel 2</t>
  </si>
  <si>
    <t>Quantity</t>
  </si>
  <si>
    <t>MARKET DATA</t>
  </si>
  <si>
    <t>€/kg</t>
  </si>
  <si>
    <t>€/piece</t>
  </si>
  <si>
    <t/>
  </si>
  <si>
    <t>WATER</t>
  </si>
  <si>
    <t>l/animal</t>
  </si>
  <si>
    <t>FUEL FOR GREENHOUSE TEMPERATURE CONTROL</t>
  </si>
  <si>
    <t>kWh/animal</t>
  </si>
  <si>
    <t>kWh/beehive</t>
  </si>
  <si>
    <t>kWh/piece</t>
  </si>
  <si>
    <t>PESTICIDES</t>
  </si>
  <si>
    <t>kg/animal</t>
  </si>
  <si>
    <t>FERTILIZERS</t>
  </si>
  <si>
    <t>t/ha</t>
  </si>
  <si>
    <t>DRUGS</t>
  </si>
  <si>
    <t>g/animal</t>
  </si>
  <si>
    <t>g/beehive</t>
  </si>
  <si>
    <t>g/piece</t>
  </si>
  <si>
    <t>h (tot. for the activity)</t>
  </si>
  <si>
    <t>Expected life span of each DATSs</t>
  </si>
  <si>
    <t>Time to install and make DATSs operational</t>
  </si>
  <si>
    <t>Training hours for the use of the DATSs in a year</t>
  </si>
  <si>
    <t>DATSs name</t>
  </si>
  <si>
    <t xml:space="preserve">MARKET DATA FOR DATSs USER </t>
  </si>
  <si>
    <t xml:space="preserve">MARKET DATA FOR NON-DATSs USER </t>
  </si>
  <si>
    <t>PARCEL WITH DATSs</t>
  </si>
  <si>
    <t>With DATSs</t>
  </si>
  <si>
    <t>PARCEL WITHOUT DATSs</t>
  </si>
  <si>
    <t>Without DATSs</t>
  </si>
  <si>
    <t xml:space="preserve">Total water used </t>
  </si>
  <si>
    <t xml:space="preserve">Total fuel used </t>
  </si>
  <si>
    <t xml:space="preserve">Total electricity used </t>
  </si>
  <si>
    <t>Fuel 1 for greehnouse temperature control price</t>
  </si>
  <si>
    <t>COST</t>
  </si>
  <si>
    <t>Cost of DATSs</t>
  </si>
  <si>
    <t>DATSs</t>
  </si>
  <si>
    <t/>
  </si>
  <si>
    <t>Type of output/product</t>
  </si>
  <si>
    <t>crop</t>
  </si>
  <si>
    <t>meat</t>
  </si>
  <si>
    <t>milk</t>
  </si>
  <si>
    <t>honey</t>
  </si>
  <si>
    <t>oyster</t>
  </si>
  <si>
    <t/>
  </si>
  <si>
    <t/>
  </si>
  <si>
    <t>€/kg honey</t>
  </si>
  <si>
    <t>water</t>
  </si>
  <si>
    <t>Production type</t>
  </si>
  <si>
    <t>costs</t>
  </si>
  <si>
    <t>animal</t>
  </si>
  <si>
    <t>Animal</t>
  </si>
  <si>
    <t>Cost of labour for pesticide application</t>
  </si>
  <si>
    <t>Cost of labour for assessing product quality</t>
  </si>
  <si>
    <t>Silos product management</t>
  </si>
  <si>
    <t>grain (silos)</t>
  </si>
  <si>
    <t>Crop</t>
  </si>
  <si>
    <t>Grain (silos)</t>
  </si>
  <si>
    <t>Yield</t>
  </si>
  <si>
    <t>kg honey/beehive</t>
  </si>
  <si>
    <t>number of oysters/m2</t>
  </si>
  <si>
    <t>kg meat/h</t>
  </si>
  <si>
    <t>l milk/h</t>
  </si>
  <si>
    <t>pieces/h</t>
  </si>
  <si>
    <t>kg honey/h</t>
  </si>
  <si>
    <t>(yield *Average N content (%))/(Amount of N fertilizer applied/ha)*100</t>
  </si>
  <si>
    <t>(yield*Average P content (%))/(Amount of P fertilizer used/ha)*100</t>
  </si>
  <si>
    <t>(yield*Average K content (%))/(Amount of K fertilizer used/ha)*100</t>
  </si>
  <si>
    <t>Apple</t>
  </si>
  <si>
    <t>Grape</t>
  </si>
  <si>
    <t>Olives</t>
  </si>
  <si>
    <t>Tomato</t>
  </si>
  <si>
    <t>Potatoes</t>
  </si>
  <si>
    <t>Blueberries</t>
  </si>
  <si>
    <t>Corn</t>
  </si>
  <si>
    <t>Strawberries</t>
  </si>
  <si>
    <t>Bananas</t>
  </si>
  <si>
    <t>Wheat (T. aestivum)</t>
  </si>
  <si>
    <t>Wheat (T. durum)</t>
  </si>
  <si>
    <t>Barley</t>
  </si>
  <si>
    <t>Cotton</t>
  </si>
  <si>
    <t xml:space="preserve">Onion </t>
  </si>
  <si>
    <t>Corn (silage)</t>
  </si>
  <si>
    <t>Rye</t>
  </si>
  <si>
    <t>Rapeseed</t>
  </si>
  <si>
    <t>N content (avg.)</t>
  </si>
  <si>
    <t>P content (avg.)</t>
  </si>
  <si>
    <t>K content (avg.)</t>
  </si>
  <si>
    <t>kWh/kg honey</t>
  </si>
  <si>
    <t>kWh/t</t>
  </si>
  <si>
    <t>Number of death of animals/oyster/beehives</t>
  </si>
  <si>
    <t/>
  </si>
  <si>
    <t>g/m2</t>
  </si>
  <si>
    <t>€/m2</t>
  </si>
  <si>
    <t>€/beehive</t>
  </si>
  <si>
    <t>Name fuel n</t>
  </si>
  <si>
    <t>Name product n</t>
  </si>
  <si>
    <t>Number of fuel for greehnouse temperature control price</t>
  </si>
  <si>
    <t>greenhouse</t>
  </si>
  <si>
    <t>This form is intended to be filled out by each farmer involved in the Test Case (TC) and aims at collecting information that will be used for assessing the impacts of Digital agriculture technology solutions (DATSs). 
Please read carefully the following instructions.
- We kindly ask you to be as accurate as possible in providing the data and monitor them periodically as these will be the input for performance assessment. 
- Please ensure you keep track of the data requested and regularly check its availability. It's crucial that these values align for both user and non-user parcels. If they differ, kindly notify us promptly via email at the provided contact details.
- The data included in the template have been carefully chosen based on their link with the DATSs used in your TC and they were further customised following your feedback. If some of the data cannot be applicable/available to your TC, please enter ‘n.a.’ in the corresponding cell and provide a comment explaining why they are not applicable.
Additionally, in case some of the data cannot be collected due to some problems you may encounter during the season, please inform us promptly by writing an e-mail to the contact details provided below.
- In order to obtain the assessment of the impacts of DATS, it is necessary to provide data for the farm(s) using DATS and for the one without. According to the QuantiFarm project proposal, each parcel using DATSs is associated with a comparable non-DATs parcel (in terms of size, geographical area, production, etc.).
- Recall that:
            - the term DATS refers to the combinations or set of technological solutions implemented within the TC;
For any doubts or clarifications, please do not hesitate to contact us at the following email address: francesco.parigi@polimi.it and andrea.bianchi@polimi.it (cc: dmoniz@consulai.com)
This form is intended to be filled out by each farmer involved in the Test Case (TC) and aims at collecting information that will be used for assessing the impacts of Digital agriculture technology solutions (DATSs).</t>
  </si>
  <si>
    <t>(gg/mm/yyyy)</t>
  </si>
  <si>
    <t>Product name</t>
  </si>
  <si>
    <t>Cow</t>
  </si>
  <si>
    <t>Pig</t>
  </si>
  <si>
    <t xml:space="preserve">Poultry </t>
  </si>
  <si>
    <t>Milk</t>
  </si>
  <si>
    <t>Meat</t>
  </si>
  <si>
    <t>Oyster</t>
  </si>
  <si>
    <t>Honey</t>
  </si>
  <si>
    <t>Fuel 2 for greehnouse temperature control price</t>
  </si>
  <si>
    <t>Fuel 3 for greehnouse temperature control price</t>
  </si>
  <si>
    <t/>
  </si>
  <si>
    <t>Name product 1</t>
  </si>
  <si>
    <t xml:space="preserve">Name fertiliser 2 </t>
  </si>
  <si>
    <t>FERTILIZER TYPE</t>
  </si>
  <si>
    <t>Organic</t>
  </si>
  <si>
    <t>Mineral</t>
  </si>
  <si>
    <t>Mineral/Organic</t>
  </si>
  <si>
    <t>Feed 1</t>
  </si>
  <si>
    <t>Feed 2</t>
  </si>
  <si>
    <t>Name feed 1</t>
  </si>
  <si>
    <t>Quantity feed 1</t>
  </si>
  <si>
    <t>Name feed 2</t>
  </si>
  <si>
    <t>Quantity feed 2</t>
  </si>
  <si>
    <t>Name fertiliser 1</t>
  </si>
  <si>
    <t>Drug 1</t>
  </si>
  <si>
    <t>Drug 2</t>
  </si>
  <si>
    <t xml:space="preserve">Cost of administrative activities, data collection, etc. </t>
  </si>
  <si>
    <t>Crop revenue</t>
  </si>
  <si>
    <t>Milk revenue</t>
  </si>
  <si>
    <t>Meat revenue</t>
  </si>
  <si>
    <t>Oyster revenue</t>
  </si>
  <si>
    <t>Honey revenue</t>
  </si>
  <si>
    <t>Grain (silos) revenue</t>
  </si>
  <si>
    <t>Labour productivity (silos)</t>
  </si>
  <si>
    <t>t/h</t>
  </si>
  <si>
    <t>l milk/cow/day</t>
  </si>
  <si>
    <t xml:space="preserve">Start of the growing/production season </t>
  </si>
  <si>
    <t xml:space="preserve">End of the growing/production season </t>
  </si>
  <si>
    <t>kg meat/animal/day</t>
  </si>
  <si>
    <t>Protein % on dry matter</t>
  </si>
  <si>
    <t>Mj/l</t>
  </si>
  <si>
    <t>Number of comparison(s)</t>
  </si>
  <si>
    <t>Soil Bulk Density</t>
  </si>
  <si>
    <t>Sand content in the soil</t>
  </si>
  <si>
    <t>Clay content in the soil</t>
  </si>
  <si>
    <t>Silt content in the soil</t>
  </si>
  <si>
    <t>h/ha</t>
  </si>
  <si>
    <t>GHG</t>
  </si>
  <si>
    <t>GHG emissions</t>
  </si>
  <si>
    <t>total ghg emissions</t>
  </si>
  <si>
    <t xml:space="preserve">Pesticide 3 price </t>
  </si>
  <si>
    <t xml:space="preserve">Pesticide 4 price </t>
  </si>
  <si>
    <t xml:space="preserve">Pesticide 5 price </t>
  </si>
  <si>
    <t xml:space="preserve">Pesticide 6 price </t>
  </si>
  <si>
    <t xml:space="preserve">Pesticide 7 price </t>
  </si>
  <si>
    <t xml:space="preserve">Pesticide 8 price </t>
  </si>
  <si>
    <t xml:space="preserve">Pesticide 9 price </t>
  </si>
  <si>
    <t xml:space="preserve">Pesticide 10 price </t>
  </si>
  <si>
    <t>Fertiliser 4 price</t>
  </si>
  <si>
    <t>Fertiliser 5 price</t>
  </si>
  <si>
    <t>Fertiliser 6 price</t>
  </si>
  <si>
    <t>Fertiliser 7 price</t>
  </si>
  <si>
    <t>Fertiliser 8 price</t>
  </si>
  <si>
    <t>Fertiliser 9 price</t>
  </si>
  <si>
    <t>Fertiliser 10 price</t>
  </si>
  <si>
    <t>Fertiliser 3 price</t>
  </si>
  <si>
    <t>Feed 3 price</t>
  </si>
  <si>
    <t>Feed 4 price</t>
  </si>
  <si>
    <t>Feed 5 price</t>
  </si>
  <si>
    <t>Drug 3 price</t>
  </si>
  <si>
    <t>Product 3</t>
  </si>
  <si>
    <t>Product 4</t>
  </si>
  <si>
    <t>Product 5</t>
  </si>
  <si>
    <t>Product 6</t>
  </si>
  <si>
    <t>Product 7</t>
  </si>
  <si>
    <t>Product 8</t>
  </si>
  <si>
    <t>Product 9</t>
  </si>
  <si>
    <t>Product 10</t>
  </si>
  <si>
    <t>Fertilizer 1</t>
  </si>
  <si>
    <t>Fertilizer 2</t>
  </si>
  <si>
    <t>Fertilizer 3</t>
  </si>
  <si>
    <t>Fertilizer 4</t>
  </si>
  <si>
    <t>Fertilizer 5</t>
  </si>
  <si>
    <t>Fertilizer 6</t>
  </si>
  <si>
    <t>Fertilizer 7</t>
  </si>
  <si>
    <t>Fertilizer 8</t>
  </si>
  <si>
    <t>Fertilizer 9</t>
  </si>
  <si>
    <t>Fertilizer 10</t>
  </si>
  <si>
    <t>Name fertiliser 4</t>
  </si>
  <si>
    <t>Name fertiliser 5</t>
  </si>
  <si>
    <t>Name fertiliser 6</t>
  </si>
  <si>
    <t>Name fertiliser 7</t>
  </si>
  <si>
    <t>Name fertiliser 8</t>
  </si>
  <si>
    <t>Name fertiliser 9</t>
  </si>
  <si>
    <t>Name fertiliser 10</t>
  </si>
  <si>
    <t>Feed 3</t>
  </si>
  <si>
    <t>Feed 4</t>
  </si>
  <si>
    <t>Feed 5</t>
  </si>
  <si>
    <t>Name feed 3</t>
  </si>
  <si>
    <t>Quantity feed 3</t>
  </si>
  <si>
    <t>Name feed 4</t>
  </si>
  <si>
    <t>Quantity feed 4</t>
  </si>
  <si>
    <t>Name feed 5</t>
  </si>
  <si>
    <t>Quantity feed 5</t>
  </si>
  <si>
    <t>Drug 3</t>
  </si>
  <si>
    <t>Quantity pruduct 1</t>
  </si>
  <si>
    <t>Quantity pruduct 2</t>
  </si>
  <si>
    <t>Quantity pruduct 3</t>
  </si>
  <si>
    <t>Economic</t>
  </si>
  <si>
    <t>Sustainability category</t>
  </si>
  <si>
    <t>Environmental</t>
  </si>
  <si>
    <t>Social</t>
  </si>
  <si>
    <t>DATSs COSTS</t>
  </si>
  <si>
    <t>Sum of costs of labour</t>
  </si>
  <si>
    <t>KPI</t>
  </si>
  <si>
    <t>UNIT</t>
  </si>
  <si>
    <t>CBA</t>
  </si>
  <si>
    <t>INPUTS</t>
  </si>
  <si>
    <t>ENERGY</t>
  </si>
  <si>
    <t>GHG EMISSIONS</t>
  </si>
  <si>
    <t>working time</t>
  </si>
  <si>
    <t>h/animal</t>
  </si>
  <si>
    <t>h/piece</t>
  </si>
  <si>
    <t>h/kg honey</t>
  </si>
  <si>
    <t>h/t</t>
  </si>
  <si>
    <t>Labour for irrigation</t>
  </si>
  <si>
    <t>Labour for pesticide</t>
  </si>
  <si>
    <t>Labour for fertilisation</t>
  </si>
  <si>
    <t xml:space="preserve">Labour for sowing_planting </t>
  </si>
  <si>
    <t>Labour for pruning</t>
  </si>
  <si>
    <t xml:space="preserve">Labour for field visits </t>
  </si>
  <si>
    <t>Labour for greenhouse management</t>
  </si>
  <si>
    <t xml:space="preserve">Labour for tracking the quantity of grain available in the silo </t>
  </si>
  <si>
    <t>Labour for assessing grain quality</t>
  </si>
  <si>
    <t>Labour for controlling purchase and sale prices and quantities</t>
  </si>
  <si>
    <t xml:space="preserve">Labour for organise logistics </t>
  </si>
  <si>
    <t>Labour for cleaning</t>
  </si>
  <si>
    <t xml:space="preserve">Labour for stable visits </t>
  </si>
  <si>
    <t xml:space="preserve">Labour for heat detection </t>
  </si>
  <si>
    <t xml:space="preserve">Labour for calving detection </t>
  </si>
  <si>
    <t xml:space="preserve">Labour for storage </t>
  </si>
  <si>
    <t xml:space="preserve">Labour for harvesting </t>
  </si>
  <si>
    <t xml:space="preserve">Labour for transporting oysters to the laboratory  </t>
  </si>
  <si>
    <t xml:space="preserve">Labour for pigsty management </t>
  </si>
  <si>
    <t>Labour for (milk) quality assessment</t>
  </si>
  <si>
    <t xml:space="preserve">Labour for feeding </t>
  </si>
  <si>
    <t xml:space="preserve">Labour for beehives visits </t>
  </si>
  <si>
    <t xml:space="preserve">Labour for sampling of oysters </t>
  </si>
  <si>
    <t>Labour for milking</t>
  </si>
  <si>
    <t xml:space="preserve">Labour for administrative activities, data collection, etc. </t>
  </si>
  <si>
    <t>Hours worked for the specific activities impacted by DATSs</t>
  </si>
  <si>
    <t>Hours worked for the specific activities that could be impacted by DATSs</t>
  </si>
  <si>
    <t>Main Impacts</t>
  </si>
  <si>
    <t>Icon</t>
  </si>
  <si>
    <t>overall score (%)</t>
  </si>
  <si>
    <t/>
  </si>
  <si>
    <t>l/1000 l milk</t>
  </si>
  <si>
    <t>kWh/100 kg meat</t>
  </si>
  <si>
    <t>kWh/1000 l milk</t>
  </si>
  <si>
    <t>kg/100 kg meat</t>
  </si>
  <si>
    <t>kg/1000 l milk</t>
  </si>
  <si>
    <t>g/100 kg meat</t>
  </si>
  <si>
    <t>g/1000 l milk</t>
  </si>
  <si>
    <t/>
  </si>
  <si>
    <t>€/1000 l milk</t>
  </si>
  <si>
    <t>€/100 kg meat</t>
  </si>
  <si>
    <t>h/1000 l milk</t>
  </si>
  <si>
    <t>h/100 kg meat</t>
  </si>
  <si>
    <t xml:space="preserve">DATSs 1 DATA </t>
  </si>
  <si>
    <t xml:space="preserve">DATSs 2 DATA </t>
  </si>
  <si>
    <t xml:space="preserve">DATSs n DATA </t>
  </si>
  <si>
    <t xml:space="preserve">Initial investment for DATSs </t>
  </si>
  <si>
    <t xml:space="preserve">Cost of pesticide </t>
  </si>
  <si>
    <t>Icon number</t>
  </si>
  <si>
    <t>Initial investment for the DATSs</t>
  </si>
  <si>
    <t>Cost of DATSs (maintenance + annual fees)</t>
  </si>
  <si>
    <t>KPI category</t>
  </si>
  <si>
    <t>% aggregated</t>
  </si>
  <si>
    <t>SUSTAINABILITY CATEGORY AGGREGATION</t>
  </si>
  <si>
    <t>POSITIVE IMPACT</t>
  </si>
  <si>
    <t>NEGATIVE IMPACT</t>
  </si>
  <si>
    <t>NEUTRAL</t>
  </si>
  <si>
    <t>if &gt; is good = 1</t>
  </si>
  <si>
    <t>Impacted KPIs</t>
  </si>
  <si>
    <t>Abs. Value</t>
  </si>
  <si>
    <t>code</t>
  </si>
  <si>
    <t>meaning</t>
  </si>
  <si>
    <t>colour</t>
  </si>
  <si>
    <t>green</t>
  </si>
  <si>
    <t>red</t>
  </si>
  <si>
    <t>grey</t>
  </si>
  <si>
    <t xml:space="preserve">DATS </t>
  </si>
  <si>
    <t>blu</t>
  </si>
  <si>
    <t>Silos revenue</t>
  </si>
  <si>
    <t xml:space="preserve">Water consumption </t>
  </si>
  <si>
    <t/>
  </si>
  <si>
    <t>kg CO2 eq/ha</t>
  </si>
  <si>
    <t>kg CO2 eq/1000 l milk</t>
  </si>
  <si>
    <t>kg CO2 eq/100 kg meat</t>
  </si>
  <si>
    <t>kg CO2 eq/animal</t>
  </si>
  <si>
    <t>kg CO2 eq/kg honey</t>
  </si>
  <si>
    <t>kg CO2 eq/t</t>
  </si>
  <si>
    <t>kg CO2 eq/piece</t>
  </si>
  <si>
    <t>l/t</t>
  </si>
  <si>
    <t>l/100 kg meat</t>
  </si>
  <si>
    <t>Short description (for column K)</t>
  </si>
  <si>
    <t>Subtitle (for column J)</t>
  </si>
  <si>
    <t>Title  (for column J)</t>
  </si>
  <si>
    <t>Aquaculture water productivity</t>
  </si>
  <si>
    <t>metric quintal (100 kg)</t>
  </si>
  <si>
    <t/>
  </si>
  <si>
    <t>l/cow/day</t>
  </si>
  <si>
    <t>kg/cow/day</t>
  </si>
  <si>
    <t>kg/beehives</t>
  </si>
  <si>
    <t xml:space="preserve">l/beehives </t>
  </si>
  <si>
    <t>% Adjusted (+/-) for aggregation</t>
  </si>
  <si>
    <t>Aggregated Impacts</t>
  </si>
  <si>
    <t>% aggregated (max range)</t>
  </si>
  <si>
    <t xml:space="preserve">IMPACT CATEGORY AGGREGATION </t>
  </si>
  <si>
    <t>Impact category</t>
  </si>
  <si>
    <t>Colour</t>
  </si>
  <si>
    <t>Monetary Impacts</t>
  </si>
  <si>
    <t>TC10</t>
  </si>
  <si>
    <t>Arable</t>
  </si>
  <si>
    <t>Dicopur D (Herbicide)</t>
  </si>
  <si>
    <t>Secator Progress (Herbicide)</t>
  </si>
  <si>
    <t>LS Prothio-Tebuc (Fungicide)</t>
  </si>
  <si>
    <t>STARPRO 430SC (Fungicide)</t>
  </si>
  <si>
    <t>MAP (11-52-0)</t>
  </si>
  <si>
    <t>Ammonium Nitrate</t>
  </si>
  <si>
    <t>Trinity (Herbicide)</t>
  </si>
  <si>
    <t>Tomigan XL (Herbicide)</t>
  </si>
  <si>
    <t>Custodia (Fungicide)</t>
  </si>
  <si>
    <t>Lamdex (Insecticide)</t>
  </si>
  <si>
    <t>Vandex (Insecticide)</t>
  </si>
  <si>
    <t>Kinto Plus / Picus (Seed treatment)</t>
  </si>
  <si>
    <t>Ammonium Sulphate</t>
  </si>
  <si>
    <t>NPK (15-25-0)</t>
  </si>
  <si>
    <t>Ammonium nitrate</t>
  </si>
  <si>
    <t>Basfoliar Extra</t>
  </si>
  <si>
    <t>Kerafol</t>
  </si>
  <si>
    <t>years</t>
  </si>
  <si>
    <t>DECREASED PESTICIDE CONSUMPTION</t>
  </si>
  <si>
    <t xml:space="preserve">INCREASED REVENUES </t>
  </si>
  <si>
    <t>due to the higher yield observed</t>
  </si>
  <si>
    <t xml:space="preserve">due to an increase in yields and a general decrease in costs </t>
  </si>
  <si>
    <t xml:space="preserve">NET BENEFIT </t>
  </si>
  <si>
    <t xml:space="preserve">PAYBACK PERIOD </t>
  </si>
  <si>
    <t xml:space="preserve">SAVED COSTS </t>
  </si>
  <si>
    <t>due to the use of data from sensors, satellite and agro-meteorological stations</t>
  </si>
  <si>
    <t xml:space="preserve">due to both better management of phytosanitary treatments and more efficient management of field activities. </t>
  </si>
  <si>
    <t>is less than 1 year</t>
  </si>
  <si>
    <t xml:space="preserve">Cost of fuel: Most of the fuel is used for soil preparation and sowing, but also for fertilization and other agronomic practices impacted by the DATSs </t>
  </si>
  <si>
    <t xml:space="preserve">Cost of pesticides: The DSS, also thanks to the data from sensors, satellite and agrometeorological stations, enables a better management of phytosanitary treatments </t>
  </si>
  <si>
    <t xml:space="preserve">Cost of fertilizers: An increase in fertilizer costs is observed, not due to an increase in the quantity distributed, but due to the different types and costs of the fertilizers used </t>
  </si>
  <si>
    <t xml:space="preserve">Cost of labour for pesticides application: A decrease in the number of plant protection products and field interventions has reduced the work associated with this activity </t>
  </si>
  <si>
    <t xml:space="preserve">Cost of labour for fertilization: A decrease in the number of fertilizations and fertilizers applied has reduced the work associated with this activity </t>
  </si>
  <si>
    <t xml:space="preserve">Cost of labour for soil preparation and sowing: The DATS can help optimize field operations and, therefore, also save on energy inputs </t>
  </si>
  <si>
    <t xml:space="preserve">Cost of labour for field visits: Thanks to the ability to monitor and manage the farm remotely, the DATS allows for more efficient field visits </t>
  </si>
  <si>
    <t xml:space="preserve">Cost of labour for administrative activities and data management: The DATSs also assist with administrative tasks and the management of data and information flows </t>
  </si>
  <si>
    <t xml:space="preserve">Net Benefit: Despite the savings in terms of NPK thanks to the DSS, considering the lower yields in the plots with DATSs, the balance is negative. </t>
  </si>
  <si>
    <t xml:space="preserve">Revenues: The increase in revenue is due to an higher yield observed in the farm using DATSs </t>
  </si>
  <si>
    <t>DECREASED WORKING TIME</t>
  </si>
  <si>
    <t xml:space="preserve">due to an improvment in agronomic management and thanks to the support of the DATS in monitoring the crop remotely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</si>
</sst>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000"/>
    <numFmt numFmtId="165" formatCode="&quot;€&quot;\ #,##0.00"/>
    <numFmt numFmtId="166" formatCode="0.0"/>
  </numFmts>
  <fonts count="40">
    <font>
      <sz val="12"/>
      <color theme="1"/>
      <name val="Calibri"/>
      <family val="2"/>
      <scheme val="minor"/>
    </font>
    <font>
      <sz val="1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rgb="FF000000"/>
      <name val="Calibri"/>
      <family val="2"/>
      <scheme val="minor"/>
    </font>
    <font>
      <sz val="12"/>
      <color rgb="FF000000"/>
      <name val="Cambria"/>
      <family val="1"/>
    </font>
    <font>
      <b/>
      <sz val="12"/>
      <color theme="0"/>
      <name val="Cambria"/>
      <family val="1"/>
    </font>
    <font>
      <sz val="12"/>
      <color theme="1"/>
      <name val="Cambria"/>
      <family val="1"/>
    </font>
    <font>
      <sz val="12"/>
      <color theme="1"/>
      <name val="Calibri"/>
      <family val="2"/>
    </font>
    <font>
      <b/>
      <sz val="20"/>
      <color theme="1"/>
      <name val="Calibri"/>
      <family val="2"/>
      <scheme val="minor"/>
    </font>
    <font>
      <b/>
      <sz val="12"/>
      <name val="Calibri"/>
      <family val="2"/>
      <scheme val="minor"/>
    </font>
    <font>
      <b/>
      <sz val="12"/>
      <color theme="0"/>
      <name val="Calibri"/>
      <family val="2"/>
    </font>
    <font>
      <sz val="12"/>
      <color rgb="FFFFFFFF"/>
      <name val="Calibri"/>
      <family val="2"/>
      <scheme val="minor"/>
    </font>
    <font>
      <b/>
      <sz val="12"/>
      <color theme="1"/>
      <name val="Calibri"/>
      <family val="2"/>
    </font>
    <font>
      <sz val="12"/>
      <name val="Calibri"/>
      <family val="2"/>
      <scheme val="minor"/>
    </font>
    <font>
      <sz val="14"/>
      <color rgb="FF000000"/>
      <name val="-webkit-standard"/>
    </font>
    <font>
      <sz val="12"/>
      <color theme="1"/>
      <name val="Calibri"/>
      <family val="2"/>
      <scheme val="minor"/>
    </font>
    <font>
      <sz val="11"/>
      <name val="TrebuchetMS"/>
    </font>
    <font>
      <b/>
      <sz val="11"/>
      <color theme="0"/>
      <name val="TrebuchetMS"/>
      <family val="2"/>
    </font>
    <font>
      <sz val="11"/>
      <color theme="1"/>
      <name val="Calibri"/>
      <family val="2"/>
      <scheme val="minor"/>
    </font>
    <font>
      <i/>
      <sz val="11"/>
      <color theme="0" tint="-0.34998626667073579"/>
      <name val="Calibri"/>
      <family val="2"/>
      <scheme val="minor"/>
    </font>
    <font>
      <i/>
      <sz val="11"/>
      <color theme="0" tint="-0.34998626667073579"/>
      <name val="TrebuchetMS"/>
    </font>
    <font>
      <i/>
      <sz val="11"/>
      <name val="TrebuchetMS"/>
    </font>
    <font>
      <sz val="11"/>
      <color rgb="FFFF0000"/>
      <name val="Calibri"/>
      <family val="2"/>
      <scheme val="minor"/>
    </font>
    <font>
      <b/>
      <i/>
      <sz val="11"/>
      <color theme="0"/>
      <name val="TrebuchetMS"/>
    </font>
    <font>
      <b/>
      <sz val="11"/>
      <name val="Calibri"/>
      <family val="2"/>
      <scheme val="minor"/>
    </font>
    <font>
      <i/>
      <sz val="12"/>
      <color rgb="FF000000"/>
      <name val="Calibri"/>
      <family val="2"/>
      <scheme val="minor"/>
    </font>
    <font>
      <b/>
      <sz val="11"/>
      <color theme="4"/>
      <name val="TrebuchetMS"/>
      <family val="2"/>
    </font>
    <font>
      <b/>
      <sz val="12"/>
      <color theme="0"/>
      <name val="Calibri"/>
      <family val="2"/>
      <scheme val="minor"/>
    </font>
    <font>
      <sz val="11"/>
      <color rgb="FFFF0000"/>
      <name val="TrebuchetMS"/>
    </font>
    <font>
      <sz val="12"/>
      <color rgb="FFFF0000"/>
      <name val="Calibri"/>
      <family val="2"/>
      <scheme val="minor"/>
    </font>
    <font>
      <i/>
      <sz val="11"/>
      <name val="Calibri"/>
      <family val="2"/>
      <scheme val="minor"/>
    </font>
    <font>
      <b/>
      <sz val="11"/>
      <color theme="0"/>
      <name val="TrebuchetMS"/>
    </font>
    <font>
      <b/>
      <sz val="12"/>
      <color rgb="FF00B0F0"/>
      <name val="Calibri"/>
      <family val="2"/>
      <scheme val="minor"/>
    </font>
    <font>
      <b/>
      <i/>
      <sz val="12"/>
      <color theme="1"/>
      <name val="Calibri"/>
      <family val="2"/>
      <scheme val="minor"/>
    </font>
    <font>
      <b/>
      <sz val="11"/>
      <color theme="9" tint="-0.499984740745262"/>
      <name val="TrebuchetMS"/>
    </font>
    <font>
      <b/>
      <sz val="12"/>
      <color rgb="FFFF0000"/>
      <name val="Calibri"/>
      <family val="2"/>
      <scheme val="minor"/>
    </font>
    <font>
      <sz val="10"/>
      <color theme="1"/>
      <name val="TimesNewRomanPSMT"/>
    </font>
    <font>
      <b/>
      <sz val="10"/>
      <color theme="1"/>
      <name val="TimesNewRomanPS"/>
    </font>
  </fonts>
  <fills count="34">
    <fill>
      <patternFill patternType="none"/>
    </fill>
    <fill>
      <patternFill patternType="gray125"/>
    </fill>
    <fill>
      <patternFill patternType="solid">
        <fgColor rgb="FF44546A"/>
        <bgColor rgb="FF000000"/>
      </patternFill>
    </fill>
    <fill>
      <patternFill patternType="solid">
        <fgColor rgb="FFD6DCE4"/>
        <bgColor rgb="FF000000"/>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FFFAEB"/>
        <bgColor indexed="64"/>
      </patternFill>
    </fill>
    <fill>
      <patternFill patternType="solid">
        <fgColor rgb="FF44546A"/>
        <bgColor rgb="FF44546A"/>
      </patternFill>
    </fill>
    <fill>
      <patternFill patternType="solid">
        <fgColor rgb="FFD6DCE4"/>
        <bgColor rgb="FFD6DCE4"/>
      </patternFill>
    </fill>
    <fill>
      <patternFill patternType="solid">
        <fgColor rgb="FFD6DCE4"/>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FFC000"/>
        <bgColor indexed="64"/>
      </patternFill>
    </fill>
    <fill>
      <patternFill patternType="solid">
        <fgColor rgb="FF0070C0"/>
        <bgColor indexed="64"/>
      </patternFill>
    </fill>
    <fill>
      <patternFill patternType="solid">
        <fgColor rgb="FF002060"/>
        <bgColor indexed="64"/>
      </patternFill>
    </fill>
    <fill>
      <patternFill patternType="solid">
        <fgColor rgb="FF00B0F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4" fontId="17" fillId="0" borderId="0" applyFont="0" applyFill="0" applyBorder="0" applyAlignment="0" applyProtection="0"/>
  </cellStyleXfs>
  <cellXfs count="238">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xf numFmtId="0" fontId="2" fillId="5" borderId="5" xfId="0" applyFont="1" applyFill="1" applyBorder="1" applyAlignment="1">
      <alignment horizontal="center" vertical="center"/>
    </xf>
    <xf numFmtId="0" fontId="10" fillId="0" borderId="5" xfId="0" applyFont="1" applyBorder="1" applyAlignment="1">
      <alignment horizontal="center" vertical="center" wrapText="1"/>
    </xf>
    <xf numFmtId="0" fontId="2" fillId="0" borderId="5" xfId="0" applyFont="1" applyBorder="1" applyAlignment="1">
      <alignment horizontal="center" vertical="center"/>
    </xf>
    <xf numFmtId="0" fontId="2" fillId="0" borderId="0" xfId="0" applyFont="1"/>
    <xf numFmtId="0" fontId="9" fillId="0" borderId="0" xfId="0" applyFont="1" applyAlignment="1">
      <alignment vertical="center"/>
    </xf>
    <xf numFmtId="0" fontId="0" fillId="0" borderId="0" xfId="0" applyAlignment="1">
      <alignment vertical="center"/>
    </xf>
    <xf numFmtId="0" fontId="14" fillId="0" borderId="0" xfId="0" applyFont="1" applyAlignment="1">
      <alignment vertical="center"/>
    </xf>
    <xf numFmtId="0" fontId="2" fillId="0" borderId="0" xfId="0" applyFont="1" applyAlignment="1">
      <alignment vertical="center"/>
    </xf>
    <xf numFmtId="49" fontId="9" fillId="0" borderId="0" xfId="0" applyNumberFormat="1" applyFont="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2" fillId="0" borderId="0" xfId="0" applyFont="1" applyAlignment="1">
      <alignment horizontal="left"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0" borderId="0" xfId="0" quotePrefix="1" applyFont="1"/>
    <xf numFmtId="0" fontId="8" fillId="0" borderId="0" xfId="0" applyFont="1" applyAlignment="1">
      <alignment horizontal="center" vertical="center" wrapText="1"/>
    </xf>
    <xf numFmtId="0" fontId="0" fillId="0" borderId="0" xfId="0" applyAlignment="1">
      <alignment horizontal="center"/>
    </xf>
    <xf numFmtId="0" fontId="22" fillId="0" borderId="0" xfId="0" applyFont="1" applyAlignment="1">
      <alignment horizontal="center" vertical="center"/>
    </xf>
    <xf numFmtId="0" fontId="0" fillId="0" borderId="0" xfId="0" applyAlignment="1">
      <alignment horizontal="center" wrapText="1"/>
    </xf>
    <xf numFmtId="0" fontId="23" fillId="0" borderId="0" xfId="0" applyFont="1" applyAlignment="1">
      <alignment horizontal="center" vertical="center"/>
    </xf>
    <xf numFmtId="0" fontId="24" fillId="0" borderId="0" xfId="0" applyFont="1" applyAlignment="1">
      <alignment vertical="center"/>
    </xf>
    <xf numFmtId="0" fontId="20" fillId="0" borderId="0" xfId="0" applyFont="1" applyAlignment="1">
      <alignment horizontal="center" vertical="center"/>
    </xf>
    <xf numFmtId="0" fontId="25" fillId="25" borderId="0" xfId="0" applyFont="1" applyFill="1" applyAlignment="1">
      <alignment horizontal="center" vertical="center"/>
    </xf>
    <xf numFmtId="0" fontId="19" fillId="18" borderId="15" xfId="0" applyFont="1" applyFill="1" applyBorder="1" applyAlignment="1">
      <alignment horizontal="center" vertical="center"/>
    </xf>
    <xf numFmtId="0" fontId="22" fillId="0" borderId="16" xfId="0" applyFont="1" applyBorder="1" applyAlignment="1">
      <alignment horizontal="center" vertical="center"/>
    </xf>
    <xf numFmtId="0" fontId="19" fillId="0" borderId="0" xfId="0" applyFont="1"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21" fillId="0" borderId="0" xfId="0" applyFont="1" applyAlignment="1">
      <alignment horizontal="center" vertical="center" wrapText="1"/>
    </xf>
    <xf numFmtId="0" fontId="0" fillId="12" borderId="5" xfId="0" applyFill="1" applyBorder="1" applyAlignment="1">
      <alignment horizontal="center" vertical="center" wrapText="1"/>
    </xf>
    <xf numFmtId="0" fontId="1" fillId="12" borderId="5" xfId="0" applyFont="1" applyFill="1" applyBorder="1" applyAlignment="1">
      <alignment horizontal="left" vertical="center" wrapText="1"/>
    </xf>
    <xf numFmtId="0" fontId="21" fillId="0" borderId="5" xfId="0" applyFont="1" applyBorder="1" applyAlignment="1">
      <alignment horizontal="center" vertical="center" wrapText="1"/>
    </xf>
    <xf numFmtId="0" fontId="1" fillId="12" borderId="5" xfId="0" applyFont="1" applyFill="1" applyBorder="1" applyAlignment="1">
      <alignment horizontal="center" vertical="center" wrapText="1"/>
    </xf>
    <xf numFmtId="0" fontId="0" fillId="12" borderId="5" xfId="0" applyFill="1" applyBorder="1" applyAlignment="1">
      <alignment vertical="center" wrapText="1"/>
    </xf>
    <xf numFmtId="44" fontId="0" fillId="0" borderId="0" xfId="0" applyNumberFormat="1" applyAlignment="1">
      <alignment horizontal="center" wrapText="1"/>
    </xf>
    <xf numFmtId="44" fontId="18" fillId="0" borderId="0" xfId="1" applyFont="1" applyFill="1" applyAlignment="1">
      <alignment vertical="center" wrapText="1"/>
    </xf>
    <xf numFmtId="0" fontId="0" fillId="12" borderId="5" xfId="0" applyFill="1" applyBorder="1" applyAlignment="1">
      <alignment horizontal="center" vertical="center"/>
    </xf>
    <xf numFmtId="0" fontId="1" fillId="12" borderId="5" xfId="0" applyFont="1" applyFill="1" applyBorder="1" applyAlignment="1">
      <alignment vertical="center"/>
    </xf>
    <xf numFmtId="0" fontId="21" fillId="0" borderId="5" xfId="0" applyFont="1" applyBorder="1" applyAlignment="1">
      <alignment horizontal="center" vertical="center"/>
    </xf>
    <xf numFmtId="0" fontId="1" fillId="12" borderId="5" xfId="0" applyFont="1" applyFill="1" applyBorder="1" applyAlignment="1">
      <alignment horizontal="center" vertical="center"/>
    </xf>
    <xf numFmtId="0" fontId="1" fillId="12" borderId="5" xfId="0" applyFont="1" applyFill="1" applyBorder="1" applyAlignment="1">
      <alignment vertical="center" wrapText="1"/>
    </xf>
    <xf numFmtId="0" fontId="26" fillId="12" borderId="5" xfId="0" applyFont="1" applyFill="1" applyBorder="1" applyAlignment="1">
      <alignment vertical="center" wrapText="1"/>
    </xf>
    <xf numFmtId="0" fontId="2" fillId="26" borderId="0" xfId="0" applyFont="1" applyFill="1" applyAlignment="1">
      <alignment wrapText="1"/>
    </xf>
    <xf numFmtId="0" fontId="19" fillId="27" borderId="0" xfId="0" applyFont="1" applyFill="1" applyAlignment="1">
      <alignment horizontal="center" vertical="center" wrapText="1"/>
    </xf>
    <xf numFmtId="0" fontId="22" fillId="0" borderId="0" xfId="0" applyFont="1" applyAlignment="1">
      <alignment horizontal="center" vertical="center" wrapText="1"/>
    </xf>
    <xf numFmtId="0" fontId="19" fillId="25" borderId="15" xfId="0" applyFont="1" applyFill="1" applyBorder="1" applyAlignment="1">
      <alignment horizontal="center" vertical="center" wrapText="1"/>
    </xf>
    <xf numFmtId="0" fontId="19" fillId="0" borderId="0" xfId="0" applyFont="1" applyAlignment="1">
      <alignment horizontal="center" vertical="center" wrapText="1"/>
    </xf>
    <xf numFmtId="0" fontId="0" fillId="0" borderId="0" xfId="0" applyAlignment="1">
      <alignment horizontal="center" vertical="center"/>
    </xf>
    <xf numFmtId="0" fontId="21" fillId="0" borderId="0" xfId="0" applyFont="1" applyAlignment="1">
      <alignment horizontal="center" vertical="center"/>
    </xf>
    <xf numFmtId="0" fontId="25" fillId="25" borderId="0" xfId="0" applyFont="1" applyFill="1" applyAlignment="1">
      <alignment horizontal="center" vertical="center" wrapText="1"/>
    </xf>
    <xf numFmtId="0" fontId="20" fillId="0" borderId="0" xfId="0" applyFont="1" applyAlignment="1">
      <alignment horizontal="center" vertical="center" wrapText="1"/>
    </xf>
    <xf numFmtId="0" fontId="22" fillId="0" borderId="5" xfId="0" applyFont="1" applyBorder="1" applyAlignment="1">
      <alignment horizontal="center" vertical="center"/>
    </xf>
    <xf numFmtId="44" fontId="18" fillId="0" borderId="0" xfId="1" applyFont="1" applyFill="1" applyBorder="1" applyAlignment="1">
      <alignment vertical="center" wrapText="1"/>
    </xf>
    <xf numFmtId="0" fontId="0" fillId="28" borderId="0" xfId="0" applyFill="1"/>
    <xf numFmtId="0" fontId="28" fillId="28" borderId="0" xfId="0" applyFont="1" applyFill="1" applyAlignment="1">
      <alignment vertical="center"/>
    </xf>
    <xf numFmtId="0" fontId="0" fillId="28" borderId="0" xfId="0" applyFill="1" applyAlignment="1">
      <alignment horizontal="center"/>
    </xf>
    <xf numFmtId="0" fontId="15" fillId="28" borderId="0" xfId="0" applyFont="1" applyFill="1" applyAlignment="1">
      <alignment vertical="center"/>
    </xf>
    <xf numFmtId="0" fontId="0" fillId="28" borderId="0" xfId="0" applyFill="1" applyAlignment="1">
      <alignment wrapText="1"/>
    </xf>
    <xf numFmtId="0" fontId="0" fillId="24" borderId="0" xfId="0" applyFill="1"/>
    <xf numFmtId="0" fontId="29" fillId="29" borderId="0" xfId="0" applyFont="1" applyFill="1"/>
    <xf numFmtId="0" fontId="3" fillId="29" borderId="0" xfId="0" applyFont="1" applyFill="1"/>
    <xf numFmtId="0" fontId="19" fillId="24" borderId="0" xfId="0" applyFont="1" applyFill="1" applyAlignment="1">
      <alignment vertical="center"/>
    </xf>
    <xf numFmtId="0" fontId="19" fillId="24" borderId="0" xfId="0" applyFont="1" applyFill="1" applyAlignment="1">
      <alignment horizontal="center" vertical="center"/>
    </xf>
    <xf numFmtId="0" fontId="0" fillId="12" borderId="0" xfId="0" applyFill="1" applyAlignment="1">
      <alignment horizontal="center" vertical="center" wrapText="1"/>
    </xf>
    <xf numFmtId="0" fontId="21" fillId="30" borderId="5" xfId="0" applyFont="1" applyFill="1" applyBorder="1" applyAlignment="1">
      <alignment horizontal="center" vertical="center" wrapText="1"/>
    </xf>
    <xf numFmtId="0" fontId="29" fillId="26" borderId="0" xfId="0" applyFont="1" applyFill="1" applyAlignment="1">
      <alignment wrapText="1"/>
    </xf>
    <xf numFmtId="0" fontId="4" fillId="0" borderId="0" xfId="0" applyFont="1" applyAlignment="1">
      <alignment horizontal="left" vertical="center"/>
    </xf>
    <xf numFmtId="0" fontId="27" fillId="0" borderId="0" xfId="0" applyFont="1" applyAlignment="1">
      <alignment vertical="center"/>
    </xf>
    <xf numFmtId="164" fontId="0" fillId="0" borderId="0" xfId="0" applyNumberFormat="1"/>
    <xf numFmtId="44" fontId="30" fillId="0" borderId="0" xfId="1" applyFont="1" applyFill="1" applyAlignment="1">
      <alignment vertical="center" wrapText="1"/>
    </xf>
    <xf numFmtId="0" fontId="15" fillId="28" borderId="0" xfId="0" applyFont="1" applyFill="1" applyAlignment="1">
      <alignment horizontal="center" vertical="center"/>
    </xf>
    <xf numFmtId="0" fontId="0" fillId="28" borderId="0" xfId="0" applyFill="1" applyAlignment="1">
      <alignment horizontal="center" wrapText="1"/>
    </xf>
    <xf numFmtId="0" fontId="31" fillId="0" borderId="0" xfId="0" applyFont="1"/>
    <xf numFmtId="0" fontId="0" fillId="0" borderId="18" xfId="0" applyBorder="1"/>
    <xf numFmtId="0" fontId="0" fillId="0" borderId="0" xfId="0" applyAlignment="1">
      <alignment horizontal="center" vertical="center" wrapText="1"/>
    </xf>
    <xf numFmtId="0" fontId="0" fillId="6" borderId="0" xfId="0" applyFill="1" applyAlignment="1">
      <alignment horizontal="left" vertical="center"/>
    </xf>
    <xf numFmtId="0" fontId="2" fillId="6" borderId="0" xfId="0" applyFont="1" applyFill="1" applyAlignment="1">
      <alignment horizontal="left" vertical="center"/>
    </xf>
    <xf numFmtId="0" fontId="15" fillId="0" borderId="0" xfId="0" applyFont="1" applyAlignment="1">
      <alignment vertical="center" wrapText="1"/>
    </xf>
    <xf numFmtId="2" fontId="15" fillId="0" borderId="0" xfId="0" applyNumberFormat="1" applyFont="1" applyAlignment="1">
      <alignment vertical="center" wrapText="1"/>
    </xf>
    <xf numFmtId="0" fontId="8" fillId="0" borderId="5" xfId="0" applyFont="1" applyBorder="1" applyAlignment="1" applyProtection="1">
      <alignment horizontal="center" vertical="center" wrapText="1"/>
      <protection locked="0"/>
    </xf>
    <xf numFmtId="0" fontId="0" fillId="0" borderId="0" xfId="0" applyProtection="1">
      <protection locked="0"/>
    </xf>
    <xf numFmtId="0" fontId="2" fillId="5" borderId="5" xfId="0" applyFont="1" applyFill="1" applyBorder="1" applyAlignment="1" applyProtection="1">
      <alignment horizontal="center" vertical="center"/>
      <protection locked="0"/>
    </xf>
    <xf numFmtId="0" fontId="2" fillId="0" borderId="5" xfId="0" applyFont="1" applyBorder="1" applyProtection="1">
      <protection locked="0"/>
    </xf>
    <xf numFmtId="0" fontId="0" fillId="0" borderId="5" xfId="0"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0" fillId="0" borderId="5" xfId="0" applyBorder="1"/>
    <xf numFmtId="0" fontId="0" fillId="0" borderId="5" xfId="0" quotePrefix="1" applyBorder="1"/>
    <xf numFmtId="0" fontId="2" fillId="0" borderId="5" xfId="0" applyFont="1" applyBorder="1"/>
    <xf numFmtId="0" fontId="0" fillId="0" borderId="5" xfId="0" applyBorder="1" applyAlignment="1">
      <alignment horizontal="left" vertical="center"/>
    </xf>
    <xf numFmtId="0" fontId="4" fillId="0" borderId="5" xfId="0" applyFont="1" applyBorder="1" applyAlignment="1">
      <alignment vertical="center"/>
    </xf>
    <xf numFmtId="0" fontId="4" fillId="0" borderId="6" xfId="0" applyFont="1" applyBorder="1" applyAlignment="1">
      <alignment horizontal="left" vertical="center"/>
    </xf>
    <xf numFmtId="0" fontId="4" fillId="0" borderId="3" xfId="0" applyFont="1" applyBorder="1" applyAlignment="1">
      <alignment vertical="center"/>
    </xf>
    <xf numFmtId="0" fontId="4" fillId="0" borderId="4" xfId="0" applyFont="1" applyBorder="1" applyAlignment="1">
      <alignment horizontal="left" vertical="center"/>
    </xf>
    <xf numFmtId="0" fontId="2" fillId="0" borderId="5" xfId="0" quotePrefix="1" applyFont="1" applyBorder="1"/>
    <xf numFmtId="0" fontId="27" fillId="0" borderId="5" xfId="0" applyFont="1" applyBorder="1" applyAlignment="1">
      <alignment vertical="center"/>
    </xf>
    <xf numFmtId="14" fontId="2" fillId="0" borderId="5" xfId="0" applyNumberFormat="1" applyFont="1" applyBorder="1" applyProtection="1">
      <protection locked="0"/>
    </xf>
    <xf numFmtId="0" fontId="31" fillId="0" borderId="5" xfId="0" applyFont="1" applyBorder="1" applyProtection="1">
      <protection locked="0"/>
    </xf>
    <xf numFmtId="0" fontId="11" fillId="7" borderId="5" xfId="0" applyFont="1" applyFill="1" applyBorder="1" applyAlignment="1" applyProtection="1">
      <alignment horizontal="center" vertical="center"/>
      <protection locked="0"/>
    </xf>
    <xf numFmtId="0" fontId="11" fillId="7" borderId="5" xfId="0" applyFont="1" applyFill="1" applyBorder="1" applyAlignment="1" applyProtection="1">
      <alignment vertical="center"/>
      <protection locked="0"/>
    </xf>
    <xf numFmtId="0" fontId="0" fillId="6" borderId="5" xfId="0" applyFill="1" applyBorder="1" applyAlignment="1">
      <alignment horizontal="left" vertical="center"/>
    </xf>
    <xf numFmtId="0" fontId="2" fillId="13" borderId="1" xfId="0" applyFont="1" applyFill="1" applyBorder="1" applyAlignment="1">
      <alignment vertical="center"/>
    </xf>
    <xf numFmtId="0" fontId="2" fillId="13" borderId="2" xfId="0" applyFont="1" applyFill="1" applyBorder="1" applyAlignment="1">
      <alignment vertical="center"/>
    </xf>
    <xf numFmtId="0" fontId="2" fillId="14" borderId="5" xfId="0" applyFont="1" applyFill="1" applyBorder="1" applyAlignment="1">
      <alignment vertical="center"/>
    </xf>
    <xf numFmtId="0" fontId="2" fillId="6" borderId="5" xfId="0" applyFont="1" applyFill="1" applyBorder="1" applyAlignment="1">
      <alignment horizontal="left" vertical="center"/>
    </xf>
    <xf numFmtId="0" fontId="2" fillId="15" borderId="1" xfId="0" applyFont="1" applyFill="1" applyBorder="1" applyAlignment="1">
      <alignment vertical="center"/>
    </xf>
    <xf numFmtId="0" fontId="2" fillId="15" borderId="2" xfId="0" applyFont="1" applyFill="1" applyBorder="1" applyAlignment="1">
      <alignment vertical="center"/>
    </xf>
    <xf numFmtId="0" fontId="2" fillId="15" borderId="6" xfId="0" applyFont="1" applyFill="1" applyBorder="1" applyAlignment="1">
      <alignment vertical="center"/>
    </xf>
    <xf numFmtId="0" fontId="2" fillId="5" borderId="5" xfId="0" applyFont="1" applyFill="1" applyBorder="1" applyAlignment="1">
      <alignment vertical="center"/>
    </xf>
    <xf numFmtId="0" fontId="2" fillId="0" borderId="0" xfId="0" applyFont="1" applyAlignment="1" applyProtection="1">
      <alignment vertical="center"/>
      <protection locked="0"/>
    </xf>
    <xf numFmtId="0" fontId="11" fillId="0" borderId="0" xfId="0" applyFont="1" applyAlignment="1" applyProtection="1">
      <alignment vertical="center"/>
      <protection locked="0"/>
    </xf>
    <xf numFmtId="0" fontId="2" fillId="16" borderId="1" xfId="0" applyFont="1" applyFill="1" applyBorder="1" applyAlignment="1">
      <alignment vertical="center"/>
    </xf>
    <xf numFmtId="0" fontId="2" fillId="16" borderId="2" xfId="0" applyFont="1" applyFill="1" applyBorder="1" applyAlignment="1">
      <alignment vertical="center"/>
    </xf>
    <xf numFmtId="0" fontId="2" fillId="16" borderId="6" xfId="0" applyFont="1" applyFill="1" applyBorder="1" applyAlignment="1">
      <alignment vertical="center"/>
    </xf>
    <xf numFmtId="0" fontId="2" fillId="17" borderId="5" xfId="0" applyFont="1" applyFill="1" applyBorder="1" applyAlignment="1">
      <alignment vertical="center"/>
    </xf>
    <xf numFmtId="0" fontId="2" fillId="20" borderId="1" xfId="0" applyFont="1" applyFill="1" applyBorder="1" applyAlignment="1">
      <alignment vertical="center"/>
    </xf>
    <xf numFmtId="0" fontId="2" fillId="20" borderId="2" xfId="0" applyFont="1" applyFill="1" applyBorder="1" applyAlignment="1">
      <alignment vertical="center"/>
    </xf>
    <xf numFmtId="0" fontId="2" fillId="20" borderId="6" xfId="0" applyFont="1" applyFill="1" applyBorder="1" applyAlignment="1">
      <alignment vertical="center"/>
    </xf>
    <xf numFmtId="0" fontId="2" fillId="21" borderId="5" xfId="0" applyFont="1" applyFill="1" applyBorder="1" applyAlignment="1">
      <alignment vertical="center"/>
    </xf>
    <xf numFmtId="0" fontId="2" fillId="11" borderId="1" xfId="0" applyFont="1" applyFill="1" applyBorder="1" applyAlignment="1">
      <alignment vertical="center"/>
    </xf>
    <xf numFmtId="0" fontId="2" fillId="11" borderId="2" xfId="0" applyFont="1" applyFill="1" applyBorder="1" applyAlignment="1">
      <alignment vertical="center"/>
    </xf>
    <xf numFmtId="0" fontId="2" fillId="11" borderId="6" xfId="0" applyFont="1" applyFill="1" applyBorder="1" applyAlignment="1">
      <alignment vertical="center"/>
    </xf>
    <xf numFmtId="0" fontId="2" fillId="12" borderId="5" xfId="0" applyFont="1" applyFill="1" applyBorder="1" applyAlignment="1">
      <alignment vertical="center"/>
    </xf>
    <xf numFmtId="0" fontId="2" fillId="22" borderId="1" xfId="0" applyFont="1" applyFill="1" applyBorder="1" applyAlignment="1">
      <alignment vertical="center"/>
    </xf>
    <xf numFmtId="0" fontId="2" fillId="22" borderId="2" xfId="0" applyFont="1" applyFill="1" applyBorder="1" applyAlignment="1">
      <alignment vertical="center"/>
    </xf>
    <xf numFmtId="0" fontId="2" fillId="22" borderId="6" xfId="0" applyFont="1" applyFill="1" applyBorder="1" applyAlignment="1">
      <alignment vertical="center"/>
    </xf>
    <xf numFmtId="0" fontId="2" fillId="23" borderId="5" xfId="0" applyFont="1" applyFill="1" applyBorder="1" applyAlignment="1">
      <alignment vertical="center"/>
    </xf>
    <xf numFmtId="0" fontId="2" fillId="24" borderId="1" xfId="0" applyFont="1" applyFill="1" applyBorder="1" applyAlignment="1">
      <alignment vertical="center"/>
    </xf>
    <xf numFmtId="0" fontId="2" fillId="24" borderId="2" xfId="0" applyFont="1" applyFill="1" applyBorder="1" applyAlignment="1">
      <alignment vertical="center"/>
    </xf>
    <xf numFmtId="0" fontId="2" fillId="24" borderId="6" xfId="0" applyFont="1" applyFill="1" applyBorder="1" applyAlignment="1">
      <alignment vertical="center"/>
    </xf>
    <xf numFmtId="0" fontId="2" fillId="18" borderId="1" xfId="0" applyFont="1" applyFill="1" applyBorder="1" applyAlignment="1">
      <alignment vertical="center"/>
    </xf>
    <xf numFmtId="0" fontId="2" fillId="18" borderId="2" xfId="0" applyFont="1" applyFill="1" applyBorder="1" applyAlignment="1">
      <alignment vertical="center"/>
    </xf>
    <xf numFmtId="0" fontId="2" fillId="18" borderId="6" xfId="0" applyFont="1" applyFill="1" applyBorder="1" applyAlignment="1">
      <alignment vertical="center"/>
    </xf>
    <xf numFmtId="0" fontId="2" fillId="19" borderId="5" xfId="0" applyFont="1" applyFill="1" applyBorder="1" applyAlignment="1">
      <alignment vertical="center"/>
    </xf>
    <xf numFmtId="0" fontId="2" fillId="0" borderId="14" xfId="0" applyFont="1" applyBorder="1" applyAlignment="1">
      <alignment vertical="center"/>
    </xf>
    <xf numFmtId="0" fontId="2" fillId="0" borderId="14" xfId="0" applyFont="1" applyBorder="1" applyAlignment="1">
      <alignment horizontal="center" vertical="center"/>
    </xf>
    <xf numFmtId="0" fontId="16" fillId="0" borderId="0" xfId="0" applyFont="1"/>
    <xf numFmtId="0" fontId="15" fillId="0" borderId="5" xfId="0" applyFont="1" applyBorder="1"/>
    <xf numFmtId="0" fontId="0" fillId="0" borderId="0" xfId="0" applyAlignment="1" applyProtection="1">
      <alignment vertical="center"/>
      <protection locked="0"/>
    </xf>
    <xf numFmtId="0" fontId="15" fillId="0" borderId="0" xfId="0" applyFont="1" applyAlignment="1" applyProtection="1">
      <alignment horizontal="center" vertical="center"/>
      <protection locked="0"/>
    </xf>
    <xf numFmtId="2" fontId="11" fillId="7" borderId="5" xfId="0" applyNumberFormat="1" applyFont="1" applyFill="1" applyBorder="1" applyAlignment="1" applyProtection="1">
      <alignment vertical="center"/>
      <protection locked="0"/>
    </xf>
    <xf numFmtId="0" fontId="2" fillId="23" borderId="3" xfId="0" applyFont="1" applyFill="1" applyBorder="1" applyAlignment="1">
      <alignment vertical="center"/>
    </xf>
    <xf numFmtId="0" fontId="2" fillId="14" borderId="3" xfId="0" applyFont="1" applyFill="1" applyBorder="1" applyAlignment="1">
      <alignment vertical="center"/>
    </xf>
    <xf numFmtId="0" fontId="2" fillId="28" borderId="0" xfId="0" applyFont="1" applyFill="1"/>
    <xf numFmtId="0" fontId="2" fillId="28" borderId="0" xfId="0" applyFont="1" applyFill="1" applyAlignment="1">
      <alignment horizontal="center"/>
    </xf>
    <xf numFmtId="0" fontId="2" fillId="28" borderId="0" xfId="0" applyFont="1" applyFill="1" applyAlignment="1">
      <alignment wrapText="1"/>
    </xf>
    <xf numFmtId="0" fontId="2" fillId="28" borderId="0" xfId="0" applyFont="1" applyFill="1" applyAlignment="1">
      <alignment horizontal="center" wrapText="1"/>
    </xf>
    <xf numFmtId="0" fontId="11" fillId="28" borderId="0" xfId="0" applyFont="1" applyFill="1" applyAlignment="1">
      <alignment horizontal="center" vertical="center"/>
    </xf>
    <xf numFmtId="0" fontId="2" fillId="28" borderId="0" xfId="0" applyFont="1" applyFill="1" applyAlignment="1">
      <alignment horizontal="right" wrapText="1"/>
    </xf>
    <xf numFmtId="0" fontId="11" fillId="28" borderId="0" xfId="0" applyFont="1" applyFill="1" applyAlignment="1">
      <alignment vertical="center"/>
    </xf>
    <xf numFmtId="0" fontId="11" fillId="28" borderId="0" xfId="0" applyFont="1" applyFill="1" applyAlignment="1">
      <alignment horizontal="center"/>
    </xf>
    <xf numFmtId="0" fontId="9"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4" fillId="9" borderId="13" xfId="0" applyFont="1" applyFill="1" applyBorder="1" applyAlignment="1">
      <alignment horizontal="left" vertical="center"/>
    </xf>
    <xf numFmtId="0" fontId="5" fillId="3" borderId="3" xfId="0" applyFont="1" applyFill="1" applyBorder="1" applyAlignment="1">
      <alignment horizontal="left" vertical="center"/>
    </xf>
    <xf numFmtId="0" fontId="0" fillId="0" borderId="5" xfId="0" applyBorder="1" applyAlignment="1">
      <alignment horizontal="left"/>
    </xf>
    <xf numFmtId="0" fontId="11" fillId="7" borderId="0" xfId="0" applyFont="1" applyFill="1" applyAlignment="1" applyProtection="1">
      <alignment vertical="center"/>
      <protection locked="0"/>
    </xf>
    <xf numFmtId="0" fontId="8" fillId="0" borderId="6" xfId="0" applyFont="1" applyBorder="1" applyAlignment="1" applyProtection="1">
      <alignment horizontal="center" vertical="center" wrapText="1"/>
      <protection locked="0"/>
    </xf>
    <xf numFmtId="0" fontId="0" fillId="0" borderId="0" xfId="0" applyAlignment="1">
      <alignment horizontal="left"/>
    </xf>
    <xf numFmtId="0" fontId="32" fillId="0" borderId="5" xfId="0" applyFont="1" applyBorder="1" applyAlignment="1">
      <alignment horizontal="center" vertical="center" wrapText="1"/>
    </xf>
    <xf numFmtId="0" fontId="15" fillId="0" borderId="0" xfId="0" applyFont="1" applyAlignment="1">
      <alignment horizontal="center" wrapText="1"/>
    </xf>
    <xf numFmtId="0" fontId="32" fillId="0" borderId="5" xfId="0" applyFont="1" applyBorder="1" applyAlignment="1">
      <alignment horizontal="center" vertical="center"/>
    </xf>
    <xf numFmtId="0" fontId="19" fillId="27" borderId="0" xfId="0" applyFont="1" applyFill="1" applyAlignment="1">
      <alignment horizontal="center" vertical="center"/>
    </xf>
    <xf numFmtId="0" fontId="33" fillId="27" borderId="0" xfId="0" applyFont="1" applyFill="1" applyAlignment="1">
      <alignment horizontal="center" vertical="center"/>
    </xf>
    <xf numFmtId="1" fontId="0" fillId="0" borderId="0" xfId="0" applyNumberFormat="1" applyAlignment="1">
      <alignment horizontal="center"/>
    </xf>
    <xf numFmtId="165" fontId="0" fillId="0" borderId="0" xfId="0" applyNumberFormat="1"/>
    <xf numFmtId="166" fontId="0" fillId="0" borderId="0" xfId="0" applyNumberFormat="1" applyAlignment="1">
      <alignment horizontal="center"/>
    </xf>
    <xf numFmtId="0" fontId="2" fillId="12" borderId="5" xfId="0" applyFont="1" applyFill="1" applyBorder="1" applyAlignment="1">
      <alignment horizontal="center" vertical="center"/>
    </xf>
    <xf numFmtId="0" fontId="26" fillId="12" borderId="5" xfId="0" applyFont="1" applyFill="1" applyBorder="1" applyAlignment="1">
      <alignment vertical="center"/>
    </xf>
    <xf numFmtId="0" fontId="19" fillId="28" borderId="5" xfId="0" applyFont="1" applyFill="1" applyBorder="1" applyAlignment="1">
      <alignment horizontal="center" vertical="center"/>
    </xf>
    <xf numFmtId="0" fontId="15" fillId="12" borderId="5" xfId="0" applyFont="1" applyFill="1" applyBorder="1" applyAlignment="1">
      <alignment horizontal="center" vertical="center"/>
    </xf>
    <xf numFmtId="166" fontId="15" fillId="0" borderId="0" xfId="0" applyNumberFormat="1" applyFont="1" applyAlignment="1">
      <alignment horizontal="center"/>
    </xf>
    <xf numFmtId="1" fontId="15" fillId="0" borderId="0" xfId="0" applyNumberFormat="1" applyFont="1" applyAlignment="1">
      <alignment horizontal="center"/>
    </xf>
    <xf numFmtId="0" fontId="26" fillId="12" borderId="5" xfId="0" applyFont="1" applyFill="1" applyBorder="1" applyAlignment="1">
      <alignment horizontal="center" vertical="center"/>
    </xf>
    <xf numFmtId="1" fontId="2" fillId="0" borderId="0" xfId="0" applyNumberFormat="1" applyFont="1" applyAlignment="1">
      <alignment horizontal="center"/>
    </xf>
    <xf numFmtId="164" fontId="0" fillId="0" borderId="0" xfId="0" applyNumberFormat="1" applyAlignment="1">
      <alignment wrapText="1"/>
    </xf>
    <xf numFmtId="4" fontId="0" fillId="0" borderId="0" xfId="0" applyNumberFormat="1"/>
    <xf numFmtId="166" fontId="0" fillId="0" borderId="0" xfId="0" applyNumberFormat="1"/>
    <xf numFmtId="0" fontId="19" fillId="33" borderId="0" xfId="0" applyFont="1" applyFill="1" applyAlignment="1">
      <alignment horizontal="center" vertical="center"/>
    </xf>
    <xf numFmtId="0" fontId="33" fillId="33" borderId="0" xfId="0" applyFont="1" applyFill="1" applyAlignment="1">
      <alignment horizontal="center" vertical="center"/>
    </xf>
    <xf numFmtId="166" fontId="29" fillId="31" borderId="0" xfId="0" applyNumberFormat="1" applyFont="1" applyFill="1" applyAlignment="1">
      <alignment horizontal="center" vertical="center"/>
    </xf>
    <xf numFmtId="166" fontId="29" fillId="31" borderId="0" xfId="0" applyNumberFormat="1" applyFont="1" applyFill="1" applyAlignment="1">
      <alignment horizontal="left" vertical="center"/>
    </xf>
    <xf numFmtId="166" fontId="29" fillId="32" borderId="0" xfId="0" applyNumberFormat="1" applyFont="1" applyFill="1" applyAlignment="1">
      <alignment horizontal="center" vertical="center"/>
    </xf>
    <xf numFmtId="0" fontId="19" fillId="25" borderId="0" xfId="0" applyFont="1" applyFill="1" applyAlignment="1">
      <alignment horizontal="left" vertical="center"/>
    </xf>
    <xf numFmtId="166" fontId="29" fillId="32" borderId="0" xfId="0" applyNumberFormat="1" applyFont="1" applyFill="1" applyAlignment="1">
      <alignment horizontal="left" vertical="center"/>
    </xf>
    <xf numFmtId="0" fontId="0" fillId="0" borderId="5" xfId="0" applyBorder="1" applyAlignment="1">
      <alignment horizontal="center"/>
    </xf>
    <xf numFmtId="0" fontId="36" fillId="0" borderId="0" xfId="0" applyFont="1" applyAlignment="1">
      <alignment horizontal="center" vertical="center"/>
    </xf>
    <xf numFmtId="0" fontId="0" fillId="0" borderId="22" xfId="0" applyBorder="1" applyAlignment="1">
      <alignment horizontal="center"/>
    </xf>
    <xf numFmtId="0" fontId="0" fillId="0" borderId="23" xfId="0" applyBorder="1" applyAlignment="1">
      <alignment horizontal="center"/>
    </xf>
    <xf numFmtId="0" fontId="0" fillId="0" borderId="3" xfId="0" applyBorder="1" applyAlignment="1">
      <alignment horizontal="center"/>
    </xf>
    <xf numFmtId="0" fontId="2" fillId="0" borderId="0" xfId="0" applyFont="1" applyAlignment="1">
      <alignment horizontal="center"/>
    </xf>
    <xf numFmtId="3" fontId="2" fillId="0" borderId="0" xfId="0" applyNumberFormat="1" applyFont="1" applyAlignment="1">
      <alignment horizontal="center"/>
    </xf>
    <xf numFmtId="1" fontId="2" fillId="25" borderId="6" xfId="0" applyNumberFormat="1" applyFont="1" applyFill="1" applyBorder="1" applyAlignment="1">
      <alignment horizontal="center"/>
    </xf>
    <xf numFmtId="0" fontId="2" fillId="0" borderId="22" xfId="0" applyFont="1" applyBorder="1"/>
    <xf numFmtId="0" fontId="2" fillId="0" borderId="23" xfId="0" applyFont="1" applyBorder="1"/>
    <xf numFmtId="0" fontId="2" fillId="0" borderId="3" xfId="0" applyFont="1" applyBorder="1"/>
    <xf numFmtId="3" fontId="35" fillId="0" borderId="2" xfId="0" applyNumberFormat="1" applyFont="1" applyBorder="1" applyAlignment="1">
      <alignment horizontal="center"/>
    </xf>
    <xf numFmtId="0" fontId="35" fillId="0" borderId="2" xfId="0" applyFont="1" applyBorder="1" applyAlignment="1">
      <alignment horizontal="center"/>
    </xf>
    <xf numFmtId="3" fontId="35" fillId="0" borderId="22" xfId="0" applyNumberFormat="1" applyFont="1" applyBorder="1" applyAlignment="1">
      <alignment horizontal="center"/>
    </xf>
    <xf numFmtId="3" fontId="35" fillId="0" borderId="23" xfId="0" applyNumberFormat="1" applyFont="1" applyBorder="1" applyAlignment="1">
      <alignment horizontal="center"/>
    </xf>
    <xf numFmtId="0" fontId="35" fillId="0" borderId="23" xfId="0" applyFont="1" applyBorder="1" applyAlignment="1">
      <alignment horizontal="center"/>
    </xf>
    <xf numFmtId="3" fontId="35" fillId="0" borderId="3" xfId="0" applyNumberFormat="1" applyFont="1" applyBorder="1" applyAlignment="1">
      <alignment horizontal="center"/>
    </xf>
    <xf numFmtId="166" fontId="2" fillId="0" borderId="0" xfId="0" applyNumberFormat="1" applyFont="1" applyAlignment="1">
      <alignment horizontal="center"/>
    </xf>
    <xf numFmtId="166" fontId="2" fillId="0" borderId="23" xfId="0" applyNumberFormat="1" applyFont="1" applyBorder="1" applyAlignment="1">
      <alignment horizontal="center"/>
    </xf>
    <xf numFmtId="166" fontId="2" fillId="0" borderId="3" xfId="0" applyNumberFormat="1" applyFont="1" applyBorder="1" applyAlignment="1">
      <alignment horizontal="center"/>
    </xf>
    <xf numFmtId="1" fontId="2" fillId="0" borderId="22" xfId="0" applyNumberFormat="1" applyFont="1" applyBorder="1" applyAlignment="1">
      <alignment horizontal="center"/>
    </xf>
    <xf numFmtId="0" fontId="37" fillId="7" borderId="5" xfId="0" applyFont="1" applyFill="1" applyBorder="1" applyAlignment="1" applyProtection="1">
      <alignment vertical="center"/>
      <protection locked="0"/>
    </xf>
    <xf numFmtId="0" fontId="7" fillId="4" borderId="1"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4" xfId="0" applyFont="1" applyBorder="1" applyAlignment="1">
      <alignment horizontal="left" vertical="top"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3" fillId="2" borderId="1"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0" fontId="3" fillId="4" borderId="9" xfId="0" applyFont="1" applyFill="1" applyBorder="1" applyAlignment="1" applyProtection="1">
      <alignment horizontal="center" vertical="center"/>
      <protection locked="0"/>
    </xf>
    <xf numFmtId="0" fontId="3" fillId="4" borderId="4" xfId="0" applyFont="1" applyFill="1" applyBorder="1" applyAlignment="1" applyProtection="1">
      <alignment horizontal="center" vertical="center"/>
      <protection locked="0"/>
    </xf>
    <xf numFmtId="0" fontId="15" fillId="7" borderId="1" xfId="0" applyFont="1" applyFill="1" applyBorder="1" applyAlignment="1" applyProtection="1">
      <alignment horizontal="left" vertical="center"/>
      <protection locked="0"/>
    </xf>
    <xf numFmtId="0" fontId="15" fillId="7" borderId="6" xfId="0" applyFont="1" applyFill="1" applyBorder="1" applyAlignment="1" applyProtection="1">
      <alignment horizontal="left" vertical="center"/>
      <protection locked="0"/>
    </xf>
    <xf numFmtId="0" fontId="12" fillId="8" borderId="10" xfId="0" applyFont="1" applyFill="1" applyBorder="1" applyAlignment="1">
      <alignment horizontal="left" vertical="center"/>
    </xf>
    <xf numFmtId="0" fontId="12" fillId="8" borderId="11" xfId="0" applyFont="1" applyFill="1" applyBorder="1" applyAlignment="1">
      <alignment horizontal="left" vertical="center"/>
    </xf>
    <xf numFmtId="0" fontId="2" fillId="15" borderId="9" xfId="0" applyFont="1" applyFill="1" applyBorder="1" applyAlignment="1">
      <alignment horizontal="left" vertical="center"/>
    </xf>
    <xf numFmtId="0" fontId="2" fillId="15" borderId="17" xfId="0" applyFont="1" applyFill="1" applyBorder="1" applyAlignment="1">
      <alignment horizontal="left" vertical="center"/>
    </xf>
    <xf numFmtId="0" fontId="10" fillId="0" borderId="5" xfId="0" applyFont="1" applyBorder="1" applyAlignment="1" applyProtection="1">
      <alignment horizontal="center" vertical="center"/>
      <protection locked="0"/>
    </xf>
    <xf numFmtId="0" fontId="11" fillId="10" borderId="1" xfId="0" applyFont="1" applyFill="1" applyBorder="1" applyAlignment="1" applyProtection="1">
      <alignment horizontal="center" vertical="center"/>
      <protection locked="0"/>
    </xf>
    <xf numFmtId="0" fontId="11" fillId="10" borderId="6" xfId="0" applyFont="1" applyFill="1" applyBorder="1" applyAlignment="1" applyProtection="1">
      <alignment horizontal="center" vertical="center"/>
      <protection locked="0"/>
    </xf>
    <xf numFmtId="0" fontId="10" fillId="0" borderId="5" xfId="0" applyFont="1" applyBorder="1" applyAlignment="1">
      <alignment horizontal="center" vertical="center"/>
    </xf>
    <xf numFmtId="0" fontId="34" fillId="0" borderId="19" xfId="0" applyFont="1" applyBorder="1" applyAlignment="1">
      <alignment horizontal="center"/>
    </xf>
    <xf numFmtId="0" fontId="34" fillId="0" borderId="21" xfId="0" applyFont="1" applyBorder="1" applyAlignment="1">
      <alignment horizontal="center"/>
    </xf>
    <xf numFmtId="0" fontId="34" fillId="0" borderId="20" xfId="0" applyFont="1" applyBorder="1" applyAlignment="1">
      <alignment horizontal="center"/>
    </xf>
    <xf numFmtId="0" fontId="38" fillId="0" borderId="0" xfId="0" applyFont="1"/>
    <xf numFmtId="0" fontId="39" fillId="0" borderId="0" xfId="0" applyFont="1"/>
    <xf numFmtId="0" fontId="38" fillId="0" borderId="0" xfId="0" applyFont="1" applyAlignment="1">
      <alignment wrapText="1"/>
    </xf>
  </cellXfs>
  <cellStyles count="2">
    <cellStyle name="Normale" xfId="0" builtinId="0"/>
    <cellStyle name="Valuta" xfId="1" builtinId="4"/>
  </cellStyles>
  <dxfs count="0"/>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drea Bianchi" id="{FF92EE16-6B03-4EF3-9883-2018917D3056}" userId="S::10331450@polimi.it::a4e85576-6ff4-4d29-a510-ce9409f519a1"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5-02-21T21:46:28.99" personId="{FF92EE16-6B03-4EF3-9883-2018917D3056}" id="{5CABB8A1-27E3-4CCD-8C29-336106BFBE26}">
    <text>in this column the % variation of each KPI is adjusted in order to have positive values for positive impacts and negative values for negative impacts</text>
  </threadedComment>
  <threadedComment ref="H2" dT="2025-02-21T21:47:41.14" personId="{FF92EE16-6B03-4EF3-9883-2018917D3056}" id="{F2A9B87B-9258-4ECA-8B00-DCD3EFB7E510}">
    <text xml:space="preserve">This column is used to assign 1 to KPIs where an increase represents something positive, and 0 where an increase represents something negative </text>
  </threadedComment>
  <threadedComment ref="M2" dT="2025-02-21T15:15:31.98" personId="{FF92EE16-6B03-4EF3-9883-2018917D3056}" id="{24F6536B-4FD9-4FB3-B328-CD753519AD77}">
    <text>This field must be filled manually, based on our TC reports</text>
  </threadedComment>
  <threadedComment ref="N2" dT="2025-02-21T15:15:42.58" personId="{FF92EE16-6B03-4EF3-9883-2018917D3056}" id="{A7C8F337-41E4-4713-99B5-9B279ED58791}">
    <text>This field must be filled manually, based on our TC reports</text>
  </threadedComment>
  <threadedComment ref="O2" dT="2025-02-21T16:00:57.69" personId="{FF92EE16-6B03-4EF3-9883-2018917D3056}" id="{9F8E3BB3-D55C-42EA-83B9-022F9F604EF3}">
    <text>This field must be filled manually, based on our TC reports</text>
  </threadedComment>
  <threadedComment ref="P2" dT="2025-03-11T15:13:40.30" personId="{FF92EE16-6B03-4EF3-9883-2018917D3056}" id="{75050D1E-618C-4FD8-BFC9-725302ECF610}">
    <text xml:space="preserve">This field must be filled manually
</text>
  </threadedComment>
  <threadedComment ref="S2" dT="2025-02-21T17:02:41.29" personId="{FF92EE16-6B03-4EF3-9883-2018917D3056}" id="{F37966A8-31DE-410A-9C9D-3F1996E32E50}">
    <text>The 7 categories used to aggregate the KPIs in the spider chart: always shown and displayed</text>
  </threadedComment>
  <threadedComment ref="U2" dT="2025-03-12T16:30:42.68" personId="{FF92EE16-6B03-4EF3-9883-2018917D3056}" id="{7C699CE0-B76B-4B4A-BF07-FB0115D00DBB}">
    <text xml:space="preserve">In some cases, the variation between the two scenarios, with DATSs and NO DATSs, exceeds 100%. This makes it difficult to standardize the visualization of the results, and such a large difference is not always justifiable solely based on the adoption of DATSs. For this reason, I have set a maximum range for these values so that they can be better visualized in the charts. </text>
  </threadedComment>
  <threadedComment ref="E47" dT="2025-02-21T14:48:37.95" personId="{FF92EE16-6B03-4EF3-9883-2018917D3056}" id="{F721C37E-BD6B-4E79-87FE-5AC67F217008}">
    <text>to be completed</text>
  </threadedComment>
  <threadedComment ref="D48" dT="2025-03-11T15:02:11.20" personId="{FF92EE16-6B03-4EF3-9883-2018917D3056}" id="{2489065C-AEA7-463C-94CB-D00D17B1DE14}">
    <text xml:space="preserve">to be calculated next year
</text>
  </threadedComment>
  <threadedComment ref="E48" dT="2025-02-21T14:49:18.25" personId="{FF92EE16-6B03-4EF3-9883-2018917D3056}" id="{98808325-C713-43D4-8DE6-A87C480C8D1E}">
    <text>to be completed</text>
  </threadedComment>
  <threadedComment ref="D49" dT="2025-03-11T15:02:24.56" personId="{FF92EE16-6B03-4EF3-9883-2018917D3056}" id="{06EEA1BD-3D0C-4BFD-8D54-586BA8E036EE}">
    <text xml:space="preserve">to be calculated next year
</text>
  </threadedComment>
  <threadedComment ref="E49" dT="2025-02-21T14:49:25.61" personId="{FF92EE16-6B03-4EF3-9883-2018917D3056}" id="{FBB86499-2158-477E-B0F8-28A1C735181B}">
    <text>to be completed</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3-12T16:58:40.53" personId="{FF92EE16-6B03-4EF3-9883-2018917D3056}" id="{63F3B7A5-78F5-445A-8E26-6E073F21DF63}">
    <text>All the icons for the KPIs impacted by the DATs for this calculator are here. This list will be completed with the icons for the other KPIs</text>
  </threadedComment>
</ThreadedComments>
</file>

<file path=xl/worksheets/_rels/sheet9.xml.rels><?xml version="1.0" encoding="UTF-8" standalone="yes"?>
<Relationships xmlns="http://schemas.openxmlformats.org/package/2006/relationships"><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7"/>
  <sheetViews>
    <sheetView workbookViewId="0"/>
  </sheetViews>
  <sheetFormatPr baseColWidth="10" defaultRowHeight="16"/>
  <sheetData>
    <row r="2" spans="2:3" ht="136">
      <c r="B2" s="210" t="s">
        <v>49</v>
      </c>
      <c r="C2" s="211"/>
    </row>
    <row r="3" spans="2:3" ht="409.6">
      <c r="B3" s="212" t="s">
        <v>568</v>
      </c>
      <c r="C3" s="213"/>
    </row>
    <row r="4" spans="2:3">
      <c r="B4" s="214"/>
      <c r="C4" s="215"/>
    </row>
    <row r="5" spans="2:3" ht="51">
      <c r="B5" s="210" t="s">
        <v>50</v>
      </c>
      <c r="C5" s="211"/>
    </row>
    <row r="6" spans="2:3" ht="34">
      <c r="B6" s="154" t="s">
        <v>51</v>
      </c>
      <c r="C6" s="155" t="s">
        <v>52</v>
      </c>
    </row>
    <row r="7" spans="2:3" ht="17">
      <c r="B7" s="155" t="s">
        <v>45</v>
      </c>
      <c r="C7" s="155" t="s">
        <v>53</v>
      </c>
    </row>
    <row r="8" spans="2:3" ht="34">
      <c r="B8" s="155" t="s">
        <v>54</v>
      </c>
      <c r="C8" s="155" t="s">
        <v>55</v>
      </c>
    </row>
    <row r="9" spans="2:3" ht="34">
      <c r="B9" s="155" t="s">
        <v>56</v>
      </c>
      <c r="C9" s="155" t="s">
        <v>57</v>
      </c>
    </row>
    <row r="10" spans="2:3" ht="17">
      <c r="B10" s="155" t="s">
        <v>58</v>
      </c>
      <c r="C10" s="155" t="s">
        <v>59</v>
      </c>
    </row>
    <row r="11" spans="2:3" ht="17">
      <c r="B11" s="155" t="s">
        <v>60</v>
      </c>
      <c r="C11" s="155" t="s">
        <v>61</v>
      </c>
    </row>
    <row r="12" spans="2:3" ht="17">
      <c r="B12" s="155" t="s">
        <v>62</v>
      </c>
      <c r="C12" s="155" t="s">
        <v>63</v>
      </c>
    </row>
    <row r="13" spans="2:3" ht="17">
      <c r="B13" s="155" t="s">
        <v>64</v>
      </c>
      <c r="C13" s="155" t="s">
        <v>65</v>
      </c>
    </row>
    <row r="14" spans="2:3" ht="34">
      <c r="B14" s="155" t="s">
        <v>66</v>
      </c>
      <c r="C14" s="155" t="s">
        <v>67</v>
      </c>
    </row>
    <row r="15" spans="2:3" ht="17">
      <c r="B15" s="155" t="s">
        <v>68</v>
      </c>
      <c r="C15" s="155" t="s">
        <v>69</v>
      </c>
    </row>
    <row r="16" spans="2:3" ht="34">
      <c r="B16" s="155" t="s">
        <v>70</v>
      </c>
      <c r="C16" s="155" t="s">
        <v>71</v>
      </c>
    </row>
    <row r="17" spans="2:3" ht="17">
      <c r="B17" s="155" t="s">
        <v>72</v>
      </c>
      <c r="C17" s="155" t="s">
        <v>73</v>
      </c>
    </row>
    <row r="18" spans="2:3" ht="34">
      <c r="B18" s="155" t="s">
        <v>74</v>
      </c>
      <c r="C18" s="155" t="s">
        <v>75</v>
      </c>
    </row>
    <row r="19" spans="2:3" ht="17">
      <c r="B19" s="155" t="s">
        <v>76</v>
      </c>
      <c r="C19" s="155" t="s">
        <v>77</v>
      </c>
    </row>
    <row r="20" spans="2:3" ht="34">
      <c r="B20" s="155" t="s">
        <v>78</v>
      </c>
      <c r="C20" s="155" t="s">
        <v>79</v>
      </c>
    </row>
    <row r="21" spans="2:3" ht="34">
      <c r="B21" s="155" t="s">
        <v>80</v>
      </c>
      <c r="C21" s="155" t="s">
        <v>81</v>
      </c>
    </row>
    <row r="22" spans="2:3" ht="17">
      <c r="B22" s="155" t="s">
        <v>82</v>
      </c>
      <c r="C22" s="155" t="s">
        <v>83</v>
      </c>
    </row>
    <row r="23" spans="2:3" ht="34">
      <c r="B23" s="155" t="s">
        <v>84</v>
      </c>
      <c r="C23" s="155" t="s">
        <v>85</v>
      </c>
    </row>
    <row r="24" spans="2:3" ht="34">
      <c r="B24" s="155" t="s">
        <v>86</v>
      </c>
      <c r="C24" s="155" t="s">
        <v>87</v>
      </c>
    </row>
    <row r="25" spans="2:3" ht="17">
      <c r="B25" s="155" t="s">
        <v>88</v>
      </c>
      <c r="C25" s="155" t="s">
        <v>89</v>
      </c>
    </row>
    <row r="26" spans="2:3" ht="17">
      <c r="B26" s="155" t="s">
        <v>90</v>
      </c>
      <c r="C26" s="155" t="s">
        <v>91</v>
      </c>
    </row>
    <row r="27" spans="2:3" ht="17">
      <c r="B27" s="155" t="s">
        <v>46</v>
      </c>
      <c r="C27" s="155"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74"/>
  <sheetViews>
    <sheetView workbookViewId="0"/>
  </sheetViews>
  <sheetFormatPr baseColWidth="10" defaultRowHeight="16"/>
  <sheetData>
    <row r="2" spans="2:4">
      <c r="B2" s="4" t="s">
        <v>40</v>
      </c>
      <c r="C2" s="4" t="s">
        <v>125</v>
      </c>
      <c r="D2" s="4" t="s">
        <v>44</v>
      </c>
    </row>
    <row r="3" spans="2:4">
      <c r="B3" s="89" t="s">
        <v>41</v>
      </c>
      <c r="C3" s="89" t="s">
        <v>113</v>
      </c>
      <c r="D3" s="86" t="s">
        <v>792</v>
      </c>
    </row>
    <row r="4" spans="2:4">
      <c r="B4" s="89" t="s">
        <v>42</v>
      </c>
      <c r="C4" s="90" t="s">
        <v>51</v>
      </c>
      <c r="D4" s="86" t="s">
        <v>793</v>
      </c>
    </row>
    <row r="5" spans="2:4" ht="34">
      <c r="B5" s="216" t="s">
        <v>165</v>
      </c>
      <c r="C5" s="216"/>
      <c r="D5" s="216"/>
    </row>
    <row r="6" spans="2:4">
      <c r="B6" s="91" t="s">
        <v>507</v>
      </c>
      <c r="C6" s="91" t="s">
        <v>51</v>
      </c>
      <c r="D6" s="86" t="s">
        <v>525</v>
      </c>
    </row>
    <row r="7" spans="2:4">
      <c r="B7" s="91" t="s">
        <v>525</v>
      </c>
      <c r="C7" s="90" t="s">
        <v>51</v>
      </c>
      <c r="D7" s="86" t="s">
        <v>546</v>
      </c>
    </row>
    <row r="8" spans="2:4">
      <c r="B8" s="91" t="s">
        <v>520</v>
      </c>
      <c r="C8" s="90"/>
      <c r="D8" s="86"/>
    </row>
    <row r="9" spans="2:4">
      <c r="B9" s="89" t="s">
        <v>606</v>
      </c>
      <c r="C9" s="89" t="s">
        <v>569</v>
      </c>
      <c r="D9" s="99">
        <v>45200</v>
      </c>
    </row>
    <row r="10" spans="2:4">
      <c r="B10" s="89" t="s">
        <v>607</v>
      </c>
      <c r="C10" s="89" t="s">
        <v>569</v>
      </c>
      <c r="D10" s="99">
        <v>45474</v>
      </c>
    </row>
    <row r="11" spans="2:4">
      <c r="B11" s="89" t="s">
        <v>43</v>
      </c>
      <c r="C11" s="90" t="s">
        <v>51</v>
      </c>
      <c r="D11" s="86"/>
    </row>
    <row r="12" spans="2:4">
      <c r="B12" s="89" t="s">
        <v>440</v>
      </c>
      <c r="C12" s="92" t="s">
        <v>62</v>
      </c>
      <c r="D12" s="87"/>
    </row>
    <row r="13" spans="2:4">
      <c r="B13" s="89" t="s">
        <v>611</v>
      </c>
      <c r="C13" s="89" t="s">
        <v>113</v>
      </c>
      <c r="D13" s="100"/>
    </row>
    <row r="14" spans="2:4">
      <c r="B14" s="91" t="s">
        <v>273</v>
      </c>
      <c r="C14" s="91" t="s">
        <v>113</v>
      </c>
      <c r="D14" s="100">
        <v>9</v>
      </c>
    </row>
    <row r="15" spans="2:4">
      <c r="B15" s="92" t="s">
        <v>291</v>
      </c>
      <c r="C15" s="92" t="s">
        <v>113</v>
      </c>
      <c r="D15" s="100"/>
    </row>
    <row r="16" spans="2:4">
      <c r="B16" s="89" t="s">
        <v>292</v>
      </c>
      <c r="C16" s="89" t="s">
        <v>113</v>
      </c>
      <c r="D16" s="100"/>
    </row>
    <row r="17" spans="2:12">
      <c r="C17" s="18"/>
      <c r="D17" s="19"/>
    </row>
    <row r="18" spans="2:12" ht="34">
      <c r="B18" s="216" t="s">
        <v>738</v>
      </c>
      <c r="C18" s="216"/>
      <c r="D18" s="216"/>
      <c r="F18" s="216" t="s">
        <v>739</v>
      </c>
      <c r="G18" s="216"/>
      <c r="H18" s="216"/>
      <c r="J18" s="216" t="s">
        <v>740</v>
      </c>
      <c r="K18" s="216"/>
      <c r="L18" s="216"/>
    </row>
    <row r="19" spans="2:12">
      <c r="B19" s="4" t="s">
        <v>40</v>
      </c>
      <c r="C19" s="4" t="s">
        <v>125</v>
      </c>
      <c r="D19" s="4" t="s">
        <v>44</v>
      </c>
      <c r="F19" s="4" t="s">
        <v>40</v>
      </c>
      <c r="G19" s="4" t="s">
        <v>125</v>
      </c>
      <c r="H19" s="4" t="s">
        <v>44</v>
      </c>
      <c r="J19" s="4" t="s">
        <v>40</v>
      </c>
      <c r="K19" s="4" t="s">
        <v>125</v>
      </c>
      <c r="L19" s="4" t="s">
        <v>44</v>
      </c>
    </row>
    <row r="20" spans="2:12">
      <c r="B20" s="93" t="s">
        <v>741</v>
      </c>
      <c r="C20" s="94" t="s">
        <v>45</v>
      </c>
      <c r="D20" s="83">
        <v>70396</v>
      </c>
      <c r="F20" s="93" t="s">
        <v>741</v>
      </c>
      <c r="G20" s="94" t="s">
        <v>45</v>
      </c>
      <c r="H20" s="83"/>
      <c r="J20" s="93" t="s">
        <v>741</v>
      </c>
      <c r="K20" s="94" t="s">
        <v>45</v>
      </c>
      <c r="L20" s="83"/>
    </row>
    <row r="21" spans="2:12">
      <c r="B21" s="95" t="s">
        <v>489</v>
      </c>
      <c r="C21" s="96" t="s">
        <v>46</v>
      </c>
      <c r="D21" s="83">
        <v>10</v>
      </c>
      <c r="F21" s="95" t="s">
        <v>489</v>
      </c>
      <c r="G21" s="96" t="s">
        <v>46</v>
      </c>
      <c r="H21" s="83"/>
      <c r="J21" s="95" t="s">
        <v>489</v>
      </c>
      <c r="K21" s="96" t="s">
        <v>46</v>
      </c>
      <c r="L21" s="83"/>
    </row>
    <row r="22" spans="2:12">
      <c r="B22" s="95" t="s">
        <v>490</v>
      </c>
      <c r="C22" s="96" t="s">
        <v>60</v>
      </c>
      <c r="D22" s="83">
        <v>60</v>
      </c>
      <c r="F22" s="95" t="s">
        <v>490</v>
      </c>
      <c r="G22" s="96" t="s">
        <v>60</v>
      </c>
      <c r="H22" s="83"/>
      <c r="J22" s="95" t="s">
        <v>490</v>
      </c>
      <c r="K22" s="96" t="s">
        <v>60</v>
      </c>
      <c r="L22" s="83"/>
    </row>
    <row r="23" spans="2:12">
      <c r="B23" s="95" t="s">
        <v>47</v>
      </c>
      <c r="C23" s="96" t="s">
        <v>48</v>
      </c>
      <c r="D23" s="83">
        <v>500</v>
      </c>
      <c r="F23" s="95" t="s">
        <v>47</v>
      </c>
      <c r="G23" s="96" t="s">
        <v>48</v>
      </c>
      <c r="H23" s="83"/>
      <c r="J23" s="95" t="s">
        <v>47</v>
      </c>
      <c r="K23" s="96" t="s">
        <v>48</v>
      </c>
      <c r="L23" s="83"/>
    </row>
    <row r="24" spans="2:12">
      <c r="B24" s="95" t="s">
        <v>441</v>
      </c>
      <c r="C24" s="96" t="s">
        <v>48</v>
      </c>
      <c r="D24" s="83">
        <v>1100</v>
      </c>
      <c r="F24" s="95" t="s">
        <v>441</v>
      </c>
      <c r="G24" s="96" t="s">
        <v>48</v>
      </c>
      <c r="H24" s="83"/>
      <c r="J24" s="95" t="s">
        <v>441</v>
      </c>
      <c r="K24" s="96" t="s">
        <v>48</v>
      </c>
      <c r="L24" s="83"/>
    </row>
    <row r="25" spans="2:12">
      <c r="B25" s="95" t="s">
        <v>491</v>
      </c>
      <c r="C25" s="96" t="s">
        <v>60</v>
      </c>
      <c r="D25" s="83">
        <v>40</v>
      </c>
      <c r="F25" s="95" t="s">
        <v>491</v>
      </c>
      <c r="G25" s="96" t="s">
        <v>60</v>
      </c>
      <c r="H25" s="83"/>
      <c r="J25" s="95" t="s">
        <v>491</v>
      </c>
      <c r="K25" s="96" t="s">
        <v>60</v>
      </c>
      <c r="L25" s="83"/>
    </row>
    <row r="26" spans="2:12">
      <c r="B26" s="95" t="s">
        <v>345</v>
      </c>
      <c r="C26" s="96" t="s">
        <v>113</v>
      </c>
      <c r="D26" s="83">
        <v>2</v>
      </c>
      <c r="F26" s="95" t="s">
        <v>345</v>
      </c>
      <c r="G26" s="96" t="s">
        <v>113</v>
      </c>
      <c r="H26" s="83"/>
      <c r="J26" s="95" t="s">
        <v>345</v>
      </c>
      <c r="K26" s="96" t="s">
        <v>113</v>
      </c>
      <c r="L26" s="83"/>
    </row>
    <row r="27" spans="2:12">
      <c r="B27" s="95" t="s">
        <v>442</v>
      </c>
      <c r="C27" s="96" t="s">
        <v>48</v>
      </c>
      <c r="D27" s="83">
        <v>1200</v>
      </c>
      <c r="F27" s="95" t="s">
        <v>442</v>
      </c>
      <c r="G27" s="96" t="s">
        <v>48</v>
      </c>
      <c r="H27" s="83"/>
      <c r="J27" s="95" t="s">
        <v>442</v>
      </c>
      <c r="K27" s="96" t="s">
        <v>48</v>
      </c>
      <c r="L27" s="83"/>
    </row>
    <row r="28" spans="2:12">
      <c r="B28" s="89" t="s">
        <v>492</v>
      </c>
      <c r="C28" s="97" t="s">
        <v>51</v>
      </c>
      <c r="D28" s="86"/>
      <c r="F28" s="89" t="s">
        <v>492</v>
      </c>
      <c r="G28" s="97" t="s">
        <v>51</v>
      </c>
      <c r="H28" s="86"/>
      <c r="J28" s="89" t="s">
        <v>492</v>
      </c>
      <c r="K28" s="97" t="s">
        <v>51</v>
      </c>
      <c r="L28" s="86"/>
    </row>
    <row r="29" spans="2:12">
      <c r="C29" s="18"/>
      <c r="D29" s="19"/>
    </row>
    <row r="30" spans="2:12" ht="85">
      <c r="B30" s="217" t="s">
        <v>493</v>
      </c>
      <c r="C30" s="217"/>
      <c r="D30" s="217"/>
      <c r="F30" s="217" t="s">
        <v>494</v>
      </c>
      <c r="G30" s="217"/>
      <c r="H30" s="217"/>
    </row>
    <row r="31" spans="2:12">
      <c r="B31" s="4" t="s">
        <v>40</v>
      </c>
      <c r="C31" s="4" t="s">
        <v>125</v>
      </c>
      <c r="D31" s="4" t="s">
        <v>44</v>
      </c>
      <c r="F31" s="4" t="s">
        <v>40</v>
      </c>
      <c r="G31" s="4" t="s">
        <v>125</v>
      </c>
      <c r="H31" s="4" t="s">
        <v>44</v>
      </c>
    </row>
    <row r="32" spans="2:12">
      <c r="B32" s="93" t="s">
        <v>121</v>
      </c>
      <c r="C32" s="94" t="s">
        <v>452</v>
      </c>
      <c r="D32" s="88">
        <v>0</v>
      </c>
      <c r="F32" s="93" t="s">
        <v>121</v>
      </c>
      <c r="G32" s="94" t="s">
        <v>452</v>
      </c>
      <c r="H32" s="88">
        <v>0</v>
      </c>
    </row>
    <row r="33" spans="2:10">
      <c r="B33" s="93" t="s">
        <v>122</v>
      </c>
      <c r="C33" s="94" t="s">
        <v>341</v>
      </c>
      <c r="D33" s="88">
        <v>1.1499999999999999</v>
      </c>
      <c r="F33" s="93" t="s">
        <v>122</v>
      </c>
      <c r="G33" s="94" t="s">
        <v>341</v>
      </c>
      <c r="H33" s="88">
        <v>1.1499999999999999</v>
      </c>
    </row>
    <row r="34" spans="2:10">
      <c r="B34" s="93" t="s">
        <v>566</v>
      </c>
      <c r="C34" s="94" t="s">
        <v>113</v>
      </c>
      <c r="D34" s="88"/>
      <c r="F34" s="93" t="s">
        <v>566</v>
      </c>
      <c r="G34" s="94" t="s">
        <v>113</v>
      </c>
      <c r="H34" s="88"/>
    </row>
    <row r="35" spans="2:10">
      <c r="B35" s="93" t="s">
        <v>502</v>
      </c>
      <c r="C35" s="94" t="s">
        <v>452</v>
      </c>
      <c r="D35" s="88"/>
      <c r="F35" s="93" t="s">
        <v>502</v>
      </c>
      <c r="G35" s="94" t="s">
        <v>452</v>
      </c>
      <c r="H35" s="88"/>
    </row>
    <row r="36" spans="2:10">
      <c r="B36" s="93" t="s">
        <v>578</v>
      </c>
      <c r="C36" s="94" t="s">
        <v>452</v>
      </c>
      <c r="D36" s="88"/>
      <c r="F36" s="93" t="s">
        <v>578</v>
      </c>
      <c r="G36" s="94" t="s">
        <v>452</v>
      </c>
      <c r="H36" s="88"/>
    </row>
    <row r="37" spans="2:10">
      <c r="B37" s="93" t="s">
        <v>579</v>
      </c>
      <c r="C37" s="94" t="s">
        <v>452</v>
      </c>
      <c r="D37" s="88"/>
      <c r="F37" s="93" t="s">
        <v>579</v>
      </c>
      <c r="G37" s="94" t="s">
        <v>580</v>
      </c>
      <c r="H37" s="88"/>
    </row>
    <row r="38" spans="2:10">
      <c r="B38" s="93" t="s">
        <v>123</v>
      </c>
      <c r="C38" s="94" t="s">
        <v>342</v>
      </c>
      <c r="D38" s="88">
        <v>0.14799999999999999</v>
      </c>
      <c r="F38" s="93" t="s">
        <v>123</v>
      </c>
      <c r="G38" s="94" t="s">
        <v>342</v>
      </c>
      <c r="H38" s="88">
        <v>0.14799999999999999</v>
      </c>
    </row>
    <row r="39" spans="2:10">
      <c r="B39" s="93" t="s">
        <v>449</v>
      </c>
      <c r="C39" s="94" t="s">
        <v>343</v>
      </c>
      <c r="D39" s="88">
        <v>7.2</v>
      </c>
      <c r="E39" s="76"/>
      <c r="F39" s="93" t="s">
        <v>449</v>
      </c>
      <c r="G39" s="94" t="s">
        <v>343</v>
      </c>
      <c r="H39" s="88">
        <v>7.2</v>
      </c>
    </row>
    <row r="40" spans="2:10">
      <c r="B40" s="93" t="s">
        <v>443</v>
      </c>
      <c r="C40" s="94" t="s">
        <v>343</v>
      </c>
      <c r="D40" s="88">
        <v>8.6</v>
      </c>
      <c r="E40" s="9"/>
      <c r="F40" s="93" t="s">
        <v>443</v>
      </c>
      <c r="G40" s="94" t="s">
        <v>343</v>
      </c>
      <c r="H40" s="88">
        <v>8.6</v>
      </c>
    </row>
    <row r="41" spans="2:10">
      <c r="B41" s="93" t="s">
        <v>444</v>
      </c>
      <c r="C41" s="94" t="s">
        <v>462</v>
      </c>
      <c r="D41" s="88">
        <v>192</v>
      </c>
      <c r="F41" s="93" t="s">
        <v>444</v>
      </c>
      <c r="G41" s="94" t="s">
        <v>462</v>
      </c>
      <c r="H41" s="88">
        <v>192</v>
      </c>
    </row>
    <row r="42" spans="2:10">
      <c r="B42" s="93" t="s">
        <v>445</v>
      </c>
      <c r="C42" s="94" t="s">
        <v>113</v>
      </c>
      <c r="D42" s="83">
        <v>4</v>
      </c>
      <c r="F42" s="93" t="s">
        <v>445</v>
      </c>
      <c r="G42" s="94" t="s">
        <v>113</v>
      </c>
      <c r="H42" s="83">
        <v>6</v>
      </c>
    </row>
    <row r="43" spans="2:10">
      <c r="B43" s="93" t="s">
        <v>210</v>
      </c>
      <c r="C43" s="94" t="s">
        <v>471</v>
      </c>
      <c r="D43" s="88">
        <v>8</v>
      </c>
      <c r="F43" s="93" t="s">
        <v>210</v>
      </c>
      <c r="G43" s="94" t="s">
        <v>471</v>
      </c>
      <c r="H43" s="88">
        <v>14.4</v>
      </c>
      <c r="J43" s="9"/>
    </row>
    <row r="44" spans="2:10">
      <c r="B44" s="93" t="s">
        <v>211</v>
      </c>
      <c r="C44" s="94" t="s">
        <v>471</v>
      </c>
      <c r="D44" s="88">
        <v>66</v>
      </c>
      <c r="F44" s="93" t="s">
        <v>211</v>
      </c>
      <c r="G44" s="94" t="s">
        <v>471</v>
      </c>
      <c r="H44" s="88">
        <v>28</v>
      </c>
    </row>
    <row r="45" spans="2:10">
      <c r="B45" s="93" t="s">
        <v>620</v>
      </c>
      <c r="C45" s="94" t="s">
        <v>471</v>
      </c>
      <c r="D45" s="88">
        <v>32</v>
      </c>
      <c r="F45" s="93" t="s">
        <v>620</v>
      </c>
      <c r="G45" s="94" t="s">
        <v>471</v>
      </c>
      <c r="H45" s="88">
        <v>33.799999999999997</v>
      </c>
    </row>
    <row r="46" spans="2:10">
      <c r="B46" s="93" t="s">
        <v>621</v>
      </c>
      <c r="C46" s="94" t="s">
        <v>471</v>
      </c>
      <c r="D46" s="88">
        <v>18</v>
      </c>
      <c r="F46" s="93" t="s">
        <v>621</v>
      </c>
      <c r="G46" s="94" t="s">
        <v>471</v>
      </c>
      <c r="H46" s="88">
        <v>21.2</v>
      </c>
    </row>
    <row r="47" spans="2:10">
      <c r="B47" s="93" t="s">
        <v>622</v>
      </c>
      <c r="C47" s="94" t="s">
        <v>471</v>
      </c>
      <c r="D47" s="88"/>
      <c r="F47" s="93" t="s">
        <v>622</v>
      </c>
      <c r="G47" s="94" t="s">
        <v>471</v>
      </c>
      <c r="H47" s="88">
        <v>85.4</v>
      </c>
    </row>
    <row r="48" spans="2:10">
      <c r="B48" s="93" t="s">
        <v>623</v>
      </c>
      <c r="C48" s="94" t="s">
        <v>471</v>
      </c>
      <c r="D48" s="88"/>
      <c r="F48" s="93" t="s">
        <v>623</v>
      </c>
      <c r="G48" s="94" t="s">
        <v>471</v>
      </c>
      <c r="H48" s="88">
        <v>12</v>
      </c>
    </row>
    <row r="49" spans="2:10">
      <c r="B49" s="93" t="s">
        <v>624</v>
      </c>
      <c r="C49" s="94" t="s">
        <v>471</v>
      </c>
      <c r="D49" s="88"/>
      <c r="F49" s="93" t="s">
        <v>624</v>
      </c>
      <c r="G49" s="94" t="s">
        <v>471</v>
      </c>
      <c r="H49" s="88"/>
    </row>
    <row r="50" spans="2:10">
      <c r="B50" s="93" t="s">
        <v>625</v>
      </c>
      <c r="C50" s="94" t="s">
        <v>471</v>
      </c>
      <c r="D50" s="88"/>
      <c r="F50" s="93" t="s">
        <v>625</v>
      </c>
      <c r="G50" s="94"/>
      <c r="H50" s="88"/>
    </row>
    <row r="51" spans="2:10">
      <c r="B51" s="93" t="s">
        <v>626</v>
      </c>
      <c r="C51" s="94" t="s">
        <v>471</v>
      </c>
      <c r="D51" s="88"/>
      <c r="F51" s="93" t="s">
        <v>626</v>
      </c>
      <c r="G51" s="94"/>
      <c r="H51" s="88"/>
    </row>
    <row r="52" spans="2:10">
      <c r="B52" s="93" t="s">
        <v>627</v>
      </c>
      <c r="C52" s="94" t="s">
        <v>471</v>
      </c>
      <c r="D52" s="88"/>
      <c r="F52" s="93" t="s">
        <v>627</v>
      </c>
      <c r="G52" s="94"/>
      <c r="H52" s="88"/>
    </row>
    <row r="53" spans="2:10">
      <c r="B53" s="93" t="s">
        <v>446</v>
      </c>
      <c r="C53" s="94" t="s">
        <v>113</v>
      </c>
      <c r="D53" s="83">
        <v>2</v>
      </c>
      <c r="F53" s="93" t="s">
        <v>446</v>
      </c>
      <c r="G53" s="94" t="s">
        <v>113</v>
      </c>
      <c r="H53" s="83">
        <v>5</v>
      </c>
    </row>
    <row r="54" spans="2:10">
      <c r="B54" s="93" t="s">
        <v>212</v>
      </c>
      <c r="C54" s="94" t="s">
        <v>471</v>
      </c>
      <c r="D54" s="88">
        <v>1.05</v>
      </c>
      <c r="F54" s="93" t="s">
        <v>212</v>
      </c>
      <c r="G54" s="94" t="s">
        <v>471</v>
      </c>
      <c r="H54" s="88">
        <v>0.3</v>
      </c>
      <c r="I54" s="9"/>
      <c r="J54" s="9"/>
    </row>
    <row r="55" spans="2:10">
      <c r="B55" s="93" t="s">
        <v>213</v>
      </c>
      <c r="C55" s="94" t="s">
        <v>471</v>
      </c>
      <c r="D55" s="88">
        <v>0.8</v>
      </c>
      <c r="F55" s="93" t="s">
        <v>213</v>
      </c>
      <c r="G55" s="94" t="s">
        <v>471</v>
      </c>
      <c r="H55" s="88">
        <v>0.4</v>
      </c>
    </row>
    <row r="56" spans="2:10">
      <c r="B56" s="93" t="s">
        <v>635</v>
      </c>
      <c r="C56" s="94" t="s">
        <v>471</v>
      </c>
      <c r="D56" s="88"/>
      <c r="F56" s="93" t="s">
        <v>635</v>
      </c>
      <c r="G56" s="94" t="s">
        <v>471</v>
      </c>
      <c r="H56" s="88">
        <v>0.3</v>
      </c>
    </row>
    <row r="57" spans="2:10">
      <c r="B57" s="93" t="s">
        <v>628</v>
      </c>
      <c r="C57" s="94" t="s">
        <v>471</v>
      </c>
      <c r="D57" s="88"/>
      <c r="F57" s="93" t="s">
        <v>628</v>
      </c>
      <c r="G57" s="94" t="s">
        <v>471</v>
      </c>
      <c r="H57" s="88">
        <v>13.5</v>
      </c>
    </row>
    <row r="58" spans="2:10">
      <c r="B58" s="93" t="s">
        <v>629</v>
      </c>
      <c r="C58" s="94" t="s">
        <v>471</v>
      </c>
      <c r="D58" s="88"/>
      <c r="F58" s="93" t="s">
        <v>629</v>
      </c>
      <c r="G58" s="94" t="s">
        <v>471</v>
      </c>
      <c r="H58" s="88">
        <v>25</v>
      </c>
    </row>
    <row r="59" spans="2:10">
      <c r="B59" s="93" t="s">
        <v>630</v>
      </c>
      <c r="C59" s="94" t="s">
        <v>471</v>
      </c>
      <c r="D59" s="88"/>
      <c r="F59" s="93" t="s">
        <v>630</v>
      </c>
      <c r="G59" s="94" t="s">
        <v>471</v>
      </c>
      <c r="H59" s="88"/>
    </row>
    <row r="60" spans="2:10">
      <c r="B60" s="93" t="s">
        <v>631</v>
      </c>
      <c r="C60" s="94"/>
      <c r="D60" s="160"/>
      <c r="F60" s="93" t="s">
        <v>631</v>
      </c>
      <c r="G60" s="94"/>
      <c r="H60" s="88"/>
    </row>
    <row r="61" spans="2:10">
      <c r="B61" s="93" t="s">
        <v>632</v>
      </c>
      <c r="C61" s="94"/>
      <c r="D61" s="160"/>
      <c r="F61" s="93" t="s">
        <v>632</v>
      </c>
      <c r="G61" s="94"/>
      <c r="H61" s="88"/>
    </row>
    <row r="62" spans="2:10">
      <c r="B62" s="93" t="s">
        <v>633</v>
      </c>
      <c r="C62" s="94"/>
      <c r="D62" s="160"/>
      <c r="F62" s="93" t="s">
        <v>633</v>
      </c>
      <c r="G62" s="94"/>
      <c r="H62" s="88"/>
    </row>
    <row r="63" spans="2:10">
      <c r="B63" s="93" t="s">
        <v>634</v>
      </c>
      <c r="C63" s="94"/>
      <c r="D63" s="160"/>
      <c r="F63" s="93" t="s">
        <v>634</v>
      </c>
      <c r="G63" s="94"/>
      <c r="H63" s="88"/>
    </row>
    <row r="64" spans="2:10">
      <c r="B64" s="98" t="s">
        <v>447</v>
      </c>
      <c r="C64" s="94" t="s">
        <v>113</v>
      </c>
      <c r="D64" s="88"/>
      <c r="F64" s="98" t="s">
        <v>447</v>
      </c>
      <c r="G64" s="94" t="s">
        <v>113</v>
      </c>
      <c r="H64" s="88"/>
    </row>
    <row r="65" spans="2:8">
      <c r="B65" s="93" t="s">
        <v>214</v>
      </c>
      <c r="C65" s="94" t="s">
        <v>462</v>
      </c>
      <c r="D65" s="88"/>
      <c r="F65" s="93" t="s">
        <v>214</v>
      </c>
      <c r="G65" s="94" t="s">
        <v>462</v>
      </c>
      <c r="H65" s="88"/>
    </row>
    <row r="66" spans="2:8">
      <c r="B66" s="93" t="s">
        <v>215</v>
      </c>
      <c r="C66" s="94" t="s">
        <v>462</v>
      </c>
      <c r="D66" s="88"/>
      <c r="F66" s="93" t="s">
        <v>215</v>
      </c>
      <c r="G66" s="94" t="s">
        <v>462</v>
      </c>
      <c r="H66" s="83"/>
    </row>
    <row r="67" spans="2:8">
      <c r="B67" s="93" t="s">
        <v>636</v>
      </c>
      <c r="C67" s="94"/>
      <c r="D67" s="88"/>
      <c r="F67" s="93" t="s">
        <v>636</v>
      </c>
      <c r="G67" s="94"/>
      <c r="H67" s="160"/>
    </row>
    <row r="68" spans="2:8">
      <c r="B68" s="93" t="s">
        <v>637</v>
      </c>
      <c r="C68" s="94"/>
      <c r="D68" s="88"/>
      <c r="F68" s="93" t="s">
        <v>637</v>
      </c>
      <c r="G68" s="94"/>
      <c r="H68" s="160"/>
    </row>
    <row r="69" spans="2:8">
      <c r="B69" s="93" t="s">
        <v>638</v>
      </c>
      <c r="C69" s="94" t="s">
        <v>462</v>
      </c>
      <c r="D69" s="83"/>
      <c r="F69" s="93" t="s">
        <v>638</v>
      </c>
      <c r="G69" s="94" t="s">
        <v>462</v>
      </c>
      <c r="H69" s="88"/>
    </row>
    <row r="70" spans="2:8">
      <c r="B70" s="93" t="s">
        <v>448</v>
      </c>
      <c r="C70" s="94" t="s">
        <v>113</v>
      </c>
      <c r="D70" s="88"/>
      <c r="F70" s="93" t="s">
        <v>448</v>
      </c>
      <c r="G70" s="94" t="s">
        <v>113</v>
      </c>
      <c r="H70" s="88"/>
    </row>
    <row r="71" spans="2:8">
      <c r="B71" s="93" t="s">
        <v>216</v>
      </c>
      <c r="C71" s="94" t="s">
        <v>463</v>
      </c>
      <c r="D71" s="88"/>
      <c r="F71" s="93" t="s">
        <v>216</v>
      </c>
      <c r="G71" s="94" t="s">
        <v>463</v>
      </c>
      <c r="H71" s="88"/>
    </row>
    <row r="72" spans="2:8">
      <c r="B72" s="93" t="s">
        <v>217</v>
      </c>
      <c r="C72" s="94" t="s">
        <v>463</v>
      </c>
      <c r="D72" s="88"/>
      <c r="F72" s="93" t="s">
        <v>217</v>
      </c>
      <c r="G72" s="94" t="s">
        <v>463</v>
      </c>
      <c r="H72" s="88"/>
    </row>
    <row r="73" spans="2:8">
      <c r="B73" s="93" t="s">
        <v>639</v>
      </c>
      <c r="C73" s="94" t="s">
        <v>463</v>
      </c>
      <c r="D73" s="88"/>
      <c r="F73" s="93" t="s">
        <v>639</v>
      </c>
      <c r="G73" s="94" t="s">
        <v>463</v>
      </c>
      <c r="H73" s="88"/>
    </row>
    <row r="74" spans="2:8">
      <c r="B74" s="71"/>
      <c r="C74" s="70"/>
      <c r="D74" s="19"/>
      <c r="F74" s="71"/>
      <c r="G74" s="70"/>
      <c r="H74"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304"/>
  <sheetViews>
    <sheetView workbookViewId="0"/>
  </sheetViews>
  <sheetFormatPr baseColWidth="10" defaultRowHeight="16"/>
  <sheetData>
    <row r="1" spans="1:58">
      <c r="A1" t="s">
        <v>95</v>
      </c>
      <c r="BF1" t="s">
        <v>96</v>
      </c>
    </row>
    <row r="2" spans="1:58" ht="26">
      <c r="G2" s="228" t="s">
        <v>495</v>
      </c>
      <c r="H2" s="228"/>
      <c r="BF2" t="s">
        <v>97</v>
      </c>
    </row>
    <row r="3" spans="1:58" ht="26">
      <c r="G3" s="228"/>
      <c r="H3" s="228"/>
    </row>
    <row r="4" spans="1:58" ht="81">
      <c r="C4" s="5" t="s">
        <v>93</v>
      </c>
      <c r="D4" s="6" t="s">
        <v>94</v>
      </c>
      <c r="E4" s="101"/>
      <c r="F4" s="14"/>
      <c r="G4" s="228"/>
      <c r="H4" s="228"/>
    </row>
    <row r="5" spans="1:58" ht="26">
      <c r="G5" s="228"/>
      <c r="H5" s="228"/>
    </row>
    <row r="6" spans="1:58" ht="26">
      <c r="G6" s="228"/>
      <c r="H6" s="228"/>
    </row>
    <row r="7" spans="1:58">
      <c r="D7" s="7"/>
      <c r="E7" s="7"/>
      <c r="F7" s="7"/>
      <c r="G7" s="7"/>
    </row>
    <row r="8" spans="1:58">
      <c r="A8" s="8"/>
      <c r="B8" s="224" t="s">
        <v>450</v>
      </c>
      <c r="C8" s="225"/>
      <c r="D8" s="225"/>
      <c r="E8" s="225"/>
      <c r="F8" s="15"/>
      <c r="G8" s="218"/>
      <c r="H8" s="219"/>
      <c r="I8" s="84"/>
      <c r="J8" s="141"/>
      <c r="K8" s="141"/>
      <c r="L8" s="141"/>
      <c r="M8" s="141"/>
      <c r="N8" s="141"/>
      <c r="O8" s="8"/>
      <c r="P8" s="8"/>
      <c r="Q8" s="8"/>
      <c r="R8" s="8"/>
      <c r="S8" s="8"/>
      <c r="T8" s="8"/>
      <c r="U8" s="8"/>
      <c r="V8" s="8"/>
      <c r="W8" s="8"/>
      <c r="X8" s="8"/>
      <c r="Y8" s="8"/>
      <c r="Z8" s="8"/>
    </row>
    <row r="9" spans="1:58">
      <c r="A9" s="10"/>
      <c r="B9" s="156" t="s">
        <v>112</v>
      </c>
      <c r="C9" s="157" t="s">
        <v>110</v>
      </c>
      <c r="D9" s="156" t="s">
        <v>98</v>
      </c>
      <c r="E9" s="157" t="s">
        <v>99</v>
      </c>
      <c r="F9" s="16"/>
      <c r="G9" s="229" t="s">
        <v>100</v>
      </c>
      <c r="H9" s="230"/>
      <c r="I9" s="84"/>
      <c r="J9" s="112"/>
      <c r="K9" s="112"/>
      <c r="L9" s="112"/>
      <c r="M9" s="112"/>
      <c r="N9" s="112"/>
      <c r="O9" s="10"/>
      <c r="P9" s="10"/>
      <c r="Q9" s="10"/>
      <c r="R9" s="10"/>
      <c r="S9" s="10"/>
      <c r="T9" s="10"/>
      <c r="U9" s="10"/>
      <c r="V9" s="10"/>
      <c r="W9" s="10"/>
      <c r="X9" s="10"/>
      <c r="Y9" s="10"/>
      <c r="Z9" s="10"/>
    </row>
    <row r="10" spans="1:58">
      <c r="A10" s="8"/>
      <c r="B10" s="103">
        <v>1</v>
      </c>
      <c r="C10" s="103" t="s">
        <v>101</v>
      </c>
      <c r="D10" s="103" t="s">
        <v>62</v>
      </c>
      <c r="E10" s="102">
        <v>898</v>
      </c>
      <c r="F10" s="13"/>
      <c r="G10" s="222"/>
      <c r="H10" s="223"/>
      <c r="I10" s="84"/>
      <c r="J10" s="141"/>
      <c r="K10" s="141"/>
      <c r="L10" s="141"/>
      <c r="M10" s="141"/>
      <c r="N10" s="141"/>
      <c r="O10" s="8"/>
      <c r="P10" s="8"/>
      <c r="Q10" s="8"/>
      <c r="R10" s="8"/>
      <c r="S10" s="8"/>
      <c r="T10" s="8"/>
      <c r="U10" s="8"/>
      <c r="V10" s="8"/>
      <c r="W10" s="8"/>
      <c r="X10" s="8"/>
      <c r="Y10" s="8"/>
      <c r="Z10" s="8"/>
    </row>
    <row r="11" spans="1:58">
      <c r="A11" s="8"/>
      <c r="B11" s="103">
        <v>2</v>
      </c>
      <c r="C11" s="103" t="s">
        <v>451</v>
      </c>
      <c r="D11" s="103" t="s">
        <v>113</v>
      </c>
      <c r="E11" s="102"/>
      <c r="F11" s="13"/>
      <c r="G11" s="222"/>
      <c r="H11" s="223"/>
      <c r="I11" s="84"/>
      <c r="J11" s="141"/>
      <c r="K11" s="141"/>
      <c r="L11" s="141"/>
      <c r="M11" s="141"/>
      <c r="N11" s="141"/>
      <c r="O11" s="8"/>
      <c r="P11" s="8"/>
      <c r="Q11" s="8"/>
      <c r="R11" s="8"/>
      <c r="S11" s="8"/>
      <c r="T11" s="8"/>
      <c r="U11" s="8"/>
      <c r="V11" s="8"/>
      <c r="W11" s="8"/>
      <c r="X11" s="8"/>
      <c r="Y11" s="8"/>
      <c r="Z11" s="8"/>
    </row>
    <row r="12" spans="1:58">
      <c r="B12" s="103">
        <v>3</v>
      </c>
      <c r="C12" s="103" t="s">
        <v>613</v>
      </c>
      <c r="D12" s="103" t="s">
        <v>105</v>
      </c>
      <c r="E12" s="102">
        <v>7.2</v>
      </c>
      <c r="F12" s="13"/>
      <c r="G12" s="222"/>
      <c r="H12" s="223"/>
      <c r="I12" s="141"/>
      <c r="J12" s="141"/>
      <c r="K12" s="141"/>
      <c r="L12" s="141"/>
      <c r="M12" s="141"/>
      <c r="N12" s="141"/>
    </row>
    <row r="13" spans="1:58">
      <c r="B13" s="103">
        <v>4</v>
      </c>
      <c r="C13" s="103" t="s">
        <v>614</v>
      </c>
      <c r="D13" s="103" t="s">
        <v>105</v>
      </c>
      <c r="E13" s="102">
        <v>22.2</v>
      </c>
      <c r="F13" s="13"/>
      <c r="G13" s="222"/>
      <c r="H13" s="223"/>
      <c r="I13" s="141"/>
      <c r="J13" s="141"/>
      <c r="K13" s="141"/>
      <c r="L13" s="141"/>
      <c r="M13" s="141"/>
      <c r="N13" s="141"/>
    </row>
    <row r="14" spans="1:58">
      <c r="B14" s="103">
        <v>5</v>
      </c>
      <c r="C14" s="103" t="s">
        <v>615</v>
      </c>
      <c r="D14" s="103" t="s">
        <v>105</v>
      </c>
      <c r="E14" s="102">
        <v>63.7</v>
      </c>
      <c r="F14" s="13"/>
      <c r="G14" s="222"/>
      <c r="H14" s="223"/>
      <c r="I14" s="141"/>
      <c r="J14" s="141"/>
      <c r="K14" s="141"/>
      <c r="L14" s="141"/>
      <c r="M14" s="141"/>
      <c r="N14" s="141"/>
    </row>
    <row r="15" spans="1:58">
      <c r="B15" s="103">
        <v>6</v>
      </c>
      <c r="C15" s="103" t="s">
        <v>612</v>
      </c>
      <c r="D15" s="103" t="s">
        <v>473</v>
      </c>
      <c r="E15" s="102">
        <v>1.2</v>
      </c>
      <c r="F15" s="13"/>
      <c r="G15" s="222"/>
      <c r="H15" s="223"/>
      <c r="I15" s="141"/>
      <c r="J15" s="141"/>
      <c r="K15" s="141"/>
      <c r="L15" s="141"/>
      <c r="M15" s="141"/>
      <c r="N15" s="141"/>
    </row>
    <row r="16" spans="1:58">
      <c r="B16" s="103">
        <v>7</v>
      </c>
      <c r="C16" s="103" t="s">
        <v>106</v>
      </c>
      <c r="D16" s="103" t="s">
        <v>105</v>
      </c>
      <c r="E16" s="102">
        <v>3.24</v>
      </c>
      <c r="F16" s="13"/>
      <c r="G16" s="222"/>
      <c r="H16" s="223"/>
      <c r="I16" s="141"/>
      <c r="J16" s="141"/>
      <c r="K16" s="141"/>
      <c r="L16" s="141"/>
      <c r="M16" s="141"/>
      <c r="N16" s="141"/>
    </row>
    <row r="17" spans="1:26">
      <c r="A17" s="8"/>
      <c r="B17" s="103">
        <v>8</v>
      </c>
      <c r="C17" s="103" t="s">
        <v>102</v>
      </c>
      <c r="D17" s="103" t="s">
        <v>113</v>
      </c>
      <c r="E17" s="102"/>
      <c r="F17" s="13"/>
      <c r="G17" s="222"/>
      <c r="H17" s="223"/>
      <c r="I17" s="84"/>
      <c r="J17" s="141"/>
      <c r="K17" s="141"/>
      <c r="L17" s="141"/>
      <c r="M17" s="141"/>
      <c r="N17" s="141"/>
      <c r="O17" s="8"/>
      <c r="P17" s="8"/>
      <c r="Q17" s="8"/>
      <c r="R17" s="8"/>
      <c r="S17" s="8"/>
      <c r="T17" s="8"/>
      <c r="U17" s="8"/>
      <c r="V17" s="8"/>
      <c r="W17" s="8"/>
      <c r="X17" s="8"/>
      <c r="Y17" s="8"/>
      <c r="Z17" s="8"/>
    </row>
    <row r="18" spans="1:26">
      <c r="A18" s="8"/>
      <c r="B18" s="103">
        <v>9</v>
      </c>
      <c r="C18" s="103" t="s">
        <v>103</v>
      </c>
      <c r="D18" s="103" t="s">
        <v>104</v>
      </c>
      <c r="E18" s="102"/>
      <c r="F18" s="13"/>
      <c r="G18" s="222"/>
      <c r="H18" s="223"/>
      <c r="I18" s="84"/>
      <c r="J18" s="141"/>
      <c r="K18" s="141"/>
      <c r="L18" s="141"/>
      <c r="M18" s="141"/>
      <c r="N18" s="141"/>
      <c r="O18" s="8"/>
      <c r="P18" s="8"/>
      <c r="Q18" s="8"/>
      <c r="R18" s="8"/>
      <c r="S18" s="8"/>
      <c r="T18" s="8"/>
      <c r="U18" s="8"/>
      <c r="V18" s="8"/>
      <c r="W18" s="8"/>
      <c r="X18" s="8"/>
      <c r="Y18" s="8"/>
      <c r="Z18" s="8"/>
    </row>
    <row r="19" spans="1:26">
      <c r="B19" s="103">
        <v>10</v>
      </c>
      <c r="C19" s="103" t="s">
        <v>126</v>
      </c>
      <c r="D19" s="103" t="s">
        <v>113</v>
      </c>
      <c r="E19" s="102"/>
      <c r="G19" s="222"/>
      <c r="H19" s="223"/>
      <c r="I19" s="84"/>
      <c r="J19" s="84"/>
      <c r="K19" s="84"/>
      <c r="L19" s="84"/>
      <c r="M19" s="84"/>
      <c r="N19" s="84"/>
    </row>
    <row r="20" spans="1:26">
      <c r="B20" s="103">
        <v>11</v>
      </c>
      <c r="C20" s="103" t="s">
        <v>293</v>
      </c>
      <c r="D20" s="103" t="s">
        <v>294</v>
      </c>
      <c r="E20" s="102"/>
      <c r="G20" s="222"/>
      <c r="H20" s="223"/>
      <c r="I20" s="84"/>
      <c r="J20" s="84"/>
      <c r="K20" s="84"/>
      <c r="L20" s="84"/>
      <c r="M20" s="84"/>
      <c r="N20" s="84"/>
    </row>
    <row r="21" spans="1:26">
      <c r="A21" s="8"/>
      <c r="B21" s="8"/>
      <c r="C21" s="12"/>
      <c r="D21" s="8"/>
      <c r="E21" s="13"/>
      <c r="F21" s="13"/>
      <c r="G21" s="141"/>
      <c r="H21" s="142"/>
      <c r="I21" s="142"/>
      <c r="J21" s="141"/>
      <c r="K21" s="141"/>
      <c r="L21" s="141"/>
      <c r="M21" s="141"/>
      <c r="N21" s="141"/>
      <c r="O21" s="8"/>
      <c r="P21" s="8"/>
      <c r="Q21" s="8"/>
      <c r="R21" s="8"/>
      <c r="S21" s="8"/>
      <c r="T21" s="8"/>
      <c r="U21" s="8"/>
      <c r="V21" s="8"/>
      <c r="W21" s="8"/>
      <c r="X21" s="8"/>
      <c r="Y21" s="8"/>
      <c r="Z21" s="8"/>
    </row>
    <row r="22" spans="1:26">
      <c r="B22" s="104" t="s">
        <v>0</v>
      </c>
      <c r="C22" s="105"/>
      <c r="D22" s="105"/>
      <c r="E22" s="11"/>
      <c r="G22" s="220" t="s">
        <v>107</v>
      </c>
      <c r="H22" s="221"/>
      <c r="I22" s="141"/>
      <c r="J22" s="220" t="s">
        <v>108</v>
      </c>
      <c r="K22" s="221"/>
      <c r="L22" s="141"/>
      <c r="M22" s="218" t="s">
        <v>109</v>
      </c>
      <c r="N22" s="219"/>
    </row>
    <row r="23" spans="1:26">
      <c r="B23" s="106" t="s">
        <v>112</v>
      </c>
      <c r="C23" s="106" t="s">
        <v>110</v>
      </c>
      <c r="D23" s="106" t="s">
        <v>98</v>
      </c>
      <c r="E23" s="17"/>
      <c r="G23" s="85" t="s">
        <v>496</v>
      </c>
      <c r="H23" s="85" t="s">
        <v>100</v>
      </c>
      <c r="I23" s="141"/>
      <c r="J23" s="85" t="s">
        <v>496</v>
      </c>
      <c r="K23" s="85" t="s">
        <v>100</v>
      </c>
      <c r="L23" s="141"/>
      <c r="M23" s="85" t="s">
        <v>496</v>
      </c>
      <c r="N23" s="85" t="s">
        <v>100</v>
      </c>
    </row>
    <row r="24" spans="1:26">
      <c r="B24" s="103">
        <v>12</v>
      </c>
      <c r="C24" s="103" t="s">
        <v>1</v>
      </c>
      <c r="D24" s="103" t="s">
        <v>506</v>
      </c>
      <c r="E24" s="13"/>
      <c r="G24" s="102">
        <v>360</v>
      </c>
      <c r="H24" s="102"/>
      <c r="I24" s="84"/>
      <c r="J24" s="102"/>
      <c r="K24" s="102"/>
      <c r="L24" s="84"/>
      <c r="M24" s="102"/>
      <c r="N24" s="102"/>
    </row>
    <row r="25" spans="1:26">
      <c r="B25" s="103">
        <v>13</v>
      </c>
      <c r="C25" s="103" t="s">
        <v>2</v>
      </c>
      <c r="D25" s="103" t="s">
        <v>506</v>
      </c>
      <c r="E25" s="13"/>
      <c r="G25" s="102"/>
      <c r="H25" s="102"/>
      <c r="I25" s="84"/>
      <c r="J25" s="102"/>
      <c r="K25" s="102"/>
      <c r="L25" s="84"/>
      <c r="M25" s="102"/>
      <c r="N25" s="102"/>
    </row>
    <row r="26" spans="1:26">
      <c r="B26" s="103">
        <v>14</v>
      </c>
      <c r="C26" s="103" t="s">
        <v>30</v>
      </c>
      <c r="D26" s="103" t="s">
        <v>506</v>
      </c>
      <c r="E26" s="13"/>
      <c r="G26" s="102"/>
      <c r="H26" s="102"/>
      <c r="I26" s="84"/>
      <c r="J26" s="102"/>
      <c r="K26" s="102"/>
      <c r="L26" s="84"/>
      <c r="M26" s="102"/>
      <c r="N26" s="102"/>
    </row>
    <row r="27" spans="1:26">
      <c r="B27" s="103">
        <v>15</v>
      </c>
      <c r="C27" s="103" t="s">
        <v>3</v>
      </c>
      <c r="D27" s="103" t="s">
        <v>506</v>
      </c>
      <c r="E27" s="13"/>
      <c r="G27" s="102"/>
      <c r="H27" s="102"/>
      <c r="I27" s="84"/>
      <c r="J27" s="102"/>
      <c r="K27" s="102"/>
      <c r="L27" s="84"/>
      <c r="M27" s="102"/>
      <c r="N27" s="102"/>
    </row>
    <row r="28" spans="1:26">
      <c r="B28" s="103">
        <v>16</v>
      </c>
      <c r="C28" s="103" t="s">
        <v>111</v>
      </c>
      <c r="D28" s="103" t="s">
        <v>506</v>
      </c>
      <c r="E28" s="13"/>
      <c r="G28" s="102"/>
      <c r="H28" s="102"/>
      <c r="I28" s="84"/>
      <c r="J28" s="102"/>
      <c r="K28" s="102"/>
      <c r="L28" s="84"/>
      <c r="M28" s="102"/>
      <c r="N28" s="102"/>
    </row>
    <row r="29" spans="1:26">
      <c r="B29" s="103">
        <v>17</v>
      </c>
      <c r="C29" s="107" t="s">
        <v>499</v>
      </c>
      <c r="D29" s="103" t="s">
        <v>506</v>
      </c>
      <c r="E29" s="13"/>
      <c r="G29" s="102">
        <v>360</v>
      </c>
      <c r="H29" s="102"/>
      <c r="I29" s="84"/>
      <c r="J29" s="102"/>
      <c r="K29" s="102"/>
      <c r="L29" s="84"/>
      <c r="M29" s="102"/>
      <c r="N29" s="102"/>
    </row>
    <row r="30" spans="1:26">
      <c r="G30" s="84"/>
      <c r="H30" s="84"/>
      <c r="I30" s="84"/>
      <c r="J30" s="84"/>
      <c r="K30" s="84"/>
      <c r="L30" s="84"/>
      <c r="M30" s="84"/>
      <c r="N30" s="84"/>
    </row>
    <row r="31" spans="1:26">
      <c r="B31" s="108" t="s">
        <v>5</v>
      </c>
      <c r="C31" s="109"/>
      <c r="D31" s="110"/>
      <c r="E31" s="11"/>
      <c r="G31" s="220" t="s">
        <v>107</v>
      </c>
      <c r="H31" s="221"/>
      <c r="I31" s="141"/>
      <c r="J31" s="220" t="s">
        <v>108</v>
      </c>
      <c r="K31" s="221"/>
      <c r="L31" s="141"/>
      <c r="M31" s="218" t="s">
        <v>109</v>
      </c>
      <c r="N31" s="219"/>
    </row>
    <row r="32" spans="1:26">
      <c r="B32" s="111" t="s">
        <v>112</v>
      </c>
      <c r="C32" s="111" t="s">
        <v>110</v>
      </c>
      <c r="D32" s="111" t="s">
        <v>171</v>
      </c>
      <c r="E32" s="17"/>
      <c r="G32" s="85" t="s">
        <v>496</v>
      </c>
      <c r="H32" s="85" t="s">
        <v>100</v>
      </c>
      <c r="I32" s="141"/>
      <c r="J32" s="85" t="s">
        <v>496</v>
      </c>
      <c r="K32" s="85" t="s">
        <v>100</v>
      </c>
      <c r="L32" s="141"/>
      <c r="M32" s="85" t="s">
        <v>496</v>
      </c>
      <c r="N32" s="85" t="s">
        <v>100</v>
      </c>
    </row>
    <row r="33" spans="2:14">
      <c r="B33" s="103">
        <v>18</v>
      </c>
      <c r="C33" s="103" t="s">
        <v>4</v>
      </c>
      <c r="D33" s="103" t="s">
        <v>72</v>
      </c>
      <c r="E33" s="13"/>
      <c r="G33" s="102">
        <v>3560</v>
      </c>
      <c r="H33" s="102"/>
      <c r="I33" s="84"/>
      <c r="J33" s="102"/>
      <c r="K33" s="102"/>
      <c r="L33" s="84"/>
      <c r="M33" s="102"/>
      <c r="N33" s="102"/>
    </row>
    <row r="34" spans="2:14">
      <c r="B34" s="103">
        <v>19</v>
      </c>
      <c r="C34" s="103" t="s">
        <v>16</v>
      </c>
      <c r="D34" s="103" t="s">
        <v>72</v>
      </c>
      <c r="E34" s="13"/>
      <c r="G34" s="102">
        <v>4450</v>
      </c>
      <c r="H34" s="102"/>
      <c r="I34" s="84"/>
      <c r="J34" s="102"/>
      <c r="K34" s="102"/>
      <c r="L34" s="84"/>
      <c r="M34" s="102"/>
      <c r="N34" s="102"/>
    </row>
    <row r="35" spans="2:14">
      <c r="B35" s="103">
        <v>20</v>
      </c>
      <c r="C35" s="103" t="s">
        <v>1</v>
      </c>
      <c r="D35" s="103" t="s">
        <v>72</v>
      </c>
      <c r="E35" s="13"/>
      <c r="G35" s="102"/>
      <c r="H35" s="102"/>
      <c r="I35" s="84"/>
      <c r="J35" s="102"/>
      <c r="K35" s="102"/>
      <c r="L35" s="84"/>
      <c r="M35" s="102"/>
      <c r="N35" s="102"/>
    </row>
    <row r="36" spans="2:14">
      <c r="B36" s="103">
        <v>21</v>
      </c>
      <c r="C36" s="103" t="s">
        <v>127</v>
      </c>
      <c r="D36" s="103" t="s">
        <v>72</v>
      </c>
      <c r="E36" s="13"/>
      <c r="G36" s="102">
        <v>9345</v>
      </c>
      <c r="H36" s="102"/>
      <c r="I36" s="84"/>
      <c r="J36" s="102"/>
      <c r="K36" s="102"/>
      <c r="L36" s="84"/>
      <c r="M36" s="102"/>
      <c r="N36" s="102"/>
    </row>
    <row r="37" spans="2:14">
      <c r="B37" s="103">
        <v>22</v>
      </c>
      <c r="C37" s="103" t="s">
        <v>32</v>
      </c>
      <c r="D37" s="103" t="s">
        <v>72</v>
      </c>
      <c r="E37" s="13"/>
      <c r="G37" s="102"/>
      <c r="H37" s="102"/>
      <c r="I37" s="84"/>
      <c r="J37" s="102"/>
      <c r="K37" s="102"/>
      <c r="L37" s="84"/>
      <c r="M37" s="102"/>
      <c r="N37" s="102"/>
    </row>
    <row r="38" spans="2:14">
      <c r="B38" s="103">
        <v>23</v>
      </c>
      <c r="C38" s="103" t="s">
        <v>31</v>
      </c>
      <c r="D38" s="103" t="s">
        <v>72</v>
      </c>
      <c r="E38" s="13"/>
      <c r="G38" s="102">
        <v>4005</v>
      </c>
      <c r="H38" s="102"/>
      <c r="I38" s="84"/>
      <c r="J38" s="102"/>
      <c r="K38" s="102"/>
      <c r="L38" s="84"/>
      <c r="M38" s="102"/>
      <c r="N38" s="102"/>
    </row>
    <row r="39" spans="2:14">
      <c r="B39" s="103">
        <v>24</v>
      </c>
      <c r="C39" s="103" t="s">
        <v>37</v>
      </c>
      <c r="D39" s="103" t="s">
        <v>72</v>
      </c>
      <c r="E39" s="13"/>
      <c r="G39" s="102"/>
      <c r="H39" s="102"/>
      <c r="I39" s="84"/>
      <c r="J39" s="102"/>
      <c r="K39" s="102"/>
      <c r="L39" s="84"/>
      <c r="M39" s="102"/>
      <c r="N39" s="102"/>
    </row>
    <row r="40" spans="2:14">
      <c r="B40" s="103">
        <v>25</v>
      </c>
      <c r="C40" s="103" t="s">
        <v>38</v>
      </c>
      <c r="D40" s="103" t="s">
        <v>72</v>
      </c>
      <c r="E40" s="13"/>
      <c r="G40" s="102"/>
      <c r="H40" s="102"/>
      <c r="I40" s="84"/>
      <c r="J40" s="102"/>
      <c r="K40" s="102"/>
      <c r="L40" s="84"/>
      <c r="M40" s="102"/>
      <c r="N40" s="102"/>
    </row>
    <row r="41" spans="2:14">
      <c r="B41" s="103">
        <v>26</v>
      </c>
      <c r="C41" s="103" t="s">
        <v>15</v>
      </c>
      <c r="D41" s="103" t="s">
        <v>72</v>
      </c>
      <c r="E41" s="13"/>
      <c r="G41" s="102"/>
      <c r="H41" s="102"/>
      <c r="I41" s="84"/>
      <c r="J41" s="102"/>
      <c r="K41" s="102"/>
      <c r="L41" s="84"/>
      <c r="M41" s="102"/>
      <c r="N41" s="102"/>
    </row>
    <row r="42" spans="2:14">
      <c r="B42" s="103">
        <v>27</v>
      </c>
      <c r="C42" s="103" t="s">
        <v>39</v>
      </c>
      <c r="D42" s="103" t="s">
        <v>72</v>
      </c>
      <c r="E42" s="13"/>
      <c r="G42" s="102"/>
      <c r="H42" s="102"/>
      <c r="I42" s="84"/>
      <c r="J42" s="102"/>
      <c r="K42" s="102"/>
      <c r="L42" s="84"/>
      <c r="M42" s="102"/>
      <c r="N42" s="102"/>
    </row>
    <row r="43" spans="2:14">
      <c r="B43" s="103">
        <v>28</v>
      </c>
      <c r="C43" s="107" t="s">
        <v>500</v>
      </c>
      <c r="D43" s="103" t="s">
        <v>72</v>
      </c>
      <c r="E43" s="13"/>
      <c r="G43" s="102">
        <v>44500</v>
      </c>
      <c r="H43" s="102"/>
      <c r="I43" s="84"/>
      <c r="J43" s="102"/>
      <c r="K43" s="102"/>
      <c r="L43" s="84"/>
      <c r="M43" s="102"/>
      <c r="N43" s="102"/>
    </row>
    <row r="44" spans="2:14">
      <c r="B44" s="79"/>
      <c r="C44" s="80"/>
      <c r="D44" s="79"/>
      <c r="E44" s="13"/>
      <c r="G44" s="84"/>
      <c r="H44" s="84"/>
      <c r="I44" s="84"/>
      <c r="J44" s="84"/>
      <c r="K44" s="84"/>
      <c r="L44" s="84"/>
      <c r="M44" s="84"/>
      <c r="N44" s="84"/>
    </row>
    <row r="45" spans="2:14">
      <c r="B45" s="226" t="s">
        <v>476</v>
      </c>
      <c r="C45" s="227"/>
      <c r="D45" s="227"/>
      <c r="E45" s="227"/>
      <c r="G45" s="220" t="s">
        <v>107</v>
      </c>
      <c r="H45" s="221"/>
      <c r="I45" s="141"/>
      <c r="J45" s="220" t="s">
        <v>108</v>
      </c>
      <c r="K45" s="221"/>
      <c r="L45" s="141"/>
      <c r="M45" s="218" t="s">
        <v>109</v>
      </c>
      <c r="N45" s="219"/>
    </row>
    <row r="46" spans="2:14">
      <c r="B46" s="111" t="s">
        <v>112</v>
      </c>
      <c r="C46" s="111" t="s">
        <v>110</v>
      </c>
      <c r="D46" s="111"/>
      <c r="E46" s="111" t="s">
        <v>98</v>
      </c>
      <c r="G46" s="85" t="s">
        <v>496</v>
      </c>
      <c r="H46" s="85" t="s">
        <v>100</v>
      </c>
      <c r="I46" s="141"/>
      <c r="J46" s="85" t="s">
        <v>496</v>
      </c>
      <c r="K46" s="85" t="s">
        <v>100</v>
      </c>
      <c r="L46" s="141"/>
      <c r="M46" s="85" t="s">
        <v>496</v>
      </c>
      <c r="N46" s="85" t="s">
        <v>100</v>
      </c>
    </row>
    <row r="47" spans="2:14">
      <c r="B47" s="103">
        <v>29</v>
      </c>
      <c r="C47" s="103" t="s">
        <v>464</v>
      </c>
      <c r="D47" s="103" t="s">
        <v>467</v>
      </c>
      <c r="E47" s="89"/>
      <c r="G47" s="102"/>
      <c r="H47" s="102"/>
      <c r="I47" s="84"/>
      <c r="J47" s="102"/>
      <c r="K47" s="102"/>
      <c r="L47" s="84"/>
      <c r="M47" s="102"/>
      <c r="N47" s="102"/>
    </row>
    <row r="48" spans="2:14">
      <c r="B48" s="103">
        <v>30</v>
      </c>
      <c r="C48" s="103" t="s">
        <v>464</v>
      </c>
      <c r="D48" s="103" t="s">
        <v>469</v>
      </c>
      <c r="E48" s="103" t="s">
        <v>506</v>
      </c>
      <c r="G48" s="102"/>
      <c r="H48" s="102"/>
      <c r="I48" s="84"/>
      <c r="J48" s="102"/>
      <c r="K48" s="102"/>
      <c r="L48" s="84"/>
      <c r="M48" s="102"/>
      <c r="N48" s="102"/>
    </row>
    <row r="49" spans="2:14">
      <c r="B49" s="103">
        <v>31</v>
      </c>
      <c r="C49" s="103" t="s">
        <v>465</v>
      </c>
      <c r="D49" s="103" t="s">
        <v>468</v>
      </c>
      <c r="E49" s="89"/>
      <c r="G49" s="102"/>
      <c r="H49" s="102"/>
      <c r="I49" s="84"/>
      <c r="J49" s="102"/>
      <c r="K49" s="102"/>
      <c r="L49" s="84"/>
      <c r="M49" s="102"/>
      <c r="N49" s="102"/>
    </row>
    <row r="50" spans="2:14">
      <c r="B50" s="103">
        <v>32</v>
      </c>
      <c r="C50" s="103" t="s">
        <v>465</v>
      </c>
      <c r="D50" s="103" t="s">
        <v>469</v>
      </c>
      <c r="E50" s="103" t="s">
        <v>506</v>
      </c>
      <c r="G50" s="102"/>
      <c r="H50" s="102"/>
      <c r="I50" s="84"/>
      <c r="J50" s="102"/>
      <c r="K50" s="102"/>
      <c r="L50" s="84"/>
      <c r="M50" s="102"/>
      <c r="N50" s="102"/>
    </row>
    <row r="51" spans="2:14">
      <c r="B51" s="103">
        <v>33</v>
      </c>
      <c r="C51" s="103" t="s">
        <v>466</v>
      </c>
      <c r="D51" s="103" t="s">
        <v>564</v>
      </c>
      <c r="E51" s="89"/>
      <c r="G51" s="102"/>
      <c r="H51" s="102"/>
      <c r="I51" s="84"/>
      <c r="J51" s="102"/>
      <c r="K51" s="102"/>
      <c r="L51" s="84"/>
      <c r="M51" s="102"/>
      <c r="N51" s="102"/>
    </row>
    <row r="52" spans="2:14">
      <c r="B52" s="103">
        <v>34</v>
      </c>
      <c r="C52" s="103" t="s">
        <v>466</v>
      </c>
      <c r="D52" s="103" t="s">
        <v>469</v>
      </c>
      <c r="E52" s="103" t="s">
        <v>506</v>
      </c>
      <c r="G52" s="102"/>
      <c r="H52" s="102"/>
      <c r="I52" s="84"/>
      <c r="J52" s="102"/>
      <c r="K52" s="102"/>
      <c r="L52" s="84"/>
      <c r="M52" s="102"/>
      <c r="N52" s="102"/>
    </row>
    <row r="53" spans="2:14">
      <c r="G53" s="84"/>
      <c r="H53" s="84"/>
      <c r="I53" s="84"/>
      <c r="J53" s="84"/>
      <c r="K53" s="84"/>
      <c r="L53" s="84"/>
      <c r="M53" s="84"/>
      <c r="N53" s="84"/>
    </row>
    <row r="54" spans="2:14">
      <c r="B54" s="114" t="s">
        <v>13</v>
      </c>
      <c r="C54" s="115"/>
      <c r="D54" s="116"/>
      <c r="E54" s="11"/>
      <c r="G54" s="220" t="s">
        <v>107</v>
      </c>
      <c r="H54" s="221"/>
      <c r="I54" s="141"/>
      <c r="J54" s="220" t="s">
        <v>108</v>
      </c>
      <c r="K54" s="221"/>
      <c r="L54" s="141"/>
      <c r="M54" s="218" t="s">
        <v>109</v>
      </c>
      <c r="N54" s="219"/>
    </row>
    <row r="55" spans="2:14">
      <c r="B55" s="117" t="s">
        <v>112</v>
      </c>
      <c r="C55" s="117" t="s">
        <v>110</v>
      </c>
      <c r="D55" s="117" t="s">
        <v>98</v>
      </c>
      <c r="E55" s="17"/>
      <c r="G55" s="85" t="s">
        <v>496</v>
      </c>
      <c r="H55" s="85" t="s">
        <v>100</v>
      </c>
      <c r="I55" s="141"/>
      <c r="J55" s="85" t="s">
        <v>496</v>
      </c>
      <c r="K55" s="85" t="s">
        <v>100</v>
      </c>
      <c r="L55" s="141"/>
      <c r="M55" s="85" t="s">
        <v>496</v>
      </c>
      <c r="N55" s="85" t="s">
        <v>100</v>
      </c>
    </row>
    <row r="56" spans="2:14">
      <c r="B56" s="103">
        <v>35</v>
      </c>
      <c r="C56" s="103" t="s">
        <v>32</v>
      </c>
      <c r="D56" s="103" t="s">
        <v>70</v>
      </c>
      <c r="E56" s="13"/>
      <c r="G56" s="102"/>
      <c r="H56" s="102"/>
      <c r="I56" s="84"/>
      <c r="J56" s="102"/>
      <c r="K56" s="102"/>
      <c r="L56" s="84"/>
      <c r="M56" s="102"/>
      <c r="N56" s="102"/>
    </row>
    <row r="57" spans="2:14">
      <c r="B57" s="103">
        <v>36</v>
      </c>
      <c r="C57" s="103" t="s">
        <v>14</v>
      </c>
      <c r="D57" s="103" t="s">
        <v>70</v>
      </c>
      <c r="E57" s="13"/>
      <c r="G57" s="102"/>
      <c r="H57" s="102"/>
      <c r="I57" s="84"/>
      <c r="J57" s="102"/>
      <c r="K57" s="102"/>
      <c r="L57" s="84"/>
      <c r="M57" s="102"/>
      <c r="N57" s="102"/>
    </row>
    <row r="58" spans="2:14">
      <c r="B58" s="103">
        <v>37</v>
      </c>
      <c r="C58" s="103" t="s">
        <v>15</v>
      </c>
      <c r="D58" s="103" t="s">
        <v>70</v>
      </c>
      <c r="E58" s="13"/>
      <c r="G58" s="102"/>
      <c r="H58" s="102"/>
      <c r="I58" s="84"/>
      <c r="J58" s="102"/>
      <c r="K58" s="102"/>
      <c r="L58" s="84"/>
      <c r="M58" s="102"/>
      <c r="N58" s="102"/>
    </row>
    <row r="59" spans="2:14">
      <c r="B59" s="103">
        <v>38</v>
      </c>
      <c r="C59" s="103" t="s">
        <v>33</v>
      </c>
      <c r="D59" s="103" t="s">
        <v>70</v>
      </c>
      <c r="E59" s="13"/>
      <c r="G59" s="102"/>
      <c r="H59" s="102"/>
      <c r="I59" s="84"/>
      <c r="J59" s="102"/>
      <c r="K59" s="102"/>
      <c r="L59" s="84"/>
      <c r="M59" s="102"/>
      <c r="N59" s="102"/>
    </row>
    <row r="60" spans="2:14">
      <c r="B60" s="103">
        <v>39</v>
      </c>
      <c r="C60" s="103" t="s">
        <v>34</v>
      </c>
      <c r="D60" s="103" t="s">
        <v>70</v>
      </c>
      <c r="E60" s="13"/>
      <c r="G60" s="102"/>
      <c r="H60" s="102"/>
      <c r="I60" s="84"/>
      <c r="J60" s="102"/>
      <c r="K60" s="102"/>
      <c r="L60" s="84"/>
      <c r="M60" s="102"/>
      <c r="N60" s="102"/>
    </row>
    <row r="61" spans="2:14">
      <c r="B61" s="103">
        <v>40</v>
      </c>
      <c r="C61" s="103" t="s">
        <v>39</v>
      </c>
      <c r="D61" s="103" t="s">
        <v>70</v>
      </c>
      <c r="E61" s="13"/>
      <c r="G61" s="102"/>
      <c r="H61" s="102"/>
      <c r="I61" s="84"/>
      <c r="J61" s="102"/>
      <c r="K61" s="102"/>
      <c r="L61" s="84"/>
      <c r="M61" s="102"/>
      <c r="N61" s="102"/>
    </row>
    <row r="62" spans="2:14">
      <c r="B62" s="103">
        <v>41</v>
      </c>
      <c r="C62" s="107" t="s">
        <v>501</v>
      </c>
      <c r="D62" s="103" t="s">
        <v>70</v>
      </c>
      <c r="E62" s="13"/>
      <c r="G62" s="102">
        <v>2776</v>
      </c>
      <c r="H62" s="102"/>
      <c r="I62" s="84"/>
      <c r="J62" s="102"/>
      <c r="K62" s="102"/>
      <c r="L62" s="84"/>
      <c r="M62" s="102"/>
      <c r="N62" s="102"/>
    </row>
    <row r="63" spans="2:14">
      <c r="G63" s="84"/>
      <c r="H63" s="84"/>
      <c r="I63" s="84"/>
      <c r="J63" s="84"/>
      <c r="K63" s="84"/>
      <c r="L63" s="84"/>
      <c r="M63" s="84"/>
      <c r="N63" s="84"/>
    </row>
    <row r="64" spans="2:14">
      <c r="B64" s="118" t="s">
        <v>457</v>
      </c>
      <c r="C64" s="119"/>
      <c r="D64" s="119"/>
      <c r="E64" s="120"/>
      <c r="G64" s="220" t="s">
        <v>107</v>
      </c>
      <c r="H64" s="221"/>
      <c r="I64" s="141"/>
      <c r="J64" s="220" t="s">
        <v>108</v>
      </c>
      <c r="K64" s="221"/>
      <c r="L64" s="141"/>
      <c r="M64" s="218" t="s">
        <v>109</v>
      </c>
      <c r="N64" s="219"/>
    </row>
    <row r="65" spans="2:14">
      <c r="B65" s="121" t="s">
        <v>112</v>
      </c>
      <c r="C65" s="121" t="s">
        <v>110</v>
      </c>
      <c r="D65" s="121"/>
      <c r="E65" s="121" t="s">
        <v>98</v>
      </c>
      <c r="G65" s="85" t="s">
        <v>496</v>
      </c>
      <c r="H65" s="85" t="s">
        <v>100</v>
      </c>
      <c r="I65" s="141"/>
      <c r="J65" s="85" t="s">
        <v>496</v>
      </c>
      <c r="K65" s="85" t="s">
        <v>100</v>
      </c>
      <c r="L65" s="141"/>
      <c r="M65" s="85" t="s">
        <v>496</v>
      </c>
      <c r="N65" s="85" t="s">
        <v>100</v>
      </c>
    </row>
    <row r="66" spans="2:14">
      <c r="B66" s="158">
        <v>42</v>
      </c>
      <c r="C66" s="89" t="s">
        <v>10</v>
      </c>
      <c r="D66" s="89" t="s">
        <v>581</v>
      </c>
      <c r="E66" s="89"/>
      <c r="G66" s="102" t="s">
        <v>794</v>
      </c>
      <c r="H66" s="102"/>
      <c r="I66" s="84"/>
      <c r="J66" s="102"/>
      <c r="K66" s="102"/>
      <c r="L66" s="84"/>
      <c r="M66" s="102"/>
      <c r="N66" s="102"/>
    </row>
    <row r="67" spans="2:14">
      <c r="B67" s="158">
        <v>43</v>
      </c>
      <c r="C67" s="89" t="s">
        <v>10</v>
      </c>
      <c r="D67" s="89" t="s">
        <v>7</v>
      </c>
      <c r="E67" s="89" t="s">
        <v>113</v>
      </c>
      <c r="G67" s="102">
        <v>1</v>
      </c>
      <c r="H67" s="102"/>
      <c r="I67" s="84"/>
      <c r="J67" s="102"/>
      <c r="K67" s="102"/>
      <c r="L67" s="84"/>
      <c r="M67" s="102"/>
      <c r="N67" s="102"/>
    </row>
    <row r="68" spans="2:14">
      <c r="B68" s="158">
        <v>44</v>
      </c>
      <c r="C68" s="89" t="s">
        <v>10</v>
      </c>
      <c r="D68" s="89" t="s">
        <v>458</v>
      </c>
      <c r="E68" s="89" t="str">
        <f>IF('General Information'!C43="€/kg","kg/ha","l/ha")</f>
        <v>kg/ha</v>
      </c>
      <c r="F68" s="77"/>
      <c r="G68" s="102">
        <v>0.8</v>
      </c>
      <c r="H68" s="102"/>
      <c r="I68" s="84"/>
      <c r="J68" s="102"/>
      <c r="K68" s="102"/>
      <c r="L68" s="84"/>
      <c r="M68" s="102"/>
      <c r="N68" s="102"/>
    </row>
    <row r="69" spans="2:14">
      <c r="B69" s="158">
        <v>45</v>
      </c>
      <c r="C69" s="89" t="s">
        <v>11</v>
      </c>
      <c r="D69" s="89" t="s">
        <v>170</v>
      </c>
      <c r="E69" s="89"/>
      <c r="G69" s="102" t="s">
        <v>795</v>
      </c>
      <c r="H69" s="102"/>
      <c r="I69" s="84"/>
      <c r="J69" s="102"/>
      <c r="K69" s="102"/>
      <c r="L69" s="84"/>
      <c r="M69" s="102"/>
      <c r="N69" s="102"/>
    </row>
    <row r="70" spans="2:14">
      <c r="B70" s="158">
        <v>46</v>
      </c>
      <c r="C70" s="89" t="s">
        <v>11</v>
      </c>
      <c r="D70" s="89" t="s">
        <v>7</v>
      </c>
      <c r="E70" s="89" t="s">
        <v>113</v>
      </c>
      <c r="G70" s="102">
        <v>1</v>
      </c>
      <c r="H70" s="102"/>
      <c r="I70" s="84"/>
      <c r="J70" s="102"/>
      <c r="K70" s="102"/>
      <c r="L70" s="84"/>
      <c r="M70" s="102"/>
      <c r="N70" s="102"/>
    </row>
    <row r="71" spans="2:14">
      <c r="B71" s="158">
        <v>47</v>
      </c>
      <c r="C71" s="89" t="s">
        <v>11</v>
      </c>
      <c r="D71" s="89" t="s">
        <v>458</v>
      </c>
      <c r="E71" s="89" t="str">
        <f>IF('General Information'!C44="€/kg","kg/ha","l/ha")</f>
        <v>kg/ha</v>
      </c>
      <c r="G71" s="102">
        <v>0.15</v>
      </c>
      <c r="H71" s="102"/>
      <c r="I71" s="84"/>
      <c r="J71" s="102"/>
      <c r="K71" s="102"/>
      <c r="L71" s="84"/>
      <c r="M71" s="102"/>
      <c r="N71" s="102"/>
    </row>
    <row r="72" spans="2:14">
      <c r="B72" s="158">
        <v>48</v>
      </c>
      <c r="C72" s="89" t="s">
        <v>640</v>
      </c>
      <c r="D72" s="89" t="s">
        <v>565</v>
      </c>
      <c r="E72" s="89"/>
      <c r="G72" s="102" t="s">
        <v>796</v>
      </c>
      <c r="H72" s="102"/>
      <c r="I72" s="84"/>
      <c r="J72" s="102"/>
      <c r="K72" s="102"/>
      <c r="L72" s="84"/>
      <c r="M72" s="102"/>
      <c r="N72" s="102"/>
    </row>
    <row r="73" spans="2:14">
      <c r="B73" s="158">
        <v>49</v>
      </c>
      <c r="C73" s="89" t="s">
        <v>640</v>
      </c>
      <c r="D73" s="89" t="s">
        <v>7</v>
      </c>
      <c r="E73" s="89" t="s">
        <v>113</v>
      </c>
      <c r="G73" s="102">
        <v>1</v>
      </c>
      <c r="H73" s="102"/>
      <c r="I73" s="84"/>
      <c r="J73" s="102"/>
      <c r="K73" s="102"/>
      <c r="L73" s="84"/>
      <c r="M73" s="102"/>
      <c r="N73" s="102"/>
    </row>
    <row r="74" spans="2:14">
      <c r="B74" s="158">
        <v>50</v>
      </c>
      <c r="C74" s="89" t="s">
        <v>640</v>
      </c>
      <c r="D74" s="89" t="s">
        <v>458</v>
      </c>
      <c r="E74" s="89" t="str">
        <f>IF('General Information'!C45="€/kg","kg/ha","l/ha")</f>
        <v>kg/ha</v>
      </c>
      <c r="G74" s="102">
        <v>0.75</v>
      </c>
      <c r="H74" s="102"/>
      <c r="I74" s="84"/>
      <c r="J74" s="102"/>
      <c r="K74" s="102"/>
      <c r="L74" s="84"/>
      <c r="M74" s="102"/>
      <c r="N74" s="102"/>
    </row>
    <row r="75" spans="2:14">
      <c r="B75" s="158">
        <v>51</v>
      </c>
      <c r="C75" s="89" t="s">
        <v>641</v>
      </c>
      <c r="D75" s="89" t="s">
        <v>565</v>
      </c>
      <c r="E75" s="89"/>
      <c r="G75" s="102" t="s">
        <v>797</v>
      </c>
      <c r="H75" s="102"/>
      <c r="I75" s="84"/>
      <c r="J75" s="102"/>
      <c r="K75" s="102"/>
      <c r="L75" s="84"/>
      <c r="M75" s="102"/>
      <c r="N75" s="102"/>
    </row>
    <row r="76" spans="2:14">
      <c r="B76" s="158">
        <v>52</v>
      </c>
      <c r="C76" s="89" t="s">
        <v>641</v>
      </c>
      <c r="D76" s="89" t="s">
        <v>7</v>
      </c>
      <c r="E76" s="89" t="s">
        <v>113</v>
      </c>
      <c r="G76" s="102">
        <v>1</v>
      </c>
      <c r="H76" s="102"/>
      <c r="I76" s="84"/>
      <c r="J76" s="102"/>
      <c r="K76" s="102"/>
      <c r="L76" s="84"/>
      <c r="M76" s="102"/>
      <c r="N76" s="102"/>
    </row>
    <row r="77" spans="2:14">
      <c r="B77" s="158">
        <v>53</v>
      </c>
      <c r="C77" s="89" t="s">
        <v>641</v>
      </c>
      <c r="D77" s="89" t="s">
        <v>458</v>
      </c>
      <c r="E77" s="89" t="str">
        <f>IF('General Information'!C46="€/kg","kg/ha","l/ha")</f>
        <v>kg/ha</v>
      </c>
      <c r="G77" s="102">
        <v>0.6</v>
      </c>
      <c r="H77" s="102"/>
      <c r="I77" s="84"/>
      <c r="J77" s="102"/>
      <c r="K77" s="102"/>
      <c r="L77" s="84"/>
      <c r="M77" s="102"/>
      <c r="N77" s="102"/>
    </row>
    <row r="78" spans="2:14">
      <c r="B78" s="158">
        <v>54</v>
      </c>
      <c r="C78" t="s">
        <v>641</v>
      </c>
      <c r="D78" s="89" t="s">
        <v>565</v>
      </c>
      <c r="E78" s="89"/>
      <c r="G78" s="102"/>
      <c r="H78" s="102"/>
      <c r="I78" s="84"/>
      <c r="J78" s="159"/>
      <c r="K78" s="159"/>
      <c r="L78" s="84"/>
      <c r="M78" s="159"/>
      <c r="N78" s="159"/>
    </row>
    <row r="79" spans="2:14">
      <c r="B79" s="158">
        <v>55</v>
      </c>
      <c r="C79" t="s">
        <v>642</v>
      </c>
      <c r="D79" s="89" t="s">
        <v>7</v>
      </c>
      <c r="E79" s="89" t="s">
        <v>113</v>
      </c>
      <c r="G79" s="102"/>
      <c r="H79" s="102"/>
      <c r="I79" s="84"/>
      <c r="J79" s="159"/>
      <c r="K79" s="159"/>
      <c r="L79" s="84"/>
      <c r="M79" s="159"/>
      <c r="N79" s="159"/>
    </row>
    <row r="80" spans="2:14">
      <c r="B80" s="158">
        <v>56</v>
      </c>
      <c r="C80" s="89" t="s">
        <v>642</v>
      </c>
      <c r="D80" s="89" t="s">
        <v>458</v>
      </c>
      <c r="E80" s="89" t="str">
        <f>IF('General Information'!C47="€/kg","kg/ha","l/ha")</f>
        <v>kg/ha</v>
      </c>
      <c r="G80" s="102"/>
      <c r="H80" s="102"/>
      <c r="I80" s="84"/>
      <c r="J80" s="159"/>
      <c r="K80" s="159"/>
      <c r="L80" s="84"/>
      <c r="M80" s="159"/>
      <c r="N80" s="159"/>
    </row>
    <row r="81" spans="2:14">
      <c r="B81" s="158">
        <v>57</v>
      </c>
      <c r="C81" s="89" t="s">
        <v>643</v>
      </c>
      <c r="D81" s="89" t="s">
        <v>565</v>
      </c>
      <c r="E81" s="89"/>
      <c r="G81" s="102"/>
      <c r="H81" s="102"/>
      <c r="I81" s="84"/>
      <c r="J81" s="159"/>
      <c r="K81" s="159"/>
      <c r="L81" s="84"/>
      <c r="M81" s="159"/>
      <c r="N81" s="159"/>
    </row>
    <row r="82" spans="2:14">
      <c r="B82" s="158">
        <v>58</v>
      </c>
      <c r="C82" s="89" t="s">
        <v>643</v>
      </c>
      <c r="D82" s="89" t="s">
        <v>7</v>
      </c>
      <c r="E82" s="89" t="s">
        <v>113</v>
      </c>
      <c r="G82" s="102"/>
      <c r="H82" s="102"/>
      <c r="I82" s="84"/>
      <c r="J82" s="159"/>
      <c r="K82" s="159"/>
      <c r="L82" s="84"/>
      <c r="M82" s="159"/>
      <c r="N82" s="159"/>
    </row>
    <row r="83" spans="2:14">
      <c r="B83" s="158">
        <v>59</v>
      </c>
      <c r="C83" s="89" t="s">
        <v>643</v>
      </c>
      <c r="D83" s="89" t="s">
        <v>458</v>
      </c>
      <c r="E83" s="89" t="str">
        <f>IF('General Information'!C48="€/kg","kg/ha","l/ha")</f>
        <v>kg/ha</v>
      </c>
      <c r="G83" s="102"/>
      <c r="H83" s="102"/>
      <c r="I83" s="84"/>
      <c r="J83" s="159"/>
      <c r="K83" s="159"/>
      <c r="L83" s="84"/>
      <c r="M83" s="159"/>
      <c r="N83" s="159"/>
    </row>
    <row r="84" spans="2:14">
      <c r="B84" s="158">
        <v>60</v>
      </c>
      <c r="C84" s="89" t="s">
        <v>644</v>
      </c>
      <c r="D84" s="89" t="s">
        <v>565</v>
      </c>
      <c r="E84" s="89"/>
      <c r="G84" s="102"/>
      <c r="H84" s="102"/>
      <c r="I84" s="84"/>
      <c r="J84" s="159"/>
      <c r="K84" s="159"/>
      <c r="L84" s="84"/>
      <c r="M84" s="159"/>
      <c r="N84" s="159"/>
    </row>
    <row r="85" spans="2:14">
      <c r="B85" s="158">
        <v>61</v>
      </c>
      <c r="C85" s="89" t="s">
        <v>644</v>
      </c>
      <c r="D85" s="89" t="s">
        <v>7</v>
      </c>
      <c r="E85" s="89" t="s">
        <v>113</v>
      </c>
      <c r="G85" s="102"/>
      <c r="H85" s="102"/>
      <c r="I85" s="84"/>
      <c r="J85" s="159"/>
      <c r="K85" s="159"/>
      <c r="L85" s="84"/>
      <c r="M85" s="159"/>
      <c r="N85" s="159"/>
    </row>
    <row r="86" spans="2:14">
      <c r="B86" s="158">
        <v>62</v>
      </c>
      <c r="C86" s="89" t="s">
        <v>644</v>
      </c>
      <c r="D86" s="89" t="s">
        <v>458</v>
      </c>
      <c r="E86" s="89" t="str">
        <f>IF('General Information'!C49="€/kg","kg/ha","l/ha")</f>
        <v>kg/ha</v>
      </c>
      <c r="G86" s="102"/>
      <c r="H86" s="102"/>
      <c r="I86" s="84"/>
      <c r="J86" s="159"/>
      <c r="K86" s="159"/>
      <c r="L86" s="84"/>
      <c r="M86" s="159"/>
      <c r="N86" s="159"/>
    </row>
    <row r="87" spans="2:14">
      <c r="B87" s="158">
        <v>63</v>
      </c>
      <c r="C87" s="89" t="s">
        <v>645</v>
      </c>
      <c r="D87" s="89" t="s">
        <v>565</v>
      </c>
      <c r="E87" s="89"/>
      <c r="G87" s="102"/>
      <c r="H87" s="102"/>
      <c r="I87" s="84"/>
      <c r="J87" s="159"/>
      <c r="K87" s="159"/>
      <c r="L87" s="84"/>
      <c r="M87" s="159"/>
      <c r="N87" s="159"/>
    </row>
    <row r="88" spans="2:14">
      <c r="B88" s="158">
        <v>64</v>
      </c>
      <c r="C88" s="89" t="s">
        <v>645</v>
      </c>
      <c r="D88" s="89" t="s">
        <v>7</v>
      </c>
      <c r="E88" s="89" t="s">
        <v>113</v>
      </c>
      <c r="G88" s="102"/>
      <c r="H88" s="102"/>
      <c r="I88" s="84"/>
      <c r="J88" s="159"/>
      <c r="K88" s="159"/>
      <c r="L88" s="84"/>
      <c r="M88" s="159"/>
      <c r="N88" s="159"/>
    </row>
    <row r="89" spans="2:14">
      <c r="B89" s="158">
        <v>65</v>
      </c>
      <c r="C89" s="89" t="s">
        <v>645</v>
      </c>
      <c r="D89" s="89" t="s">
        <v>458</v>
      </c>
      <c r="E89" s="89" t="str">
        <f>IF('General Information'!C52="€/kg","kg/ha","l/ha")</f>
        <v>kg/ha</v>
      </c>
      <c r="G89" s="102"/>
      <c r="H89" s="102"/>
      <c r="I89" s="84"/>
      <c r="J89" s="159"/>
      <c r="K89" s="159"/>
      <c r="L89" s="84"/>
      <c r="M89" s="159"/>
      <c r="N89" s="159"/>
    </row>
    <row r="90" spans="2:14">
      <c r="B90" s="158">
        <v>66</v>
      </c>
      <c r="C90" s="89" t="s">
        <v>646</v>
      </c>
      <c r="D90" s="89" t="s">
        <v>565</v>
      </c>
      <c r="E90" s="89"/>
      <c r="G90" s="102"/>
      <c r="H90" s="102"/>
      <c r="I90" s="84"/>
      <c r="J90" s="159"/>
      <c r="K90" s="159"/>
      <c r="L90" s="84"/>
      <c r="M90" s="159"/>
      <c r="N90" s="159"/>
    </row>
    <row r="91" spans="2:14">
      <c r="B91" s="158">
        <v>67</v>
      </c>
      <c r="C91" s="89" t="s">
        <v>646</v>
      </c>
      <c r="D91" s="89" t="s">
        <v>7</v>
      </c>
      <c r="E91" s="89" t="s">
        <v>113</v>
      </c>
      <c r="G91" s="102"/>
      <c r="H91" s="102"/>
      <c r="I91" s="84"/>
      <c r="J91" s="159"/>
      <c r="K91" s="159"/>
      <c r="L91" s="84"/>
      <c r="M91" s="159"/>
      <c r="N91" s="159"/>
    </row>
    <row r="92" spans="2:14">
      <c r="B92" s="158">
        <v>68</v>
      </c>
      <c r="C92" s="89" t="s">
        <v>646</v>
      </c>
      <c r="D92" s="89" t="s">
        <v>458</v>
      </c>
      <c r="E92" s="89" t="str">
        <f>IF('General Information'!C55="€/kg","kg/ha","l/ha")</f>
        <v>kg/ha</v>
      </c>
      <c r="G92" s="102"/>
      <c r="H92" s="102"/>
      <c r="I92" s="84"/>
      <c r="J92" s="159"/>
      <c r="K92" s="159"/>
      <c r="L92" s="84"/>
      <c r="M92" s="159"/>
      <c r="N92" s="159"/>
    </row>
    <row r="93" spans="2:14">
      <c r="B93" s="158">
        <v>69</v>
      </c>
      <c r="C93" s="89" t="s">
        <v>647</v>
      </c>
      <c r="D93" s="89" t="s">
        <v>565</v>
      </c>
      <c r="E93" s="89"/>
      <c r="G93" s="102"/>
      <c r="H93" s="102"/>
      <c r="I93" s="84"/>
      <c r="J93" s="159"/>
      <c r="K93" s="159"/>
      <c r="L93" s="84"/>
      <c r="M93" s="159"/>
      <c r="N93" s="159"/>
    </row>
    <row r="94" spans="2:14">
      <c r="B94" s="158">
        <v>70</v>
      </c>
      <c r="C94" s="89" t="s">
        <v>647</v>
      </c>
      <c r="D94" s="89" t="s">
        <v>7</v>
      </c>
      <c r="E94" s="89" t="s">
        <v>113</v>
      </c>
      <c r="G94" s="102"/>
      <c r="H94" s="102"/>
      <c r="I94" s="84"/>
      <c r="J94" s="159"/>
      <c r="K94" s="159"/>
      <c r="L94" s="84"/>
      <c r="M94" s="159"/>
      <c r="N94" s="159"/>
    </row>
    <row r="95" spans="2:14">
      <c r="B95" s="158">
        <v>71</v>
      </c>
      <c r="C95" s="89" t="s">
        <v>647</v>
      </c>
      <c r="D95" s="89" t="s">
        <v>458</v>
      </c>
      <c r="E95" s="89" t="str">
        <f>IF('General Information'!C58="€/kg","kg/ha","l/ha")</f>
        <v>kg/ha</v>
      </c>
      <c r="G95" s="102"/>
      <c r="H95" s="102"/>
      <c r="I95" s="84"/>
      <c r="J95" s="159"/>
      <c r="K95" s="159"/>
      <c r="L95" s="84"/>
      <c r="M95" s="159"/>
      <c r="N95" s="159"/>
    </row>
    <row r="96" spans="2:14">
      <c r="G96" s="84"/>
      <c r="H96" s="84"/>
      <c r="I96" s="84"/>
      <c r="J96" s="84"/>
      <c r="K96" s="84"/>
      <c r="L96" s="84"/>
      <c r="M96" s="84"/>
      <c r="N96" s="84"/>
    </row>
    <row r="97" spans="2:14">
      <c r="B97" s="122" t="s">
        <v>8</v>
      </c>
      <c r="C97" s="123"/>
      <c r="D97" s="123"/>
      <c r="E97" s="124"/>
      <c r="G97" s="220" t="s">
        <v>107</v>
      </c>
      <c r="H97" s="221"/>
      <c r="I97" s="141"/>
      <c r="J97" s="220" t="s">
        <v>108</v>
      </c>
      <c r="K97" s="221"/>
      <c r="L97" s="141"/>
      <c r="M97" s="218" t="s">
        <v>109</v>
      </c>
      <c r="N97" s="219"/>
    </row>
    <row r="98" spans="2:14">
      <c r="B98" s="125" t="s">
        <v>112</v>
      </c>
      <c r="C98" s="125" t="s">
        <v>110</v>
      </c>
      <c r="D98" s="125"/>
      <c r="E98" s="125" t="s">
        <v>98</v>
      </c>
      <c r="G98" s="85" t="s">
        <v>496</v>
      </c>
      <c r="H98" s="85" t="s">
        <v>100</v>
      </c>
      <c r="I98" s="141"/>
      <c r="J98" s="85" t="s">
        <v>496</v>
      </c>
      <c r="K98" s="85" t="s">
        <v>100</v>
      </c>
      <c r="L98" s="141"/>
      <c r="M98" s="85" t="s">
        <v>496</v>
      </c>
      <c r="N98" s="85" t="s">
        <v>100</v>
      </c>
    </row>
    <row r="99" spans="2:14">
      <c r="B99" s="158">
        <v>72</v>
      </c>
      <c r="C99" s="89" t="s">
        <v>648</v>
      </c>
      <c r="D99" s="89" t="s">
        <v>593</v>
      </c>
      <c r="E99" s="89"/>
      <c r="G99" s="102" t="s">
        <v>798</v>
      </c>
      <c r="H99" s="102"/>
      <c r="I99" s="84"/>
      <c r="J99" s="102"/>
      <c r="K99" s="102"/>
      <c r="L99" s="84"/>
      <c r="M99" s="102"/>
      <c r="N99" s="102"/>
    </row>
    <row r="100" spans="2:14">
      <c r="B100" s="158">
        <v>73</v>
      </c>
      <c r="C100" s="89" t="s">
        <v>648</v>
      </c>
      <c r="D100" s="89" t="s">
        <v>586</v>
      </c>
      <c r="E100" s="89"/>
      <c r="G100" s="102" t="s">
        <v>585</v>
      </c>
      <c r="H100" s="102"/>
      <c r="I100" s="84"/>
      <c r="J100" s="102"/>
      <c r="K100" s="102"/>
      <c r="L100" s="84"/>
      <c r="M100" s="102"/>
      <c r="N100" s="102"/>
    </row>
    <row r="101" spans="2:14">
      <c r="B101" s="158">
        <v>74</v>
      </c>
      <c r="C101" s="89" t="s">
        <v>648</v>
      </c>
      <c r="D101" s="89" t="s">
        <v>7</v>
      </c>
      <c r="E101" s="89" t="s">
        <v>113</v>
      </c>
      <c r="G101" s="102">
        <v>1</v>
      </c>
      <c r="H101" s="102"/>
      <c r="I101" s="84"/>
      <c r="J101" s="102"/>
      <c r="K101" s="102"/>
      <c r="L101" s="84"/>
      <c r="M101" s="102"/>
      <c r="N101" s="102"/>
    </row>
    <row r="102" spans="2:14">
      <c r="B102" s="158">
        <v>75</v>
      </c>
      <c r="C102" s="89" t="s">
        <v>648</v>
      </c>
      <c r="D102" s="89" t="s">
        <v>458</v>
      </c>
      <c r="E102" s="89" t="str">
        <f>IF('General Information'!C54="€/t","t/ha","kg/ha")</f>
        <v>kg/ha</v>
      </c>
      <c r="G102" s="102">
        <v>60</v>
      </c>
      <c r="H102" s="102"/>
      <c r="I102" s="84"/>
      <c r="J102" s="102"/>
      <c r="K102" s="102"/>
      <c r="L102" s="84"/>
      <c r="M102" s="102"/>
      <c r="N102" s="102"/>
    </row>
    <row r="103" spans="2:14">
      <c r="B103" s="158">
        <v>76</v>
      </c>
      <c r="C103" s="89" t="s">
        <v>648</v>
      </c>
      <c r="D103" s="89" t="s">
        <v>459</v>
      </c>
      <c r="E103" s="89" t="s">
        <v>105</v>
      </c>
      <c r="G103" s="102">
        <v>11</v>
      </c>
      <c r="H103" s="102"/>
      <c r="I103" s="84"/>
      <c r="J103" s="102"/>
      <c r="K103" s="102"/>
      <c r="L103" s="84"/>
      <c r="M103" s="102"/>
      <c r="N103" s="102"/>
    </row>
    <row r="104" spans="2:14">
      <c r="B104" s="158">
        <v>77</v>
      </c>
      <c r="C104" s="89" t="s">
        <v>648</v>
      </c>
      <c r="D104" s="89" t="s">
        <v>460</v>
      </c>
      <c r="E104" s="89" t="s">
        <v>105</v>
      </c>
      <c r="G104" s="102">
        <v>52</v>
      </c>
      <c r="H104" s="102"/>
      <c r="I104" s="84"/>
      <c r="J104" s="102"/>
      <c r="K104" s="102"/>
      <c r="L104" s="84"/>
      <c r="M104" s="102"/>
      <c r="N104" s="102"/>
    </row>
    <row r="105" spans="2:14">
      <c r="B105" s="158">
        <v>78</v>
      </c>
      <c r="C105" s="89" t="s">
        <v>648</v>
      </c>
      <c r="D105" s="89" t="s">
        <v>461</v>
      </c>
      <c r="E105" s="89" t="s">
        <v>105</v>
      </c>
      <c r="G105" s="102">
        <v>0</v>
      </c>
      <c r="H105" s="102"/>
      <c r="I105" s="84"/>
      <c r="J105" s="102"/>
      <c r="K105" s="102"/>
      <c r="L105" s="84"/>
      <c r="M105" s="102"/>
      <c r="N105" s="102"/>
    </row>
    <row r="106" spans="2:14">
      <c r="B106" s="158">
        <v>79</v>
      </c>
      <c r="C106" s="89" t="s">
        <v>649</v>
      </c>
      <c r="D106" s="89" t="s">
        <v>582</v>
      </c>
      <c r="E106" s="89"/>
      <c r="G106" s="102" t="s">
        <v>799</v>
      </c>
      <c r="H106" s="102"/>
      <c r="I106" s="84"/>
      <c r="J106" s="102"/>
      <c r="K106" s="102"/>
      <c r="L106" s="84"/>
      <c r="M106" s="102"/>
      <c r="N106" s="102"/>
    </row>
    <row r="107" spans="2:14">
      <c r="B107" s="158">
        <v>80</v>
      </c>
      <c r="C107" s="89" t="s">
        <v>649</v>
      </c>
      <c r="D107" s="89" t="s">
        <v>586</v>
      </c>
      <c r="E107" s="89"/>
      <c r="G107" s="102" t="s">
        <v>585</v>
      </c>
      <c r="H107" s="102"/>
      <c r="I107" s="84"/>
      <c r="J107" s="102"/>
      <c r="K107" s="102"/>
      <c r="L107" s="84"/>
      <c r="M107" s="102"/>
      <c r="N107" s="102"/>
    </row>
    <row r="108" spans="2:14">
      <c r="B108" s="158">
        <v>81</v>
      </c>
      <c r="C108" s="89" t="s">
        <v>649</v>
      </c>
      <c r="D108" s="89" t="s">
        <v>7</v>
      </c>
      <c r="E108" s="89" t="s">
        <v>113</v>
      </c>
      <c r="G108" s="102">
        <v>1</v>
      </c>
      <c r="H108" s="102"/>
      <c r="I108" s="84"/>
      <c r="J108" s="102"/>
      <c r="K108" s="102"/>
      <c r="L108" s="84"/>
      <c r="M108" s="102"/>
      <c r="N108" s="102"/>
    </row>
    <row r="109" spans="2:14">
      <c r="B109" s="158">
        <v>82</v>
      </c>
      <c r="C109" s="89" t="s">
        <v>649</v>
      </c>
      <c r="D109" s="89" t="s">
        <v>458</v>
      </c>
      <c r="E109" s="89" t="str">
        <f>IF('General Information'!C55="€/t","t/ha","kg/ha")</f>
        <v>kg/ha</v>
      </c>
      <c r="G109" s="102">
        <v>300</v>
      </c>
      <c r="H109" s="102"/>
      <c r="I109" s="84"/>
      <c r="J109" s="102"/>
      <c r="K109" s="102"/>
      <c r="L109" s="84"/>
      <c r="M109" s="102"/>
      <c r="N109" s="102"/>
    </row>
    <row r="110" spans="2:14">
      <c r="B110" s="158">
        <v>83</v>
      </c>
      <c r="C110" s="89" t="s">
        <v>649</v>
      </c>
      <c r="D110" s="89" t="s">
        <v>459</v>
      </c>
      <c r="E110" s="89" t="s">
        <v>105</v>
      </c>
      <c r="G110" s="102">
        <v>34.5</v>
      </c>
      <c r="H110" s="102"/>
      <c r="I110" s="84"/>
      <c r="J110" s="102"/>
      <c r="K110" s="102"/>
      <c r="L110" s="84"/>
      <c r="M110" s="102"/>
      <c r="N110" s="102"/>
    </row>
    <row r="111" spans="2:14">
      <c r="B111" s="158">
        <v>84</v>
      </c>
      <c r="C111" s="89" t="s">
        <v>649</v>
      </c>
      <c r="D111" s="89" t="s">
        <v>460</v>
      </c>
      <c r="E111" s="89" t="s">
        <v>105</v>
      </c>
      <c r="G111" s="102">
        <v>0</v>
      </c>
      <c r="H111" s="102"/>
      <c r="I111" s="84"/>
      <c r="J111" s="102"/>
      <c r="K111" s="102"/>
      <c r="L111" s="84"/>
      <c r="M111" s="102"/>
      <c r="N111" s="102"/>
    </row>
    <row r="112" spans="2:14">
      <c r="B112" s="158">
        <v>85</v>
      </c>
      <c r="C112" s="89" t="s">
        <v>649</v>
      </c>
      <c r="D112" s="89" t="s">
        <v>461</v>
      </c>
      <c r="E112" s="89" t="s">
        <v>105</v>
      </c>
      <c r="G112" s="102">
        <v>0</v>
      </c>
      <c r="H112" s="102"/>
      <c r="I112" s="84"/>
      <c r="J112" s="102"/>
      <c r="K112" s="102"/>
      <c r="L112" s="84"/>
      <c r="M112" s="102"/>
      <c r="N112" s="102"/>
    </row>
    <row r="113" spans="2:14">
      <c r="B113" s="158">
        <v>86</v>
      </c>
      <c r="C113" s="89" t="s">
        <v>650</v>
      </c>
      <c r="D113" s="89" t="s">
        <v>356</v>
      </c>
      <c r="E113" s="89"/>
      <c r="G113" s="102"/>
      <c r="H113" s="102"/>
      <c r="I113" s="84"/>
      <c r="J113" s="102"/>
      <c r="K113" s="102"/>
      <c r="L113" s="84"/>
      <c r="M113" s="102"/>
      <c r="N113" s="102"/>
    </row>
    <row r="114" spans="2:14">
      <c r="B114" s="158">
        <v>87</v>
      </c>
      <c r="C114" s="89" t="s">
        <v>650</v>
      </c>
      <c r="D114" s="89" t="s">
        <v>586</v>
      </c>
      <c r="E114" s="89"/>
      <c r="G114" s="102"/>
      <c r="H114" s="102"/>
      <c r="I114" s="84"/>
      <c r="J114" s="102"/>
      <c r="K114" s="102"/>
      <c r="L114" s="84"/>
      <c r="M114" s="102"/>
      <c r="N114" s="102"/>
    </row>
    <row r="115" spans="2:14">
      <c r="B115" s="158">
        <v>88</v>
      </c>
      <c r="C115" s="89" t="s">
        <v>650</v>
      </c>
      <c r="D115" s="89" t="s">
        <v>7</v>
      </c>
      <c r="E115" s="89" t="s">
        <v>113</v>
      </c>
      <c r="G115" s="102"/>
      <c r="H115" s="102"/>
      <c r="I115" s="84"/>
      <c r="J115" s="102"/>
      <c r="K115" s="102"/>
      <c r="L115" s="84"/>
      <c r="M115" s="102"/>
      <c r="N115" s="102"/>
    </row>
    <row r="116" spans="2:14">
      <c r="B116" s="158">
        <v>89</v>
      </c>
      <c r="C116" s="89" t="s">
        <v>650</v>
      </c>
      <c r="D116" s="89" t="s">
        <v>458</v>
      </c>
      <c r="E116" s="89" t="str">
        <f>IF('General Information'!C56="€/t","t/ha","kg/ha")</f>
        <v>kg/ha</v>
      </c>
      <c r="G116" s="102"/>
      <c r="H116" s="102"/>
      <c r="I116" s="84"/>
      <c r="J116" s="102"/>
      <c r="K116" s="102"/>
      <c r="L116" s="84"/>
      <c r="M116" s="102"/>
      <c r="N116" s="102"/>
    </row>
    <row r="117" spans="2:14">
      <c r="B117" s="158">
        <v>90</v>
      </c>
      <c r="C117" s="89" t="s">
        <v>650</v>
      </c>
      <c r="D117" s="89" t="s">
        <v>459</v>
      </c>
      <c r="E117" s="89" t="s">
        <v>105</v>
      </c>
      <c r="G117" s="102"/>
      <c r="H117" s="102"/>
      <c r="I117" s="84"/>
      <c r="J117" s="102"/>
      <c r="K117" s="102"/>
      <c r="L117" s="84"/>
      <c r="M117" s="102"/>
      <c r="N117" s="102"/>
    </row>
    <row r="118" spans="2:14">
      <c r="B118" s="158">
        <v>91</v>
      </c>
      <c r="C118" s="89" t="s">
        <v>650</v>
      </c>
      <c r="D118" s="89" t="s">
        <v>460</v>
      </c>
      <c r="E118" s="89" t="s">
        <v>105</v>
      </c>
      <c r="G118" s="102"/>
      <c r="H118" s="102"/>
      <c r="I118" s="84"/>
      <c r="J118" s="102"/>
      <c r="K118" s="102"/>
      <c r="L118" s="84"/>
      <c r="M118" s="102"/>
      <c r="N118" s="102"/>
    </row>
    <row r="119" spans="2:14">
      <c r="B119" s="158">
        <v>92</v>
      </c>
      <c r="C119" s="89" t="s">
        <v>650</v>
      </c>
      <c r="D119" s="89" t="s">
        <v>461</v>
      </c>
      <c r="E119" s="89" t="s">
        <v>105</v>
      </c>
      <c r="G119" s="102"/>
      <c r="H119" s="102"/>
      <c r="I119" s="84"/>
      <c r="J119" s="102"/>
      <c r="K119" s="102"/>
      <c r="L119" s="84"/>
      <c r="M119" s="102"/>
      <c r="N119" s="102"/>
    </row>
    <row r="120" spans="2:14">
      <c r="B120" s="158">
        <v>93</v>
      </c>
      <c r="C120" s="89" t="s">
        <v>651</v>
      </c>
      <c r="D120" s="89" t="s">
        <v>658</v>
      </c>
      <c r="E120" s="89"/>
      <c r="G120" s="102"/>
      <c r="H120" s="102"/>
      <c r="I120" s="84"/>
      <c r="J120" s="159"/>
      <c r="K120" s="159"/>
      <c r="L120" s="84"/>
      <c r="M120" s="159"/>
      <c r="N120" s="159"/>
    </row>
    <row r="121" spans="2:14">
      <c r="B121" s="158">
        <v>94</v>
      </c>
      <c r="C121" s="89" t="s">
        <v>651</v>
      </c>
      <c r="D121" s="89" t="s">
        <v>586</v>
      </c>
      <c r="E121" s="89"/>
      <c r="G121" s="102"/>
      <c r="H121" s="102"/>
      <c r="I121" s="84"/>
      <c r="J121" s="159"/>
      <c r="K121" s="159"/>
      <c r="L121" s="84"/>
      <c r="M121" s="159"/>
      <c r="N121" s="159"/>
    </row>
    <row r="122" spans="2:14">
      <c r="B122" s="158">
        <v>95</v>
      </c>
      <c r="C122" s="89" t="s">
        <v>651</v>
      </c>
      <c r="D122" s="89" t="s">
        <v>7</v>
      </c>
      <c r="E122" s="89"/>
      <c r="G122" s="102"/>
      <c r="H122" s="102"/>
      <c r="I122" s="84"/>
      <c r="J122" s="159"/>
      <c r="K122" s="159"/>
      <c r="L122" s="84"/>
      <c r="M122" s="159"/>
      <c r="N122" s="159"/>
    </row>
    <row r="123" spans="2:14">
      <c r="B123" s="158">
        <v>96</v>
      </c>
      <c r="C123" s="89" t="s">
        <v>651</v>
      </c>
      <c r="D123" s="89" t="s">
        <v>458</v>
      </c>
      <c r="E123" s="89"/>
      <c r="G123" s="102"/>
      <c r="H123" s="102"/>
      <c r="I123" s="84"/>
      <c r="J123" s="159"/>
      <c r="K123" s="159"/>
      <c r="L123" s="84"/>
      <c r="M123" s="159"/>
      <c r="N123" s="159"/>
    </row>
    <row r="124" spans="2:14">
      <c r="B124" s="158">
        <v>97</v>
      </c>
      <c r="C124" s="89" t="s">
        <v>651</v>
      </c>
      <c r="D124" s="89" t="s">
        <v>459</v>
      </c>
      <c r="E124" s="89"/>
      <c r="G124" s="102"/>
      <c r="H124" s="102"/>
      <c r="I124" s="84"/>
      <c r="J124" s="159"/>
      <c r="K124" s="159"/>
      <c r="L124" s="84"/>
      <c r="M124" s="159"/>
      <c r="N124" s="159"/>
    </row>
    <row r="125" spans="2:14">
      <c r="B125" s="158">
        <v>98</v>
      </c>
      <c r="C125" s="89" t="s">
        <v>651</v>
      </c>
      <c r="D125" s="89" t="s">
        <v>460</v>
      </c>
      <c r="E125" s="89"/>
      <c r="G125" s="102"/>
      <c r="H125" s="102"/>
      <c r="I125" s="84"/>
      <c r="J125" s="159"/>
      <c r="K125" s="159"/>
      <c r="L125" s="84"/>
      <c r="M125" s="159"/>
      <c r="N125" s="159"/>
    </row>
    <row r="126" spans="2:14">
      <c r="B126" s="158">
        <v>99</v>
      </c>
      <c r="C126" s="89" t="s">
        <v>651</v>
      </c>
      <c r="D126" s="89" t="s">
        <v>461</v>
      </c>
      <c r="E126" s="89"/>
      <c r="G126" s="102"/>
      <c r="H126" s="102"/>
      <c r="I126" s="84"/>
      <c r="J126" s="159"/>
      <c r="K126" s="159"/>
      <c r="L126" s="84"/>
      <c r="M126" s="159"/>
      <c r="N126" s="159"/>
    </row>
    <row r="127" spans="2:14">
      <c r="B127" s="158">
        <v>100</v>
      </c>
      <c r="C127" s="89" t="s">
        <v>652</v>
      </c>
      <c r="D127" s="89" t="s">
        <v>659</v>
      </c>
      <c r="E127" s="89"/>
      <c r="G127" s="102"/>
      <c r="H127" s="102"/>
      <c r="I127" s="84"/>
      <c r="J127" s="159"/>
      <c r="K127" s="159"/>
      <c r="L127" s="84"/>
      <c r="M127" s="159"/>
      <c r="N127" s="159"/>
    </row>
    <row r="128" spans="2:14">
      <c r="B128" s="158">
        <v>101</v>
      </c>
      <c r="C128" s="89" t="s">
        <v>652</v>
      </c>
      <c r="D128" s="89" t="s">
        <v>586</v>
      </c>
      <c r="E128" s="89"/>
      <c r="G128" s="102"/>
      <c r="H128" s="102"/>
      <c r="I128" s="84"/>
      <c r="J128" s="159"/>
      <c r="K128" s="159"/>
      <c r="L128" s="84"/>
      <c r="M128" s="159"/>
      <c r="N128" s="159"/>
    </row>
    <row r="129" spans="2:14">
      <c r="B129" s="158">
        <v>102</v>
      </c>
      <c r="C129" s="89" t="s">
        <v>652</v>
      </c>
      <c r="D129" s="89" t="s">
        <v>7</v>
      </c>
      <c r="E129" s="89"/>
      <c r="G129" s="102"/>
      <c r="H129" s="102"/>
      <c r="I129" s="84"/>
      <c r="J129" s="159"/>
      <c r="K129" s="159"/>
      <c r="L129" s="84"/>
      <c r="M129" s="159"/>
      <c r="N129" s="159"/>
    </row>
    <row r="130" spans="2:14">
      <c r="B130" s="158">
        <v>103</v>
      </c>
      <c r="C130" s="89" t="s">
        <v>652</v>
      </c>
      <c r="D130" s="89" t="s">
        <v>458</v>
      </c>
      <c r="E130" s="89"/>
      <c r="G130" s="102"/>
      <c r="H130" s="102"/>
      <c r="I130" s="84"/>
      <c r="J130" s="159"/>
      <c r="K130" s="159"/>
      <c r="L130" s="84"/>
      <c r="M130" s="159"/>
      <c r="N130" s="159"/>
    </row>
    <row r="131" spans="2:14">
      <c r="B131" s="158">
        <v>104</v>
      </c>
      <c r="C131" s="89" t="s">
        <v>652</v>
      </c>
      <c r="D131" s="89" t="s">
        <v>459</v>
      </c>
      <c r="E131" s="89"/>
      <c r="G131" s="102"/>
      <c r="H131" s="102"/>
      <c r="I131" s="84"/>
      <c r="J131" s="159"/>
      <c r="K131" s="159"/>
      <c r="L131" s="84"/>
      <c r="M131" s="159"/>
      <c r="N131" s="159"/>
    </row>
    <row r="132" spans="2:14">
      <c r="B132" s="158">
        <v>105</v>
      </c>
      <c r="C132" s="89" t="s">
        <v>652</v>
      </c>
      <c r="D132" s="89" t="s">
        <v>460</v>
      </c>
      <c r="E132" s="89"/>
      <c r="G132" s="102"/>
      <c r="H132" s="102"/>
      <c r="I132" s="84"/>
      <c r="J132" s="159"/>
      <c r="K132" s="159"/>
      <c r="L132" s="84"/>
      <c r="M132" s="159"/>
      <c r="N132" s="159"/>
    </row>
    <row r="133" spans="2:14">
      <c r="B133" s="158">
        <v>106</v>
      </c>
      <c r="C133" s="89" t="s">
        <v>652</v>
      </c>
      <c r="D133" s="89" t="s">
        <v>461</v>
      </c>
      <c r="E133" s="89"/>
      <c r="G133" s="102"/>
      <c r="H133" s="102"/>
      <c r="I133" s="84"/>
      <c r="J133" s="159"/>
      <c r="K133" s="159"/>
      <c r="L133" s="84"/>
      <c r="M133" s="159"/>
      <c r="N133" s="159"/>
    </row>
    <row r="134" spans="2:14">
      <c r="B134" s="158">
        <v>107</v>
      </c>
      <c r="C134" s="89" t="s">
        <v>653</v>
      </c>
      <c r="D134" s="89" t="s">
        <v>660</v>
      </c>
      <c r="E134" s="89"/>
      <c r="G134" s="102"/>
      <c r="H134" s="102"/>
      <c r="I134" s="84"/>
      <c r="J134" s="159"/>
      <c r="K134" s="159"/>
      <c r="L134" s="84"/>
      <c r="M134" s="159"/>
      <c r="N134" s="159"/>
    </row>
    <row r="135" spans="2:14">
      <c r="B135" s="158">
        <v>108</v>
      </c>
      <c r="C135" s="89" t="s">
        <v>653</v>
      </c>
      <c r="D135" s="89" t="s">
        <v>586</v>
      </c>
      <c r="E135" s="89"/>
      <c r="G135" s="102"/>
      <c r="H135" s="102"/>
      <c r="I135" s="84"/>
      <c r="J135" s="159"/>
      <c r="K135" s="159"/>
      <c r="L135" s="84"/>
      <c r="M135" s="159"/>
      <c r="N135" s="159"/>
    </row>
    <row r="136" spans="2:14">
      <c r="B136" s="158">
        <v>109</v>
      </c>
      <c r="C136" s="89" t="s">
        <v>653</v>
      </c>
      <c r="D136" s="89" t="s">
        <v>7</v>
      </c>
      <c r="E136" s="89"/>
      <c r="G136" s="102"/>
      <c r="H136" s="102"/>
      <c r="I136" s="84"/>
      <c r="J136" s="159"/>
      <c r="K136" s="159"/>
      <c r="L136" s="84"/>
      <c r="M136" s="159"/>
      <c r="N136" s="159"/>
    </row>
    <row r="137" spans="2:14">
      <c r="B137" s="158">
        <v>110</v>
      </c>
      <c r="C137" s="89" t="s">
        <v>653</v>
      </c>
      <c r="D137" s="89" t="s">
        <v>458</v>
      </c>
      <c r="E137" s="89"/>
      <c r="G137" s="102"/>
      <c r="H137" s="102"/>
      <c r="I137" s="84"/>
      <c r="J137" s="159"/>
      <c r="K137" s="159"/>
      <c r="L137" s="84"/>
      <c r="M137" s="159"/>
      <c r="N137" s="159"/>
    </row>
    <row r="138" spans="2:14">
      <c r="B138" s="158">
        <v>111</v>
      </c>
      <c r="C138" s="89" t="s">
        <v>653</v>
      </c>
      <c r="D138" s="89" t="s">
        <v>459</v>
      </c>
      <c r="E138" s="89"/>
      <c r="G138" s="102"/>
      <c r="H138" s="102"/>
      <c r="I138" s="84"/>
      <c r="J138" s="159"/>
      <c r="K138" s="159"/>
      <c r="L138" s="84"/>
      <c r="M138" s="159"/>
      <c r="N138" s="159"/>
    </row>
    <row r="139" spans="2:14">
      <c r="B139" s="158">
        <v>112</v>
      </c>
      <c r="C139" s="89" t="s">
        <v>653</v>
      </c>
      <c r="D139" s="89" t="s">
        <v>460</v>
      </c>
      <c r="E139" s="89"/>
      <c r="G139" s="102"/>
      <c r="H139" s="102"/>
      <c r="I139" s="84"/>
      <c r="J139" s="159"/>
      <c r="K139" s="159"/>
      <c r="L139" s="84"/>
      <c r="M139" s="159"/>
      <c r="N139" s="159"/>
    </row>
    <row r="140" spans="2:14">
      <c r="B140" s="158">
        <v>113</v>
      </c>
      <c r="C140" s="89" t="s">
        <v>653</v>
      </c>
      <c r="D140" s="89" t="s">
        <v>461</v>
      </c>
      <c r="E140" s="89"/>
      <c r="G140" s="102"/>
      <c r="H140" s="102"/>
      <c r="I140" s="84"/>
      <c r="J140" s="159"/>
      <c r="K140" s="159"/>
      <c r="L140" s="84"/>
      <c r="M140" s="159"/>
      <c r="N140" s="159"/>
    </row>
    <row r="141" spans="2:14">
      <c r="B141" s="158">
        <v>114</v>
      </c>
      <c r="C141" s="89" t="s">
        <v>654</v>
      </c>
      <c r="D141" s="89" t="s">
        <v>661</v>
      </c>
      <c r="E141" s="89"/>
      <c r="G141" s="102"/>
      <c r="H141" s="102"/>
      <c r="I141" s="84"/>
      <c r="J141" s="159"/>
      <c r="K141" s="159"/>
      <c r="L141" s="84"/>
      <c r="M141" s="159"/>
      <c r="N141" s="159"/>
    </row>
    <row r="142" spans="2:14">
      <c r="B142" s="158">
        <v>115</v>
      </c>
      <c r="C142" s="89" t="s">
        <v>654</v>
      </c>
      <c r="D142" s="89" t="s">
        <v>586</v>
      </c>
      <c r="E142" s="89"/>
      <c r="G142" s="102"/>
      <c r="H142" s="102"/>
      <c r="I142" s="84"/>
      <c r="J142" s="159"/>
      <c r="K142" s="159"/>
      <c r="L142" s="84"/>
      <c r="M142" s="159"/>
      <c r="N142" s="159"/>
    </row>
    <row r="143" spans="2:14">
      <c r="B143" s="158">
        <v>116</v>
      </c>
      <c r="C143" s="89" t="s">
        <v>654</v>
      </c>
      <c r="D143" s="89" t="s">
        <v>7</v>
      </c>
      <c r="E143" s="89"/>
      <c r="G143" s="102"/>
      <c r="H143" s="102"/>
      <c r="I143" s="84"/>
      <c r="J143" s="159"/>
      <c r="K143" s="159"/>
      <c r="L143" s="84"/>
      <c r="M143" s="159"/>
      <c r="N143" s="159"/>
    </row>
    <row r="144" spans="2:14">
      <c r="B144" s="158">
        <v>117</v>
      </c>
      <c r="C144" s="89" t="s">
        <v>654</v>
      </c>
      <c r="D144" s="89" t="s">
        <v>458</v>
      </c>
      <c r="E144" s="89"/>
      <c r="G144" s="102"/>
      <c r="H144" s="102"/>
      <c r="I144" s="84"/>
      <c r="J144" s="159"/>
      <c r="K144" s="159"/>
      <c r="L144" s="84"/>
      <c r="M144" s="159"/>
      <c r="N144" s="159"/>
    </row>
    <row r="145" spans="2:14">
      <c r="B145" s="158">
        <v>118</v>
      </c>
      <c r="C145" s="89" t="s">
        <v>654</v>
      </c>
      <c r="D145" s="89" t="s">
        <v>459</v>
      </c>
      <c r="E145" s="89"/>
      <c r="G145" s="102"/>
      <c r="H145" s="102"/>
      <c r="I145" s="84"/>
      <c r="J145" s="159"/>
      <c r="K145" s="159"/>
      <c r="L145" s="84"/>
      <c r="M145" s="159"/>
      <c r="N145" s="159"/>
    </row>
    <row r="146" spans="2:14">
      <c r="B146" s="158">
        <v>119</v>
      </c>
      <c r="C146" s="89" t="s">
        <v>654</v>
      </c>
      <c r="D146" s="89" t="s">
        <v>460</v>
      </c>
      <c r="E146" s="89"/>
      <c r="G146" s="102"/>
      <c r="H146" s="102"/>
      <c r="I146" s="84"/>
      <c r="J146" s="159"/>
      <c r="K146" s="159"/>
      <c r="L146" s="84"/>
      <c r="M146" s="159"/>
      <c r="N146" s="159"/>
    </row>
    <row r="147" spans="2:14">
      <c r="B147" s="158">
        <v>120</v>
      </c>
      <c r="C147" s="89" t="s">
        <v>654</v>
      </c>
      <c r="D147" s="89" t="s">
        <v>461</v>
      </c>
      <c r="E147" s="89"/>
      <c r="G147" s="102"/>
      <c r="H147" s="102"/>
      <c r="I147" s="84"/>
      <c r="J147" s="159"/>
      <c r="K147" s="159"/>
      <c r="L147" s="84"/>
      <c r="M147" s="159"/>
      <c r="N147" s="159"/>
    </row>
    <row r="148" spans="2:14">
      <c r="B148" s="158">
        <v>121</v>
      </c>
      <c r="C148" s="89" t="s">
        <v>655</v>
      </c>
      <c r="D148" s="89" t="s">
        <v>662</v>
      </c>
      <c r="E148" s="89"/>
      <c r="G148" s="102"/>
      <c r="H148" s="102"/>
      <c r="I148" s="84"/>
      <c r="J148" s="159"/>
      <c r="K148" s="159"/>
      <c r="L148" s="84"/>
      <c r="M148" s="159"/>
      <c r="N148" s="159"/>
    </row>
    <row r="149" spans="2:14">
      <c r="B149" s="158">
        <v>122</v>
      </c>
      <c r="C149" s="89" t="s">
        <v>655</v>
      </c>
      <c r="D149" s="89" t="s">
        <v>586</v>
      </c>
      <c r="E149" s="89"/>
      <c r="G149" s="102"/>
      <c r="H149" s="102"/>
      <c r="I149" s="84"/>
      <c r="J149" s="159"/>
      <c r="K149" s="159"/>
      <c r="L149" s="84"/>
      <c r="M149" s="159"/>
      <c r="N149" s="159"/>
    </row>
    <row r="150" spans="2:14">
      <c r="B150" s="158">
        <v>123</v>
      </c>
      <c r="C150" s="89" t="s">
        <v>655</v>
      </c>
      <c r="D150" s="89" t="s">
        <v>7</v>
      </c>
      <c r="E150" s="89"/>
      <c r="G150" s="102"/>
      <c r="H150" s="102"/>
      <c r="I150" s="84"/>
      <c r="J150" s="159"/>
      <c r="K150" s="159"/>
      <c r="L150" s="84"/>
      <c r="M150" s="159"/>
      <c r="N150" s="159"/>
    </row>
    <row r="151" spans="2:14">
      <c r="B151" s="158">
        <v>124</v>
      </c>
      <c r="C151" s="89" t="s">
        <v>655</v>
      </c>
      <c r="D151" s="89" t="s">
        <v>458</v>
      </c>
      <c r="E151" s="89"/>
      <c r="G151" s="102"/>
      <c r="H151" s="102"/>
      <c r="I151" s="84"/>
      <c r="J151" s="159"/>
      <c r="K151" s="159"/>
      <c r="L151" s="84"/>
      <c r="M151" s="159"/>
      <c r="N151" s="159"/>
    </row>
    <row r="152" spans="2:14">
      <c r="B152" s="158">
        <v>125</v>
      </c>
      <c r="C152" s="89" t="s">
        <v>655</v>
      </c>
      <c r="D152" s="89" t="s">
        <v>459</v>
      </c>
      <c r="E152" s="89"/>
      <c r="G152" s="102"/>
      <c r="H152" s="102"/>
      <c r="I152" s="84"/>
      <c r="J152" s="159"/>
      <c r="K152" s="159"/>
      <c r="L152" s="84"/>
      <c r="M152" s="159"/>
      <c r="N152" s="159"/>
    </row>
    <row r="153" spans="2:14">
      <c r="B153" s="158">
        <v>126</v>
      </c>
      <c r="C153" s="89" t="s">
        <v>655</v>
      </c>
      <c r="D153" s="89" t="s">
        <v>460</v>
      </c>
      <c r="E153" s="89"/>
      <c r="G153" s="102"/>
      <c r="H153" s="102"/>
      <c r="I153" s="84"/>
      <c r="J153" s="159"/>
      <c r="K153" s="159"/>
      <c r="L153" s="84"/>
      <c r="M153" s="159"/>
      <c r="N153" s="159"/>
    </row>
    <row r="154" spans="2:14">
      <c r="B154" s="158">
        <v>127</v>
      </c>
      <c r="C154" s="89" t="s">
        <v>655</v>
      </c>
      <c r="D154" s="89" t="s">
        <v>461</v>
      </c>
      <c r="E154" s="89"/>
      <c r="G154" s="102"/>
      <c r="H154" s="102"/>
      <c r="I154" s="84"/>
      <c r="J154" s="159"/>
      <c r="K154" s="159"/>
      <c r="L154" s="84"/>
      <c r="M154" s="159"/>
      <c r="N154" s="159"/>
    </row>
    <row r="155" spans="2:14">
      <c r="B155" s="158">
        <v>128</v>
      </c>
      <c r="C155" s="89" t="s">
        <v>656</v>
      </c>
      <c r="D155" s="89" t="s">
        <v>663</v>
      </c>
      <c r="E155" s="89"/>
      <c r="G155" s="102"/>
      <c r="H155" s="102"/>
      <c r="I155" s="84"/>
      <c r="J155" s="159"/>
      <c r="K155" s="159"/>
      <c r="L155" s="84"/>
      <c r="M155" s="159"/>
      <c r="N155" s="159"/>
    </row>
    <row r="156" spans="2:14">
      <c r="B156" s="158">
        <v>129</v>
      </c>
      <c r="C156" s="89" t="s">
        <v>656</v>
      </c>
      <c r="D156" s="89" t="s">
        <v>586</v>
      </c>
      <c r="E156" s="89"/>
      <c r="G156" s="102"/>
      <c r="H156" s="102"/>
      <c r="I156" s="84"/>
      <c r="J156" s="159"/>
      <c r="K156" s="159"/>
      <c r="L156" s="84"/>
      <c r="M156" s="159"/>
      <c r="N156" s="159"/>
    </row>
    <row r="157" spans="2:14">
      <c r="B157" s="158">
        <v>130</v>
      </c>
      <c r="C157" s="89" t="s">
        <v>656</v>
      </c>
      <c r="D157" s="89" t="s">
        <v>7</v>
      </c>
      <c r="E157" s="89"/>
      <c r="G157" s="102"/>
      <c r="H157" s="102"/>
      <c r="I157" s="84"/>
      <c r="J157" s="159"/>
      <c r="K157" s="159"/>
      <c r="L157" s="84"/>
      <c r="M157" s="159"/>
      <c r="N157" s="159"/>
    </row>
    <row r="158" spans="2:14">
      <c r="B158" s="158">
        <v>131</v>
      </c>
      <c r="C158" s="89" t="s">
        <v>656</v>
      </c>
      <c r="D158" s="89" t="s">
        <v>458</v>
      </c>
      <c r="E158" s="89"/>
      <c r="G158" s="102"/>
      <c r="H158" s="102"/>
      <c r="I158" s="84"/>
      <c r="J158" s="159"/>
      <c r="K158" s="159"/>
      <c r="L158" s="84"/>
      <c r="M158" s="159"/>
      <c r="N158" s="159"/>
    </row>
    <row r="159" spans="2:14">
      <c r="B159" s="158">
        <v>132</v>
      </c>
      <c r="C159" s="89" t="s">
        <v>656</v>
      </c>
      <c r="D159" s="89" t="s">
        <v>459</v>
      </c>
      <c r="E159" s="89"/>
      <c r="G159" s="102"/>
      <c r="H159" s="102"/>
      <c r="I159" s="84"/>
      <c r="J159" s="159"/>
      <c r="K159" s="159"/>
      <c r="L159" s="84"/>
      <c r="M159" s="159"/>
      <c r="N159" s="159"/>
    </row>
    <row r="160" spans="2:14">
      <c r="B160" s="158">
        <v>133</v>
      </c>
      <c r="C160" s="89" t="s">
        <v>656</v>
      </c>
      <c r="D160" s="89" t="s">
        <v>460</v>
      </c>
      <c r="E160" s="89"/>
      <c r="G160" s="102"/>
      <c r="H160" s="102"/>
      <c r="I160" s="84"/>
      <c r="J160" s="159"/>
      <c r="K160" s="159"/>
      <c r="L160" s="84"/>
      <c r="M160" s="159"/>
      <c r="N160" s="159"/>
    </row>
    <row r="161" spans="2:14">
      <c r="B161" s="158">
        <v>134</v>
      </c>
      <c r="C161" s="89" t="s">
        <v>656</v>
      </c>
      <c r="D161" s="89" t="s">
        <v>461</v>
      </c>
      <c r="E161" s="89"/>
      <c r="G161" s="102"/>
      <c r="H161" s="102"/>
      <c r="I161" s="84"/>
      <c r="J161" s="159"/>
      <c r="K161" s="159"/>
      <c r="L161" s="84"/>
      <c r="M161" s="159"/>
      <c r="N161" s="159"/>
    </row>
    <row r="162" spans="2:14">
      <c r="B162" s="158">
        <v>135</v>
      </c>
      <c r="C162" s="89" t="s">
        <v>657</v>
      </c>
      <c r="D162" s="89" t="s">
        <v>664</v>
      </c>
      <c r="E162" s="89"/>
      <c r="G162" s="102"/>
      <c r="H162" s="102"/>
      <c r="I162" s="84"/>
      <c r="J162" s="159"/>
      <c r="K162" s="159"/>
      <c r="L162" s="84"/>
      <c r="M162" s="159"/>
      <c r="N162" s="159"/>
    </row>
    <row r="163" spans="2:14">
      <c r="B163" s="158">
        <v>136</v>
      </c>
      <c r="C163" s="89" t="s">
        <v>657</v>
      </c>
      <c r="D163" s="89" t="s">
        <v>586</v>
      </c>
      <c r="E163" s="89"/>
      <c r="G163" s="102"/>
      <c r="H163" s="102"/>
      <c r="I163" s="84"/>
      <c r="J163" s="159"/>
      <c r="K163" s="159"/>
      <c r="L163" s="84"/>
      <c r="M163" s="159"/>
      <c r="N163" s="159"/>
    </row>
    <row r="164" spans="2:14">
      <c r="B164" s="158">
        <v>137</v>
      </c>
      <c r="C164" s="89" t="s">
        <v>657</v>
      </c>
      <c r="D164" s="89" t="s">
        <v>7</v>
      </c>
      <c r="E164" s="89"/>
      <c r="G164" s="102"/>
      <c r="H164" s="102"/>
      <c r="I164" s="84"/>
      <c r="J164" s="159"/>
      <c r="K164" s="159"/>
      <c r="L164" s="84"/>
      <c r="M164" s="159"/>
      <c r="N164" s="159"/>
    </row>
    <row r="165" spans="2:14">
      <c r="B165" s="158">
        <v>138</v>
      </c>
      <c r="C165" s="89" t="s">
        <v>657</v>
      </c>
      <c r="D165" s="89" t="s">
        <v>458</v>
      </c>
      <c r="E165" s="89"/>
      <c r="G165" s="102"/>
      <c r="H165" s="102"/>
      <c r="I165" s="84"/>
      <c r="J165" s="159"/>
      <c r="K165" s="159"/>
      <c r="L165" s="84"/>
      <c r="M165" s="159"/>
      <c r="N165" s="159"/>
    </row>
    <row r="166" spans="2:14">
      <c r="B166" s="158">
        <v>139</v>
      </c>
      <c r="C166" s="89" t="s">
        <v>657</v>
      </c>
      <c r="D166" s="89" t="s">
        <v>459</v>
      </c>
      <c r="E166" s="89"/>
      <c r="G166" s="102"/>
      <c r="H166" s="102"/>
      <c r="I166" s="84"/>
      <c r="J166" s="159"/>
      <c r="K166" s="159"/>
      <c r="L166" s="84"/>
      <c r="M166" s="159"/>
      <c r="N166" s="159"/>
    </row>
    <row r="167" spans="2:14">
      <c r="B167" s="158">
        <v>140</v>
      </c>
      <c r="C167" s="89" t="s">
        <v>657</v>
      </c>
      <c r="D167" s="89" t="s">
        <v>460</v>
      </c>
      <c r="E167" s="89"/>
      <c r="G167" s="102"/>
      <c r="H167" s="102"/>
      <c r="I167" s="84"/>
      <c r="J167" s="159"/>
      <c r="K167" s="159"/>
      <c r="L167" s="84"/>
      <c r="M167" s="159"/>
      <c r="N167" s="159"/>
    </row>
    <row r="168" spans="2:14">
      <c r="B168" s="158">
        <v>141</v>
      </c>
      <c r="C168" s="89" t="s">
        <v>657</v>
      </c>
      <c r="D168" s="89" t="s">
        <v>461</v>
      </c>
      <c r="E168" s="89"/>
      <c r="G168" s="102"/>
      <c r="H168" s="102"/>
      <c r="I168" s="84"/>
      <c r="J168" s="159"/>
      <c r="K168" s="159"/>
      <c r="L168" s="84"/>
      <c r="M168" s="159"/>
      <c r="N168" s="159"/>
    </row>
    <row r="169" spans="2:14">
      <c r="B169" s="161"/>
      <c r="G169" s="159"/>
      <c r="H169" s="159"/>
      <c r="I169" s="84"/>
      <c r="J169" s="159"/>
      <c r="K169" s="159"/>
      <c r="L169" s="84"/>
      <c r="M169" s="159"/>
      <c r="N169" s="159"/>
    </row>
    <row r="170" spans="2:14">
      <c r="B170" s="126" t="s">
        <v>9</v>
      </c>
      <c r="C170" s="127"/>
      <c r="D170" s="127"/>
      <c r="E170" s="128"/>
      <c r="G170" s="220" t="s">
        <v>107</v>
      </c>
      <c r="H170" s="221"/>
      <c r="I170" s="141"/>
      <c r="J170" s="220" t="s">
        <v>108</v>
      </c>
      <c r="K170" s="221"/>
      <c r="L170" s="141"/>
      <c r="M170" s="218" t="s">
        <v>109</v>
      </c>
      <c r="N170" s="219"/>
    </row>
    <row r="171" spans="2:14">
      <c r="B171" s="144" t="s">
        <v>112</v>
      </c>
      <c r="C171" s="144" t="s">
        <v>110</v>
      </c>
      <c r="D171" s="144"/>
      <c r="E171" s="144" t="s">
        <v>98</v>
      </c>
      <c r="G171" s="85" t="s">
        <v>496</v>
      </c>
      <c r="H171" s="85" t="s">
        <v>100</v>
      </c>
      <c r="I171" s="141"/>
      <c r="J171" s="85" t="s">
        <v>496</v>
      </c>
      <c r="K171" s="85" t="s">
        <v>100</v>
      </c>
      <c r="L171" s="141"/>
      <c r="M171" s="85" t="s">
        <v>496</v>
      </c>
      <c r="N171" s="85" t="s">
        <v>100</v>
      </c>
    </row>
    <row r="172" spans="2:14">
      <c r="B172" s="158">
        <v>72</v>
      </c>
      <c r="C172" s="89" t="s">
        <v>587</v>
      </c>
      <c r="D172" s="89" t="s">
        <v>589</v>
      </c>
      <c r="E172" s="89"/>
      <c r="G172" s="143"/>
      <c r="H172" s="102"/>
      <c r="I172" s="84"/>
      <c r="J172" s="143"/>
      <c r="K172" s="102"/>
      <c r="L172" s="84"/>
      <c r="M172" s="143"/>
      <c r="N172" s="102"/>
    </row>
    <row r="173" spans="2:14">
      <c r="B173" s="158">
        <v>73</v>
      </c>
      <c r="C173" s="89" t="s">
        <v>587</v>
      </c>
      <c r="D173" s="89" t="s">
        <v>590</v>
      </c>
      <c r="E173" s="89" t="s">
        <v>88</v>
      </c>
      <c r="G173" s="102"/>
      <c r="H173" s="102"/>
      <c r="I173" s="84"/>
      <c r="J173" s="102"/>
      <c r="K173" s="102"/>
      <c r="L173" s="84"/>
      <c r="M173" s="102"/>
      <c r="N173" s="102"/>
    </row>
    <row r="174" spans="2:14">
      <c r="B174" s="158">
        <v>74</v>
      </c>
      <c r="C174" s="89" t="s">
        <v>588</v>
      </c>
      <c r="D174" s="89" t="s">
        <v>591</v>
      </c>
      <c r="E174" s="89"/>
      <c r="G174" s="143"/>
      <c r="H174" s="102"/>
      <c r="I174" s="84"/>
      <c r="J174" s="143"/>
      <c r="K174" s="102"/>
      <c r="L174" s="84"/>
      <c r="M174" s="143"/>
      <c r="N174" s="102"/>
    </row>
    <row r="175" spans="2:14">
      <c r="B175" s="158">
        <v>75</v>
      </c>
      <c r="C175" s="89" t="s">
        <v>588</v>
      </c>
      <c r="D175" s="89" t="s">
        <v>592</v>
      </c>
      <c r="E175" s="89" t="s">
        <v>88</v>
      </c>
      <c r="G175" s="102"/>
      <c r="H175" s="102"/>
      <c r="I175" s="84"/>
      <c r="J175" s="102"/>
      <c r="K175" s="102"/>
      <c r="L175" s="84"/>
      <c r="M175" s="102"/>
      <c r="N175" s="102"/>
    </row>
    <row r="176" spans="2:14">
      <c r="B176" s="158">
        <v>76</v>
      </c>
      <c r="C176" s="89" t="s">
        <v>665</v>
      </c>
      <c r="D176" s="89" t="s">
        <v>668</v>
      </c>
      <c r="E176" s="89"/>
      <c r="G176" s="143"/>
      <c r="H176" s="102"/>
      <c r="I176" s="84"/>
      <c r="J176" s="143"/>
      <c r="K176" s="102"/>
      <c r="L176" s="84"/>
      <c r="M176" s="143"/>
      <c r="N176" s="102"/>
    </row>
    <row r="177" spans="2:14">
      <c r="B177" s="158">
        <v>77</v>
      </c>
      <c r="C177" s="89" t="s">
        <v>665</v>
      </c>
      <c r="D177" s="89" t="s">
        <v>669</v>
      </c>
      <c r="E177" s="89" t="s">
        <v>88</v>
      </c>
      <c r="G177" s="102"/>
      <c r="H177" s="102"/>
      <c r="I177" s="84"/>
      <c r="J177" s="102"/>
      <c r="K177" s="102"/>
      <c r="L177" s="84"/>
      <c r="M177" s="102"/>
      <c r="N177" s="102"/>
    </row>
    <row r="178" spans="2:14">
      <c r="B178" s="158">
        <v>78</v>
      </c>
      <c r="C178" s="89" t="s">
        <v>666</v>
      </c>
      <c r="D178" s="89" t="s">
        <v>670</v>
      </c>
      <c r="E178" s="89"/>
      <c r="G178" s="143"/>
      <c r="H178" s="102"/>
      <c r="I178" s="84"/>
      <c r="J178" s="159"/>
      <c r="K178" s="159"/>
      <c r="L178" s="84"/>
      <c r="M178" s="159"/>
      <c r="N178" s="159"/>
    </row>
    <row r="179" spans="2:14">
      <c r="B179" s="158">
        <v>79</v>
      </c>
      <c r="C179" s="89" t="s">
        <v>666</v>
      </c>
      <c r="D179" s="89" t="s">
        <v>671</v>
      </c>
      <c r="E179" s="89" t="s">
        <v>88</v>
      </c>
      <c r="G179" s="102"/>
      <c r="H179" s="102"/>
      <c r="I179" s="84"/>
      <c r="J179" s="159"/>
      <c r="K179" s="159"/>
      <c r="L179" s="84"/>
      <c r="M179" s="159"/>
      <c r="N179" s="159"/>
    </row>
    <row r="180" spans="2:14">
      <c r="B180" s="158">
        <v>80</v>
      </c>
      <c r="C180" s="89" t="s">
        <v>667</v>
      </c>
      <c r="D180" s="89" t="s">
        <v>672</v>
      </c>
      <c r="E180" s="89"/>
      <c r="G180" s="143"/>
      <c r="H180" s="102"/>
      <c r="I180" s="84"/>
      <c r="J180" s="159"/>
      <c r="K180" s="159"/>
      <c r="L180" s="84"/>
      <c r="M180" s="159"/>
      <c r="N180" s="159"/>
    </row>
    <row r="181" spans="2:14">
      <c r="B181" s="158">
        <v>81</v>
      </c>
      <c r="C181" s="89" t="s">
        <v>667</v>
      </c>
      <c r="D181" s="89" t="s">
        <v>673</v>
      </c>
      <c r="E181" s="89" t="s">
        <v>88</v>
      </c>
      <c r="G181" s="102"/>
      <c r="H181" s="102"/>
      <c r="I181" s="84"/>
      <c r="J181" s="159"/>
      <c r="K181" s="159"/>
      <c r="L181" s="84"/>
      <c r="M181" s="159"/>
      <c r="N181" s="159"/>
    </row>
    <row r="182" spans="2:14">
      <c r="B182" s="161"/>
      <c r="G182" s="159"/>
      <c r="H182" s="159"/>
      <c r="I182" s="84"/>
      <c r="J182" s="159"/>
      <c r="K182" s="159"/>
      <c r="L182" s="84"/>
      <c r="M182" s="159"/>
      <c r="N182" s="159"/>
    </row>
    <row r="183" spans="2:14">
      <c r="B183" s="130" t="s">
        <v>12</v>
      </c>
      <c r="C183" s="131"/>
      <c r="D183" s="131"/>
      <c r="E183" s="132"/>
      <c r="G183" s="220" t="s">
        <v>107</v>
      </c>
      <c r="H183" s="221"/>
      <c r="I183" s="141"/>
      <c r="J183" s="220" t="s">
        <v>108</v>
      </c>
      <c r="K183" s="221"/>
      <c r="L183" s="141"/>
      <c r="M183" s="218" t="s">
        <v>109</v>
      </c>
      <c r="N183" s="219"/>
    </row>
    <row r="184" spans="2:14">
      <c r="B184" s="145" t="s">
        <v>112</v>
      </c>
      <c r="C184" s="145" t="s">
        <v>110</v>
      </c>
      <c r="D184" s="145"/>
      <c r="E184" s="145" t="s">
        <v>98</v>
      </c>
      <c r="G184" s="85" t="s">
        <v>496</v>
      </c>
      <c r="H184" s="85" t="s">
        <v>100</v>
      </c>
      <c r="I184" s="141"/>
      <c r="J184" s="85" t="s">
        <v>496</v>
      </c>
      <c r="K184" s="85" t="s">
        <v>100</v>
      </c>
      <c r="L184" s="141"/>
      <c r="M184" s="85" t="s">
        <v>496</v>
      </c>
      <c r="N184" s="85" t="s">
        <v>100</v>
      </c>
    </row>
    <row r="185" spans="2:14">
      <c r="B185" s="158">
        <v>78</v>
      </c>
      <c r="C185" s="89" t="s">
        <v>594</v>
      </c>
      <c r="D185" s="89" t="s">
        <v>570</v>
      </c>
      <c r="E185" s="89"/>
      <c r="G185" s="143"/>
      <c r="H185" s="102"/>
      <c r="I185" s="84"/>
      <c r="J185" s="143"/>
      <c r="K185" s="102"/>
      <c r="L185" s="84"/>
      <c r="M185" s="143"/>
      <c r="N185" s="102"/>
    </row>
    <row r="186" spans="2:14">
      <c r="B186" s="158">
        <v>79</v>
      </c>
      <c r="C186" s="89" t="s">
        <v>594</v>
      </c>
      <c r="D186" s="89" t="s">
        <v>675</v>
      </c>
      <c r="E186" s="89" t="s">
        <v>58</v>
      </c>
      <c r="G186" s="102"/>
      <c r="H186" s="102"/>
      <c r="I186" s="84"/>
      <c r="J186" s="102"/>
      <c r="K186" s="102"/>
      <c r="L186" s="84"/>
      <c r="M186" s="102"/>
      <c r="N186" s="102"/>
    </row>
    <row r="187" spans="2:14">
      <c r="B187" s="158">
        <v>80</v>
      </c>
      <c r="C187" s="89" t="s">
        <v>595</v>
      </c>
      <c r="D187" s="89" t="s">
        <v>570</v>
      </c>
      <c r="E187" s="89"/>
      <c r="G187" s="143"/>
      <c r="H187" s="102"/>
      <c r="I187" s="84"/>
      <c r="J187" s="143"/>
      <c r="K187" s="102"/>
      <c r="L187" s="84"/>
      <c r="M187" s="143"/>
      <c r="N187" s="102"/>
    </row>
    <row r="188" spans="2:14">
      <c r="B188" s="158">
        <v>81</v>
      </c>
      <c r="C188" s="89" t="s">
        <v>595</v>
      </c>
      <c r="D188" s="89" t="s">
        <v>676</v>
      </c>
      <c r="E188" s="89" t="s">
        <v>58</v>
      </c>
      <c r="G188" s="102"/>
      <c r="H188" s="102"/>
      <c r="I188" s="84"/>
      <c r="J188" s="102"/>
      <c r="K188" s="102"/>
      <c r="L188" s="84"/>
      <c r="M188" s="102"/>
      <c r="N188" s="102"/>
    </row>
    <row r="189" spans="2:14">
      <c r="B189" s="158">
        <v>82</v>
      </c>
      <c r="C189" s="89" t="s">
        <v>674</v>
      </c>
      <c r="D189" s="89" t="s">
        <v>570</v>
      </c>
      <c r="E189" s="89"/>
      <c r="G189" s="143"/>
      <c r="H189" s="102"/>
      <c r="I189" s="84"/>
      <c r="J189" s="143"/>
      <c r="K189" s="102"/>
      <c r="L189" s="84"/>
      <c r="M189" s="143"/>
      <c r="N189" s="102"/>
    </row>
    <row r="190" spans="2:14">
      <c r="B190" s="158">
        <v>83</v>
      </c>
      <c r="C190" s="89" t="s">
        <v>674</v>
      </c>
      <c r="D190" s="89" t="s">
        <v>677</v>
      </c>
      <c r="E190" s="89" t="s">
        <v>58</v>
      </c>
      <c r="G190" s="102"/>
      <c r="H190" s="102"/>
      <c r="I190" s="84"/>
      <c r="J190" s="102"/>
      <c r="K190" s="102"/>
      <c r="L190" s="84"/>
      <c r="M190" s="102"/>
      <c r="N190" s="102"/>
    </row>
    <row r="191" spans="2:14">
      <c r="G191" s="84"/>
      <c r="H191" s="84"/>
      <c r="I191" s="84"/>
      <c r="J191" s="84"/>
      <c r="K191" s="84"/>
      <c r="L191" s="84"/>
      <c r="M191" s="84"/>
      <c r="N191" s="84"/>
    </row>
    <row r="192" spans="2:14">
      <c r="B192" s="133" t="s">
        <v>6</v>
      </c>
      <c r="C192" s="134"/>
      <c r="D192" s="135"/>
      <c r="G192" s="220" t="s">
        <v>107</v>
      </c>
      <c r="H192" s="221"/>
      <c r="I192" s="141"/>
      <c r="J192" s="220" t="s">
        <v>108</v>
      </c>
      <c r="K192" s="221"/>
      <c r="L192" s="84"/>
      <c r="M192" s="218" t="s">
        <v>109</v>
      </c>
      <c r="N192" s="219"/>
    </row>
    <row r="193" spans="2:14">
      <c r="B193" s="136" t="s">
        <v>112</v>
      </c>
      <c r="C193" s="136" t="s">
        <v>110</v>
      </c>
      <c r="D193" s="136" t="s">
        <v>98</v>
      </c>
      <c r="G193" s="85" t="s">
        <v>496</v>
      </c>
      <c r="H193" s="85" t="s">
        <v>100</v>
      </c>
      <c r="I193" s="141"/>
      <c r="J193" s="85" t="s">
        <v>496</v>
      </c>
      <c r="K193" s="85" t="s">
        <v>100</v>
      </c>
      <c r="L193" s="141"/>
      <c r="M193" s="85" t="s">
        <v>496</v>
      </c>
      <c r="N193" s="85" t="s">
        <v>100</v>
      </c>
    </row>
    <row r="194" spans="2:14">
      <c r="B194" s="103">
        <v>84</v>
      </c>
      <c r="C194" s="103" t="s">
        <v>695</v>
      </c>
      <c r="D194" s="89" t="s">
        <v>488</v>
      </c>
      <c r="G194" s="102">
        <v>0</v>
      </c>
      <c r="H194" s="102"/>
      <c r="I194" s="84"/>
      <c r="J194" s="102"/>
      <c r="K194" s="102"/>
      <c r="L194" s="84"/>
      <c r="M194" s="102"/>
      <c r="N194" s="102"/>
    </row>
    <row r="195" spans="2:14">
      <c r="B195" s="103">
        <v>85</v>
      </c>
      <c r="C195" s="103" t="s">
        <v>696</v>
      </c>
      <c r="D195" s="89" t="s">
        <v>488</v>
      </c>
      <c r="G195" s="102">
        <v>2457</v>
      </c>
      <c r="H195" s="102"/>
      <c r="I195" s="84"/>
      <c r="J195" s="102"/>
      <c r="K195" s="102"/>
      <c r="L195" s="84"/>
      <c r="M195" s="102"/>
      <c r="N195" s="102"/>
    </row>
    <row r="196" spans="2:14">
      <c r="B196" s="103">
        <v>86</v>
      </c>
      <c r="C196" s="103" t="s">
        <v>697</v>
      </c>
      <c r="D196" s="89" t="s">
        <v>488</v>
      </c>
      <c r="G196" s="102">
        <v>1229</v>
      </c>
      <c r="H196" s="102"/>
      <c r="I196" s="84"/>
      <c r="J196" s="102"/>
      <c r="K196" s="102"/>
      <c r="L196" s="84"/>
      <c r="M196" s="102"/>
      <c r="N196" s="102"/>
    </row>
    <row r="197" spans="2:14">
      <c r="B197" s="103">
        <v>87</v>
      </c>
      <c r="C197" s="103" t="s">
        <v>698</v>
      </c>
      <c r="D197" s="89" t="s">
        <v>488</v>
      </c>
      <c r="G197" s="102">
        <v>1229</v>
      </c>
      <c r="H197" s="102"/>
      <c r="I197" s="84"/>
      <c r="J197" s="102"/>
      <c r="K197" s="102"/>
      <c r="L197" s="84"/>
      <c r="M197" s="102"/>
      <c r="N197" s="102"/>
    </row>
    <row r="198" spans="2:14">
      <c r="B198" s="103">
        <v>88</v>
      </c>
      <c r="C198" s="103" t="s">
        <v>699</v>
      </c>
      <c r="D198" s="89" t="s">
        <v>488</v>
      </c>
      <c r="E198" s="1"/>
      <c r="G198" s="102">
        <v>614</v>
      </c>
      <c r="H198" s="102"/>
      <c r="I198" s="84"/>
      <c r="J198" s="102"/>
      <c r="K198" s="102"/>
      <c r="L198" s="84"/>
      <c r="M198" s="102"/>
      <c r="N198" s="102"/>
    </row>
    <row r="199" spans="2:14">
      <c r="B199" s="103">
        <v>89</v>
      </c>
      <c r="C199" s="103" t="s">
        <v>700</v>
      </c>
      <c r="D199" s="89" t="s">
        <v>488</v>
      </c>
      <c r="E199" s="1"/>
      <c r="G199" s="102">
        <v>1053</v>
      </c>
      <c r="H199" s="102"/>
      <c r="I199" s="84"/>
      <c r="J199" s="102"/>
      <c r="K199" s="102"/>
      <c r="L199" s="84"/>
      <c r="M199" s="102"/>
      <c r="N199" s="102"/>
    </row>
    <row r="200" spans="2:14">
      <c r="B200" s="103">
        <v>90</v>
      </c>
      <c r="C200" s="103" t="s">
        <v>701</v>
      </c>
      <c r="D200" s="89" t="s">
        <v>488</v>
      </c>
      <c r="E200" s="1"/>
      <c r="G200" s="102"/>
      <c r="H200" s="102"/>
      <c r="I200" s="84"/>
      <c r="J200" s="102"/>
      <c r="K200" s="102"/>
      <c r="L200" s="84"/>
      <c r="M200" s="102"/>
      <c r="N200" s="102"/>
    </row>
    <row r="201" spans="2:14">
      <c r="B201" s="103">
        <v>91</v>
      </c>
      <c r="C201" s="103" t="s">
        <v>702</v>
      </c>
      <c r="D201" s="89" t="s">
        <v>488</v>
      </c>
      <c r="E201" s="1"/>
      <c r="G201" s="102"/>
      <c r="H201" s="102"/>
      <c r="I201" s="84"/>
      <c r="J201" s="102"/>
      <c r="K201" s="102"/>
      <c r="L201" s="84"/>
      <c r="M201" s="102"/>
      <c r="N201" s="102"/>
    </row>
    <row r="202" spans="2:14">
      <c r="B202" s="103">
        <v>92</v>
      </c>
      <c r="C202" s="103" t="s">
        <v>703</v>
      </c>
      <c r="D202" s="89" t="s">
        <v>488</v>
      </c>
      <c r="E202" s="1"/>
      <c r="G202" s="102"/>
      <c r="H202" s="102"/>
      <c r="I202" s="84"/>
      <c r="J202" s="102"/>
      <c r="K202" s="102"/>
      <c r="L202" s="84"/>
      <c r="M202" s="102"/>
      <c r="N202" s="102"/>
    </row>
    <row r="203" spans="2:14">
      <c r="B203" s="103">
        <v>93</v>
      </c>
      <c r="C203" s="103" t="s">
        <v>704</v>
      </c>
      <c r="D203" s="89" t="s">
        <v>488</v>
      </c>
      <c r="E203" s="1"/>
      <c r="G203" s="102"/>
      <c r="H203" s="102"/>
      <c r="I203" s="84"/>
      <c r="J203" s="102"/>
      <c r="K203" s="102"/>
      <c r="L203" s="84"/>
      <c r="M203" s="102"/>
      <c r="N203" s="102"/>
    </row>
    <row r="204" spans="2:14">
      <c r="B204" s="103">
        <v>94</v>
      </c>
      <c r="C204" s="103" t="s">
        <v>705</v>
      </c>
      <c r="D204" s="89" t="s">
        <v>488</v>
      </c>
      <c r="E204" s="1"/>
      <c r="G204" s="102"/>
      <c r="H204" s="102"/>
      <c r="I204" s="84"/>
      <c r="J204" s="102"/>
      <c r="K204" s="102"/>
      <c r="L204" s="84"/>
      <c r="M204" s="102"/>
      <c r="N204" s="102"/>
    </row>
    <row r="205" spans="2:14">
      <c r="B205" s="103">
        <v>95</v>
      </c>
      <c r="C205" s="103" t="s">
        <v>706</v>
      </c>
      <c r="D205" s="89" t="s">
        <v>488</v>
      </c>
      <c r="E205" s="1"/>
      <c r="G205" s="102"/>
      <c r="H205" s="102"/>
      <c r="I205" s="84"/>
      <c r="J205" s="102"/>
      <c r="K205" s="102"/>
      <c r="L205" s="84"/>
      <c r="M205" s="102"/>
      <c r="N205" s="102"/>
    </row>
    <row r="206" spans="2:14">
      <c r="B206" s="103">
        <v>96</v>
      </c>
      <c r="C206" s="103" t="s">
        <v>707</v>
      </c>
      <c r="D206" s="89" t="s">
        <v>488</v>
      </c>
      <c r="E206" s="1"/>
      <c r="G206" s="102"/>
      <c r="H206" s="102"/>
      <c r="I206" s="84"/>
      <c r="J206" s="102"/>
      <c r="K206" s="102"/>
      <c r="L206" s="84"/>
      <c r="M206" s="102"/>
      <c r="N206" s="102"/>
    </row>
    <row r="207" spans="2:14">
      <c r="B207" s="103">
        <v>97</v>
      </c>
      <c r="C207" s="103" t="s">
        <v>708</v>
      </c>
      <c r="D207" s="89" t="s">
        <v>488</v>
      </c>
      <c r="E207" s="1"/>
      <c r="G207" s="102"/>
      <c r="H207" s="102"/>
      <c r="I207" s="84"/>
      <c r="J207" s="102"/>
      <c r="K207" s="102"/>
      <c r="L207" s="84"/>
      <c r="M207" s="102"/>
      <c r="N207" s="102"/>
    </row>
    <row r="208" spans="2:14">
      <c r="B208" s="103">
        <v>98</v>
      </c>
      <c r="C208" s="103" t="s">
        <v>709</v>
      </c>
      <c r="D208" s="89" t="s">
        <v>488</v>
      </c>
      <c r="E208" s="1"/>
      <c r="G208" s="102"/>
      <c r="H208" s="102"/>
      <c r="I208" s="84"/>
      <c r="J208" s="102"/>
      <c r="K208" s="102"/>
      <c r="L208" s="84"/>
      <c r="M208" s="102"/>
      <c r="N208" s="102"/>
    </row>
    <row r="209" spans="2:14">
      <c r="B209" s="103">
        <v>99</v>
      </c>
      <c r="C209" s="103" t="s">
        <v>713</v>
      </c>
      <c r="D209" s="89" t="s">
        <v>488</v>
      </c>
      <c r="E209" s="1"/>
      <c r="G209" s="102"/>
      <c r="H209" s="102"/>
      <c r="I209" s="84"/>
      <c r="J209" s="102"/>
      <c r="K209" s="102"/>
      <c r="L209" s="84"/>
      <c r="M209" s="102"/>
      <c r="N209" s="102"/>
    </row>
    <row r="210" spans="2:14">
      <c r="B210" s="103">
        <v>100</v>
      </c>
      <c r="C210" s="103" t="s">
        <v>718</v>
      </c>
      <c r="D210" s="89" t="s">
        <v>488</v>
      </c>
      <c r="E210" s="1"/>
      <c r="G210" s="102"/>
      <c r="H210" s="102"/>
      <c r="I210" s="84"/>
      <c r="J210" s="102"/>
      <c r="K210" s="102"/>
      <c r="L210" s="84"/>
      <c r="M210" s="102"/>
      <c r="N210" s="102"/>
    </row>
    <row r="211" spans="2:14">
      <c r="B211" s="103">
        <v>101</v>
      </c>
      <c r="C211" s="103" t="s">
        <v>714</v>
      </c>
      <c r="D211" s="89" t="s">
        <v>488</v>
      </c>
      <c r="E211" s="1"/>
      <c r="G211" s="102"/>
      <c r="H211" s="102"/>
      <c r="I211" s="84"/>
      <c r="J211" s="102"/>
      <c r="K211" s="102"/>
      <c r="L211" s="84"/>
      <c r="M211" s="102"/>
      <c r="N211" s="102"/>
    </row>
    <row r="212" spans="2:14">
      <c r="B212" s="103">
        <v>102</v>
      </c>
      <c r="C212" s="103" t="s">
        <v>715</v>
      </c>
      <c r="D212" s="89" t="s">
        <v>488</v>
      </c>
      <c r="E212" s="1"/>
      <c r="G212" s="102"/>
      <c r="H212" s="102"/>
      <c r="I212" s="84"/>
      <c r="J212" s="102"/>
      <c r="K212" s="102"/>
      <c r="L212" s="84"/>
      <c r="M212" s="102"/>
      <c r="N212" s="102"/>
    </row>
    <row r="213" spans="2:14">
      <c r="B213" s="103">
        <v>103</v>
      </c>
      <c r="C213" s="103" t="s">
        <v>716</v>
      </c>
      <c r="D213" s="89" t="s">
        <v>488</v>
      </c>
      <c r="E213" s="1"/>
      <c r="G213" s="102"/>
      <c r="H213" s="102"/>
      <c r="I213" s="84"/>
      <c r="J213" s="102"/>
      <c r="K213" s="102"/>
      <c r="L213" s="84"/>
      <c r="M213" s="102"/>
      <c r="N213" s="102"/>
    </row>
    <row r="214" spans="2:14">
      <c r="B214" s="103">
        <v>104</v>
      </c>
      <c r="C214" s="103" t="s">
        <v>717</v>
      </c>
      <c r="D214" s="89" t="s">
        <v>488</v>
      </c>
      <c r="E214" s="1"/>
      <c r="G214" s="102"/>
      <c r="H214" s="102"/>
      <c r="I214" s="84"/>
      <c r="J214" s="102"/>
      <c r="K214" s="102"/>
      <c r="L214" s="84"/>
      <c r="M214" s="102"/>
      <c r="N214" s="102"/>
    </row>
    <row r="215" spans="2:14">
      <c r="B215" s="103">
        <v>105</v>
      </c>
      <c r="C215" s="103" t="s">
        <v>712</v>
      </c>
      <c r="D215" s="89" t="s">
        <v>488</v>
      </c>
      <c r="E215" s="1"/>
      <c r="G215" s="102"/>
      <c r="H215" s="102"/>
      <c r="I215" s="84"/>
      <c r="J215" s="102"/>
      <c r="K215" s="102"/>
      <c r="L215" s="84"/>
      <c r="M215" s="102"/>
      <c r="N215" s="102"/>
    </row>
    <row r="216" spans="2:14">
      <c r="B216" s="103">
        <v>106</v>
      </c>
      <c r="C216" s="103" t="s">
        <v>711</v>
      </c>
      <c r="D216" s="89" t="s">
        <v>488</v>
      </c>
      <c r="E216" s="1"/>
      <c r="G216" s="102">
        <v>1843</v>
      </c>
      <c r="H216" s="102"/>
      <c r="I216" s="84"/>
      <c r="J216" s="102"/>
      <c r="K216" s="102"/>
      <c r="L216" s="84"/>
      <c r="M216" s="102"/>
      <c r="N216" s="102"/>
    </row>
    <row r="217" spans="2:14">
      <c r="B217" s="103">
        <v>107</v>
      </c>
      <c r="C217" s="103" t="s">
        <v>710</v>
      </c>
      <c r="D217" s="89" t="s">
        <v>488</v>
      </c>
      <c r="E217" s="1"/>
      <c r="G217" s="102"/>
      <c r="H217" s="102"/>
      <c r="I217" s="84"/>
      <c r="J217" s="102"/>
      <c r="K217" s="102"/>
      <c r="L217" s="84"/>
      <c r="M217" s="102"/>
      <c r="N217" s="102"/>
    </row>
    <row r="218" spans="2:14">
      <c r="B218" s="103">
        <v>108</v>
      </c>
      <c r="C218" s="103" t="s">
        <v>719</v>
      </c>
      <c r="D218" s="89" t="s">
        <v>488</v>
      </c>
      <c r="E218" s="1"/>
      <c r="G218" s="102">
        <v>1053</v>
      </c>
      <c r="H218" s="102"/>
      <c r="I218" s="84"/>
      <c r="J218" s="102"/>
      <c r="K218" s="102"/>
      <c r="L218" s="84"/>
      <c r="M218" s="102"/>
      <c r="N218" s="102"/>
    </row>
    <row r="219" spans="2:14">
      <c r="G219" s="84"/>
      <c r="H219" s="84"/>
      <c r="I219" s="84"/>
      <c r="J219" s="84"/>
      <c r="K219" s="84"/>
      <c r="L219" s="84"/>
      <c r="M219" s="84"/>
      <c r="N219" s="84"/>
    </row>
    <row r="220" spans="2:14">
      <c r="B220" s="130" t="s">
        <v>336</v>
      </c>
      <c r="C220" s="131"/>
      <c r="D220" s="131"/>
      <c r="E220" s="1"/>
      <c r="G220" s="220" t="s">
        <v>107</v>
      </c>
      <c r="H220" s="221"/>
      <c r="I220" s="141"/>
      <c r="J220" s="220" t="s">
        <v>108</v>
      </c>
      <c r="K220" s="221"/>
      <c r="L220" s="141"/>
      <c r="M220" s="218" t="s">
        <v>109</v>
      </c>
      <c r="N220" s="219"/>
    </row>
    <row r="221" spans="2:14">
      <c r="B221" s="106" t="s">
        <v>112</v>
      </c>
      <c r="C221" s="106" t="s">
        <v>110</v>
      </c>
      <c r="D221" s="106" t="s">
        <v>98</v>
      </c>
      <c r="E221" s="1"/>
      <c r="G221" s="85" t="s">
        <v>496</v>
      </c>
      <c r="H221" s="85" t="s">
        <v>100</v>
      </c>
      <c r="I221" s="141"/>
      <c r="J221" s="85" t="s">
        <v>496</v>
      </c>
      <c r="K221" s="85" t="s">
        <v>100</v>
      </c>
      <c r="L221" s="141"/>
      <c r="M221" s="85" t="s">
        <v>496</v>
      </c>
      <c r="N221" s="85" t="s">
        <v>100</v>
      </c>
    </row>
    <row r="222" spans="2:14">
      <c r="B222" s="158">
        <v>109</v>
      </c>
      <c r="C222" s="89" t="s">
        <v>359</v>
      </c>
      <c r="D222" s="89" t="s">
        <v>113</v>
      </c>
      <c r="G222" s="102"/>
      <c r="H222" s="102"/>
      <c r="I222" s="84"/>
      <c r="J222" s="102"/>
      <c r="K222" s="102"/>
      <c r="L222" s="84"/>
      <c r="M222" s="102"/>
      <c r="N222" s="102"/>
    </row>
    <row r="223" spans="2:14">
      <c r="B223" s="158">
        <v>110</v>
      </c>
      <c r="C223" s="89" t="s">
        <v>360</v>
      </c>
      <c r="D223" s="89" t="s">
        <v>113</v>
      </c>
      <c r="G223" s="102"/>
      <c r="H223" s="102"/>
      <c r="I223" s="84"/>
      <c r="J223" s="102"/>
      <c r="K223" s="102"/>
      <c r="L223" s="84"/>
      <c r="M223" s="102"/>
      <c r="N223" s="102"/>
    </row>
    <row r="224" spans="2:14">
      <c r="B224" s="158">
        <v>111</v>
      </c>
      <c r="C224" s="89" t="s">
        <v>361</v>
      </c>
      <c r="D224" s="89" t="s">
        <v>113</v>
      </c>
      <c r="G224" s="102"/>
      <c r="H224" s="102"/>
      <c r="I224" s="84"/>
      <c r="J224" s="102"/>
      <c r="K224" s="102"/>
      <c r="L224" s="84"/>
      <c r="M224" s="102"/>
      <c r="N224" s="102"/>
    </row>
    <row r="225" spans="2:14">
      <c r="B225" s="158">
        <v>112</v>
      </c>
      <c r="C225" s="89" t="s">
        <v>281</v>
      </c>
      <c r="D225" s="89" t="str">
        <f>IFERROR(VLOOKUP('General Information'!$D$6, Validations!$L$2:$M$8, 2,FALSE), "")</f>
        <v>€/ha</v>
      </c>
      <c r="G225" s="102"/>
      <c r="H225" s="102"/>
      <c r="I225" s="84"/>
      <c r="J225" s="102"/>
      <c r="K225" s="102"/>
      <c r="L225" s="84"/>
      <c r="M225" s="102"/>
      <c r="N225" s="102"/>
    </row>
    <row r="226" spans="2:14">
      <c r="B226" s="158">
        <v>113</v>
      </c>
      <c r="C226" s="89" t="s">
        <v>609</v>
      </c>
      <c r="D226" s="89" t="s">
        <v>105</v>
      </c>
      <c r="G226" s="102">
        <v>12.5</v>
      </c>
      <c r="H226" s="102"/>
      <c r="I226" s="84"/>
      <c r="J226" s="102"/>
      <c r="K226" s="102"/>
      <c r="L226" s="84"/>
      <c r="M226" s="102"/>
      <c r="N226" s="102"/>
    </row>
    <row r="227" spans="2:14">
      <c r="B227" s="158">
        <v>114</v>
      </c>
      <c r="C227" s="89" t="s">
        <v>363</v>
      </c>
      <c r="D227" s="89" t="s">
        <v>105</v>
      </c>
      <c r="G227" s="102">
        <v>14.1</v>
      </c>
      <c r="H227" s="102"/>
      <c r="I227" s="84"/>
      <c r="J227" s="102"/>
      <c r="K227" s="102"/>
      <c r="L227" s="84"/>
      <c r="M227" s="102"/>
      <c r="N227" s="102"/>
    </row>
    <row r="228" spans="2:14">
      <c r="B228" s="158">
        <v>115</v>
      </c>
      <c r="C228" s="89" t="s">
        <v>364</v>
      </c>
      <c r="D228" s="89" t="s">
        <v>365</v>
      </c>
      <c r="G228" s="102">
        <v>76.599999999999994</v>
      </c>
      <c r="H228" s="102"/>
      <c r="I228" s="84"/>
      <c r="J228" s="102"/>
      <c r="K228" s="102"/>
      <c r="L228" s="84"/>
      <c r="M228" s="102"/>
      <c r="N228" s="102"/>
    </row>
    <row r="229" spans="2:14">
      <c r="G229" s="84"/>
      <c r="H229" s="84"/>
      <c r="I229" s="84"/>
      <c r="J229" s="84"/>
      <c r="K229" s="84"/>
      <c r="L229" s="84"/>
      <c r="M229" s="84"/>
      <c r="N229" s="84"/>
    </row>
    <row r="230" spans="2:14">
      <c r="B230" s="122" t="s">
        <v>278</v>
      </c>
      <c r="C230" s="123"/>
      <c r="D230" s="123"/>
      <c r="E230" s="137"/>
      <c r="G230" s="220" t="s">
        <v>107</v>
      </c>
      <c r="H230" s="221"/>
      <c r="I230" s="141"/>
      <c r="J230" s="220" t="s">
        <v>108</v>
      </c>
      <c r="K230" s="221"/>
      <c r="L230" s="141"/>
      <c r="M230" s="218" t="s">
        <v>109</v>
      </c>
      <c r="N230" s="219"/>
    </row>
    <row r="231" spans="2:14">
      <c r="B231" s="125" t="s">
        <v>112</v>
      </c>
      <c r="C231" s="125" t="s">
        <v>110</v>
      </c>
      <c r="D231" s="125" t="s">
        <v>98</v>
      </c>
      <c r="E231" s="138"/>
      <c r="G231" s="85" t="s">
        <v>496</v>
      </c>
      <c r="H231" s="85" t="s">
        <v>100</v>
      </c>
      <c r="I231" s="141"/>
      <c r="J231" s="85" t="s">
        <v>496</v>
      </c>
      <c r="K231" s="85" t="s">
        <v>100</v>
      </c>
      <c r="L231" s="141"/>
      <c r="M231" s="85" t="s">
        <v>496</v>
      </c>
      <c r="N231" s="85" t="s">
        <v>100</v>
      </c>
    </row>
    <row r="232" spans="2:14">
      <c r="B232" s="158">
        <v>116</v>
      </c>
      <c r="C232" s="89" t="s">
        <v>559</v>
      </c>
      <c r="D232" s="89" t="s">
        <v>113</v>
      </c>
      <c r="G232" s="102"/>
      <c r="H232" s="102"/>
      <c r="I232" s="84"/>
      <c r="J232" s="102"/>
      <c r="K232" s="102"/>
      <c r="L232" s="84"/>
      <c r="M232" s="102"/>
      <c r="N232" s="102"/>
    </row>
    <row r="233" spans="2:14">
      <c r="B233" s="158">
        <v>117</v>
      </c>
      <c r="C233" s="89" t="s">
        <v>114</v>
      </c>
      <c r="D233" s="89" t="s">
        <v>113</v>
      </c>
      <c r="G233" s="102"/>
      <c r="H233" s="102"/>
      <c r="I233" s="84"/>
      <c r="J233" s="102"/>
      <c r="K233" s="102"/>
      <c r="L233" s="84"/>
      <c r="M233" s="102"/>
      <c r="N233" s="102"/>
    </row>
    <row r="234" spans="2:14">
      <c r="B234" s="158">
        <v>118</v>
      </c>
      <c r="C234" s="89" t="s">
        <v>124</v>
      </c>
      <c r="D234" s="89" t="s">
        <v>113</v>
      </c>
      <c r="G234" s="102"/>
      <c r="H234" s="102"/>
      <c r="I234" s="84"/>
      <c r="J234" s="102"/>
      <c r="K234" s="102"/>
      <c r="L234" s="84"/>
      <c r="M234" s="102"/>
      <c r="N234" s="102"/>
    </row>
    <row r="235" spans="2:14">
      <c r="B235" s="158">
        <v>119</v>
      </c>
      <c r="C235" s="89" t="s">
        <v>131</v>
      </c>
      <c r="D235" s="89" t="s">
        <v>113</v>
      </c>
      <c r="G235" s="102"/>
      <c r="H235" s="102"/>
      <c r="I235" s="84"/>
      <c r="J235" s="102"/>
      <c r="K235" s="102"/>
      <c r="L235" s="84"/>
      <c r="M235" s="102"/>
      <c r="N235" s="102"/>
    </row>
    <row r="236" spans="2:14">
      <c r="B236" s="158">
        <v>120</v>
      </c>
      <c r="C236" s="89" t="s">
        <v>130</v>
      </c>
      <c r="D236" s="89" t="s">
        <v>62</v>
      </c>
      <c r="G236" s="102"/>
      <c r="H236" s="102"/>
      <c r="I236" s="84"/>
      <c r="J236" s="102"/>
      <c r="K236" s="102"/>
      <c r="L236" s="84"/>
      <c r="M236" s="102"/>
      <c r="N236" s="102"/>
    </row>
    <row r="237" spans="2:14">
      <c r="B237" s="158">
        <v>121</v>
      </c>
      <c r="C237" s="89" t="s">
        <v>327</v>
      </c>
      <c r="D237" s="90" t="s">
        <v>113</v>
      </c>
      <c r="G237" s="102"/>
      <c r="H237" s="102"/>
      <c r="I237" s="84"/>
      <c r="J237" s="102"/>
      <c r="K237" s="102"/>
      <c r="L237" s="84"/>
      <c r="M237" s="102"/>
      <c r="N237" s="102"/>
    </row>
    <row r="238" spans="2:14" ht="18">
      <c r="C238" s="139"/>
      <c r="G238" s="84"/>
      <c r="H238" s="84"/>
      <c r="I238" s="84"/>
      <c r="J238" s="84"/>
      <c r="K238" s="84"/>
      <c r="L238" s="84"/>
      <c r="M238" s="84"/>
      <c r="N238" s="84"/>
    </row>
    <row r="239" spans="2:14">
      <c r="B239" s="114" t="s">
        <v>279</v>
      </c>
      <c r="C239" s="115"/>
      <c r="D239" s="116"/>
      <c r="E239" s="11"/>
      <c r="G239" s="220" t="s">
        <v>107</v>
      </c>
      <c r="H239" s="221"/>
      <c r="I239" s="141"/>
      <c r="J239" s="220" t="s">
        <v>108</v>
      </c>
      <c r="K239" s="221"/>
      <c r="L239" s="141"/>
      <c r="M239" s="218" t="s">
        <v>109</v>
      </c>
      <c r="N239" s="219"/>
    </row>
    <row r="240" spans="2:14">
      <c r="B240" s="117" t="s">
        <v>112</v>
      </c>
      <c r="C240" s="117" t="s">
        <v>110</v>
      </c>
      <c r="D240" s="117" t="s">
        <v>98</v>
      </c>
      <c r="E240" s="17"/>
      <c r="G240" s="85" t="s">
        <v>496</v>
      </c>
      <c r="H240" s="85" t="s">
        <v>100</v>
      </c>
      <c r="I240" s="141"/>
      <c r="J240" s="85" t="s">
        <v>496</v>
      </c>
      <c r="K240" s="85" t="s">
        <v>100</v>
      </c>
      <c r="L240" s="141"/>
      <c r="M240" s="85" t="s">
        <v>496</v>
      </c>
      <c r="N240" s="85" t="s">
        <v>100</v>
      </c>
    </row>
    <row r="241" spans="2:14">
      <c r="B241" s="158">
        <v>122</v>
      </c>
      <c r="C241" s="89" t="s">
        <v>132</v>
      </c>
      <c r="D241" s="89" t="s">
        <v>113</v>
      </c>
      <c r="G241" s="102"/>
      <c r="H241" s="102"/>
      <c r="I241" s="84"/>
      <c r="J241" s="102"/>
      <c r="K241" s="102"/>
      <c r="L241" s="84"/>
      <c r="M241" s="102"/>
      <c r="N241" s="102"/>
    </row>
    <row r="242" spans="2:14">
      <c r="B242" s="158">
        <v>123</v>
      </c>
      <c r="C242" s="89" t="s">
        <v>115</v>
      </c>
      <c r="D242" s="89" t="s">
        <v>113</v>
      </c>
      <c r="G242" s="102"/>
      <c r="H242" s="102"/>
      <c r="I242" s="84"/>
      <c r="J242" s="102"/>
      <c r="K242" s="102"/>
      <c r="L242" s="84"/>
      <c r="M242" s="102"/>
      <c r="N242" s="102"/>
    </row>
    <row r="243" spans="2:14">
      <c r="B243" s="158">
        <v>124</v>
      </c>
      <c r="C243" s="89" t="s">
        <v>133</v>
      </c>
      <c r="D243" s="89" t="s">
        <v>60</v>
      </c>
      <c r="G243" s="102">
        <v>7021</v>
      </c>
      <c r="H243" s="102"/>
      <c r="I243" s="84"/>
      <c r="J243" s="102"/>
      <c r="K243" s="102"/>
      <c r="L243" s="84"/>
      <c r="M243" s="102"/>
      <c r="N243" s="102"/>
    </row>
    <row r="244" spans="2:14">
      <c r="B244" s="158">
        <v>125</v>
      </c>
      <c r="C244" s="89" t="s">
        <v>277</v>
      </c>
      <c r="D244" s="89" t="s">
        <v>113</v>
      </c>
      <c r="G244" s="102">
        <v>39</v>
      </c>
      <c r="H244" s="102"/>
      <c r="I244" s="84"/>
      <c r="J244" s="102"/>
      <c r="K244" s="102"/>
      <c r="L244" s="84"/>
      <c r="M244" s="102"/>
      <c r="N244" s="102"/>
    </row>
    <row r="245" spans="2:14">
      <c r="B245" s="158">
        <v>126</v>
      </c>
      <c r="C245" s="89" t="s">
        <v>134</v>
      </c>
      <c r="D245" s="89" t="s">
        <v>113</v>
      </c>
      <c r="G245" s="102">
        <v>4</v>
      </c>
      <c r="H245" s="102"/>
      <c r="I245" s="84"/>
      <c r="J245" s="102"/>
      <c r="K245" s="102"/>
      <c r="L245" s="84"/>
      <c r="M245" s="102"/>
      <c r="N245" s="102"/>
    </row>
    <row r="246" spans="2:14">
      <c r="B246" s="158">
        <v>127</v>
      </c>
      <c r="C246" s="89" t="s">
        <v>135</v>
      </c>
      <c r="D246" s="89" t="s">
        <v>113</v>
      </c>
      <c r="G246" s="102">
        <v>6</v>
      </c>
      <c r="H246" s="102"/>
      <c r="I246" s="84"/>
      <c r="J246" s="102"/>
      <c r="K246" s="102"/>
      <c r="L246" s="84"/>
      <c r="M246" s="102"/>
      <c r="N246" s="102"/>
    </row>
    <row r="247" spans="2:14">
      <c r="G247" s="84"/>
      <c r="H247" s="84"/>
      <c r="I247" s="84"/>
      <c r="J247" s="84"/>
      <c r="K247" s="84"/>
      <c r="L247" s="84"/>
      <c r="M247" s="84"/>
      <c r="N247" s="84"/>
    </row>
    <row r="248" spans="2:14">
      <c r="B248" s="133" t="s">
        <v>116</v>
      </c>
      <c r="C248" s="134"/>
      <c r="D248" s="135"/>
      <c r="E248" s="11"/>
      <c r="G248" s="220" t="s">
        <v>107</v>
      </c>
      <c r="H248" s="221"/>
      <c r="I248" s="141"/>
      <c r="J248" s="220" t="s">
        <v>108</v>
      </c>
      <c r="K248" s="221"/>
      <c r="L248" s="141"/>
      <c r="M248" s="218" t="s">
        <v>109</v>
      </c>
      <c r="N248" s="219"/>
    </row>
    <row r="249" spans="2:14">
      <c r="B249" s="136" t="s">
        <v>112</v>
      </c>
      <c r="C249" s="136" t="s">
        <v>110</v>
      </c>
      <c r="D249" s="136" t="s">
        <v>98</v>
      </c>
      <c r="E249" s="17"/>
      <c r="G249" s="85" t="s">
        <v>496</v>
      </c>
      <c r="H249" s="85" t="s">
        <v>100</v>
      </c>
      <c r="I249" s="141"/>
      <c r="J249" s="85" t="s">
        <v>496</v>
      </c>
      <c r="K249" s="85" t="s">
        <v>100</v>
      </c>
      <c r="L249" s="141"/>
      <c r="M249" s="85" t="s">
        <v>496</v>
      </c>
      <c r="N249" s="85" t="s">
        <v>100</v>
      </c>
    </row>
    <row r="250" spans="2:14">
      <c r="B250" s="158">
        <v>128</v>
      </c>
      <c r="C250" s="140" t="s">
        <v>417</v>
      </c>
      <c r="D250" s="140" t="s">
        <v>88</v>
      </c>
      <c r="G250" s="102">
        <v>5694</v>
      </c>
      <c r="H250" s="102"/>
      <c r="I250" s="84"/>
      <c r="J250" s="102"/>
      <c r="K250" s="102"/>
      <c r="L250" s="84"/>
      <c r="M250" s="102"/>
      <c r="N250" s="102"/>
    </row>
    <row r="251" spans="2:14">
      <c r="B251" s="158">
        <v>129</v>
      </c>
      <c r="C251" s="89" t="s">
        <v>117</v>
      </c>
      <c r="D251" s="89" t="s">
        <v>780</v>
      </c>
      <c r="G251" s="102"/>
      <c r="H251" s="102"/>
      <c r="I251" s="84"/>
      <c r="J251" s="102"/>
      <c r="K251" s="102"/>
      <c r="L251" s="84"/>
      <c r="M251" s="102"/>
      <c r="N251" s="102"/>
    </row>
    <row r="252" spans="2:14">
      <c r="B252" s="158">
        <v>130</v>
      </c>
      <c r="C252" s="89" t="s">
        <v>118</v>
      </c>
      <c r="D252" s="89" t="s">
        <v>779</v>
      </c>
      <c r="G252" s="102"/>
      <c r="H252" s="102"/>
      <c r="I252" s="84"/>
      <c r="J252" s="102"/>
      <c r="K252" s="102"/>
      <c r="L252" s="84"/>
      <c r="M252" s="102"/>
      <c r="N252" s="102"/>
    </row>
    <row r="253" spans="2:14">
      <c r="B253" s="158">
        <v>131</v>
      </c>
      <c r="C253" s="89" t="s">
        <v>520</v>
      </c>
      <c r="D253" s="89" t="s">
        <v>113</v>
      </c>
      <c r="G253" s="102"/>
      <c r="H253" s="102"/>
      <c r="I253" s="84"/>
      <c r="J253" s="102"/>
      <c r="K253" s="102"/>
      <c r="L253" s="84"/>
      <c r="M253" s="102"/>
      <c r="N253" s="102"/>
    </row>
    <row r="254" spans="2:14">
      <c r="B254" s="158">
        <v>132</v>
      </c>
      <c r="C254" s="89" t="s">
        <v>119</v>
      </c>
      <c r="D254" s="89" t="s">
        <v>355</v>
      </c>
      <c r="G254" s="102"/>
      <c r="H254" s="102"/>
      <c r="I254" s="84"/>
      <c r="J254" s="102"/>
      <c r="K254" s="102"/>
      <c r="L254" s="84"/>
      <c r="M254" s="102"/>
      <c r="N254" s="102"/>
    </row>
    <row r="255" spans="2:14">
      <c r="B255" s="158">
        <v>133</v>
      </c>
      <c r="C255" s="89" t="s">
        <v>120</v>
      </c>
      <c r="D255" s="89" t="s">
        <v>68</v>
      </c>
      <c r="G255" s="102"/>
      <c r="H255" s="102"/>
      <c r="I255" s="84"/>
      <c r="J255" s="102"/>
      <c r="K255" s="102"/>
      <c r="L255" s="84"/>
      <c r="M255" s="102"/>
      <c r="N255" s="102"/>
    </row>
    <row r="256" spans="2:14">
      <c r="B256" s="158">
        <v>134</v>
      </c>
      <c r="C256" s="89" t="s">
        <v>523</v>
      </c>
      <c r="D256" s="89" t="s">
        <v>88</v>
      </c>
      <c r="G256" s="102"/>
      <c r="H256" s="102"/>
      <c r="I256" s="84"/>
      <c r="J256" s="102"/>
      <c r="K256" s="102"/>
      <c r="L256" s="84"/>
      <c r="M256" s="102"/>
      <c r="N256" s="102"/>
    </row>
    <row r="283" spans="2:2">
      <c r="B283" s="2"/>
    </row>
    <row r="298" spans="2:2">
      <c r="B298" s="2"/>
    </row>
    <row r="299" spans="2:2">
      <c r="B299" s="2"/>
    </row>
    <row r="300" spans="2:2">
      <c r="B300" s="3"/>
    </row>
    <row r="301" spans="2:2">
      <c r="B301" s="2"/>
    </row>
    <row r="302" spans="2:2">
      <c r="B302" s="2"/>
    </row>
    <row r="303" spans="2:2">
      <c r="B303" s="2"/>
    </row>
    <row r="304" spans="2:2">
      <c r="B30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256"/>
  <sheetViews>
    <sheetView workbookViewId="0"/>
  </sheetViews>
  <sheetFormatPr baseColWidth="10" defaultRowHeight="16"/>
  <sheetData>
    <row r="1" spans="1:59">
      <c r="A1" t="s">
        <v>95</v>
      </c>
      <c r="BG1" t="s">
        <v>96</v>
      </c>
    </row>
    <row r="2" spans="1:59" ht="26">
      <c r="G2" s="231" t="s">
        <v>497</v>
      </c>
      <c r="H2" s="231"/>
      <c r="BG2" t="s">
        <v>97</v>
      </c>
    </row>
    <row r="3" spans="1:59" ht="26">
      <c r="G3" s="231"/>
      <c r="H3" s="231"/>
    </row>
    <row r="4" spans="1:59" ht="81">
      <c r="C4" s="5" t="s">
        <v>93</v>
      </c>
      <c r="D4" s="6" t="s">
        <v>94</v>
      </c>
      <c r="E4" s="101"/>
      <c r="F4" s="14"/>
      <c r="G4" s="231"/>
      <c r="H4" s="231"/>
    </row>
    <row r="5" spans="1:59" ht="26">
      <c r="G5" s="231"/>
      <c r="H5" s="231"/>
    </row>
    <row r="6" spans="1:59" ht="26">
      <c r="G6" s="231"/>
      <c r="H6" s="231"/>
    </row>
    <row r="7" spans="1:59">
      <c r="D7" s="7"/>
      <c r="E7" s="7"/>
      <c r="F7" s="7"/>
      <c r="G7" s="7"/>
    </row>
    <row r="8" spans="1:59">
      <c r="B8" s="224" t="s">
        <v>450</v>
      </c>
      <c r="C8" s="225"/>
      <c r="D8" s="225"/>
      <c r="E8" s="225"/>
      <c r="F8" s="15"/>
      <c r="G8" s="218"/>
      <c r="H8" s="219"/>
      <c r="I8" s="84"/>
      <c r="J8" s="141"/>
      <c r="K8" s="141"/>
      <c r="L8" s="141"/>
      <c r="M8" s="141"/>
      <c r="N8" s="141"/>
    </row>
    <row r="9" spans="1:59">
      <c r="B9" s="156" t="s">
        <v>112</v>
      </c>
      <c r="C9" s="157" t="s">
        <v>110</v>
      </c>
      <c r="D9" s="156" t="s">
        <v>98</v>
      </c>
      <c r="E9" s="157" t="s">
        <v>99</v>
      </c>
      <c r="F9" s="16"/>
      <c r="G9" s="229" t="s">
        <v>100</v>
      </c>
      <c r="H9" s="230"/>
      <c r="I9" s="84"/>
      <c r="J9" s="112"/>
      <c r="K9" s="112"/>
      <c r="L9" s="112"/>
      <c r="M9" s="112"/>
      <c r="N9" s="112"/>
    </row>
    <row r="10" spans="1:59">
      <c r="B10" s="103">
        <v>1</v>
      </c>
      <c r="C10" s="103" t="s">
        <v>101</v>
      </c>
      <c r="D10" s="103" t="s">
        <v>62</v>
      </c>
      <c r="E10" s="102">
        <v>208</v>
      </c>
      <c r="F10" s="13"/>
      <c r="G10" s="222"/>
      <c r="H10" s="223"/>
      <c r="I10" s="84"/>
      <c r="J10" s="141"/>
      <c r="K10" s="141"/>
      <c r="L10" s="141"/>
      <c r="M10" s="141"/>
      <c r="N10" s="141"/>
    </row>
    <row r="11" spans="1:59">
      <c r="B11" s="103">
        <v>2</v>
      </c>
      <c r="C11" s="103" t="s">
        <v>451</v>
      </c>
      <c r="D11" s="103" t="s">
        <v>113</v>
      </c>
      <c r="E11" s="102"/>
      <c r="F11" s="13"/>
      <c r="G11" s="222"/>
      <c r="H11" s="223"/>
      <c r="I11" s="84"/>
      <c r="J11" s="141"/>
      <c r="K11" s="141"/>
      <c r="L11" s="141"/>
      <c r="M11" s="141"/>
      <c r="N11" s="141"/>
    </row>
    <row r="12" spans="1:59">
      <c r="B12" s="103">
        <v>3</v>
      </c>
      <c r="C12" s="103" t="s">
        <v>613</v>
      </c>
      <c r="D12" s="103" t="s">
        <v>105</v>
      </c>
      <c r="E12" s="102">
        <v>6.4</v>
      </c>
      <c r="F12" s="13"/>
      <c r="G12" s="222"/>
      <c r="H12" s="223"/>
      <c r="I12" s="141"/>
      <c r="J12" s="141"/>
      <c r="K12" s="141"/>
      <c r="L12" s="141"/>
      <c r="M12" s="141"/>
      <c r="N12" s="141"/>
    </row>
    <row r="13" spans="1:59">
      <c r="B13" s="103">
        <v>4</v>
      </c>
      <c r="C13" s="103" t="s">
        <v>614</v>
      </c>
      <c r="D13" s="103" t="s">
        <v>105</v>
      </c>
      <c r="E13" s="102">
        <v>27.8</v>
      </c>
      <c r="F13" s="13"/>
      <c r="G13" s="222"/>
      <c r="H13" s="223"/>
      <c r="I13" s="141"/>
      <c r="J13" s="141"/>
      <c r="K13" s="141"/>
      <c r="L13" s="141"/>
      <c r="M13" s="141"/>
      <c r="N13" s="141"/>
    </row>
    <row r="14" spans="1:59">
      <c r="B14" s="103">
        <v>5</v>
      </c>
      <c r="C14" s="103" t="s">
        <v>615</v>
      </c>
      <c r="D14" s="103" t="s">
        <v>105</v>
      </c>
      <c r="E14" s="102">
        <v>59.9</v>
      </c>
      <c r="F14" s="13"/>
      <c r="G14" s="222"/>
      <c r="H14" s="223"/>
      <c r="I14" s="141"/>
      <c r="J14" s="141"/>
      <c r="K14" s="141"/>
      <c r="L14" s="141"/>
      <c r="M14" s="141"/>
      <c r="N14" s="141"/>
    </row>
    <row r="15" spans="1:59">
      <c r="B15" s="103">
        <v>6</v>
      </c>
      <c r="C15" s="103" t="s">
        <v>612</v>
      </c>
      <c r="D15" s="103" t="s">
        <v>473</v>
      </c>
      <c r="E15" s="102">
        <v>1.22</v>
      </c>
      <c r="F15" s="13"/>
      <c r="G15" s="222"/>
      <c r="H15" s="223"/>
      <c r="I15" s="141"/>
      <c r="J15" s="141"/>
      <c r="K15" s="141"/>
      <c r="L15" s="141"/>
      <c r="M15" s="141"/>
      <c r="N15" s="141"/>
    </row>
    <row r="16" spans="1:59">
      <c r="B16" s="103">
        <v>7</v>
      </c>
      <c r="C16" s="103" t="s">
        <v>106</v>
      </c>
      <c r="D16" s="103" t="s">
        <v>105</v>
      </c>
      <c r="E16" s="102">
        <v>3.6</v>
      </c>
      <c r="F16" s="13"/>
      <c r="G16" s="222"/>
      <c r="H16" s="223"/>
      <c r="I16" s="141"/>
      <c r="J16" s="141"/>
      <c r="K16" s="141"/>
      <c r="L16" s="141"/>
      <c r="M16" s="141"/>
      <c r="N16" s="141"/>
    </row>
    <row r="17" spans="2:14">
      <c r="B17" s="103">
        <v>8</v>
      </c>
      <c r="C17" s="103" t="s">
        <v>102</v>
      </c>
      <c r="D17" s="103" t="s">
        <v>113</v>
      </c>
      <c r="E17" s="102"/>
      <c r="F17" s="13"/>
      <c r="G17" s="222"/>
      <c r="H17" s="223"/>
      <c r="I17" s="84"/>
      <c r="J17" s="141"/>
      <c r="K17" s="141"/>
      <c r="L17" s="141"/>
      <c r="M17" s="141"/>
      <c r="N17" s="141"/>
    </row>
    <row r="18" spans="2:14">
      <c r="B18" s="103">
        <v>9</v>
      </c>
      <c r="C18" s="103" t="s">
        <v>103</v>
      </c>
      <c r="D18" s="103" t="s">
        <v>104</v>
      </c>
      <c r="E18" s="102"/>
      <c r="F18" s="13"/>
      <c r="G18" s="222"/>
      <c r="H18" s="223"/>
      <c r="I18" s="84"/>
      <c r="J18" s="141"/>
      <c r="K18" s="141"/>
      <c r="L18" s="141"/>
      <c r="M18" s="141"/>
      <c r="N18" s="141"/>
    </row>
    <row r="19" spans="2:14">
      <c r="B19" s="103">
        <v>10</v>
      </c>
      <c r="C19" s="103" t="s">
        <v>126</v>
      </c>
      <c r="D19" s="103" t="s">
        <v>113</v>
      </c>
      <c r="E19" s="102"/>
      <c r="G19" s="222"/>
      <c r="H19" s="223"/>
      <c r="I19" s="84"/>
      <c r="J19" s="84"/>
      <c r="K19" s="84"/>
      <c r="L19" s="84"/>
      <c r="M19" s="84"/>
      <c r="N19" s="84"/>
    </row>
    <row r="20" spans="2:14">
      <c r="B20" s="103">
        <v>11</v>
      </c>
      <c r="C20" s="103" t="s">
        <v>293</v>
      </c>
      <c r="D20" s="103" t="s">
        <v>294</v>
      </c>
      <c r="E20" s="102"/>
      <c r="G20" s="222"/>
      <c r="H20" s="223"/>
      <c r="I20" s="84"/>
      <c r="J20" s="84"/>
      <c r="K20" s="84"/>
      <c r="L20" s="84"/>
      <c r="M20" s="84"/>
      <c r="N20" s="84"/>
    </row>
    <row r="21" spans="2:14">
      <c r="B21" s="103"/>
      <c r="C21" s="12"/>
      <c r="D21" s="8"/>
      <c r="E21" s="13"/>
      <c r="F21" s="13"/>
      <c r="G21" s="141"/>
      <c r="H21" s="142"/>
      <c r="I21" s="142"/>
      <c r="J21" s="141"/>
      <c r="K21" s="141"/>
      <c r="L21" s="141"/>
      <c r="M21" s="141"/>
      <c r="N21" s="141"/>
    </row>
    <row r="22" spans="2:14">
      <c r="B22" s="104" t="s">
        <v>0</v>
      </c>
      <c r="C22" s="105"/>
      <c r="D22" s="105"/>
      <c r="E22" s="11"/>
      <c r="F22" s="9"/>
      <c r="G22" s="220" t="s">
        <v>107</v>
      </c>
      <c r="H22" s="221"/>
      <c r="I22" s="141"/>
      <c r="J22" s="220" t="s">
        <v>108</v>
      </c>
      <c r="K22" s="221"/>
      <c r="L22" s="141"/>
      <c r="M22" s="218" t="s">
        <v>109</v>
      </c>
      <c r="N22" s="219"/>
    </row>
    <row r="23" spans="2:14">
      <c r="B23" s="106" t="s">
        <v>112</v>
      </c>
      <c r="C23" s="106" t="s">
        <v>110</v>
      </c>
      <c r="D23" s="106" t="s">
        <v>98</v>
      </c>
      <c r="E23" s="17"/>
      <c r="F23" s="9"/>
      <c r="G23" s="85" t="s">
        <v>498</v>
      </c>
      <c r="H23" s="85" t="s">
        <v>100</v>
      </c>
      <c r="I23" s="141"/>
      <c r="J23" s="85" t="s">
        <v>498</v>
      </c>
      <c r="K23" s="85" t="s">
        <v>100</v>
      </c>
      <c r="L23" s="141"/>
      <c r="M23" s="85" t="s">
        <v>498</v>
      </c>
      <c r="N23" s="85" t="s">
        <v>160</v>
      </c>
    </row>
    <row r="24" spans="2:14">
      <c r="B24" s="103">
        <v>12</v>
      </c>
      <c r="C24" s="103" t="s">
        <v>1</v>
      </c>
      <c r="D24" s="103" t="s">
        <v>506</v>
      </c>
      <c r="E24" s="13"/>
      <c r="G24" s="102">
        <v>166</v>
      </c>
      <c r="H24" s="102"/>
      <c r="I24" s="84"/>
      <c r="J24" s="102"/>
      <c r="K24" s="102"/>
      <c r="L24" s="84"/>
      <c r="M24" s="102"/>
      <c r="N24" s="102"/>
    </row>
    <row r="25" spans="2:14">
      <c r="B25" s="103">
        <v>13</v>
      </c>
      <c r="C25" s="103" t="s">
        <v>2</v>
      </c>
      <c r="D25" s="103" t="s">
        <v>506</v>
      </c>
      <c r="E25" s="13"/>
      <c r="G25" s="102"/>
      <c r="H25" s="102"/>
      <c r="I25" s="84"/>
      <c r="J25" s="102"/>
      <c r="K25" s="102"/>
      <c r="L25" s="84"/>
      <c r="M25" s="102"/>
      <c r="N25" s="102"/>
    </row>
    <row r="26" spans="2:14">
      <c r="B26" s="103">
        <v>14</v>
      </c>
      <c r="C26" s="103" t="s">
        <v>30</v>
      </c>
      <c r="D26" s="103" t="s">
        <v>506</v>
      </c>
      <c r="E26" s="13"/>
      <c r="G26" s="102"/>
      <c r="H26" s="102"/>
      <c r="I26" s="84"/>
      <c r="J26" s="102"/>
      <c r="K26" s="102"/>
      <c r="L26" s="84"/>
      <c r="M26" s="102"/>
      <c r="N26" s="102"/>
    </row>
    <row r="27" spans="2:14">
      <c r="B27" s="103">
        <v>15</v>
      </c>
      <c r="C27" s="103" t="s">
        <v>3</v>
      </c>
      <c r="D27" s="103" t="s">
        <v>506</v>
      </c>
      <c r="E27" s="13"/>
      <c r="G27" s="102"/>
      <c r="H27" s="102"/>
      <c r="I27" s="84"/>
      <c r="J27" s="102"/>
      <c r="K27" s="102"/>
      <c r="L27" s="84"/>
      <c r="M27" s="102"/>
      <c r="N27" s="102"/>
    </row>
    <row r="28" spans="2:14">
      <c r="B28" s="103">
        <v>16</v>
      </c>
      <c r="C28" s="103" t="s">
        <v>111</v>
      </c>
      <c r="D28" s="103" t="s">
        <v>506</v>
      </c>
      <c r="E28" s="13"/>
      <c r="G28" s="102"/>
      <c r="H28" s="102"/>
      <c r="I28" s="84"/>
      <c r="J28" s="102"/>
      <c r="K28" s="102"/>
      <c r="L28" s="84"/>
      <c r="M28" s="102"/>
      <c r="N28" s="102"/>
    </row>
    <row r="29" spans="2:14">
      <c r="B29" s="103">
        <v>17</v>
      </c>
      <c r="C29" s="107" t="s">
        <v>128</v>
      </c>
      <c r="D29" s="103" t="s">
        <v>506</v>
      </c>
      <c r="E29" s="13"/>
      <c r="G29" s="102">
        <v>166</v>
      </c>
      <c r="H29" s="102"/>
      <c r="I29" s="84"/>
      <c r="J29" s="102"/>
      <c r="K29" s="102"/>
      <c r="L29" s="84"/>
      <c r="M29" s="102"/>
      <c r="N29" s="102"/>
    </row>
    <row r="30" spans="2:14">
      <c r="G30" s="84"/>
      <c r="H30" s="84"/>
      <c r="I30" s="84"/>
      <c r="J30" s="84"/>
      <c r="K30" s="84"/>
      <c r="L30" s="84"/>
      <c r="M30" s="84"/>
      <c r="N30" s="84"/>
    </row>
    <row r="31" spans="2:14">
      <c r="B31" s="108" t="s">
        <v>5</v>
      </c>
      <c r="C31" s="109"/>
      <c r="D31" s="110"/>
      <c r="E31" s="11"/>
      <c r="G31" s="220" t="s">
        <v>107</v>
      </c>
      <c r="H31" s="221"/>
      <c r="I31" s="141"/>
      <c r="J31" s="220" t="s">
        <v>108</v>
      </c>
      <c r="K31" s="221"/>
      <c r="L31" s="141"/>
      <c r="M31" s="218" t="s">
        <v>109</v>
      </c>
      <c r="N31" s="219"/>
    </row>
    <row r="32" spans="2:14">
      <c r="B32" s="111" t="s">
        <v>112</v>
      </c>
      <c r="C32" s="111" t="s">
        <v>110</v>
      </c>
      <c r="D32" s="111" t="s">
        <v>171</v>
      </c>
      <c r="E32" s="17"/>
      <c r="G32" s="85" t="s">
        <v>498</v>
      </c>
      <c r="H32" s="85" t="s">
        <v>100</v>
      </c>
      <c r="I32" s="141"/>
      <c r="J32" s="85" t="s">
        <v>498</v>
      </c>
      <c r="K32" s="85" t="s">
        <v>100</v>
      </c>
      <c r="L32" s="141"/>
      <c r="M32" s="85" t="s">
        <v>498</v>
      </c>
      <c r="N32" s="85" t="s">
        <v>160</v>
      </c>
    </row>
    <row r="33" spans="2:14">
      <c r="B33" s="103">
        <v>18</v>
      </c>
      <c r="C33" s="103" t="s">
        <v>4</v>
      </c>
      <c r="D33" s="103" t="s">
        <v>72</v>
      </c>
      <c r="E33" s="13"/>
      <c r="G33" s="102">
        <v>784</v>
      </c>
      <c r="H33" s="102"/>
      <c r="I33" s="84"/>
      <c r="J33" s="102"/>
      <c r="K33" s="102"/>
      <c r="L33" s="84"/>
      <c r="M33" s="102"/>
      <c r="N33" s="102"/>
    </row>
    <row r="34" spans="2:14">
      <c r="B34" s="103">
        <v>19</v>
      </c>
      <c r="C34" s="103" t="s">
        <v>16</v>
      </c>
      <c r="D34" s="103" t="s">
        <v>72</v>
      </c>
      <c r="E34" s="13"/>
      <c r="G34" s="102">
        <v>1004</v>
      </c>
      <c r="H34" s="102"/>
      <c r="I34" s="84"/>
      <c r="J34" s="102"/>
      <c r="K34" s="102"/>
      <c r="L34" s="84"/>
      <c r="M34" s="102"/>
      <c r="N34" s="102"/>
    </row>
    <row r="35" spans="2:14">
      <c r="B35" s="103">
        <v>20</v>
      </c>
      <c r="C35" s="103" t="s">
        <v>1</v>
      </c>
      <c r="D35" s="103" t="s">
        <v>72</v>
      </c>
      <c r="E35" s="13"/>
      <c r="G35" s="102">
        <v>0</v>
      </c>
      <c r="H35" s="102"/>
      <c r="I35" s="84"/>
      <c r="J35" s="102"/>
      <c r="K35" s="102"/>
      <c r="L35" s="84"/>
      <c r="M35" s="102"/>
      <c r="N35" s="102"/>
    </row>
    <row r="36" spans="2:14">
      <c r="B36" s="103">
        <v>21</v>
      </c>
      <c r="C36" s="103" t="s">
        <v>127</v>
      </c>
      <c r="D36" s="103" t="s">
        <v>72</v>
      </c>
      <c r="E36" s="13"/>
      <c r="G36" s="102">
        <v>3568</v>
      </c>
      <c r="H36" s="102"/>
      <c r="I36" s="84"/>
      <c r="J36" s="102"/>
      <c r="K36" s="102"/>
      <c r="L36" s="84"/>
      <c r="M36" s="102"/>
      <c r="N36" s="102"/>
    </row>
    <row r="37" spans="2:14">
      <c r="B37" s="103">
        <v>22</v>
      </c>
      <c r="C37" s="103" t="s">
        <v>32</v>
      </c>
      <c r="D37" s="103" t="s">
        <v>72</v>
      </c>
      <c r="E37" s="13"/>
      <c r="G37" s="102"/>
      <c r="H37" s="102"/>
      <c r="I37" s="84"/>
      <c r="J37" s="102"/>
      <c r="K37" s="102"/>
      <c r="L37" s="84"/>
      <c r="M37" s="102"/>
      <c r="N37" s="102"/>
    </row>
    <row r="38" spans="2:14">
      <c r="B38" s="103">
        <v>23</v>
      </c>
      <c r="C38" s="103" t="s">
        <v>31</v>
      </c>
      <c r="D38" s="103" t="s">
        <v>72</v>
      </c>
      <c r="E38" s="13"/>
      <c r="G38" s="102"/>
      <c r="H38" s="102"/>
      <c r="I38" s="84"/>
      <c r="J38" s="102"/>
      <c r="K38" s="102"/>
      <c r="L38" s="84"/>
      <c r="M38" s="102"/>
      <c r="N38" s="102"/>
    </row>
    <row r="39" spans="2:14">
      <c r="B39" s="103">
        <v>24</v>
      </c>
      <c r="C39" s="103" t="s">
        <v>37</v>
      </c>
      <c r="D39" s="103" t="s">
        <v>72</v>
      </c>
      <c r="E39" s="13"/>
      <c r="G39" s="102"/>
      <c r="H39" s="102"/>
      <c r="I39" s="84"/>
      <c r="J39" s="102"/>
      <c r="K39" s="102"/>
      <c r="L39" s="84"/>
      <c r="M39" s="102"/>
      <c r="N39" s="102"/>
    </row>
    <row r="40" spans="2:14">
      <c r="B40" s="103">
        <v>25</v>
      </c>
      <c r="C40" s="103" t="s">
        <v>38</v>
      </c>
      <c r="D40" s="103" t="s">
        <v>72</v>
      </c>
      <c r="E40" s="13"/>
      <c r="G40" s="102"/>
      <c r="H40" s="102"/>
      <c r="I40" s="84"/>
      <c r="J40" s="102"/>
      <c r="K40" s="102"/>
      <c r="L40" s="84"/>
      <c r="M40" s="102"/>
      <c r="N40" s="102"/>
    </row>
    <row r="41" spans="2:14">
      <c r="B41" s="103">
        <v>26</v>
      </c>
      <c r="C41" s="103" t="s">
        <v>15</v>
      </c>
      <c r="D41" s="103" t="s">
        <v>72</v>
      </c>
      <c r="E41" s="13"/>
      <c r="G41" s="102"/>
      <c r="H41" s="102"/>
      <c r="I41" s="84"/>
      <c r="J41" s="102"/>
      <c r="K41" s="102"/>
      <c r="L41" s="84"/>
      <c r="M41" s="102"/>
      <c r="N41" s="102"/>
    </row>
    <row r="42" spans="2:14">
      <c r="B42" s="103">
        <v>27</v>
      </c>
      <c r="C42" s="103" t="s">
        <v>39</v>
      </c>
      <c r="D42" s="103" t="s">
        <v>72</v>
      </c>
      <c r="E42" s="13"/>
      <c r="G42" s="102"/>
      <c r="H42" s="102"/>
      <c r="I42" s="84"/>
      <c r="J42" s="102"/>
      <c r="K42" s="102"/>
      <c r="L42" s="84"/>
      <c r="M42" s="102"/>
      <c r="N42" s="102"/>
    </row>
    <row r="43" spans="2:14">
      <c r="B43" s="103">
        <v>28</v>
      </c>
      <c r="C43" s="107" t="s">
        <v>136</v>
      </c>
      <c r="D43" s="103" t="s">
        <v>72</v>
      </c>
      <c r="E43" s="13"/>
      <c r="G43" s="102">
        <v>11150</v>
      </c>
      <c r="H43" s="102"/>
      <c r="I43" s="84"/>
      <c r="J43" s="102"/>
      <c r="K43" s="102"/>
      <c r="L43" s="84"/>
      <c r="M43" s="102"/>
      <c r="N43" s="102"/>
    </row>
    <row r="44" spans="2:14">
      <c r="B44" s="79"/>
      <c r="C44" s="80"/>
      <c r="D44" s="79"/>
      <c r="E44" s="13"/>
      <c r="G44" s="84"/>
      <c r="H44" s="84"/>
      <c r="I44" s="84"/>
      <c r="J44" s="84"/>
      <c r="K44" s="84"/>
      <c r="L44" s="84"/>
      <c r="M44" s="84"/>
      <c r="N44" s="84"/>
    </row>
    <row r="45" spans="2:14">
      <c r="B45" s="226" t="s">
        <v>476</v>
      </c>
      <c r="C45" s="227"/>
      <c r="D45" s="227"/>
      <c r="E45" s="227"/>
      <c r="G45" s="220" t="s">
        <v>107</v>
      </c>
      <c r="H45" s="221"/>
      <c r="I45" s="141"/>
      <c r="J45" s="220" t="s">
        <v>108</v>
      </c>
      <c r="K45" s="221"/>
      <c r="L45" s="141"/>
      <c r="M45" s="218" t="s">
        <v>109</v>
      </c>
      <c r="N45" s="219"/>
    </row>
    <row r="46" spans="2:14">
      <c r="B46" s="111" t="s">
        <v>112</v>
      </c>
      <c r="C46" s="111" t="s">
        <v>110</v>
      </c>
      <c r="D46" s="111"/>
      <c r="E46" s="111" t="s">
        <v>98</v>
      </c>
      <c r="G46" s="85" t="s">
        <v>498</v>
      </c>
      <c r="H46" s="85" t="s">
        <v>100</v>
      </c>
      <c r="I46" s="141"/>
      <c r="J46" s="85" t="s">
        <v>498</v>
      </c>
      <c r="K46" s="85" t="s">
        <v>100</v>
      </c>
      <c r="L46" s="141"/>
      <c r="M46" s="85" t="s">
        <v>498</v>
      </c>
      <c r="N46" s="85" t="s">
        <v>160</v>
      </c>
    </row>
    <row r="47" spans="2:14">
      <c r="B47" s="103">
        <v>29</v>
      </c>
      <c r="C47" s="103" t="s">
        <v>464</v>
      </c>
      <c r="D47" s="103" t="s">
        <v>467</v>
      </c>
      <c r="E47" s="89"/>
      <c r="G47" s="102"/>
      <c r="H47" s="102"/>
      <c r="I47" s="84"/>
      <c r="J47" s="102"/>
      <c r="K47" s="102"/>
      <c r="L47" s="84"/>
      <c r="M47" s="102"/>
      <c r="N47" s="102"/>
    </row>
    <row r="48" spans="2:14">
      <c r="B48" s="103">
        <v>30</v>
      </c>
      <c r="C48" s="103" t="s">
        <v>464</v>
      </c>
      <c r="D48" s="103" t="s">
        <v>469</v>
      </c>
      <c r="E48" s="103" t="s">
        <v>506</v>
      </c>
      <c r="G48" s="102"/>
      <c r="H48" s="102"/>
      <c r="I48" s="84"/>
      <c r="J48" s="102"/>
      <c r="K48" s="102"/>
      <c r="L48" s="84"/>
      <c r="M48" s="102"/>
      <c r="N48" s="102"/>
    </row>
    <row r="49" spans="2:14">
      <c r="B49" s="103">
        <v>31</v>
      </c>
      <c r="C49" s="103" t="s">
        <v>465</v>
      </c>
      <c r="D49" s="103" t="s">
        <v>468</v>
      </c>
      <c r="E49" s="89"/>
      <c r="G49" s="102"/>
      <c r="H49" s="102"/>
      <c r="I49" s="84"/>
      <c r="J49" s="102"/>
      <c r="K49" s="102"/>
      <c r="L49" s="84"/>
      <c r="M49" s="102"/>
      <c r="N49" s="102"/>
    </row>
    <row r="50" spans="2:14">
      <c r="B50" s="103">
        <v>32</v>
      </c>
      <c r="C50" s="103" t="s">
        <v>465</v>
      </c>
      <c r="D50" s="103" t="s">
        <v>469</v>
      </c>
      <c r="E50" s="103" t="s">
        <v>506</v>
      </c>
      <c r="G50" s="102"/>
      <c r="H50" s="102"/>
      <c r="I50" s="84"/>
      <c r="J50" s="102"/>
      <c r="K50" s="102"/>
      <c r="L50" s="84"/>
      <c r="M50" s="102"/>
      <c r="N50" s="102"/>
    </row>
    <row r="51" spans="2:14">
      <c r="B51" s="103">
        <v>33</v>
      </c>
      <c r="C51" s="103" t="s">
        <v>466</v>
      </c>
      <c r="D51" s="103" t="s">
        <v>468</v>
      </c>
      <c r="E51" s="89"/>
      <c r="G51" s="102"/>
      <c r="H51" s="102"/>
      <c r="I51" s="84"/>
      <c r="J51" s="102"/>
      <c r="K51" s="102"/>
      <c r="L51" s="84"/>
      <c r="M51" s="102"/>
      <c r="N51" s="102"/>
    </row>
    <row r="52" spans="2:14">
      <c r="B52" s="103">
        <v>34</v>
      </c>
      <c r="C52" s="103" t="s">
        <v>466</v>
      </c>
      <c r="D52" s="103" t="s">
        <v>469</v>
      </c>
      <c r="E52" s="103" t="s">
        <v>506</v>
      </c>
      <c r="G52" s="102"/>
      <c r="H52" s="102"/>
      <c r="I52" s="84"/>
      <c r="J52" s="102"/>
      <c r="K52" s="102"/>
      <c r="L52" s="84"/>
      <c r="M52" s="102"/>
      <c r="N52" s="102"/>
    </row>
    <row r="53" spans="2:14">
      <c r="G53" s="84"/>
      <c r="H53" s="84"/>
      <c r="I53" s="84"/>
      <c r="J53" s="84"/>
      <c r="K53" s="84"/>
      <c r="L53" s="84"/>
      <c r="M53" s="84"/>
      <c r="N53" s="84"/>
    </row>
    <row r="54" spans="2:14">
      <c r="B54" s="114" t="s">
        <v>13</v>
      </c>
      <c r="C54" s="115"/>
      <c r="D54" s="116"/>
      <c r="E54" s="11"/>
      <c r="G54" s="220" t="s">
        <v>107</v>
      </c>
      <c r="H54" s="221"/>
      <c r="I54" s="141"/>
      <c r="J54" s="220" t="s">
        <v>108</v>
      </c>
      <c r="K54" s="221"/>
      <c r="L54" s="141"/>
      <c r="M54" s="218" t="s">
        <v>109</v>
      </c>
      <c r="N54" s="219"/>
    </row>
    <row r="55" spans="2:14">
      <c r="B55" s="117" t="s">
        <v>112</v>
      </c>
      <c r="C55" s="117" t="s">
        <v>110</v>
      </c>
      <c r="D55" s="117" t="s">
        <v>98</v>
      </c>
      <c r="E55" s="17"/>
      <c r="G55" s="85" t="s">
        <v>498</v>
      </c>
      <c r="H55" s="85" t="s">
        <v>100</v>
      </c>
      <c r="I55" s="141"/>
      <c r="J55" s="85" t="s">
        <v>498</v>
      </c>
      <c r="K55" s="85" t="s">
        <v>100</v>
      </c>
      <c r="L55" s="141"/>
      <c r="M55" s="85" t="s">
        <v>498</v>
      </c>
      <c r="N55" s="85" t="s">
        <v>160</v>
      </c>
    </row>
    <row r="56" spans="2:14">
      <c r="B56" s="103">
        <v>35</v>
      </c>
      <c r="C56" s="103" t="s">
        <v>32</v>
      </c>
      <c r="D56" s="103" t="s">
        <v>70</v>
      </c>
      <c r="E56" s="13"/>
      <c r="G56" s="102"/>
      <c r="H56" s="102"/>
      <c r="I56" s="84"/>
      <c r="J56" s="102"/>
      <c r="K56" s="102"/>
      <c r="L56" s="84"/>
      <c r="M56" s="102"/>
      <c r="N56" s="102"/>
    </row>
    <row r="57" spans="2:14">
      <c r="B57" s="103">
        <v>36</v>
      </c>
      <c r="C57" s="103" t="s">
        <v>14</v>
      </c>
      <c r="D57" s="103" t="s">
        <v>70</v>
      </c>
      <c r="E57" s="13"/>
      <c r="G57" s="102"/>
      <c r="H57" s="102"/>
      <c r="I57" s="84"/>
      <c r="J57" s="102"/>
      <c r="K57" s="102"/>
      <c r="L57" s="84"/>
      <c r="M57" s="102"/>
      <c r="N57" s="102"/>
    </row>
    <row r="58" spans="2:14">
      <c r="B58" s="103">
        <v>37</v>
      </c>
      <c r="C58" s="103" t="s">
        <v>15</v>
      </c>
      <c r="D58" s="103" t="s">
        <v>70</v>
      </c>
      <c r="E58" s="13"/>
      <c r="G58" s="102"/>
      <c r="H58" s="102"/>
      <c r="I58" s="84"/>
      <c r="J58" s="102"/>
      <c r="K58" s="102"/>
      <c r="L58" s="84"/>
      <c r="M58" s="102"/>
      <c r="N58" s="102"/>
    </row>
    <row r="59" spans="2:14">
      <c r="B59" s="103">
        <v>38</v>
      </c>
      <c r="C59" s="103" t="s">
        <v>33</v>
      </c>
      <c r="D59" s="103" t="s">
        <v>70</v>
      </c>
      <c r="E59" s="13"/>
      <c r="G59" s="102"/>
      <c r="H59" s="102"/>
      <c r="I59" s="84"/>
      <c r="J59" s="102"/>
      <c r="K59" s="102"/>
      <c r="L59" s="84"/>
      <c r="M59" s="102"/>
      <c r="N59" s="102"/>
    </row>
    <row r="60" spans="2:14">
      <c r="B60" s="103">
        <v>39</v>
      </c>
      <c r="C60" s="103" t="s">
        <v>34</v>
      </c>
      <c r="D60" s="103" t="s">
        <v>70</v>
      </c>
      <c r="E60" s="13"/>
      <c r="G60" s="102"/>
      <c r="H60" s="102"/>
      <c r="I60" s="84"/>
      <c r="J60" s="102"/>
      <c r="K60" s="102"/>
      <c r="L60" s="84"/>
      <c r="M60" s="102"/>
      <c r="N60" s="102"/>
    </row>
    <row r="61" spans="2:14">
      <c r="B61" s="103">
        <v>40</v>
      </c>
      <c r="C61" s="103" t="s">
        <v>39</v>
      </c>
      <c r="D61" s="103" t="s">
        <v>70</v>
      </c>
      <c r="E61" s="13"/>
      <c r="G61" s="102"/>
      <c r="H61" s="102"/>
      <c r="I61" s="84"/>
      <c r="J61" s="102"/>
      <c r="K61" s="102"/>
      <c r="L61" s="84"/>
      <c r="M61" s="102"/>
      <c r="N61" s="102"/>
    </row>
    <row r="62" spans="2:14">
      <c r="B62" s="103">
        <v>41</v>
      </c>
      <c r="C62" s="107" t="s">
        <v>137</v>
      </c>
      <c r="D62" s="103" t="s">
        <v>70</v>
      </c>
      <c r="E62" s="13"/>
      <c r="G62" s="102">
        <v>1077</v>
      </c>
      <c r="H62" s="209"/>
      <c r="I62" s="84"/>
      <c r="J62" s="102"/>
      <c r="K62" s="102"/>
      <c r="L62" s="84"/>
      <c r="M62" s="102"/>
      <c r="N62" s="102"/>
    </row>
    <row r="63" spans="2:14">
      <c r="G63" s="84"/>
      <c r="H63" s="84"/>
      <c r="I63" s="84"/>
      <c r="J63" s="84"/>
      <c r="K63" s="84"/>
      <c r="L63" s="84"/>
      <c r="M63" s="84"/>
      <c r="N63" s="84"/>
    </row>
    <row r="64" spans="2:14">
      <c r="B64" s="118" t="s">
        <v>457</v>
      </c>
      <c r="C64" s="119"/>
      <c r="D64" s="119"/>
      <c r="E64" s="120"/>
      <c r="G64" s="220" t="s">
        <v>107</v>
      </c>
      <c r="H64" s="221"/>
      <c r="I64" s="141"/>
      <c r="J64" s="220" t="s">
        <v>108</v>
      </c>
      <c r="K64" s="221"/>
      <c r="L64" s="141"/>
      <c r="M64" s="218" t="s">
        <v>109</v>
      </c>
      <c r="N64" s="219"/>
    </row>
    <row r="65" spans="2:14">
      <c r="B65" s="121" t="s">
        <v>112</v>
      </c>
      <c r="C65" s="121" t="s">
        <v>110</v>
      </c>
      <c r="D65" s="121"/>
      <c r="E65" s="121" t="s">
        <v>98</v>
      </c>
      <c r="G65" s="85" t="s">
        <v>498</v>
      </c>
      <c r="H65" s="85" t="s">
        <v>100</v>
      </c>
      <c r="I65" s="141"/>
      <c r="J65" s="85" t="s">
        <v>498</v>
      </c>
      <c r="K65" s="85" t="s">
        <v>100</v>
      </c>
      <c r="L65" s="141"/>
      <c r="M65" s="85" t="s">
        <v>498</v>
      </c>
      <c r="N65" s="85" t="s">
        <v>160</v>
      </c>
    </row>
    <row r="66" spans="2:14">
      <c r="B66" s="158">
        <v>42</v>
      </c>
      <c r="C66" s="89" t="s">
        <v>10</v>
      </c>
      <c r="D66" s="89" t="s">
        <v>581</v>
      </c>
      <c r="E66" s="89"/>
      <c r="G66" s="102" t="s">
        <v>800</v>
      </c>
      <c r="H66" s="102"/>
      <c r="I66" s="84"/>
      <c r="J66" s="102"/>
      <c r="K66" s="102"/>
      <c r="L66" s="84"/>
      <c r="M66" s="102"/>
      <c r="N66" s="102"/>
    </row>
    <row r="67" spans="2:14">
      <c r="B67" s="158">
        <v>43</v>
      </c>
      <c r="C67" s="89" t="s">
        <v>10</v>
      </c>
      <c r="D67" s="89" t="s">
        <v>7</v>
      </c>
      <c r="E67" s="89" t="s">
        <v>113</v>
      </c>
      <c r="G67" s="102">
        <v>1</v>
      </c>
      <c r="H67" s="102"/>
      <c r="I67" s="84"/>
      <c r="J67" s="102"/>
      <c r="K67" s="102"/>
      <c r="L67" s="84"/>
      <c r="M67" s="102"/>
      <c r="N67" s="102"/>
    </row>
    <row r="68" spans="2:14">
      <c r="B68" s="158">
        <v>44</v>
      </c>
      <c r="C68" s="89" t="s">
        <v>10</v>
      </c>
      <c r="D68" s="89" t="s">
        <v>458</v>
      </c>
      <c r="E68" s="89" t="str">
        <f>IF('General Information'!C43="€/kg","kg/ha","l/ha")</f>
        <v>kg/ha</v>
      </c>
      <c r="F68" s="77"/>
      <c r="G68" s="102">
        <v>2</v>
      </c>
      <c r="H68" s="102"/>
      <c r="I68" s="84"/>
      <c r="J68" s="102"/>
      <c r="K68" s="102"/>
      <c r="L68" s="84"/>
      <c r="M68" s="102"/>
      <c r="N68" s="102"/>
    </row>
    <row r="69" spans="2:14">
      <c r="B69" s="158">
        <v>45</v>
      </c>
      <c r="C69" s="89" t="s">
        <v>11</v>
      </c>
      <c r="D69" s="89" t="s">
        <v>170</v>
      </c>
      <c r="E69" s="89"/>
      <c r="G69" s="102" t="s">
        <v>801</v>
      </c>
      <c r="H69" s="102"/>
      <c r="I69" s="84"/>
      <c r="J69" s="102"/>
      <c r="K69" s="102"/>
      <c r="L69" s="84"/>
      <c r="M69" s="102"/>
      <c r="N69" s="102"/>
    </row>
    <row r="70" spans="2:14">
      <c r="B70" s="158">
        <v>46</v>
      </c>
      <c r="C70" s="89" t="s">
        <v>11</v>
      </c>
      <c r="D70" s="89" t="s">
        <v>7</v>
      </c>
      <c r="E70" s="89" t="s">
        <v>113</v>
      </c>
      <c r="G70" s="102">
        <v>1</v>
      </c>
      <c r="H70" s="102"/>
      <c r="I70" s="84"/>
      <c r="J70" s="102"/>
      <c r="K70" s="102"/>
      <c r="L70" s="84"/>
      <c r="M70" s="102"/>
      <c r="N70" s="102"/>
    </row>
    <row r="71" spans="2:14">
      <c r="B71" s="158">
        <v>47</v>
      </c>
      <c r="C71" s="89" t="s">
        <v>11</v>
      </c>
      <c r="D71" s="89" t="s">
        <v>458</v>
      </c>
      <c r="E71" s="89" t="str">
        <f>IF('General Information'!C44="€/kg","kg/ha","l/ha")</f>
        <v>kg/ha</v>
      </c>
      <c r="G71" s="102">
        <v>1</v>
      </c>
      <c r="H71" s="102"/>
      <c r="I71" s="84"/>
      <c r="J71" s="102"/>
      <c r="K71" s="102"/>
      <c r="L71" s="84"/>
      <c r="M71" s="102"/>
      <c r="N71" s="102"/>
    </row>
    <row r="72" spans="2:14">
      <c r="B72" s="158">
        <v>48</v>
      </c>
      <c r="C72" s="89" t="s">
        <v>640</v>
      </c>
      <c r="D72" s="89" t="s">
        <v>565</v>
      </c>
      <c r="E72" s="89"/>
      <c r="G72" s="102" t="s">
        <v>802</v>
      </c>
      <c r="H72" s="102"/>
      <c r="I72" s="84"/>
      <c r="J72" s="102"/>
      <c r="K72" s="102"/>
      <c r="L72" s="84"/>
      <c r="M72" s="102"/>
      <c r="N72" s="102"/>
    </row>
    <row r="73" spans="2:14">
      <c r="B73" s="158">
        <v>49</v>
      </c>
      <c r="C73" s="89" t="s">
        <v>640</v>
      </c>
      <c r="D73" s="89" t="s">
        <v>7</v>
      </c>
      <c r="E73" s="89" t="s">
        <v>113</v>
      </c>
      <c r="G73" s="102">
        <v>1</v>
      </c>
      <c r="H73" s="102"/>
      <c r="I73" s="84"/>
      <c r="J73" s="102"/>
      <c r="K73" s="102"/>
      <c r="L73" s="84"/>
      <c r="M73" s="102"/>
      <c r="N73" s="102"/>
    </row>
    <row r="74" spans="2:14">
      <c r="B74" s="158">
        <v>50</v>
      </c>
      <c r="C74" s="89" t="s">
        <v>640</v>
      </c>
      <c r="D74" s="89" t="s">
        <v>458</v>
      </c>
      <c r="E74" s="89" t="str">
        <f>IF('General Information'!C45="€/kg","kg/ha","l/ha")</f>
        <v>kg/ha</v>
      </c>
      <c r="G74" s="102">
        <v>1</v>
      </c>
      <c r="H74" s="102"/>
      <c r="I74" s="84"/>
      <c r="J74" s="102"/>
      <c r="K74" s="102"/>
      <c r="L74" s="84"/>
      <c r="M74" s="102"/>
      <c r="N74" s="102"/>
    </row>
    <row r="75" spans="2:14">
      <c r="B75" s="158">
        <v>51</v>
      </c>
      <c r="C75" s="89" t="s">
        <v>641</v>
      </c>
      <c r="D75" s="89" t="s">
        <v>565</v>
      </c>
      <c r="E75" s="89"/>
      <c r="G75" s="102" t="s">
        <v>803</v>
      </c>
      <c r="H75" s="102"/>
      <c r="I75" s="84"/>
      <c r="J75" s="159"/>
      <c r="K75" s="159"/>
      <c r="L75" s="84"/>
      <c r="M75" s="159"/>
      <c r="N75" s="159"/>
    </row>
    <row r="76" spans="2:14">
      <c r="B76" s="158">
        <v>52</v>
      </c>
      <c r="C76" s="89" t="s">
        <v>641</v>
      </c>
      <c r="D76" s="89" t="s">
        <v>7</v>
      </c>
      <c r="E76" s="89" t="s">
        <v>113</v>
      </c>
      <c r="G76" s="102">
        <v>1</v>
      </c>
      <c r="H76" s="102"/>
      <c r="I76" s="84"/>
      <c r="J76" s="159"/>
      <c r="K76" s="159"/>
      <c r="L76" s="84"/>
      <c r="M76" s="159"/>
      <c r="N76" s="159"/>
    </row>
    <row r="77" spans="2:14">
      <c r="B77" s="158">
        <v>53</v>
      </c>
      <c r="C77" s="89" t="s">
        <v>641</v>
      </c>
      <c r="D77" s="89" t="s">
        <v>458</v>
      </c>
      <c r="E77" s="89" t="str">
        <f>IF('General Information'!C46="€/kg","kg/ha","l/ha")</f>
        <v>kg/ha</v>
      </c>
      <c r="G77" s="102">
        <v>0.3</v>
      </c>
      <c r="H77" s="102"/>
      <c r="I77" s="84"/>
      <c r="J77" s="159"/>
      <c r="K77" s="159"/>
      <c r="L77" s="84"/>
      <c r="M77" s="159"/>
      <c r="N77" s="159"/>
    </row>
    <row r="78" spans="2:14">
      <c r="B78" s="158">
        <v>54</v>
      </c>
      <c r="C78" t="s">
        <v>641</v>
      </c>
      <c r="D78" s="89" t="s">
        <v>565</v>
      </c>
      <c r="E78" s="89"/>
      <c r="G78" s="102" t="s">
        <v>804</v>
      </c>
      <c r="H78" s="102"/>
      <c r="I78" s="84"/>
      <c r="J78" s="159"/>
      <c r="K78" s="159"/>
      <c r="L78" s="84"/>
      <c r="M78" s="159"/>
      <c r="N78" s="159"/>
    </row>
    <row r="79" spans="2:14">
      <c r="B79" s="158">
        <v>55</v>
      </c>
      <c r="C79" t="s">
        <v>642</v>
      </c>
      <c r="D79" s="89" t="s">
        <v>7</v>
      </c>
      <c r="E79" s="89" t="s">
        <v>113</v>
      </c>
      <c r="G79" s="102">
        <v>1</v>
      </c>
      <c r="H79" s="102"/>
      <c r="I79" s="84"/>
      <c r="J79" s="159"/>
      <c r="K79" s="159"/>
      <c r="L79" s="84"/>
      <c r="M79" s="159"/>
      <c r="N79" s="159"/>
    </row>
    <row r="80" spans="2:14">
      <c r="B80" s="158">
        <v>56</v>
      </c>
      <c r="C80" s="89" t="s">
        <v>642</v>
      </c>
      <c r="D80" s="89" t="s">
        <v>458</v>
      </c>
      <c r="E80" s="89" t="str">
        <f>IF('General Information'!C47="€/kg","kg/ha","l/ha")</f>
        <v>kg/ha</v>
      </c>
      <c r="G80" s="102">
        <v>0.08</v>
      </c>
      <c r="H80" s="102"/>
      <c r="I80" s="84"/>
      <c r="J80" s="159"/>
      <c r="K80" s="159"/>
      <c r="L80" s="84"/>
      <c r="M80" s="159"/>
      <c r="N80" s="159"/>
    </row>
    <row r="81" spans="2:14">
      <c r="B81" s="158">
        <v>57</v>
      </c>
      <c r="C81" s="89" t="s">
        <v>643</v>
      </c>
      <c r="D81" s="89" t="s">
        <v>565</v>
      </c>
      <c r="E81" s="89"/>
      <c r="G81" s="102" t="s">
        <v>805</v>
      </c>
      <c r="H81" s="102"/>
      <c r="I81" s="84"/>
      <c r="J81" s="159"/>
      <c r="K81" s="159"/>
      <c r="L81" s="84"/>
      <c r="M81" s="159"/>
      <c r="N81" s="159"/>
    </row>
    <row r="82" spans="2:14">
      <c r="B82" s="158">
        <v>58</v>
      </c>
      <c r="C82" s="89" t="s">
        <v>643</v>
      </c>
      <c r="D82" s="89" t="s">
        <v>7</v>
      </c>
      <c r="E82" s="89" t="s">
        <v>113</v>
      </c>
      <c r="G82" s="102">
        <v>1</v>
      </c>
      <c r="H82" s="102"/>
      <c r="I82" s="84"/>
      <c r="J82" s="159"/>
      <c r="K82" s="159"/>
      <c r="L82" s="84"/>
      <c r="M82" s="159"/>
      <c r="N82" s="159"/>
    </row>
    <row r="83" spans="2:14">
      <c r="B83" s="158">
        <v>59</v>
      </c>
      <c r="C83" s="89" t="s">
        <v>643</v>
      </c>
      <c r="D83" s="89" t="s">
        <v>458</v>
      </c>
      <c r="E83" s="89" t="str">
        <f>IF('General Information'!C48="€/kg","kg/ha","l/ha")</f>
        <v>kg/ha</v>
      </c>
      <c r="G83" s="102">
        <v>1</v>
      </c>
      <c r="H83" s="102"/>
      <c r="I83" s="84"/>
      <c r="J83" s="159"/>
      <c r="K83" s="159"/>
      <c r="L83" s="84"/>
      <c r="M83" s="159"/>
      <c r="N83" s="159"/>
    </row>
    <row r="84" spans="2:14">
      <c r="B84" s="158">
        <v>60</v>
      </c>
      <c r="C84" s="89" t="s">
        <v>644</v>
      </c>
      <c r="D84" s="89" t="s">
        <v>565</v>
      </c>
      <c r="E84" s="89"/>
      <c r="G84" s="102"/>
      <c r="H84" s="102"/>
      <c r="I84" s="84"/>
      <c r="J84" s="159"/>
      <c r="K84" s="159"/>
      <c r="L84" s="84"/>
      <c r="M84" s="159"/>
      <c r="N84" s="159"/>
    </row>
    <row r="85" spans="2:14">
      <c r="B85" s="158">
        <v>61</v>
      </c>
      <c r="C85" s="89" t="s">
        <v>644</v>
      </c>
      <c r="D85" s="89" t="s">
        <v>7</v>
      </c>
      <c r="E85" s="89" t="s">
        <v>113</v>
      </c>
      <c r="G85" s="102"/>
      <c r="H85" s="102"/>
      <c r="I85" s="84"/>
      <c r="J85" s="159"/>
      <c r="K85" s="159"/>
      <c r="L85" s="84"/>
      <c r="M85" s="159"/>
      <c r="N85" s="159"/>
    </row>
    <row r="86" spans="2:14">
      <c r="B86" s="158">
        <v>62</v>
      </c>
      <c r="C86" s="89" t="s">
        <v>644</v>
      </c>
      <c r="D86" s="89" t="s">
        <v>458</v>
      </c>
      <c r="E86" s="89" t="str">
        <f>IF('General Information'!C49="€/kg","kg/ha","l/ha")</f>
        <v>kg/ha</v>
      </c>
      <c r="G86" s="102"/>
      <c r="H86" s="102"/>
      <c r="I86" s="84"/>
      <c r="J86" s="159"/>
      <c r="K86" s="159"/>
      <c r="L86" s="84"/>
      <c r="M86" s="159"/>
      <c r="N86" s="159"/>
    </row>
    <row r="87" spans="2:14">
      <c r="B87" s="158">
        <v>63</v>
      </c>
      <c r="C87" s="89" t="s">
        <v>645</v>
      </c>
      <c r="D87" s="89" t="s">
        <v>565</v>
      </c>
      <c r="E87" s="89"/>
      <c r="G87" s="102"/>
      <c r="H87" s="102"/>
      <c r="I87" s="84"/>
      <c r="J87" s="159"/>
      <c r="K87" s="159"/>
      <c r="L87" s="84"/>
      <c r="M87" s="159"/>
      <c r="N87" s="159"/>
    </row>
    <row r="88" spans="2:14">
      <c r="B88" s="158">
        <v>64</v>
      </c>
      <c r="C88" s="89" t="s">
        <v>645</v>
      </c>
      <c r="D88" s="89" t="s">
        <v>7</v>
      </c>
      <c r="E88" s="89" t="s">
        <v>113</v>
      </c>
      <c r="G88" s="102"/>
      <c r="H88" s="102"/>
      <c r="I88" s="84"/>
      <c r="J88" s="159"/>
      <c r="K88" s="159"/>
      <c r="L88" s="84"/>
      <c r="M88" s="159"/>
      <c r="N88" s="159"/>
    </row>
    <row r="89" spans="2:14">
      <c r="B89" s="158">
        <v>65</v>
      </c>
      <c r="C89" s="89" t="s">
        <v>645</v>
      </c>
      <c r="D89" s="89" t="s">
        <v>458</v>
      </c>
      <c r="E89" s="89" t="str">
        <f>IF('General Information'!C52="€/kg","kg/ha","l/ha")</f>
        <v>kg/ha</v>
      </c>
      <c r="G89" s="102"/>
      <c r="H89" s="102"/>
      <c r="I89" s="84"/>
      <c r="J89" s="159"/>
      <c r="K89" s="159"/>
      <c r="L89" s="84"/>
      <c r="M89" s="159"/>
      <c r="N89" s="159"/>
    </row>
    <row r="90" spans="2:14">
      <c r="B90" s="158">
        <v>66</v>
      </c>
      <c r="C90" s="89" t="s">
        <v>646</v>
      </c>
      <c r="D90" s="89" t="s">
        <v>565</v>
      </c>
      <c r="E90" s="89"/>
      <c r="G90" s="102"/>
      <c r="H90" s="102"/>
      <c r="I90" s="84"/>
      <c r="J90" s="159"/>
      <c r="K90" s="159"/>
      <c r="L90" s="84"/>
      <c r="M90" s="159"/>
      <c r="N90" s="159"/>
    </row>
    <row r="91" spans="2:14">
      <c r="B91" s="158">
        <v>67</v>
      </c>
      <c r="C91" s="89" t="s">
        <v>646</v>
      </c>
      <c r="D91" s="89" t="s">
        <v>7</v>
      </c>
      <c r="E91" s="89" t="s">
        <v>113</v>
      </c>
      <c r="G91" s="102"/>
      <c r="H91" s="102"/>
      <c r="I91" s="84"/>
      <c r="J91" s="159"/>
      <c r="K91" s="159"/>
      <c r="L91" s="84"/>
      <c r="M91" s="159"/>
      <c r="N91" s="159"/>
    </row>
    <row r="92" spans="2:14">
      <c r="B92" s="158">
        <v>68</v>
      </c>
      <c r="C92" s="89" t="s">
        <v>646</v>
      </c>
      <c r="D92" s="89" t="s">
        <v>458</v>
      </c>
      <c r="E92" s="89" t="str">
        <f>IF('General Information'!C55="€/kg","kg/ha","l/ha")</f>
        <v>kg/ha</v>
      </c>
      <c r="G92" s="102"/>
      <c r="H92" s="102"/>
      <c r="I92" s="84"/>
      <c r="J92" s="159"/>
      <c r="K92" s="159"/>
      <c r="L92" s="84"/>
      <c r="M92" s="159"/>
      <c r="N92" s="159"/>
    </row>
    <row r="93" spans="2:14">
      <c r="B93" s="158">
        <v>69</v>
      </c>
      <c r="C93" s="89" t="s">
        <v>647</v>
      </c>
      <c r="D93" s="89" t="s">
        <v>565</v>
      </c>
      <c r="E93" s="89"/>
      <c r="G93" s="102"/>
      <c r="H93" s="102"/>
      <c r="I93" s="84"/>
      <c r="J93" s="159"/>
      <c r="K93" s="159"/>
      <c r="L93" s="84"/>
      <c r="M93" s="159"/>
      <c r="N93" s="159"/>
    </row>
    <row r="94" spans="2:14">
      <c r="B94" s="158">
        <v>70</v>
      </c>
      <c r="C94" s="89" t="s">
        <v>647</v>
      </c>
      <c r="D94" s="89" t="s">
        <v>7</v>
      </c>
      <c r="E94" s="89" t="s">
        <v>113</v>
      </c>
      <c r="G94" s="102"/>
      <c r="H94" s="102"/>
      <c r="I94" s="84"/>
      <c r="J94" s="159"/>
      <c r="K94" s="159"/>
      <c r="L94" s="84"/>
      <c r="M94" s="159"/>
      <c r="N94" s="159"/>
    </row>
    <row r="95" spans="2:14">
      <c r="B95" s="158">
        <v>71</v>
      </c>
      <c r="C95" s="89" t="s">
        <v>647</v>
      </c>
      <c r="D95" s="89" t="s">
        <v>458</v>
      </c>
      <c r="E95" s="89" t="str">
        <f>IF('General Information'!C58="€/kg","kg/ha","l/ha")</f>
        <v>kg/ha</v>
      </c>
      <c r="G95" s="102"/>
      <c r="H95" s="102"/>
      <c r="I95" s="84"/>
      <c r="J95" s="159"/>
      <c r="K95" s="159"/>
      <c r="L95" s="84"/>
      <c r="M95" s="159"/>
      <c r="N95" s="159"/>
    </row>
    <row r="96" spans="2:14">
      <c r="B96" s="161"/>
      <c r="G96" s="159"/>
      <c r="H96" s="159"/>
      <c r="I96" s="84"/>
      <c r="J96" s="159"/>
      <c r="K96" s="159"/>
      <c r="L96" s="84"/>
      <c r="M96" s="159"/>
      <c r="N96" s="159"/>
    </row>
    <row r="97" spans="2:14">
      <c r="B97" s="122" t="s">
        <v>8</v>
      </c>
      <c r="C97" s="123"/>
      <c r="D97" s="123"/>
      <c r="E97" s="124"/>
      <c r="G97" s="220" t="s">
        <v>107</v>
      </c>
      <c r="H97" s="221"/>
      <c r="I97" s="141"/>
      <c r="J97" s="220" t="s">
        <v>108</v>
      </c>
      <c r="K97" s="221"/>
      <c r="L97" s="141"/>
      <c r="M97" s="218" t="s">
        <v>109</v>
      </c>
      <c r="N97" s="219"/>
    </row>
    <row r="98" spans="2:14">
      <c r="B98" s="125" t="s">
        <v>112</v>
      </c>
      <c r="C98" s="125" t="s">
        <v>110</v>
      </c>
      <c r="D98" s="125"/>
      <c r="E98" s="125" t="s">
        <v>98</v>
      </c>
      <c r="G98" s="85" t="s">
        <v>498</v>
      </c>
      <c r="H98" s="85" t="s">
        <v>100</v>
      </c>
      <c r="I98" s="141"/>
      <c r="J98" s="85" t="s">
        <v>498</v>
      </c>
      <c r="K98" s="85" t="s">
        <v>100</v>
      </c>
      <c r="L98" s="141"/>
      <c r="M98" s="85" t="s">
        <v>498</v>
      </c>
      <c r="N98" s="85" t="s">
        <v>160</v>
      </c>
    </row>
    <row r="99" spans="2:14">
      <c r="B99" s="158">
        <v>72</v>
      </c>
      <c r="C99" s="89" t="s">
        <v>648</v>
      </c>
      <c r="D99" s="89" t="s">
        <v>593</v>
      </c>
      <c r="E99" s="89"/>
      <c r="G99" s="102" t="s">
        <v>806</v>
      </c>
      <c r="H99" s="102"/>
      <c r="I99" s="84"/>
      <c r="J99" s="102"/>
      <c r="K99" s="102"/>
      <c r="L99" s="84"/>
      <c r="M99" s="102"/>
      <c r="N99" s="102"/>
    </row>
    <row r="100" spans="2:14">
      <c r="B100" s="158">
        <v>73</v>
      </c>
      <c r="C100" s="89" t="s">
        <v>648</v>
      </c>
      <c r="D100" s="89" t="s">
        <v>586</v>
      </c>
      <c r="E100" s="89"/>
      <c r="G100" s="102" t="s">
        <v>585</v>
      </c>
      <c r="H100" s="102"/>
      <c r="I100" s="84"/>
      <c r="J100" s="102"/>
      <c r="K100" s="102"/>
      <c r="L100" s="84"/>
      <c r="M100" s="102"/>
      <c r="N100" s="102"/>
    </row>
    <row r="101" spans="2:14">
      <c r="B101" s="158">
        <v>74</v>
      </c>
      <c r="C101" s="89" t="s">
        <v>648</v>
      </c>
      <c r="D101" s="89" t="s">
        <v>7</v>
      </c>
      <c r="E101" s="89" t="s">
        <v>113</v>
      </c>
      <c r="G101" s="102">
        <v>1</v>
      </c>
      <c r="H101" s="102"/>
      <c r="I101" s="84"/>
      <c r="J101" s="102"/>
      <c r="K101" s="102"/>
      <c r="L101" s="84"/>
      <c r="M101" s="102"/>
      <c r="N101" s="102"/>
    </row>
    <row r="102" spans="2:14">
      <c r="B102" s="158">
        <v>75</v>
      </c>
      <c r="C102" s="89" t="s">
        <v>648</v>
      </c>
      <c r="D102" s="89" t="s">
        <v>458</v>
      </c>
      <c r="E102" s="89" t="str">
        <f>IF('General Information'!C54="€/t","t/ha","kg/ha")</f>
        <v>kg/ha</v>
      </c>
      <c r="G102" s="102">
        <v>180</v>
      </c>
      <c r="H102" s="102"/>
      <c r="I102" s="84"/>
      <c r="J102" s="102"/>
      <c r="K102" s="102"/>
      <c r="L102" s="84"/>
      <c r="M102" s="102"/>
      <c r="N102" s="102"/>
    </row>
    <row r="103" spans="2:14">
      <c r="B103" s="158">
        <v>76</v>
      </c>
      <c r="C103" s="89" t="s">
        <v>648</v>
      </c>
      <c r="D103" s="89" t="s">
        <v>459</v>
      </c>
      <c r="E103" s="89" t="s">
        <v>105</v>
      </c>
      <c r="G103" s="102">
        <v>21</v>
      </c>
      <c r="H103" s="102"/>
      <c r="I103" s="84"/>
      <c r="J103" s="102"/>
      <c r="K103" s="102"/>
      <c r="L103" s="84"/>
      <c r="M103" s="102"/>
      <c r="N103" s="102"/>
    </row>
    <row r="104" spans="2:14">
      <c r="B104" s="158">
        <v>77</v>
      </c>
      <c r="C104" s="89" t="s">
        <v>648</v>
      </c>
      <c r="D104" s="89" t="s">
        <v>460</v>
      </c>
      <c r="E104" s="89" t="s">
        <v>105</v>
      </c>
      <c r="G104" s="102">
        <v>0</v>
      </c>
      <c r="H104" s="102"/>
      <c r="I104" s="84"/>
      <c r="J104" s="102"/>
      <c r="K104" s="102"/>
      <c r="L104" s="84"/>
      <c r="M104" s="102"/>
      <c r="N104" s="102"/>
    </row>
    <row r="105" spans="2:14">
      <c r="B105" s="158">
        <v>78</v>
      </c>
      <c r="C105" s="89" t="s">
        <v>648</v>
      </c>
      <c r="D105" s="89" t="s">
        <v>461</v>
      </c>
      <c r="E105" s="89" t="s">
        <v>105</v>
      </c>
      <c r="G105" s="102">
        <v>0</v>
      </c>
      <c r="H105" s="102"/>
      <c r="I105" s="84"/>
      <c r="J105" s="102"/>
      <c r="K105" s="102"/>
      <c r="L105" s="84"/>
      <c r="M105" s="102"/>
      <c r="N105" s="102"/>
    </row>
    <row r="106" spans="2:14">
      <c r="B106" s="158">
        <v>79</v>
      </c>
      <c r="C106" s="89" t="s">
        <v>649</v>
      </c>
      <c r="D106" s="89" t="s">
        <v>582</v>
      </c>
      <c r="E106" s="89"/>
      <c r="G106" s="102" t="s">
        <v>807</v>
      </c>
      <c r="H106" s="102"/>
      <c r="I106" s="84"/>
      <c r="J106" s="102"/>
      <c r="K106" s="102"/>
      <c r="L106" s="84"/>
      <c r="M106" s="102"/>
      <c r="N106" s="102"/>
    </row>
    <row r="107" spans="2:14">
      <c r="B107" s="158">
        <v>80</v>
      </c>
      <c r="C107" s="89" t="s">
        <v>649</v>
      </c>
      <c r="D107" s="89" t="s">
        <v>586</v>
      </c>
      <c r="E107" s="89"/>
      <c r="G107" s="102" t="s">
        <v>585</v>
      </c>
      <c r="H107" s="102"/>
      <c r="I107" s="84"/>
      <c r="J107" s="102"/>
      <c r="K107" s="102"/>
      <c r="L107" s="84"/>
      <c r="M107" s="102"/>
      <c r="N107" s="102"/>
    </row>
    <row r="108" spans="2:14">
      <c r="B108" s="158">
        <v>81</v>
      </c>
      <c r="C108" s="89" t="s">
        <v>649</v>
      </c>
      <c r="D108" s="89" t="s">
        <v>7</v>
      </c>
      <c r="E108" s="89" t="s">
        <v>113</v>
      </c>
      <c r="G108" s="102">
        <v>1</v>
      </c>
      <c r="H108" s="102"/>
      <c r="I108" s="84"/>
      <c r="J108" s="102"/>
      <c r="K108" s="102"/>
      <c r="L108" s="84"/>
      <c r="M108" s="102"/>
      <c r="N108" s="102"/>
    </row>
    <row r="109" spans="2:14">
      <c r="B109" s="158">
        <v>82</v>
      </c>
      <c r="C109" s="89" t="s">
        <v>649</v>
      </c>
      <c r="D109" s="89" t="s">
        <v>458</v>
      </c>
      <c r="E109" s="89" t="str">
        <f>IF('General Information'!C55="€/t","t/ha","kg/ha")</f>
        <v>kg/ha</v>
      </c>
      <c r="G109" s="102">
        <v>190</v>
      </c>
      <c r="H109" s="102"/>
      <c r="I109" s="84"/>
      <c r="J109" s="102"/>
      <c r="K109" s="102"/>
      <c r="L109" s="84"/>
      <c r="M109" s="102"/>
      <c r="N109" s="102"/>
    </row>
    <row r="110" spans="2:14">
      <c r="B110" s="158">
        <v>83</v>
      </c>
      <c r="C110" s="89" t="s">
        <v>649</v>
      </c>
      <c r="D110" s="89" t="s">
        <v>459</v>
      </c>
      <c r="E110" s="89" t="s">
        <v>105</v>
      </c>
      <c r="G110" s="102">
        <v>15</v>
      </c>
      <c r="H110" s="102"/>
      <c r="I110" s="84"/>
      <c r="J110" s="102"/>
      <c r="K110" s="102"/>
      <c r="L110" s="84"/>
      <c r="M110" s="102"/>
      <c r="N110" s="102"/>
    </row>
    <row r="111" spans="2:14">
      <c r="B111" s="158">
        <v>84</v>
      </c>
      <c r="C111" s="89" t="s">
        <v>649</v>
      </c>
      <c r="D111" s="89" t="s">
        <v>460</v>
      </c>
      <c r="E111" s="89" t="s">
        <v>105</v>
      </c>
      <c r="G111" s="102">
        <v>25</v>
      </c>
      <c r="H111" s="102"/>
      <c r="I111" s="84"/>
      <c r="J111" s="102"/>
      <c r="K111" s="102"/>
      <c r="L111" s="84"/>
      <c r="M111" s="102"/>
      <c r="N111" s="102"/>
    </row>
    <row r="112" spans="2:14">
      <c r="B112" s="158">
        <v>85</v>
      </c>
      <c r="C112" s="89" t="s">
        <v>649</v>
      </c>
      <c r="D112" s="89" t="s">
        <v>461</v>
      </c>
      <c r="E112" s="89" t="s">
        <v>105</v>
      </c>
      <c r="G112" s="102">
        <v>0</v>
      </c>
      <c r="H112" s="102"/>
      <c r="I112" s="84"/>
      <c r="J112" s="102"/>
      <c r="K112" s="102"/>
      <c r="L112" s="84"/>
      <c r="M112" s="102"/>
      <c r="N112" s="102"/>
    </row>
    <row r="113" spans="2:14">
      <c r="B113" s="158">
        <v>86</v>
      </c>
      <c r="C113" s="89" t="s">
        <v>650</v>
      </c>
      <c r="D113" s="89" t="s">
        <v>356</v>
      </c>
      <c r="E113" s="89"/>
      <c r="G113" s="102" t="s">
        <v>808</v>
      </c>
      <c r="H113" s="102"/>
      <c r="I113" s="84"/>
      <c r="J113" s="102"/>
      <c r="K113" s="102"/>
      <c r="L113" s="84"/>
      <c r="M113" s="102"/>
      <c r="N113" s="102"/>
    </row>
    <row r="114" spans="2:14">
      <c r="B114" s="158">
        <v>87</v>
      </c>
      <c r="C114" s="89" t="s">
        <v>650</v>
      </c>
      <c r="D114" s="89" t="s">
        <v>586</v>
      </c>
      <c r="E114" s="89"/>
      <c r="G114" s="102" t="s">
        <v>585</v>
      </c>
      <c r="H114" s="102"/>
      <c r="I114" s="84"/>
      <c r="J114" s="102"/>
      <c r="K114" s="102"/>
      <c r="L114" s="84"/>
      <c r="M114" s="102"/>
      <c r="N114" s="102"/>
    </row>
    <row r="115" spans="2:14">
      <c r="B115" s="158">
        <v>88</v>
      </c>
      <c r="C115" s="89" t="s">
        <v>650</v>
      </c>
      <c r="D115" s="89" t="s">
        <v>7</v>
      </c>
      <c r="E115" s="89" t="s">
        <v>113</v>
      </c>
      <c r="G115" s="102">
        <v>1</v>
      </c>
      <c r="H115" s="102"/>
      <c r="I115" s="84"/>
      <c r="J115" s="102"/>
      <c r="K115" s="102"/>
      <c r="L115" s="84"/>
      <c r="M115" s="102"/>
      <c r="N115" s="102"/>
    </row>
    <row r="116" spans="2:14">
      <c r="B116" s="158">
        <v>89</v>
      </c>
      <c r="C116" s="89" t="s">
        <v>650</v>
      </c>
      <c r="D116" s="89" t="s">
        <v>458</v>
      </c>
      <c r="E116" s="89" t="str">
        <f>IF('General Information'!C56="€/t","t/ha","kg/ha")</f>
        <v>kg/ha</v>
      </c>
      <c r="G116" s="102">
        <v>0.15</v>
      </c>
      <c r="H116" s="102"/>
      <c r="I116" s="84"/>
      <c r="J116" s="102"/>
      <c r="K116" s="102"/>
      <c r="L116" s="84"/>
      <c r="M116" s="102"/>
      <c r="N116" s="102"/>
    </row>
    <row r="117" spans="2:14">
      <c r="B117" s="158">
        <v>90</v>
      </c>
      <c r="C117" s="89" t="s">
        <v>650</v>
      </c>
      <c r="D117" s="89" t="s">
        <v>459</v>
      </c>
      <c r="E117" s="89" t="s">
        <v>105</v>
      </c>
      <c r="G117" s="102">
        <v>33</v>
      </c>
      <c r="H117" s="102"/>
      <c r="I117" s="84"/>
      <c r="J117" s="102"/>
      <c r="K117" s="102"/>
      <c r="L117" s="84"/>
      <c r="M117" s="102"/>
      <c r="N117" s="102"/>
    </row>
    <row r="118" spans="2:14">
      <c r="B118" s="158">
        <v>91</v>
      </c>
      <c r="C118" s="89" t="s">
        <v>650</v>
      </c>
      <c r="D118" s="89" t="s">
        <v>460</v>
      </c>
      <c r="E118" s="89" t="s">
        <v>105</v>
      </c>
      <c r="G118" s="102">
        <v>0</v>
      </c>
      <c r="H118" s="102"/>
      <c r="I118" s="84"/>
      <c r="J118" s="102"/>
      <c r="K118" s="102"/>
      <c r="L118" s="84"/>
      <c r="M118" s="102"/>
      <c r="N118" s="102"/>
    </row>
    <row r="119" spans="2:14">
      <c r="B119" s="158">
        <v>92</v>
      </c>
      <c r="C119" s="89" t="s">
        <v>650</v>
      </c>
      <c r="D119" s="89" t="s">
        <v>461</v>
      </c>
      <c r="E119" s="89" t="s">
        <v>105</v>
      </c>
      <c r="G119" s="102">
        <v>0</v>
      </c>
      <c r="H119" s="102"/>
      <c r="I119" s="84"/>
      <c r="J119" s="102"/>
      <c r="K119" s="102"/>
      <c r="L119" s="84"/>
      <c r="M119" s="102"/>
      <c r="N119" s="102"/>
    </row>
    <row r="120" spans="2:14">
      <c r="B120" s="158">
        <v>93</v>
      </c>
      <c r="C120" s="89" t="s">
        <v>651</v>
      </c>
      <c r="D120" s="89" t="s">
        <v>658</v>
      </c>
      <c r="E120" s="89"/>
      <c r="G120" s="102" t="s">
        <v>809</v>
      </c>
      <c r="H120" s="102"/>
      <c r="I120" s="84"/>
      <c r="J120" s="159"/>
      <c r="K120" s="159"/>
      <c r="L120" s="84"/>
      <c r="M120" s="159"/>
      <c r="N120" s="159"/>
    </row>
    <row r="121" spans="2:14">
      <c r="B121" s="158">
        <v>94</v>
      </c>
      <c r="C121" s="89" t="s">
        <v>651</v>
      </c>
      <c r="D121" s="89" t="s">
        <v>586</v>
      </c>
      <c r="E121" s="89"/>
      <c r="G121" s="102" t="s">
        <v>585</v>
      </c>
      <c r="H121" s="102"/>
      <c r="I121" s="84"/>
      <c r="J121" s="159"/>
      <c r="K121" s="159"/>
      <c r="L121" s="84"/>
      <c r="M121" s="159"/>
      <c r="N121" s="159"/>
    </row>
    <row r="122" spans="2:14">
      <c r="B122" s="158">
        <v>95</v>
      </c>
      <c r="C122" s="89" t="s">
        <v>651</v>
      </c>
      <c r="D122" s="89" t="s">
        <v>7</v>
      </c>
      <c r="E122" s="89"/>
      <c r="G122" s="102">
        <v>1</v>
      </c>
      <c r="H122" s="102"/>
      <c r="I122" s="84"/>
      <c r="J122" s="159"/>
      <c r="K122" s="159"/>
      <c r="L122" s="84"/>
      <c r="M122" s="159"/>
      <c r="N122" s="159"/>
    </row>
    <row r="123" spans="2:14">
      <c r="B123" s="158">
        <v>96</v>
      </c>
      <c r="C123" s="89" t="s">
        <v>651</v>
      </c>
      <c r="D123" s="89" t="s">
        <v>458</v>
      </c>
      <c r="E123" s="89"/>
      <c r="G123" s="102">
        <v>5</v>
      </c>
      <c r="H123" s="102"/>
      <c r="I123" s="84"/>
      <c r="J123" s="159"/>
      <c r="K123" s="159"/>
      <c r="L123" s="84"/>
      <c r="M123" s="159"/>
      <c r="N123" s="159"/>
    </row>
    <row r="124" spans="2:14">
      <c r="B124" s="158">
        <v>97</v>
      </c>
      <c r="C124" s="89" t="s">
        <v>651</v>
      </c>
      <c r="D124" s="89" t="s">
        <v>459</v>
      </c>
      <c r="E124" s="89"/>
      <c r="G124" s="102">
        <v>27</v>
      </c>
      <c r="H124" s="102"/>
      <c r="I124" s="84"/>
      <c r="J124" s="159"/>
      <c r="K124" s="159"/>
      <c r="L124" s="84"/>
      <c r="M124" s="159"/>
      <c r="N124" s="159"/>
    </row>
    <row r="125" spans="2:14">
      <c r="B125" s="158">
        <v>98</v>
      </c>
      <c r="C125" s="89" t="s">
        <v>651</v>
      </c>
      <c r="D125" s="89" t="s">
        <v>460</v>
      </c>
      <c r="E125" s="89"/>
      <c r="G125" s="102">
        <v>0</v>
      </c>
      <c r="H125" s="102"/>
      <c r="I125" s="84"/>
      <c r="J125" s="159"/>
      <c r="K125" s="159"/>
      <c r="L125" s="84"/>
      <c r="M125" s="159"/>
      <c r="N125" s="159"/>
    </row>
    <row r="126" spans="2:14">
      <c r="B126" s="158">
        <v>99</v>
      </c>
      <c r="C126" s="89" t="s">
        <v>651</v>
      </c>
      <c r="D126" s="89" t="s">
        <v>461</v>
      </c>
      <c r="E126" s="89"/>
      <c r="G126" s="102">
        <v>0</v>
      </c>
      <c r="H126" s="102"/>
      <c r="I126" s="84"/>
      <c r="J126" s="159"/>
      <c r="K126" s="159"/>
      <c r="L126" s="84"/>
      <c r="M126" s="159"/>
      <c r="N126" s="159"/>
    </row>
    <row r="127" spans="2:14">
      <c r="B127" s="158">
        <v>100</v>
      </c>
      <c r="C127" s="89" t="s">
        <v>652</v>
      </c>
      <c r="D127" s="89" t="s">
        <v>659</v>
      </c>
      <c r="E127" s="89"/>
      <c r="G127" s="102" t="s">
        <v>810</v>
      </c>
      <c r="H127" s="102"/>
      <c r="I127" s="84"/>
      <c r="J127" s="159"/>
      <c r="K127" s="159"/>
      <c r="L127" s="84"/>
      <c r="M127" s="159"/>
      <c r="N127" s="159"/>
    </row>
    <row r="128" spans="2:14">
      <c r="B128" s="158">
        <v>101</v>
      </c>
      <c r="C128" s="89" t="s">
        <v>652</v>
      </c>
      <c r="D128" s="89" t="s">
        <v>586</v>
      </c>
      <c r="E128" s="89"/>
      <c r="G128" s="102" t="s">
        <v>585</v>
      </c>
      <c r="H128" s="102"/>
      <c r="I128" s="84"/>
      <c r="J128" s="159"/>
      <c r="K128" s="159"/>
      <c r="L128" s="84"/>
      <c r="M128" s="159"/>
      <c r="N128" s="159"/>
    </row>
    <row r="129" spans="2:14">
      <c r="B129" s="158">
        <v>102</v>
      </c>
      <c r="C129" s="89" t="s">
        <v>652</v>
      </c>
      <c r="D129" s="89" t="s">
        <v>7</v>
      </c>
      <c r="E129" s="89"/>
      <c r="G129" s="102">
        <v>1</v>
      </c>
      <c r="H129" s="102"/>
      <c r="I129" s="84"/>
      <c r="J129" s="159"/>
      <c r="K129" s="159"/>
      <c r="L129" s="84"/>
      <c r="M129" s="159"/>
      <c r="N129" s="159"/>
    </row>
    <row r="130" spans="2:14">
      <c r="B130" s="158">
        <v>103</v>
      </c>
      <c r="C130" s="89" t="s">
        <v>652</v>
      </c>
      <c r="D130" s="89" t="s">
        <v>458</v>
      </c>
      <c r="E130" s="89"/>
      <c r="G130" s="102">
        <v>2</v>
      </c>
      <c r="H130" s="102"/>
      <c r="I130" s="84"/>
      <c r="J130" s="159"/>
      <c r="K130" s="159"/>
      <c r="L130" s="84"/>
      <c r="M130" s="159"/>
      <c r="N130" s="159"/>
    </row>
    <row r="131" spans="2:14">
      <c r="B131" s="158">
        <v>104</v>
      </c>
      <c r="C131" s="89" t="s">
        <v>652</v>
      </c>
      <c r="D131" s="89" t="s">
        <v>459</v>
      </c>
      <c r="E131" s="89"/>
      <c r="G131" s="102">
        <v>5.7</v>
      </c>
      <c r="H131" s="102"/>
      <c r="I131" s="84"/>
      <c r="J131" s="159"/>
      <c r="K131" s="159"/>
      <c r="L131" s="84"/>
      <c r="M131" s="159"/>
      <c r="N131" s="159"/>
    </row>
    <row r="132" spans="2:14">
      <c r="B132" s="158">
        <v>105</v>
      </c>
      <c r="C132" s="89" t="s">
        <v>652</v>
      </c>
      <c r="D132" s="89" t="s">
        <v>460</v>
      </c>
      <c r="E132" s="89"/>
      <c r="G132" s="102">
        <v>0</v>
      </c>
      <c r="H132" s="102"/>
      <c r="I132" s="84"/>
      <c r="J132" s="159"/>
      <c r="K132" s="159"/>
      <c r="L132" s="84"/>
      <c r="M132" s="159"/>
      <c r="N132" s="159"/>
    </row>
    <row r="133" spans="2:14">
      <c r="B133" s="158">
        <v>106</v>
      </c>
      <c r="C133" s="89" t="s">
        <v>652</v>
      </c>
      <c r="D133" s="89" t="s">
        <v>461</v>
      </c>
      <c r="E133" s="89"/>
      <c r="G133" s="102">
        <v>3.1</v>
      </c>
      <c r="H133" s="102"/>
      <c r="I133" s="84"/>
      <c r="J133" s="159"/>
      <c r="K133" s="159"/>
      <c r="L133" s="84"/>
      <c r="M133" s="159"/>
      <c r="N133" s="159"/>
    </row>
    <row r="134" spans="2:14">
      <c r="B134" s="158">
        <v>107</v>
      </c>
      <c r="C134" s="89" t="s">
        <v>653</v>
      </c>
      <c r="D134" s="89" t="s">
        <v>660</v>
      </c>
      <c r="E134" s="89"/>
      <c r="G134" s="102"/>
      <c r="H134" s="102"/>
      <c r="I134" s="84"/>
      <c r="J134" s="159"/>
      <c r="K134" s="159"/>
      <c r="L134" s="84"/>
      <c r="M134" s="159"/>
      <c r="N134" s="159"/>
    </row>
    <row r="135" spans="2:14">
      <c r="B135" s="158">
        <v>108</v>
      </c>
      <c r="C135" s="89" t="s">
        <v>653</v>
      </c>
      <c r="D135" s="89" t="s">
        <v>586</v>
      </c>
      <c r="E135" s="89"/>
      <c r="G135" s="102"/>
      <c r="H135" s="102"/>
      <c r="I135" s="84"/>
      <c r="J135" s="159"/>
      <c r="K135" s="159"/>
      <c r="L135" s="84"/>
      <c r="M135" s="159"/>
      <c r="N135" s="159"/>
    </row>
    <row r="136" spans="2:14">
      <c r="B136" s="158">
        <v>109</v>
      </c>
      <c r="C136" s="89" t="s">
        <v>653</v>
      </c>
      <c r="D136" s="89" t="s">
        <v>7</v>
      </c>
      <c r="E136" s="89"/>
      <c r="G136" s="102"/>
      <c r="H136" s="102"/>
      <c r="I136" s="84"/>
      <c r="J136" s="159"/>
      <c r="K136" s="159"/>
      <c r="L136" s="84"/>
      <c r="M136" s="159"/>
      <c r="N136" s="159"/>
    </row>
    <row r="137" spans="2:14">
      <c r="B137" s="158">
        <v>110</v>
      </c>
      <c r="C137" s="89" t="s">
        <v>653</v>
      </c>
      <c r="D137" s="89" t="s">
        <v>458</v>
      </c>
      <c r="E137" s="89"/>
      <c r="G137" s="102"/>
      <c r="H137" s="102"/>
      <c r="I137" s="84"/>
      <c r="J137" s="159"/>
      <c r="K137" s="159"/>
      <c r="L137" s="84"/>
      <c r="M137" s="159"/>
      <c r="N137" s="159"/>
    </row>
    <row r="138" spans="2:14">
      <c r="B138" s="158">
        <v>111</v>
      </c>
      <c r="C138" s="89" t="s">
        <v>653</v>
      </c>
      <c r="D138" s="89" t="s">
        <v>459</v>
      </c>
      <c r="E138" s="89"/>
      <c r="G138" s="102"/>
      <c r="H138" s="102"/>
      <c r="I138" s="84"/>
      <c r="J138" s="159"/>
      <c r="K138" s="159"/>
      <c r="L138" s="84"/>
      <c r="M138" s="159"/>
      <c r="N138" s="159"/>
    </row>
    <row r="139" spans="2:14">
      <c r="B139" s="158">
        <v>112</v>
      </c>
      <c r="C139" s="89" t="s">
        <v>653</v>
      </c>
      <c r="D139" s="89" t="s">
        <v>460</v>
      </c>
      <c r="E139" s="89"/>
      <c r="G139" s="102"/>
      <c r="H139" s="102"/>
      <c r="I139" s="84"/>
      <c r="J139" s="159"/>
      <c r="K139" s="159"/>
      <c r="L139" s="84"/>
      <c r="M139" s="159"/>
      <c r="N139" s="159"/>
    </row>
    <row r="140" spans="2:14">
      <c r="B140" s="158">
        <v>113</v>
      </c>
      <c r="C140" s="89" t="s">
        <v>653</v>
      </c>
      <c r="D140" s="89" t="s">
        <v>461</v>
      </c>
      <c r="E140" s="89"/>
      <c r="G140" s="102"/>
      <c r="H140" s="102"/>
      <c r="I140" s="84"/>
      <c r="J140" s="159"/>
      <c r="K140" s="159"/>
      <c r="L140" s="84"/>
      <c r="M140" s="159"/>
      <c r="N140" s="159"/>
    </row>
    <row r="141" spans="2:14">
      <c r="B141" s="158">
        <v>114</v>
      </c>
      <c r="C141" s="89" t="s">
        <v>654</v>
      </c>
      <c r="D141" s="89" t="s">
        <v>661</v>
      </c>
      <c r="E141" s="89"/>
      <c r="G141" s="102"/>
      <c r="H141" s="102"/>
      <c r="I141" s="84"/>
      <c r="J141" s="159"/>
      <c r="K141" s="159"/>
      <c r="L141" s="84"/>
      <c r="M141" s="159"/>
      <c r="N141" s="159"/>
    </row>
    <row r="142" spans="2:14">
      <c r="B142" s="158">
        <v>115</v>
      </c>
      <c r="C142" s="89" t="s">
        <v>654</v>
      </c>
      <c r="D142" s="89" t="s">
        <v>586</v>
      </c>
      <c r="E142" s="89"/>
      <c r="G142" s="102"/>
      <c r="H142" s="102"/>
      <c r="I142" s="84"/>
      <c r="J142" s="159"/>
      <c r="K142" s="159"/>
      <c r="L142" s="84"/>
      <c r="M142" s="159"/>
      <c r="N142" s="159"/>
    </row>
    <row r="143" spans="2:14">
      <c r="B143" s="158">
        <v>116</v>
      </c>
      <c r="C143" s="89" t="s">
        <v>654</v>
      </c>
      <c r="D143" s="89" t="s">
        <v>7</v>
      </c>
      <c r="E143" s="89"/>
      <c r="G143" s="102"/>
      <c r="H143" s="102"/>
      <c r="I143" s="84"/>
      <c r="J143" s="159"/>
      <c r="K143" s="159"/>
      <c r="L143" s="84"/>
      <c r="M143" s="159"/>
      <c r="N143" s="159"/>
    </row>
    <row r="144" spans="2:14">
      <c r="B144" s="158">
        <v>117</v>
      </c>
      <c r="C144" s="89" t="s">
        <v>654</v>
      </c>
      <c r="D144" s="89" t="s">
        <v>458</v>
      </c>
      <c r="E144" s="89"/>
      <c r="G144" s="102"/>
      <c r="H144" s="102"/>
      <c r="I144" s="84"/>
      <c r="J144" s="159"/>
      <c r="K144" s="159"/>
      <c r="L144" s="84"/>
      <c r="M144" s="159"/>
      <c r="N144" s="159"/>
    </row>
    <row r="145" spans="2:14">
      <c r="B145" s="158">
        <v>118</v>
      </c>
      <c r="C145" s="89" t="s">
        <v>654</v>
      </c>
      <c r="D145" s="89" t="s">
        <v>459</v>
      </c>
      <c r="E145" s="89"/>
      <c r="G145" s="102"/>
      <c r="H145" s="102"/>
      <c r="I145" s="84"/>
      <c r="J145" s="159"/>
      <c r="K145" s="159"/>
      <c r="L145" s="84"/>
      <c r="M145" s="159"/>
      <c r="N145" s="159"/>
    </row>
    <row r="146" spans="2:14">
      <c r="B146" s="158">
        <v>119</v>
      </c>
      <c r="C146" s="89" t="s">
        <v>654</v>
      </c>
      <c r="D146" s="89" t="s">
        <v>460</v>
      </c>
      <c r="E146" s="89"/>
      <c r="G146" s="102"/>
      <c r="H146" s="102"/>
      <c r="I146" s="84"/>
      <c r="J146" s="159"/>
      <c r="K146" s="159"/>
      <c r="L146" s="84"/>
      <c r="M146" s="159"/>
      <c r="N146" s="159"/>
    </row>
    <row r="147" spans="2:14">
      <c r="B147" s="158">
        <v>120</v>
      </c>
      <c r="C147" s="89" t="s">
        <v>654</v>
      </c>
      <c r="D147" s="89" t="s">
        <v>461</v>
      </c>
      <c r="E147" s="89"/>
      <c r="G147" s="102"/>
      <c r="H147" s="102"/>
      <c r="I147" s="84"/>
      <c r="J147" s="159"/>
      <c r="K147" s="159"/>
      <c r="L147" s="84"/>
      <c r="M147" s="159"/>
      <c r="N147" s="159"/>
    </row>
    <row r="148" spans="2:14">
      <c r="B148" s="158">
        <v>121</v>
      </c>
      <c r="C148" s="89" t="s">
        <v>655</v>
      </c>
      <c r="D148" s="89" t="s">
        <v>662</v>
      </c>
      <c r="E148" s="89"/>
      <c r="G148" s="102"/>
      <c r="H148" s="102"/>
      <c r="I148" s="84"/>
      <c r="J148" s="159"/>
      <c r="K148" s="159"/>
      <c r="L148" s="84"/>
      <c r="M148" s="159"/>
      <c r="N148" s="159"/>
    </row>
    <row r="149" spans="2:14">
      <c r="B149" s="158">
        <v>122</v>
      </c>
      <c r="C149" s="89" t="s">
        <v>655</v>
      </c>
      <c r="D149" s="89" t="s">
        <v>586</v>
      </c>
      <c r="E149" s="89"/>
      <c r="G149" s="102"/>
      <c r="H149" s="102"/>
      <c r="I149" s="84"/>
      <c r="J149" s="159"/>
      <c r="K149" s="159"/>
      <c r="L149" s="84"/>
      <c r="M149" s="159"/>
      <c r="N149" s="159"/>
    </row>
    <row r="150" spans="2:14">
      <c r="B150" s="158">
        <v>123</v>
      </c>
      <c r="C150" s="89" t="s">
        <v>655</v>
      </c>
      <c r="D150" s="89" t="s">
        <v>7</v>
      </c>
      <c r="E150" s="89"/>
      <c r="G150" s="102"/>
      <c r="H150" s="102"/>
      <c r="I150" s="84"/>
      <c r="J150" s="159"/>
      <c r="K150" s="159"/>
      <c r="L150" s="84"/>
      <c r="M150" s="159"/>
      <c r="N150" s="159"/>
    </row>
    <row r="151" spans="2:14">
      <c r="B151" s="158">
        <v>124</v>
      </c>
      <c r="C151" s="89" t="s">
        <v>655</v>
      </c>
      <c r="D151" s="89" t="s">
        <v>458</v>
      </c>
      <c r="E151" s="89"/>
      <c r="G151" s="102"/>
      <c r="H151" s="102"/>
      <c r="I151" s="84"/>
      <c r="J151" s="159"/>
      <c r="K151" s="159"/>
      <c r="L151" s="84"/>
      <c r="M151" s="159"/>
      <c r="N151" s="159"/>
    </row>
    <row r="152" spans="2:14">
      <c r="B152" s="158">
        <v>125</v>
      </c>
      <c r="C152" s="89" t="s">
        <v>655</v>
      </c>
      <c r="D152" s="89" t="s">
        <v>459</v>
      </c>
      <c r="E152" s="89"/>
      <c r="G152" s="102"/>
      <c r="H152" s="102"/>
      <c r="I152" s="84"/>
      <c r="J152" s="159"/>
      <c r="K152" s="159"/>
      <c r="L152" s="84"/>
      <c r="M152" s="159"/>
      <c r="N152" s="159"/>
    </row>
    <row r="153" spans="2:14">
      <c r="B153" s="158">
        <v>126</v>
      </c>
      <c r="C153" s="89" t="s">
        <v>655</v>
      </c>
      <c r="D153" s="89" t="s">
        <v>460</v>
      </c>
      <c r="E153" s="89"/>
      <c r="G153" s="102"/>
      <c r="H153" s="102"/>
      <c r="I153" s="84"/>
      <c r="J153" s="159"/>
      <c r="K153" s="159"/>
      <c r="L153" s="84"/>
      <c r="M153" s="159"/>
      <c r="N153" s="159"/>
    </row>
    <row r="154" spans="2:14">
      <c r="B154" s="158">
        <v>127</v>
      </c>
      <c r="C154" s="89" t="s">
        <v>655</v>
      </c>
      <c r="D154" s="89" t="s">
        <v>461</v>
      </c>
      <c r="E154" s="89"/>
      <c r="G154" s="102"/>
      <c r="H154" s="102"/>
      <c r="I154" s="84"/>
      <c r="J154" s="159"/>
      <c r="K154" s="159"/>
      <c r="L154" s="84"/>
      <c r="M154" s="159"/>
      <c r="N154" s="159"/>
    </row>
    <row r="155" spans="2:14">
      <c r="B155" s="158">
        <v>128</v>
      </c>
      <c r="C155" s="89" t="s">
        <v>656</v>
      </c>
      <c r="D155" s="89" t="s">
        <v>663</v>
      </c>
      <c r="E155" s="89"/>
      <c r="G155" s="102"/>
      <c r="H155" s="102"/>
      <c r="I155" s="84"/>
      <c r="J155" s="159"/>
      <c r="K155" s="159"/>
      <c r="L155" s="84"/>
      <c r="M155" s="159"/>
      <c r="N155" s="159"/>
    </row>
    <row r="156" spans="2:14">
      <c r="B156" s="158">
        <v>129</v>
      </c>
      <c r="C156" s="89" t="s">
        <v>656</v>
      </c>
      <c r="D156" s="89" t="s">
        <v>586</v>
      </c>
      <c r="E156" s="89"/>
      <c r="G156" s="102"/>
      <c r="H156" s="102"/>
      <c r="I156" s="84"/>
      <c r="J156" s="159"/>
      <c r="K156" s="159"/>
      <c r="L156" s="84"/>
      <c r="M156" s="159"/>
      <c r="N156" s="159"/>
    </row>
    <row r="157" spans="2:14">
      <c r="B157" s="158">
        <v>130</v>
      </c>
      <c r="C157" s="89" t="s">
        <v>656</v>
      </c>
      <c r="D157" s="89" t="s">
        <v>7</v>
      </c>
      <c r="E157" s="89"/>
      <c r="G157" s="102"/>
      <c r="H157" s="102"/>
      <c r="I157" s="84"/>
      <c r="J157" s="159"/>
      <c r="K157" s="159"/>
      <c r="L157" s="84"/>
      <c r="M157" s="159"/>
      <c r="N157" s="159"/>
    </row>
    <row r="158" spans="2:14">
      <c r="B158" s="158">
        <v>131</v>
      </c>
      <c r="C158" s="89" t="s">
        <v>656</v>
      </c>
      <c r="D158" s="89" t="s">
        <v>458</v>
      </c>
      <c r="E158" s="89"/>
      <c r="G158" s="102"/>
      <c r="H158" s="102"/>
      <c r="I158" s="84"/>
      <c r="J158" s="159"/>
      <c r="K158" s="159"/>
      <c r="L158" s="84"/>
      <c r="M158" s="159"/>
      <c r="N158" s="159"/>
    </row>
    <row r="159" spans="2:14">
      <c r="B159" s="158">
        <v>132</v>
      </c>
      <c r="C159" s="89" t="s">
        <v>656</v>
      </c>
      <c r="D159" s="89" t="s">
        <v>459</v>
      </c>
      <c r="E159" s="89"/>
      <c r="G159" s="102"/>
      <c r="H159" s="102"/>
      <c r="I159" s="84"/>
      <c r="J159" s="159"/>
      <c r="K159" s="159"/>
      <c r="L159" s="84"/>
      <c r="M159" s="159"/>
      <c r="N159" s="159"/>
    </row>
    <row r="160" spans="2:14">
      <c r="B160" s="158">
        <v>133</v>
      </c>
      <c r="C160" s="89" t="s">
        <v>656</v>
      </c>
      <c r="D160" s="89" t="s">
        <v>460</v>
      </c>
      <c r="E160" s="89"/>
      <c r="G160" s="102"/>
      <c r="H160" s="102"/>
      <c r="I160" s="84"/>
      <c r="J160" s="159"/>
      <c r="K160" s="159"/>
      <c r="L160" s="84"/>
      <c r="M160" s="159"/>
      <c r="N160" s="159"/>
    </row>
    <row r="161" spans="2:14">
      <c r="B161" s="158">
        <v>134</v>
      </c>
      <c r="C161" s="89" t="s">
        <v>656</v>
      </c>
      <c r="D161" s="89" t="s">
        <v>461</v>
      </c>
      <c r="E161" s="89"/>
      <c r="G161" s="102"/>
      <c r="H161" s="102"/>
      <c r="I161" s="84"/>
      <c r="J161" s="159"/>
      <c r="K161" s="159"/>
      <c r="L161" s="84"/>
      <c r="M161" s="159"/>
      <c r="N161" s="159"/>
    </row>
    <row r="162" spans="2:14">
      <c r="B162" s="158">
        <v>135</v>
      </c>
      <c r="C162" s="89" t="s">
        <v>657</v>
      </c>
      <c r="D162" s="89" t="s">
        <v>664</v>
      </c>
      <c r="E162" s="89"/>
      <c r="G162" s="102"/>
      <c r="H162" s="102"/>
      <c r="I162" s="84"/>
      <c r="J162" s="159"/>
      <c r="K162" s="159"/>
      <c r="L162" s="84"/>
      <c r="M162" s="159"/>
      <c r="N162" s="159"/>
    </row>
    <row r="163" spans="2:14">
      <c r="B163" s="158">
        <v>136</v>
      </c>
      <c r="C163" s="89" t="s">
        <v>657</v>
      </c>
      <c r="D163" s="89" t="s">
        <v>586</v>
      </c>
      <c r="E163" s="89"/>
      <c r="G163" s="102"/>
      <c r="H163" s="102"/>
      <c r="I163" s="84"/>
      <c r="J163" s="159"/>
      <c r="K163" s="159"/>
      <c r="L163" s="84"/>
      <c r="M163" s="159"/>
      <c r="N163" s="159"/>
    </row>
    <row r="164" spans="2:14">
      <c r="B164" s="158">
        <v>137</v>
      </c>
      <c r="C164" s="89" t="s">
        <v>657</v>
      </c>
      <c r="D164" s="89" t="s">
        <v>7</v>
      </c>
      <c r="E164" s="89"/>
      <c r="G164" s="102"/>
      <c r="H164" s="102"/>
      <c r="I164" s="84"/>
      <c r="J164" s="159"/>
      <c r="K164" s="159"/>
      <c r="L164" s="84"/>
      <c r="M164" s="159"/>
      <c r="N164" s="159"/>
    </row>
    <row r="165" spans="2:14">
      <c r="B165" s="158">
        <v>138</v>
      </c>
      <c r="C165" s="89" t="s">
        <v>657</v>
      </c>
      <c r="D165" s="89" t="s">
        <v>458</v>
      </c>
      <c r="E165" s="89"/>
      <c r="G165" s="102"/>
      <c r="H165" s="102"/>
      <c r="I165" s="84"/>
      <c r="J165" s="159"/>
      <c r="K165" s="159"/>
      <c r="L165" s="84"/>
      <c r="M165" s="159"/>
      <c r="N165" s="159"/>
    </row>
    <row r="166" spans="2:14">
      <c r="B166" s="158">
        <v>139</v>
      </c>
      <c r="C166" s="89" t="s">
        <v>657</v>
      </c>
      <c r="D166" s="89" t="s">
        <v>459</v>
      </c>
      <c r="E166" s="89"/>
      <c r="G166" s="102"/>
      <c r="H166" s="102"/>
      <c r="I166" s="84"/>
      <c r="J166" s="159"/>
      <c r="K166" s="159"/>
      <c r="L166" s="84"/>
      <c r="M166" s="159"/>
      <c r="N166" s="159"/>
    </row>
    <row r="167" spans="2:14">
      <c r="B167" s="158">
        <v>140</v>
      </c>
      <c r="C167" s="89" t="s">
        <v>657</v>
      </c>
      <c r="D167" s="89" t="s">
        <v>460</v>
      </c>
      <c r="E167" s="89"/>
      <c r="G167" s="102"/>
      <c r="H167" s="102"/>
      <c r="I167" s="84"/>
      <c r="J167" s="159"/>
      <c r="K167" s="159"/>
      <c r="L167" s="84"/>
      <c r="M167" s="159"/>
      <c r="N167" s="159"/>
    </row>
    <row r="168" spans="2:14">
      <c r="B168" s="158">
        <v>141</v>
      </c>
      <c r="C168" s="89" t="s">
        <v>657</v>
      </c>
      <c r="D168" s="89" t="s">
        <v>461</v>
      </c>
      <c r="E168" s="89"/>
      <c r="G168" s="102"/>
      <c r="H168" s="102"/>
      <c r="I168" s="84"/>
      <c r="J168" s="159"/>
      <c r="K168" s="159"/>
      <c r="L168" s="84"/>
      <c r="M168" s="159"/>
      <c r="N168" s="159"/>
    </row>
    <row r="169" spans="2:14">
      <c r="F169" s="13"/>
      <c r="G169" s="84"/>
      <c r="H169" s="113"/>
      <c r="I169" s="113"/>
      <c r="J169" s="84"/>
      <c r="K169" s="113"/>
      <c r="L169" s="113"/>
      <c r="M169" s="84"/>
      <c r="N169" s="113"/>
    </row>
    <row r="170" spans="2:14">
      <c r="B170" s="126" t="s">
        <v>9</v>
      </c>
      <c r="C170" s="127"/>
      <c r="D170" s="128"/>
      <c r="E170" s="128"/>
      <c r="G170" s="220" t="s">
        <v>107</v>
      </c>
      <c r="H170" s="221"/>
      <c r="I170" s="141"/>
      <c r="J170" s="220" t="s">
        <v>108</v>
      </c>
      <c r="K170" s="221"/>
      <c r="L170" s="141"/>
      <c r="M170" s="218" t="s">
        <v>109</v>
      </c>
      <c r="N170" s="219"/>
    </row>
    <row r="171" spans="2:14">
      <c r="B171" s="144" t="s">
        <v>112</v>
      </c>
      <c r="C171" s="129" t="s">
        <v>110</v>
      </c>
      <c r="D171" s="129"/>
      <c r="E171" s="129" t="s">
        <v>98</v>
      </c>
      <c r="G171" s="85" t="s">
        <v>498</v>
      </c>
      <c r="H171" s="85" t="s">
        <v>100</v>
      </c>
      <c r="I171" s="141"/>
      <c r="J171" s="85" t="s">
        <v>498</v>
      </c>
      <c r="K171" s="85" t="s">
        <v>100</v>
      </c>
      <c r="L171" s="141"/>
      <c r="M171" s="85" t="s">
        <v>498</v>
      </c>
      <c r="N171" s="85" t="s">
        <v>100</v>
      </c>
    </row>
    <row r="172" spans="2:14">
      <c r="B172" s="158">
        <v>72</v>
      </c>
      <c r="C172" s="89" t="s">
        <v>587</v>
      </c>
      <c r="D172" s="89" t="s">
        <v>589</v>
      </c>
      <c r="E172" s="89"/>
      <c r="G172" s="143"/>
      <c r="H172" s="102"/>
      <c r="I172" s="84"/>
      <c r="J172" s="143"/>
      <c r="K172" s="102"/>
      <c r="L172" s="84"/>
      <c r="M172" s="143"/>
      <c r="N172" s="102"/>
    </row>
    <row r="173" spans="2:14">
      <c r="B173" s="158">
        <v>73</v>
      </c>
      <c r="C173" s="89" t="s">
        <v>587</v>
      </c>
      <c r="D173" s="89" t="s">
        <v>590</v>
      </c>
      <c r="E173" s="89" t="s">
        <v>88</v>
      </c>
      <c r="G173" s="102"/>
      <c r="H173" s="102"/>
      <c r="I173" s="84"/>
      <c r="J173" s="102"/>
      <c r="K173" s="102"/>
      <c r="L173" s="84"/>
      <c r="M173" s="102"/>
      <c r="N173" s="102"/>
    </row>
    <row r="174" spans="2:14">
      <c r="B174" s="158">
        <v>74</v>
      </c>
      <c r="C174" s="89" t="s">
        <v>588</v>
      </c>
      <c r="D174" s="89" t="s">
        <v>591</v>
      </c>
      <c r="E174" s="89"/>
      <c r="G174" s="143"/>
      <c r="H174" s="102"/>
      <c r="I174" s="84"/>
      <c r="J174" s="143"/>
      <c r="K174" s="102"/>
      <c r="L174" s="84"/>
      <c r="M174" s="143"/>
      <c r="N174" s="102"/>
    </row>
    <row r="175" spans="2:14">
      <c r="B175" s="158">
        <v>75</v>
      </c>
      <c r="C175" s="89" t="s">
        <v>588</v>
      </c>
      <c r="D175" s="89" t="s">
        <v>592</v>
      </c>
      <c r="E175" s="89" t="s">
        <v>88</v>
      </c>
      <c r="G175" s="102"/>
      <c r="H175" s="102"/>
      <c r="I175" s="84"/>
      <c r="J175" s="102"/>
      <c r="K175" s="102"/>
      <c r="L175" s="84"/>
      <c r="M175" s="102"/>
      <c r="N175" s="102"/>
    </row>
    <row r="176" spans="2:14">
      <c r="B176" s="158">
        <v>76</v>
      </c>
      <c r="C176" s="89" t="s">
        <v>665</v>
      </c>
      <c r="D176" s="89" t="s">
        <v>668</v>
      </c>
      <c r="E176" s="89"/>
      <c r="G176" s="143"/>
      <c r="H176" s="102"/>
      <c r="I176" s="84"/>
      <c r="J176" s="143"/>
      <c r="K176" s="102"/>
      <c r="L176" s="84"/>
      <c r="M176" s="143"/>
      <c r="N176" s="102"/>
    </row>
    <row r="177" spans="2:14">
      <c r="B177" s="158">
        <v>77</v>
      </c>
      <c r="C177" s="89" t="s">
        <v>665</v>
      </c>
      <c r="D177" s="89" t="s">
        <v>669</v>
      </c>
      <c r="E177" s="89" t="s">
        <v>88</v>
      </c>
      <c r="G177" s="102"/>
      <c r="H177" s="102"/>
      <c r="I177" s="84"/>
      <c r="J177" s="102"/>
      <c r="K177" s="102"/>
      <c r="L177" s="84"/>
      <c r="M177" s="102"/>
      <c r="N177" s="102"/>
    </row>
    <row r="178" spans="2:14">
      <c r="B178" s="158">
        <v>76</v>
      </c>
      <c r="C178" s="89" t="s">
        <v>666</v>
      </c>
      <c r="D178" s="89" t="s">
        <v>670</v>
      </c>
      <c r="E178" s="89"/>
      <c r="G178" s="143"/>
      <c r="H178" s="102"/>
      <c r="I178" s="84"/>
      <c r="J178" s="159"/>
      <c r="K178" s="159"/>
      <c r="L178" s="84"/>
      <c r="M178" s="159"/>
      <c r="N178" s="159"/>
    </row>
    <row r="179" spans="2:14">
      <c r="B179" s="158">
        <v>77</v>
      </c>
      <c r="C179" s="89" t="s">
        <v>666</v>
      </c>
      <c r="D179" s="89" t="s">
        <v>671</v>
      </c>
      <c r="E179" s="89" t="s">
        <v>88</v>
      </c>
      <c r="G179" s="102"/>
      <c r="H179" s="102"/>
      <c r="I179" s="84"/>
      <c r="J179" s="159"/>
      <c r="K179" s="159"/>
      <c r="L179" s="84"/>
      <c r="M179" s="159"/>
      <c r="N179" s="159"/>
    </row>
    <row r="180" spans="2:14">
      <c r="B180" s="158">
        <v>76</v>
      </c>
      <c r="C180" s="89" t="s">
        <v>667</v>
      </c>
      <c r="D180" s="89" t="s">
        <v>672</v>
      </c>
      <c r="E180" s="89"/>
      <c r="G180" s="143"/>
      <c r="H180" s="102"/>
      <c r="I180" s="84"/>
      <c r="J180" s="159"/>
      <c r="K180" s="159"/>
      <c r="L180" s="84"/>
      <c r="M180" s="159"/>
      <c r="N180" s="159"/>
    </row>
    <row r="181" spans="2:14">
      <c r="B181" s="158">
        <v>77</v>
      </c>
      <c r="C181" s="89" t="s">
        <v>667</v>
      </c>
      <c r="D181" s="89" t="s">
        <v>673</v>
      </c>
      <c r="E181" s="89" t="s">
        <v>88</v>
      </c>
      <c r="G181" s="102"/>
      <c r="H181" s="102"/>
      <c r="I181" s="84"/>
      <c r="J181" s="159"/>
      <c r="K181" s="159"/>
      <c r="L181" s="84"/>
      <c r="M181" s="159"/>
      <c r="N181" s="159"/>
    </row>
    <row r="182" spans="2:14">
      <c r="G182" s="84"/>
      <c r="H182" s="84"/>
      <c r="I182" s="84"/>
      <c r="J182" s="84"/>
      <c r="K182" s="84"/>
      <c r="L182" s="84"/>
      <c r="M182" s="84"/>
      <c r="N182" s="84"/>
    </row>
    <row r="183" spans="2:14">
      <c r="B183" s="130" t="s">
        <v>12</v>
      </c>
      <c r="C183" s="131"/>
      <c r="D183" s="131"/>
      <c r="E183" s="132"/>
      <c r="G183" s="220" t="s">
        <v>107</v>
      </c>
      <c r="H183" s="221"/>
      <c r="I183" s="141"/>
      <c r="J183" s="220" t="s">
        <v>108</v>
      </c>
      <c r="K183" s="221"/>
      <c r="L183" s="141"/>
      <c r="M183" s="218" t="s">
        <v>109</v>
      </c>
      <c r="N183" s="219"/>
    </row>
    <row r="184" spans="2:14">
      <c r="B184" s="145" t="s">
        <v>112</v>
      </c>
      <c r="C184" s="145" t="s">
        <v>110</v>
      </c>
      <c r="D184" s="145"/>
      <c r="E184" s="145" t="s">
        <v>98</v>
      </c>
      <c r="G184" s="85" t="s">
        <v>498</v>
      </c>
      <c r="H184" s="85" t="s">
        <v>100</v>
      </c>
      <c r="I184" s="141"/>
      <c r="J184" s="85" t="s">
        <v>498</v>
      </c>
      <c r="K184" s="85" t="s">
        <v>100</v>
      </c>
      <c r="L184" s="141"/>
      <c r="M184" s="85" t="s">
        <v>498</v>
      </c>
      <c r="N184" s="85" t="s">
        <v>100</v>
      </c>
    </row>
    <row r="185" spans="2:14">
      <c r="B185" s="158">
        <v>78</v>
      </c>
      <c r="C185" s="89" t="s">
        <v>594</v>
      </c>
      <c r="D185" s="89" t="s">
        <v>570</v>
      </c>
      <c r="E185" s="89"/>
      <c r="G185" s="143"/>
      <c r="H185" s="102"/>
      <c r="I185" s="84"/>
      <c r="J185" s="143"/>
      <c r="K185" s="102"/>
      <c r="L185" s="84"/>
      <c r="M185" s="143"/>
      <c r="N185" s="102"/>
    </row>
    <row r="186" spans="2:14">
      <c r="B186" s="158">
        <v>79</v>
      </c>
      <c r="C186" s="89" t="s">
        <v>594</v>
      </c>
      <c r="D186" s="89" t="s">
        <v>675</v>
      </c>
      <c r="E186" s="89" t="s">
        <v>58</v>
      </c>
      <c r="G186" s="102"/>
      <c r="H186" s="102"/>
      <c r="I186" s="84"/>
      <c r="J186" s="102"/>
      <c r="K186" s="102"/>
      <c r="L186" s="84"/>
      <c r="M186" s="102"/>
      <c r="N186" s="102"/>
    </row>
    <row r="187" spans="2:14">
      <c r="B187" s="158">
        <v>80</v>
      </c>
      <c r="C187" s="89" t="s">
        <v>595</v>
      </c>
      <c r="D187" s="89" t="s">
        <v>570</v>
      </c>
      <c r="E187" s="89"/>
      <c r="G187" s="143"/>
      <c r="H187" s="102"/>
      <c r="I187" s="84"/>
      <c r="J187" s="143"/>
      <c r="K187" s="102"/>
      <c r="L187" s="84"/>
      <c r="M187" s="143"/>
      <c r="N187" s="102"/>
    </row>
    <row r="188" spans="2:14">
      <c r="B188" s="158">
        <v>81</v>
      </c>
      <c r="C188" s="89" t="s">
        <v>595</v>
      </c>
      <c r="D188" s="89" t="s">
        <v>676</v>
      </c>
      <c r="E188" s="89" t="s">
        <v>58</v>
      </c>
      <c r="G188" s="102"/>
      <c r="H188" s="102"/>
      <c r="I188" s="84"/>
      <c r="J188" s="102"/>
      <c r="K188" s="102"/>
      <c r="L188" s="84"/>
      <c r="M188" s="102"/>
      <c r="N188" s="102"/>
    </row>
    <row r="189" spans="2:14">
      <c r="B189" s="158">
        <v>82</v>
      </c>
      <c r="C189" s="89" t="s">
        <v>674</v>
      </c>
      <c r="D189" s="89" t="s">
        <v>570</v>
      </c>
      <c r="E189" s="89"/>
      <c r="G189" s="143"/>
      <c r="H189" s="102"/>
      <c r="I189" s="84"/>
      <c r="J189" s="143"/>
      <c r="K189" s="102"/>
      <c r="L189" s="84"/>
      <c r="M189" s="143"/>
      <c r="N189" s="102"/>
    </row>
    <row r="190" spans="2:14">
      <c r="B190" s="158">
        <v>83</v>
      </c>
      <c r="C190" s="89" t="s">
        <v>674</v>
      </c>
      <c r="D190" s="89" t="s">
        <v>677</v>
      </c>
      <c r="E190" s="89" t="s">
        <v>58</v>
      </c>
      <c r="G190" s="102"/>
      <c r="H190" s="102"/>
      <c r="I190" s="84"/>
      <c r="J190" s="102"/>
      <c r="K190" s="102"/>
      <c r="L190" s="84"/>
      <c r="M190" s="102"/>
      <c r="N190" s="102"/>
    </row>
    <row r="191" spans="2:14">
      <c r="G191" s="84"/>
      <c r="H191" s="84"/>
      <c r="I191" s="84"/>
      <c r="J191" s="84"/>
      <c r="K191" s="84"/>
      <c r="L191" s="84"/>
      <c r="M191" s="84"/>
      <c r="N191" s="84"/>
    </row>
    <row r="192" spans="2:14">
      <c r="B192" s="133" t="s">
        <v>6</v>
      </c>
      <c r="C192" s="134"/>
      <c r="D192" s="135"/>
      <c r="G192" s="220" t="s">
        <v>107</v>
      </c>
      <c r="H192" s="221"/>
      <c r="I192" s="141"/>
      <c r="J192" s="220" t="s">
        <v>108</v>
      </c>
      <c r="K192" s="221"/>
      <c r="L192" s="84"/>
      <c r="M192" s="218" t="s">
        <v>109</v>
      </c>
      <c r="N192" s="219"/>
    </row>
    <row r="193" spans="2:14">
      <c r="B193" s="136" t="s">
        <v>112</v>
      </c>
      <c r="C193" s="136" t="s">
        <v>110</v>
      </c>
      <c r="D193" s="136" t="s">
        <v>98</v>
      </c>
      <c r="G193" s="85" t="s">
        <v>498</v>
      </c>
      <c r="H193" s="85" t="s">
        <v>100</v>
      </c>
      <c r="I193" s="141"/>
      <c r="J193" s="85" t="s">
        <v>498</v>
      </c>
      <c r="K193" s="85" t="s">
        <v>100</v>
      </c>
      <c r="L193" s="141"/>
      <c r="M193" s="85" t="s">
        <v>498</v>
      </c>
      <c r="N193" s="85" t="s">
        <v>100</v>
      </c>
    </row>
    <row r="194" spans="2:14">
      <c r="B194" s="103">
        <v>84</v>
      </c>
      <c r="C194" s="103" t="s">
        <v>695</v>
      </c>
      <c r="D194" s="89" t="s">
        <v>488</v>
      </c>
      <c r="G194" s="102">
        <v>0</v>
      </c>
      <c r="H194" s="102"/>
      <c r="I194" s="84"/>
      <c r="J194" s="102"/>
      <c r="K194" s="102"/>
      <c r="L194" s="84"/>
      <c r="M194" s="102"/>
      <c r="N194" s="102"/>
    </row>
    <row r="195" spans="2:14">
      <c r="B195" s="103">
        <v>85</v>
      </c>
      <c r="C195" s="103" t="s">
        <v>696</v>
      </c>
      <c r="D195" s="89" t="s">
        <v>488</v>
      </c>
      <c r="G195" s="102">
        <v>656</v>
      </c>
      <c r="H195" s="102"/>
      <c r="I195" s="84"/>
      <c r="J195" s="102"/>
      <c r="K195" s="102"/>
      <c r="L195" s="84"/>
      <c r="M195" s="102"/>
      <c r="N195" s="102"/>
    </row>
    <row r="196" spans="2:14">
      <c r="B196" s="103">
        <v>86</v>
      </c>
      <c r="C196" s="103" t="s">
        <v>697</v>
      </c>
      <c r="D196" s="89" t="s">
        <v>488</v>
      </c>
      <c r="G196" s="102">
        <v>388</v>
      </c>
      <c r="H196" s="102"/>
      <c r="I196" s="84"/>
      <c r="J196" s="102"/>
      <c r="K196" s="102"/>
      <c r="L196" s="84"/>
      <c r="M196" s="102"/>
      <c r="N196" s="102"/>
    </row>
    <row r="197" spans="2:14">
      <c r="B197" s="103">
        <v>87</v>
      </c>
      <c r="C197" s="103" t="s">
        <v>698</v>
      </c>
      <c r="D197" s="89" t="s">
        <v>488</v>
      </c>
      <c r="G197" s="102">
        <v>597</v>
      </c>
      <c r="H197" s="102"/>
      <c r="I197" s="84"/>
      <c r="J197" s="102"/>
      <c r="K197" s="102"/>
      <c r="L197" s="84"/>
      <c r="M197" s="102"/>
      <c r="N197" s="102"/>
    </row>
    <row r="198" spans="2:14">
      <c r="B198" s="103">
        <v>88</v>
      </c>
      <c r="C198" s="103" t="s">
        <v>699</v>
      </c>
      <c r="D198" s="89" t="s">
        <v>488</v>
      </c>
      <c r="E198" s="1"/>
      <c r="G198" s="102">
        <v>149</v>
      </c>
      <c r="H198" s="102"/>
      <c r="I198" s="84"/>
      <c r="J198" s="102"/>
      <c r="K198" s="102"/>
      <c r="L198" s="84"/>
      <c r="M198" s="102"/>
      <c r="N198" s="102"/>
    </row>
    <row r="199" spans="2:14">
      <c r="B199" s="103">
        <v>89</v>
      </c>
      <c r="C199" s="103" t="s">
        <v>700</v>
      </c>
      <c r="D199" s="89" t="s">
        <v>488</v>
      </c>
      <c r="E199" s="1"/>
      <c r="G199" s="102">
        <v>395</v>
      </c>
      <c r="H199" s="102"/>
      <c r="I199" s="84"/>
      <c r="J199" s="102"/>
      <c r="K199" s="102"/>
      <c r="L199" s="84"/>
      <c r="M199" s="102"/>
      <c r="N199" s="102"/>
    </row>
    <row r="200" spans="2:14">
      <c r="B200" s="103">
        <v>90</v>
      </c>
      <c r="C200" s="103" t="s">
        <v>701</v>
      </c>
      <c r="D200" s="89" t="s">
        <v>488</v>
      </c>
      <c r="E200" s="1"/>
      <c r="G200" s="102"/>
      <c r="H200" s="102"/>
      <c r="I200" s="84"/>
      <c r="J200" s="102"/>
      <c r="K200" s="102"/>
      <c r="L200" s="84"/>
      <c r="M200" s="102"/>
      <c r="N200" s="102"/>
    </row>
    <row r="201" spans="2:14">
      <c r="B201" s="103">
        <v>91</v>
      </c>
      <c r="C201" s="103" t="s">
        <v>702</v>
      </c>
      <c r="D201" s="89" t="s">
        <v>488</v>
      </c>
      <c r="E201" s="1"/>
      <c r="G201" s="102"/>
      <c r="H201" s="102"/>
      <c r="I201" s="84"/>
      <c r="J201" s="102"/>
      <c r="K201" s="102"/>
      <c r="L201" s="84"/>
      <c r="M201" s="102"/>
      <c r="N201" s="102"/>
    </row>
    <row r="202" spans="2:14">
      <c r="B202" s="103">
        <v>92</v>
      </c>
      <c r="C202" s="103" t="s">
        <v>703</v>
      </c>
      <c r="D202" s="89" t="s">
        <v>488</v>
      </c>
      <c r="E202" s="1"/>
      <c r="G202" s="102"/>
      <c r="H202" s="102"/>
      <c r="I202" s="84"/>
      <c r="J202" s="102"/>
      <c r="K202" s="102"/>
      <c r="L202" s="84"/>
      <c r="M202" s="102"/>
      <c r="N202" s="102"/>
    </row>
    <row r="203" spans="2:14">
      <c r="B203" s="103">
        <v>93</v>
      </c>
      <c r="C203" s="103" t="s">
        <v>704</v>
      </c>
      <c r="D203" s="89" t="s">
        <v>488</v>
      </c>
      <c r="E203" s="1"/>
      <c r="G203" s="102"/>
      <c r="H203" s="102"/>
      <c r="I203" s="84"/>
      <c r="J203" s="102"/>
      <c r="K203" s="102"/>
      <c r="L203" s="84"/>
      <c r="M203" s="102"/>
      <c r="N203" s="102"/>
    </row>
    <row r="204" spans="2:14">
      <c r="B204" s="103">
        <v>94</v>
      </c>
      <c r="C204" s="103" t="s">
        <v>705</v>
      </c>
      <c r="D204" s="89" t="s">
        <v>488</v>
      </c>
      <c r="E204" s="1"/>
      <c r="G204" s="102"/>
      <c r="H204" s="102"/>
      <c r="I204" s="84"/>
      <c r="J204" s="102"/>
      <c r="K204" s="102"/>
      <c r="L204" s="84"/>
      <c r="M204" s="102"/>
      <c r="N204" s="102"/>
    </row>
    <row r="205" spans="2:14">
      <c r="B205" s="103">
        <v>95</v>
      </c>
      <c r="C205" s="103" t="s">
        <v>706</v>
      </c>
      <c r="D205" s="89" t="s">
        <v>488</v>
      </c>
      <c r="E205" s="1"/>
      <c r="G205" s="102"/>
      <c r="H205" s="102"/>
      <c r="I205" s="84"/>
      <c r="J205" s="102"/>
      <c r="K205" s="102"/>
      <c r="L205" s="84"/>
      <c r="M205" s="102"/>
      <c r="N205" s="102"/>
    </row>
    <row r="206" spans="2:14">
      <c r="B206" s="103">
        <v>96</v>
      </c>
      <c r="C206" s="103" t="s">
        <v>707</v>
      </c>
      <c r="D206" s="89" t="s">
        <v>488</v>
      </c>
      <c r="E206" s="1"/>
      <c r="G206" s="102"/>
      <c r="H206" s="102"/>
      <c r="I206" s="84"/>
      <c r="J206" s="102"/>
      <c r="K206" s="102"/>
      <c r="L206" s="84"/>
      <c r="M206" s="102"/>
      <c r="N206" s="102"/>
    </row>
    <row r="207" spans="2:14">
      <c r="B207" s="103">
        <v>97</v>
      </c>
      <c r="C207" s="103" t="s">
        <v>708</v>
      </c>
      <c r="D207" s="89" t="s">
        <v>488</v>
      </c>
      <c r="E207" s="1"/>
      <c r="G207" s="102"/>
      <c r="H207" s="102"/>
      <c r="I207" s="84"/>
      <c r="J207" s="102"/>
      <c r="K207" s="102"/>
      <c r="L207" s="84"/>
      <c r="M207" s="102"/>
      <c r="N207" s="102"/>
    </row>
    <row r="208" spans="2:14">
      <c r="B208" s="103">
        <v>98</v>
      </c>
      <c r="C208" s="103" t="s">
        <v>709</v>
      </c>
      <c r="D208" s="89" t="s">
        <v>488</v>
      </c>
      <c r="E208" s="1"/>
      <c r="G208" s="102"/>
      <c r="H208" s="102"/>
      <c r="I208" s="84"/>
      <c r="J208" s="102"/>
      <c r="K208" s="102"/>
      <c r="L208" s="84"/>
      <c r="M208" s="102"/>
      <c r="N208" s="102"/>
    </row>
    <row r="209" spans="2:14">
      <c r="B209" s="103">
        <v>99</v>
      </c>
      <c r="C209" s="103" t="s">
        <v>713</v>
      </c>
      <c r="D209" s="89" t="s">
        <v>488</v>
      </c>
      <c r="E209" s="1"/>
      <c r="G209" s="102"/>
      <c r="H209" s="102"/>
      <c r="I209" s="84"/>
      <c r="J209" s="102"/>
      <c r="K209" s="102"/>
      <c r="L209" s="84"/>
      <c r="M209" s="102"/>
      <c r="N209" s="102"/>
    </row>
    <row r="210" spans="2:14">
      <c r="B210" s="103">
        <v>100</v>
      </c>
      <c r="C210" s="103" t="s">
        <v>718</v>
      </c>
      <c r="D210" s="89" t="s">
        <v>488</v>
      </c>
      <c r="E210" s="1"/>
      <c r="G210" s="102"/>
      <c r="H210" s="102"/>
      <c r="I210" s="84"/>
      <c r="J210" s="102"/>
      <c r="K210" s="102"/>
      <c r="L210" s="84"/>
      <c r="M210" s="102"/>
      <c r="N210" s="102"/>
    </row>
    <row r="211" spans="2:14">
      <c r="B211" s="103">
        <v>101</v>
      </c>
      <c r="C211" s="103" t="s">
        <v>714</v>
      </c>
      <c r="D211" s="89" t="s">
        <v>488</v>
      </c>
      <c r="E211" s="1"/>
      <c r="G211" s="102"/>
      <c r="H211" s="102"/>
      <c r="I211" s="84"/>
      <c r="J211" s="102"/>
      <c r="K211" s="102"/>
      <c r="L211" s="84"/>
      <c r="M211" s="102"/>
      <c r="N211" s="102"/>
    </row>
    <row r="212" spans="2:14">
      <c r="B212" s="103">
        <v>102</v>
      </c>
      <c r="C212" s="103" t="s">
        <v>715</v>
      </c>
      <c r="D212" s="89" t="s">
        <v>488</v>
      </c>
      <c r="E212" s="1"/>
      <c r="G212" s="102"/>
      <c r="H212" s="102"/>
      <c r="I212" s="84"/>
      <c r="J212" s="102"/>
      <c r="K212" s="102"/>
      <c r="L212" s="84"/>
      <c r="M212" s="102"/>
      <c r="N212" s="102"/>
    </row>
    <row r="213" spans="2:14">
      <c r="B213" s="103">
        <v>103</v>
      </c>
      <c r="C213" s="103" t="s">
        <v>716</v>
      </c>
      <c r="D213" s="89" t="s">
        <v>488</v>
      </c>
      <c r="E213" s="1"/>
      <c r="G213" s="102"/>
      <c r="H213" s="102"/>
      <c r="I213" s="84"/>
      <c r="J213" s="102"/>
      <c r="K213" s="102"/>
      <c r="L213" s="84"/>
      <c r="M213" s="102"/>
      <c r="N213" s="102"/>
    </row>
    <row r="214" spans="2:14">
      <c r="B214" s="103">
        <v>104</v>
      </c>
      <c r="C214" s="103" t="s">
        <v>717</v>
      </c>
      <c r="D214" s="89" t="s">
        <v>488</v>
      </c>
      <c r="E214" s="1"/>
      <c r="G214" s="102"/>
      <c r="H214" s="102"/>
      <c r="I214" s="84"/>
      <c r="J214" s="102"/>
      <c r="K214" s="102"/>
      <c r="L214" s="84"/>
      <c r="M214" s="102"/>
      <c r="N214" s="102"/>
    </row>
    <row r="215" spans="2:14">
      <c r="B215" s="103">
        <v>105</v>
      </c>
      <c r="C215" s="103" t="s">
        <v>712</v>
      </c>
      <c r="D215" s="89" t="s">
        <v>488</v>
      </c>
      <c r="E215" s="1"/>
      <c r="G215" s="102"/>
      <c r="H215" s="102"/>
      <c r="I215" s="84"/>
      <c r="J215" s="102"/>
      <c r="K215" s="102"/>
      <c r="L215" s="84"/>
      <c r="M215" s="102"/>
      <c r="N215" s="102"/>
    </row>
    <row r="216" spans="2:14">
      <c r="B216" s="103">
        <v>106</v>
      </c>
      <c r="C216" s="103" t="s">
        <v>711</v>
      </c>
      <c r="D216" s="89" t="s">
        <v>488</v>
      </c>
      <c r="E216" s="1"/>
      <c r="G216" s="102">
        <v>895</v>
      </c>
      <c r="H216" s="102"/>
      <c r="I216" s="84"/>
      <c r="J216" s="102"/>
      <c r="K216" s="102"/>
      <c r="L216" s="84"/>
      <c r="M216" s="102"/>
      <c r="N216" s="102"/>
    </row>
    <row r="217" spans="2:14">
      <c r="B217" s="103">
        <v>107</v>
      </c>
      <c r="C217" s="103" t="s">
        <v>710</v>
      </c>
      <c r="D217" s="89" t="s">
        <v>488</v>
      </c>
      <c r="E217" s="1"/>
      <c r="G217" s="102"/>
      <c r="H217" s="102"/>
      <c r="I217" s="84"/>
      <c r="J217" s="102"/>
      <c r="K217" s="102"/>
      <c r="L217" s="84"/>
      <c r="M217" s="102"/>
      <c r="N217" s="102"/>
    </row>
    <row r="218" spans="2:14">
      <c r="B218" s="103">
        <v>108</v>
      </c>
      <c r="C218" s="103" t="s">
        <v>719</v>
      </c>
      <c r="D218" s="89" t="s">
        <v>488</v>
      </c>
      <c r="E218" s="1"/>
      <c r="G218" s="102">
        <v>395</v>
      </c>
      <c r="H218" s="102"/>
      <c r="I218" s="84"/>
      <c r="J218" s="102"/>
      <c r="K218" s="102"/>
      <c r="L218" s="84"/>
      <c r="M218" s="102"/>
      <c r="N218" s="102"/>
    </row>
    <row r="219" spans="2:14">
      <c r="G219" s="84"/>
      <c r="H219" s="84"/>
      <c r="I219" s="84"/>
      <c r="J219" s="84"/>
      <c r="K219" s="84"/>
      <c r="L219" s="84"/>
      <c r="M219" s="84"/>
      <c r="N219" s="84"/>
    </row>
    <row r="220" spans="2:14">
      <c r="B220" s="130" t="s">
        <v>336</v>
      </c>
      <c r="C220" s="131"/>
      <c r="D220" s="131"/>
      <c r="E220" s="1"/>
      <c r="G220" s="220" t="s">
        <v>107</v>
      </c>
      <c r="H220" s="221"/>
      <c r="I220" s="141"/>
      <c r="J220" s="220" t="s">
        <v>108</v>
      </c>
      <c r="K220" s="221"/>
      <c r="L220" s="141"/>
      <c r="M220" s="218" t="s">
        <v>109</v>
      </c>
      <c r="N220" s="219"/>
    </row>
    <row r="221" spans="2:14">
      <c r="B221" s="106" t="s">
        <v>112</v>
      </c>
      <c r="C221" s="106" t="s">
        <v>110</v>
      </c>
      <c r="D221" s="106" t="s">
        <v>98</v>
      </c>
      <c r="E221" s="1"/>
      <c r="G221" s="85" t="s">
        <v>498</v>
      </c>
      <c r="H221" s="85" t="s">
        <v>100</v>
      </c>
      <c r="I221" s="141"/>
      <c r="J221" s="85" t="s">
        <v>498</v>
      </c>
      <c r="K221" s="85" t="s">
        <v>100</v>
      </c>
      <c r="L221" s="141"/>
      <c r="M221" s="85" t="s">
        <v>498</v>
      </c>
      <c r="N221" s="85" t="s">
        <v>100</v>
      </c>
    </row>
    <row r="222" spans="2:14">
      <c r="B222" s="158">
        <v>109</v>
      </c>
      <c r="C222" s="89" t="s">
        <v>359</v>
      </c>
      <c r="D222" s="89" t="s">
        <v>113</v>
      </c>
      <c r="G222" s="102"/>
      <c r="H222" s="102"/>
      <c r="I222" s="84"/>
      <c r="J222" s="102"/>
      <c r="K222" s="102"/>
      <c r="L222" s="84"/>
      <c r="M222" s="102"/>
      <c r="N222" s="102"/>
    </row>
    <row r="223" spans="2:14">
      <c r="B223" s="158">
        <v>110</v>
      </c>
      <c r="C223" s="89" t="s">
        <v>360</v>
      </c>
      <c r="D223" s="89" t="s">
        <v>113</v>
      </c>
      <c r="G223" s="102"/>
      <c r="H223" s="102"/>
      <c r="I223" s="84"/>
      <c r="J223" s="102"/>
      <c r="K223" s="102"/>
      <c r="L223" s="84"/>
      <c r="M223" s="102"/>
      <c r="N223" s="102"/>
    </row>
    <row r="224" spans="2:14">
      <c r="B224" s="158">
        <v>111</v>
      </c>
      <c r="C224" s="89" t="s">
        <v>361</v>
      </c>
      <c r="D224" s="89" t="s">
        <v>113</v>
      </c>
      <c r="G224" s="102"/>
      <c r="H224" s="102"/>
      <c r="I224" s="84"/>
      <c r="J224" s="102"/>
      <c r="K224" s="102"/>
      <c r="L224" s="84"/>
      <c r="M224" s="102"/>
      <c r="N224" s="102"/>
    </row>
    <row r="225" spans="2:14">
      <c r="B225" s="158">
        <v>112</v>
      </c>
      <c r="C225" s="89" t="s">
        <v>281</v>
      </c>
      <c r="D225" s="89" t="str">
        <f>IFERROR(VLOOKUP('General Information'!$D$6, Validations!$L$2:$M$8, 2,FALSE), "")</f>
        <v>€/ha</v>
      </c>
      <c r="G225" s="102"/>
      <c r="H225" s="102"/>
      <c r="I225" s="84"/>
      <c r="J225" s="102"/>
      <c r="K225" s="102"/>
      <c r="L225" s="84"/>
      <c r="M225" s="102"/>
      <c r="N225" s="102"/>
    </row>
    <row r="226" spans="2:14">
      <c r="B226" s="158">
        <v>113</v>
      </c>
      <c r="C226" s="89" t="s">
        <v>609</v>
      </c>
      <c r="D226" s="89" t="s">
        <v>105</v>
      </c>
      <c r="G226" s="102">
        <v>12</v>
      </c>
      <c r="H226" s="102"/>
      <c r="I226" s="84"/>
      <c r="J226" s="102"/>
      <c r="K226" s="102"/>
      <c r="L226" s="84"/>
      <c r="M226" s="102"/>
      <c r="N226" s="102"/>
    </row>
    <row r="227" spans="2:14">
      <c r="B227" s="158">
        <v>114</v>
      </c>
      <c r="C227" s="89" t="s">
        <v>363</v>
      </c>
      <c r="D227" s="89" t="s">
        <v>105</v>
      </c>
      <c r="G227" s="102">
        <v>13.5</v>
      </c>
      <c r="H227" s="102"/>
      <c r="I227" s="84"/>
      <c r="J227" s="102"/>
      <c r="K227" s="102"/>
      <c r="L227" s="84"/>
      <c r="M227" s="102"/>
      <c r="N227" s="102"/>
    </row>
    <row r="228" spans="2:14">
      <c r="B228" s="158">
        <v>115</v>
      </c>
      <c r="C228" s="89" t="s">
        <v>364</v>
      </c>
      <c r="D228" s="89" t="s">
        <v>365</v>
      </c>
      <c r="G228" s="102">
        <v>71.5</v>
      </c>
      <c r="H228" s="102"/>
      <c r="I228" s="84"/>
      <c r="J228" s="102"/>
      <c r="K228" s="102"/>
      <c r="L228" s="84"/>
      <c r="M228" s="102"/>
      <c r="N228" s="102"/>
    </row>
    <row r="229" spans="2:14">
      <c r="G229" s="84"/>
      <c r="H229" s="84"/>
      <c r="I229" s="84"/>
      <c r="J229" s="84"/>
      <c r="K229" s="84"/>
      <c r="L229" s="84"/>
      <c r="M229" s="84"/>
      <c r="N229" s="84"/>
    </row>
    <row r="230" spans="2:14">
      <c r="B230" s="122" t="s">
        <v>278</v>
      </c>
      <c r="C230" s="123"/>
      <c r="D230" s="123"/>
      <c r="E230" s="137"/>
      <c r="G230" s="220" t="s">
        <v>107</v>
      </c>
      <c r="H230" s="221"/>
      <c r="I230" s="141"/>
      <c r="J230" s="220" t="s">
        <v>108</v>
      </c>
      <c r="K230" s="221"/>
      <c r="L230" s="141"/>
      <c r="M230" s="218" t="s">
        <v>109</v>
      </c>
      <c r="N230" s="219"/>
    </row>
    <row r="231" spans="2:14">
      <c r="B231" s="125" t="s">
        <v>112</v>
      </c>
      <c r="C231" s="125" t="s">
        <v>110</v>
      </c>
      <c r="D231" s="125" t="s">
        <v>98</v>
      </c>
      <c r="E231" s="138"/>
      <c r="G231" s="85" t="s">
        <v>498</v>
      </c>
      <c r="H231" s="85" t="s">
        <v>100</v>
      </c>
      <c r="I231" s="141"/>
      <c r="J231" s="85" t="s">
        <v>498</v>
      </c>
      <c r="K231" s="85" t="s">
        <v>100</v>
      </c>
      <c r="L231" s="141"/>
      <c r="M231" s="85" t="s">
        <v>498</v>
      </c>
      <c r="N231" s="85" t="s">
        <v>100</v>
      </c>
    </row>
    <row r="232" spans="2:14">
      <c r="B232" s="158">
        <v>116</v>
      </c>
      <c r="C232" s="89" t="s">
        <v>559</v>
      </c>
      <c r="D232" s="89" t="s">
        <v>113</v>
      </c>
      <c r="G232" s="102"/>
      <c r="H232" s="102"/>
      <c r="I232" s="84"/>
      <c r="J232" s="102"/>
      <c r="K232" s="102"/>
      <c r="L232" s="84"/>
      <c r="M232" s="102"/>
      <c r="N232" s="102"/>
    </row>
    <row r="233" spans="2:14">
      <c r="B233" s="158">
        <v>117</v>
      </c>
      <c r="C233" s="89" t="s">
        <v>114</v>
      </c>
      <c r="D233" s="89" t="s">
        <v>113</v>
      </c>
      <c r="G233" s="102"/>
      <c r="H233" s="102"/>
      <c r="I233" s="84"/>
      <c r="J233" s="102"/>
      <c r="K233" s="102"/>
      <c r="L233" s="84"/>
      <c r="M233" s="102"/>
      <c r="N233" s="102"/>
    </row>
    <row r="234" spans="2:14">
      <c r="B234" s="158">
        <v>118</v>
      </c>
      <c r="C234" s="89" t="s">
        <v>124</v>
      </c>
      <c r="D234" s="89" t="s">
        <v>113</v>
      </c>
      <c r="G234" s="102"/>
      <c r="H234" s="102"/>
      <c r="I234" s="84"/>
      <c r="J234" s="102"/>
      <c r="K234" s="102"/>
      <c r="L234" s="84"/>
      <c r="M234" s="102"/>
      <c r="N234" s="102"/>
    </row>
    <row r="235" spans="2:14">
      <c r="B235" s="158">
        <v>119</v>
      </c>
      <c r="C235" s="89" t="s">
        <v>131</v>
      </c>
      <c r="D235" s="89" t="s">
        <v>113</v>
      </c>
      <c r="G235" s="102"/>
      <c r="H235" s="102"/>
      <c r="I235" s="84"/>
      <c r="J235" s="102"/>
      <c r="K235" s="102"/>
      <c r="L235" s="84"/>
      <c r="M235" s="102"/>
      <c r="N235" s="102"/>
    </row>
    <row r="236" spans="2:14">
      <c r="B236" s="158">
        <v>120</v>
      </c>
      <c r="C236" s="89" t="s">
        <v>130</v>
      </c>
      <c r="D236" s="89" t="s">
        <v>62</v>
      </c>
      <c r="G236" s="102"/>
      <c r="H236" s="102"/>
      <c r="I236" s="84"/>
      <c r="J236" s="102"/>
      <c r="K236" s="102"/>
      <c r="L236" s="84"/>
      <c r="M236" s="102"/>
      <c r="N236" s="102"/>
    </row>
    <row r="237" spans="2:14">
      <c r="B237" s="158">
        <v>121</v>
      </c>
      <c r="C237" s="89" t="s">
        <v>327</v>
      </c>
      <c r="D237" s="90" t="s">
        <v>113</v>
      </c>
      <c r="G237" s="102"/>
      <c r="H237" s="102"/>
      <c r="I237" s="84"/>
      <c r="J237" s="102"/>
      <c r="K237" s="102"/>
      <c r="L237" s="84"/>
      <c r="M237" s="102"/>
      <c r="N237" s="102"/>
    </row>
    <row r="238" spans="2:14" ht="18">
      <c r="C238" s="139"/>
      <c r="G238" s="84"/>
      <c r="H238" s="84"/>
      <c r="I238" s="84"/>
      <c r="J238" s="84"/>
      <c r="K238" s="84"/>
      <c r="L238" s="84"/>
      <c r="M238" s="84"/>
      <c r="N238" s="84"/>
    </row>
    <row r="239" spans="2:14">
      <c r="B239" s="114" t="s">
        <v>279</v>
      </c>
      <c r="C239" s="115"/>
      <c r="D239" s="116"/>
      <c r="E239" s="11"/>
      <c r="G239" s="220" t="s">
        <v>107</v>
      </c>
      <c r="H239" s="221"/>
      <c r="I239" s="141"/>
      <c r="J239" s="220" t="s">
        <v>108</v>
      </c>
      <c r="K239" s="221"/>
      <c r="L239" s="141"/>
      <c r="M239" s="218" t="s">
        <v>109</v>
      </c>
      <c r="N239" s="219"/>
    </row>
    <row r="240" spans="2:14">
      <c r="B240" s="117" t="s">
        <v>112</v>
      </c>
      <c r="C240" s="117" t="s">
        <v>110</v>
      </c>
      <c r="D240" s="117" t="s">
        <v>98</v>
      </c>
      <c r="E240" s="17"/>
      <c r="G240" s="85" t="s">
        <v>498</v>
      </c>
      <c r="H240" s="85" t="s">
        <v>100</v>
      </c>
      <c r="I240" s="141"/>
      <c r="J240" s="85" t="s">
        <v>498</v>
      </c>
      <c r="K240" s="85" t="s">
        <v>100</v>
      </c>
      <c r="L240" s="141"/>
      <c r="M240" s="85" t="s">
        <v>498</v>
      </c>
      <c r="N240" s="85" t="s">
        <v>100</v>
      </c>
    </row>
    <row r="241" spans="2:14">
      <c r="B241" s="158">
        <v>122</v>
      </c>
      <c r="C241" s="89" t="s">
        <v>132</v>
      </c>
      <c r="D241" s="89" t="s">
        <v>113</v>
      </c>
      <c r="G241" s="102"/>
      <c r="H241" s="102"/>
      <c r="I241" s="84"/>
      <c r="J241" s="102"/>
      <c r="K241" s="102"/>
      <c r="L241" s="84"/>
      <c r="M241" s="102"/>
      <c r="N241" s="102"/>
    </row>
    <row r="242" spans="2:14">
      <c r="B242" s="158">
        <v>123</v>
      </c>
      <c r="C242" s="89" t="s">
        <v>115</v>
      </c>
      <c r="D242" s="89" t="s">
        <v>113</v>
      </c>
      <c r="G242" s="102"/>
      <c r="H242" s="102"/>
      <c r="I242" s="84"/>
      <c r="J242" s="102"/>
      <c r="K242" s="102"/>
      <c r="L242" s="84"/>
      <c r="M242" s="102"/>
      <c r="N242" s="102"/>
    </row>
    <row r="243" spans="2:14">
      <c r="B243" s="158">
        <v>124</v>
      </c>
      <c r="C243" s="89" t="s">
        <v>133</v>
      </c>
      <c r="D243" s="89" t="s">
        <v>60</v>
      </c>
      <c r="G243" s="102">
        <v>2431</v>
      </c>
      <c r="H243" s="102"/>
      <c r="I243" s="84"/>
      <c r="J243" s="102"/>
      <c r="K243" s="102"/>
      <c r="L243" s="84"/>
      <c r="M243" s="102"/>
      <c r="N243" s="102"/>
    </row>
    <row r="244" spans="2:14">
      <c r="B244" s="158">
        <v>125</v>
      </c>
      <c r="C244" s="89" t="s">
        <v>277</v>
      </c>
      <c r="D244" s="89" t="s">
        <v>113</v>
      </c>
      <c r="G244" s="102">
        <v>40</v>
      </c>
      <c r="H244" s="102"/>
      <c r="I244" s="84"/>
      <c r="J244" s="102"/>
      <c r="K244" s="102"/>
      <c r="L244" s="84"/>
      <c r="M244" s="102"/>
      <c r="N244" s="102"/>
    </row>
    <row r="245" spans="2:14">
      <c r="B245" s="158">
        <v>126</v>
      </c>
      <c r="C245" s="89" t="s">
        <v>134</v>
      </c>
      <c r="D245" s="89" t="s">
        <v>113</v>
      </c>
      <c r="G245" s="102"/>
      <c r="H245" s="102"/>
      <c r="I245" s="84"/>
      <c r="J245" s="102"/>
      <c r="K245" s="102"/>
      <c r="L245" s="84"/>
      <c r="M245" s="102"/>
      <c r="N245" s="102"/>
    </row>
    <row r="246" spans="2:14">
      <c r="B246" s="158">
        <v>127</v>
      </c>
      <c r="C246" s="89" t="s">
        <v>135</v>
      </c>
      <c r="D246" s="89" t="s">
        <v>113</v>
      </c>
      <c r="G246" s="102"/>
      <c r="H246" s="102"/>
      <c r="I246" s="84"/>
      <c r="J246" s="102"/>
      <c r="K246" s="102"/>
      <c r="L246" s="84"/>
      <c r="M246" s="102"/>
      <c r="N246" s="102"/>
    </row>
    <row r="247" spans="2:14">
      <c r="G247" s="84"/>
      <c r="H247" s="84"/>
      <c r="I247" s="84"/>
      <c r="J247" s="84"/>
      <c r="K247" s="84"/>
      <c r="L247" s="84"/>
      <c r="M247" s="84"/>
      <c r="N247" s="84"/>
    </row>
    <row r="248" spans="2:14">
      <c r="B248" s="133" t="s">
        <v>116</v>
      </c>
      <c r="C248" s="134"/>
      <c r="D248" s="135"/>
      <c r="E248" s="11"/>
      <c r="G248" s="220" t="s">
        <v>107</v>
      </c>
      <c r="H248" s="221"/>
      <c r="I248" s="141"/>
      <c r="J248" s="220" t="s">
        <v>108</v>
      </c>
      <c r="K248" s="221"/>
      <c r="L248" s="141"/>
      <c r="M248" s="218" t="s">
        <v>109</v>
      </c>
      <c r="N248" s="219"/>
    </row>
    <row r="249" spans="2:14">
      <c r="B249" s="136" t="s">
        <v>112</v>
      </c>
      <c r="C249" s="136" t="s">
        <v>110</v>
      </c>
      <c r="D249" s="136" t="s">
        <v>98</v>
      </c>
      <c r="E249" s="17"/>
      <c r="G249" s="85" t="s">
        <v>498</v>
      </c>
      <c r="H249" s="85" t="s">
        <v>100</v>
      </c>
      <c r="I249" s="141"/>
      <c r="J249" s="85" t="s">
        <v>498</v>
      </c>
      <c r="K249" s="85" t="s">
        <v>100</v>
      </c>
      <c r="L249" s="141"/>
      <c r="M249" s="85" t="s">
        <v>498</v>
      </c>
      <c r="N249" s="85" t="s">
        <v>100</v>
      </c>
    </row>
    <row r="250" spans="2:14">
      <c r="B250" s="158">
        <v>128</v>
      </c>
      <c r="C250" s="140" t="s">
        <v>417</v>
      </c>
      <c r="D250" s="140" t="s">
        <v>88</v>
      </c>
      <c r="G250" s="102">
        <v>1160</v>
      </c>
      <c r="H250" s="102"/>
      <c r="I250" s="84"/>
      <c r="J250" s="102"/>
      <c r="K250" s="102"/>
      <c r="L250" s="84"/>
      <c r="M250" s="102"/>
      <c r="N250" s="102"/>
    </row>
    <row r="251" spans="2:14">
      <c r="B251" s="158">
        <v>129</v>
      </c>
      <c r="C251" s="89" t="s">
        <v>117</v>
      </c>
      <c r="D251" s="89" t="s">
        <v>780</v>
      </c>
      <c r="G251" s="102"/>
      <c r="H251" s="102"/>
      <c r="I251" s="84"/>
      <c r="J251" s="102"/>
      <c r="K251" s="102"/>
      <c r="L251" s="84"/>
      <c r="M251" s="102"/>
      <c r="N251" s="102"/>
    </row>
    <row r="252" spans="2:14">
      <c r="B252" s="158">
        <v>130</v>
      </c>
      <c r="C252" s="89" t="s">
        <v>118</v>
      </c>
      <c r="D252" s="89" t="s">
        <v>779</v>
      </c>
      <c r="G252" s="102"/>
      <c r="H252" s="102"/>
      <c r="I252" s="84"/>
      <c r="J252" s="102"/>
      <c r="K252" s="102"/>
      <c r="L252" s="84"/>
      <c r="M252" s="102"/>
      <c r="N252" s="102"/>
    </row>
    <row r="253" spans="2:14">
      <c r="B253" s="158">
        <v>131</v>
      </c>
      <c r="C253" s="89" t="s">
        <v>520</v>
      </c>
      <c r="D253" s="89" t="s">
        <v>113</v>
      </c>
      <c r="G253" s="102"/>
      <c r="H253" s="102"/>
      <c r="I253" s="84"/>
      <c r="J253" s="102"/>
      <c r="K253" s="102"/>
      <c r="L253" s="84"/>
      <c r="M253" s="102"/>
      <c r="N253" s="102"/>
    </row>
    <row r="254" spans="2:14">
      <c r="B254" s="158">
        <v>132</v>
      </c>
      <c r="C254" s="89" t="s">
        <v>119</v>
      </c>
      <c r="D254" s="89" t="s">
        <v>355</v>
      </c>
      <c r="G254" s="102"/>
      <c r="H254" s="102"/>
      <c r="I254" s="84"/>
      <c r="J254" s="102"/>
      <c r="K254" s="102"/>
      <c r="L254" s="84"/>
      <c r="M254" s="102"/>
      <c r="N254" s="102"/>
    </row>
    <row r="255" spans="2:14">
      <c r="B255" s="158">
        <v>133</v>
      </c>
      <c r="C255" s="89" t="s">
        <v>120</v>
      </c>
      <c r="D255" s="89" t="s">
        <v>68</v>
      </c>
      <c r="G255" s="102"/>
      <c r="H255" s="102"/>
      <c r="I255" s="84"/>
      <c r="J255" s="102"/>
      <c r="K255" s="102"/>
      <c r="L255" s="84"/>
      <c r="M255" s="102"/>
      <c r="N255" s="102"/>
    </row>
    <row r="256" spans="2:14">
      <c r="B256" s="158">
        <v>134</v>
      </c>
      <c r="C256" s="89" t="s">
        <v>523</v>
      </c>
      <c r="D256" s="89" t="s">
        <v>88</v>
      </c>
      <c r="G256" s="102"/>
      <c r="H256" s="102"/>
      <c r="I256" s="84"/>
      <c r="J256" s="102"/>
      <c r="K256" s="102"/>
      <c r="L256" s="84"/>
      <c r="M256" s="102"/>
      <c r="N256" s="10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9"/>
  <sheetViews>
    <sheetView workbookViewId="0"/>
  </sheetViews>
  <sheetFormatPr baseColWidth="10" defaultRowHeight="16"/>
  <sheetData>
    <row r="1" spans="1:13" ht="34">
      <c r="A1" s="46" t="s">
        <v>181</v>
      </c>
      <c r="M1" s="38"/>
    </row>
    <row r="2" spans="1:13">
      <c r="A2" s="47" t="s">
        <v>166</v>
      </c>
      <c r="B2" s="47" t="s">
        <v>138</v>
      </c>
      <c r="C2" s="47" t="s">
        <v>139</v>
      </c>
      <c r="D2" s="47" t="s">
        <v>140</v>
      </c>
      <c r="E2" s="47" t="s">
        <v>195</v>
      </c>
      <c r="F2" s="47" t="s">
        <v>194</v>
      </c>
      <c r="G2" s="50"/>
    </row>
    <row r="3" spans="1:13" ht="306">
      <c r="A3" s="33" t="s">
        <v>0</v>
      </c>
      <c r="B3" s="34" t="s">
        <v>141</v>
      </c>
      <c r="C3" s="35" t="s">
        <v>157</v>
      </c>
      <c r="D3" s="36" t="str">
        <f>IFERROR(VLOOKUP('General Information'!$D$6, Validations!$L$2:$M$8, 2,FALSE), "")</f>
        <v>€/ha</v>
      </c>
      <c r="E3" s="22">
        <f>('Parcel 1 with DATSs'!G29*'General Information'!D32)/(IF('General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3" s="37" t="s">
        <v>428</v>
      </c>
      <c r="G3" s="39"/>
    </row>
    <row r="4" spans="1:13" ht="272">
      <c r="A4" s="33" t="s">
        <v>167</v>
      </c>
      <c r="B4" s="34" t="s">
        <v>144</v>
      </c>
      <c r="C4" s="35" t="s">
        <v>157</v>
      </c>
      <c r="D4" s="36" t="str">
        <f>IFERROR(VLOOKUP('General Information'!$D$6, Validations!$L$2:$M$8, 2,FALSE), "")</f>
        <v>€/ha</v>
      </c>
      <c r="E4" s="22">
        <f>'Parcel 1 with DATSs'!G43*'General Information'!D33/(IF('General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56.987750556792868</v>
      </c>
      <c r="F4" s="37" t="s">
        <v>429</v>
      </c>
      <c r="G4" s="39"/>
    </row>
    <row r="5" spans="1:13" ht="238">
      <c r="A5" s="33" t="s">
        <v>168</v>
      </c>
      <c r="B5" s="44" t="s">
        <v>161</v>
      </c>
      <c r="C5" s="35" t="s">
        <v>157</v>
      </c>
      <c r="D5" s="36" t="str">
        <f>IFERROR(VLOOKUP('General Information'!$D$6, Validations!$L$2:$M$8, 2,FALSE), "")</f>
        <v>€/ha</v>
      </c>
      <c r="E5" s="22">
        <f>'Parcel 1 with DATSs'!G62*'General Information'!D38/(IF('General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0.45751447661469929</v>
      </c>
      <c r="F5" s="37" t="s">
        <v>430</v>
      </c>
      <c r="G5" s="39"/>
    </row>
    <row r="6" spans="1:13" ht="409.6">
      <c r="A6" s="33" t="s">
        <v>177</v>
      </c>
      <c r="B6" s="44" t="s">
        <v>178</v>
      </c>
      <c r="C6" s="35" t="s">
        <v>157</v>
      </c>
      <c r="D6" s="36" t="str">
        <f>IFERROR(VLOOKUP('General Information'!$D$6, Validations!$L$2:$M$8, 2,FALSE), "")</f>
        <v>€/ha</v>
      </c>
      <c r="E6" s="22">
        <f>('Parcel 1 with DATSs'!G67*'Parcel 1 with DATSs'!G68*'General Information'!D43)+
('Parcel 1 with DATSs'!G70*'Parcel 1 with DATSs'!G71*'General Information'!D44)+
('Parcel 1 with DATSs'!G73*'Parcel 1 with DATSs'!G74*'General Information'!D45)+
('Parcel 1 with DATSs'!G76*'Parcel 1 with DATSs'!G77*'General Information'!D46)+
('Parcel 1 with DATSs'!G79*'Parcel 1 with DATSs'!G80*'General Information'!D47)+
('Parcel 1 with DATSs'!G82*'Parcel 1 with DATSs'!G83*'General Information'!D48)+
('Parcel 1 with DATSs'!G85*'Parcel 1 with DATSs'!G86*'General Information'!D49)+
('Parcel 1 with DATSs'!G88*'Parcel 1 with DATSs'!G89*'General Information'!D50)+
('Parcel 1 with DATSs'!G91*'Parcel 1 with DATSs'!G92*'General Information'!D51)+
('Parcel 1 with DATSs'!G94*'Parcel 1 with DATSs'!G95*'General Information'!D52)</f>
        <v>51.099999999999994</v>
      </c>
      <c r="F6" s="37" t="s">
        <v>420</v>
      </c>
      <c r="G6" s="39"/>
    </row>
    <row r="7" spans="1:13" ht="409.6">
      <c r="A7" s="33" t="s">
        <v>179</v>
      </c>
      <c r="B7" s="44" t="s">
        <v>180</v>
      </c>
      <c r="C7" s="35" t="s">
        <v>157</v>
      </c>
      <c r="D7" s="36" t="str">
        <f>IFERROR(VLOOKUP('General Information'!$D$6, Validations!$L$2:$M$8, 2,FALSE), "")</f>
        <v>€/ha</v>
      </c>
      <c r="E7" s="22">
        <f>('Parcel 1 with DATSs'!G101*'Parcel 1 with DATSs'!G102*'General Information'!D54)+
('Parcel 1 with DATSs'!G108*'Parcel 1 with DATSs'!G109*'General Information'!D55)+
('Parcel 1 with DATSs'!G115*'Parcel 1 with DATSs'!G116*'General Information'!D56)+
('Parcel 1 with DATSs'!G122*'Parcel 1 with DATSs'!G123*'General Information'!D57)+
('Parcel 1 with DATSs'!G129*'Parcel 1 with DATSs'!G130*'General Information'!D58)+
('Parcel 1 with DATSs'!G136*'Parcel 1 with DATSs'!G137*'General Information'!D59)+
('Parcel 1 with DATSs'!G143*'Parcel 1 with DATSs'!G144*'General Information'!D60)+
('Parcel 1 with DATSs'!G150*'Parcel 1 with DATSs'!G151*'General Information'!D61)+
('Parcel 1 with DATSs'!G157*'Parcel 1 with DATSs'!G158*'General Information'!D62)+
('Parcel 1 with DATSs'!G164*'Parcel 1 with DATSs'!G165*'General Information'!D63)</f>
        <v>303</v>
      </c>
      <c r="F7" s="37" t="s">
        <v>421</v>
      </c>
      <c r="G7" s="39"/>
    </row>
    <row r="8" spans="1:13" ht="153">
      <c r="A8" s="33" t="s">
        <v>9</v>
      </c>
      <c r="B8" s="44" t="s">
        <v>218</v>
      </c>
      <c r="C8" s="35" t="s">
        <v>157</v>
      </c>
      <c r="D8" s="36" t="str">
        <f>IFERROR(VLOOKUP('General Information'!$D$6, Validations!$L$2:$M$8, 2,FALSE), "")</f>
        <v>€/ha</v>
      </c>
      <c r="E8" s="22">
        <f>(('General Information'!D65*'Parcel 1 with DATSs'!G173)+('General Information'!D66*'Parcel 1 with DATSs'!G175)+('General Information'!D69*'Parcel 1 with DATSs'!G177))/(IF('General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8" s="37" t="s">
        <v>368</v>
      </c>
      <c r="G8" s="39"/>
    </row>
    <row r="9" spans="1:13" ht="187">
      <c r="A9" s="33" t="s">
        <v>12</v>
      </c>
      <c r="B9" s="44" t="s">
        <v>219</v>
      </c>
      <c r="C9" s="35" t="s">
        <v>157</v>
      </c>
      <c r="D9" s="36" t="str">
        <f>IFERROR(VLOOKUP('General Information'!$D$6, Validations!$L$2:$M$8, 2,FALSE), "")</f>
        <v>€/ha</v>
      </c>
      <c r="E9" s="22">
        <f>(('General Information'!D71*'Parcel 1 with DATSs'!G186)+('General Information'!D72*'Parcel 1 with DATSs'!G188)+('General Information'!D73*'Parcel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9" s="37" t="s">
        <v>386</v>
      </c>
      <c r="G9" s="39"/>
      <c r="H9" s="50"/>
      <c r="I9" s="50"/>
      <c r="J9" s="50"/>
    </row>
    <row r="10" spans="1:13" ht="136">
      <c r="A10" s="33" t="s">
        <v>193</v>
      </c>
      <c r="B10" s="44" t="s">
        <v>172</v>
      </c>
      <c r="C10" s="35" t="s">
        <v>157</v>
      </c>
      <c r="D10" s="36" t="str">
        <f>IFERROR(VLOOKUP('General Information'!$D$6, Validations!$L$2:$M$8, 2,FALSE), "")</f>
        <v>€/ha</v>
      </c>
      <c r="E10" s="22">
        <f>'Parcel 1 with DATSs'!G194*'General Information'!D39/'Parcel 1 with DATSs'!E10</f>
        <v>0</v>
      </c>
      <c r="F10" s="37" t="s">
        <v>369</v>
      </c>
      <c r="G10" s="39"/>
    </row>
    <row r="11" spans="1:13" ht="136">
      <c r="A11" s="33" t="s">
        <v>193</v>
      </c>
      <c r="B11" s="44" t="s">
        <v>521</v>
      </c>
      <c r="C11" s="35" t="s">
        <v>157</v>
      </c>
      <c r="D11" s="36" t="str">
        <f>IFERROR(VLOOKUP('General Information'!$D$6, Validations!$L$2:$M$8, 2,FALSE), "")</f>
        <v>€/ha</v>
      </c>
      <c r="E11" s="22">
        <f>'Parcel 1 with DATSs'!G195*'General Information'!D39/'Parcel 1 with DATSs'!E10</f>
        <v>19.699777282850782</v>
      </c>
      <c r="F11" s="37" t="s">
        <v>366</v>
      </c>
      <c r="G11" s="39"/>
    </row>
    <row r="12" spans="1:13" ht="136">
      <c r="A12" s="33" t="s">
        <v>193</v>
      </c>
      <c r="B12" s="44" t="s">
        <v>169</v>
      </c>
      <c r="C12" s="35" t="s">
        <v>157</v>
      </c>
      <c r="D12" s="36" t="str">
        <f>IFERROR(VLOOKUP('General Information'!$D$6, Validations!$L$2:$M$8, 2,FALSE), "")</f>
        <v>€/ha</v>
      </c>
      <c r="E12" s="22">
        <f>'Parcel 1 with DATSs'!G196*'General Information'!D39/'Parcel 1 with DATSs'!E10</f>
        <v>9.853897550111359</v>
      </c>
      <c r="F12" s="37" t="s">
        <v>370</v>
      </c>
      <c r="G12" s="39"/>
    </row>
    <row r="13" spans="1:13" ht="153">
      <c r="A13" s="33" t="s">
        <v>193</v>
      </c>
      <c r="B13" s="44" t="s">
        <v>174</v>
      </c>
      <c r="C13" s="35" t="s">
        <v>157</v>
      </c>
      <c r="D13" s="36" t="str">
        <f>IFERROR(VLOOKUP('General Information'!$D$6, Validations!$L$2:$M$8, 2,FALSE), "")</f>
        <v>€/ha</v>
      </c>
      <c r="E13" s="22">
        <f>'Parcel 1 with DATSs'!G197*'General Information'!D39/'Parcel 1 with DATSs'!E10</f>
        <v>9.853897550111359</v>
      </c>
      <c r="F13" s="37" t="s">
        <v>371</v>
      </c>
      <c r="G13" s="39"/>
    </row>
    <row r="14" spans="1:13" ht="136">
      <c r="A14" s="33" t="s">
        <v>193</v>
      </c>
      <c r="B14" s="44" t="s">
        <v>175</v>
      </c>
      <c r="C14" s="35" t="s">
        <v>157</v>
      </c>
      <c r="D14" s="36" t="str">
        <f>IFERROR(VLOOKUP('General Information'!$D$6, Validations!$L$2:$M$8, 2,FALSE), "")</f>
        <v>€/ha</v>
      </c>
      <c r="E14" s="22">
        <f>'Parcel 1 with DATSs'!G198*'General Information'!D39/'Parcel 1 with DATSs'!E10</f>
        <v>4.9229398663697106</v>
      </c>
      <c r="F14" s="37" t="s">
        <v>372</v>
      </c>
      <c r="G14" s="39"/>
    </row>
    <row r="15" spans="1:13" ht="153">
      <c r="A15" s="33" t="s">
        <v>193</v>
      </c>
      <c r="B15" s="44" t="s">
        <v>176</v>
      </c>
      <c r="C15" s="35" t="s">
        <v>157</v>
      </c>
      <c r="D15" s="36" t="str">
        <f>IFERROR(VLOOKUP('General Information'!$D$6, Validations!$L$2:$M$8, 2,FALSE), "")</f>
        <v>€/ha</v>
      </c>
      <c r="E15" s="22">
        <f>'Parcel 1 with DATSs'!G199*'General Information'!D39/'Parcel 1 with DATSs'!E10</f>
        <v>8.4427616926503344</v>
      </c>
      <c r="F15" s="37" t="s">
        <v>367</v>
      </c>
      <c r="G15" s="39"/>
    </row>
    <row r="16" spans="1:13" ht="153">
      <c r="A16" s="33" t="s">
        <v>193</v>
      </c>
      <c r="B16" s="44" t="s">
        <v>196</v>
      </c>
      <c r="C16" s="35" t="s">
        <v>157</v>
      </c>
      <c r="D16" s="36" t="str">
        <f>IFERROR(VLOOKUP('General Information'!$D$6, Validations!$L$2:$M$8, 2,FALSE), "")</f>
        <v>€/ha</v>
      </c>
      <c r="E16" s="22">
        <f>'Parcel 1 with DATSs'!G200*'General Information'!D39/'Parcel 1 with DATSs'!E10</f>
        <v>0</v>
      </c>
      <c r="F16" s="37" t="s">
        <v>373</v>
      </c>
      <c r="G16" s="39"/>
    </row>
    <row r="17" spans="1:7" ht="153">
      <c r="A17" s="33" t="s">
        <v>193</v>
      </c>
      <c r="B17" s="44" t="s">
        <v>197</v>
      </c>
      <c r="C17" s="35" t="s">
        <v>157</v>
      </c>
      <c r="D17" s="36" t="str">
        <f>IFERROR(VLOOKUP('General Information'!$D$6, Validations!$L$2:$M$8, 2,FALSE), "")</f>
        <v>€/ha</v>
      </c>
      <c r="E17" s="22" t="e">
        <f>'Parcel 1 with DATSs'!G201*'General Information'!D39/'Parcel 1 with DATSs'!G256</f>
        <v>#DIV/0!</v>
      </c>
      <c r="F17" s="37" t="s">
        <v>350</v>
      </c>
      <c r="G17" s="39"/>
    </row>
    <row r="18" spans="1:7" ht="119">
      <c r="A18" s="33" t="s">
        <v>193</v>
      </c>
      <c r="B18" s="44" t="s">
        <v>522</v>
      </c>
      <c r="C18" s="35" t="s">
        <v>157</v>
      </c>
      <c r="D18" s="36" t="str">
        <f>IFERROR(VLOOKUP('General Information'!$D$6, Validations!$L$2:$M$8, 2,FALSE), "")</f>
        <v>€/ha</v>
      </c>
      <c r="E18" s="22">
        <f>'Parcel 1 with DATSs'!G202*'General Information'!D39/(IF('General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18" s="37" t="s">
        <v>351</v>
      </c>
      <c r="G18" s="39"/>
    </row>
    <row r="19" spans="1:7" ht="153">
      <c r="A19" s="33" t="s">
        <v>193</v>
      </c>
      <c r="B19" s="44" t="s">
        <v>198</v>
      </c>
      <c r="C19" s="35" t="s">
        <v>157</v>
      </c>
      <c r="D19" s="36" t="str">
        <f>IFERROR(VLOOKUP('General Information'!$D$6, Validations!$L$2:$M$8, 2,FALSE), "")</f>
        <v>€/ha</v>
      </c>
      <c r="E19" s="22">
        <f>'Parcel 1 with DATSs'!G203*'General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19" s="37" t="s">
        <v>352</v>
      </c>
      <c r="G19" s="39"/>
    </row>
    <row r="20" spans="1:7" ht="102">
      <c r="A20" s="33" t="s">
        <v>193</v>
      </c>
      <c r="B20" s="44" t="s">
        <v>199</v>
      </c>
      <c r="C20" s="35" t="s">
        <v>157</v>
      </c>
      <c r="D20" s="36" t="str">
        <f>IFERROR(VLOOKUP('General Information'!$D$6, Validations!$L$2:$M$8, 2,FALSE), "")</f>
        <v>€/ha</v>
      </c>
      <c r="E20" s="22">
        <f>'Parcel 1 with DATSs'!G204*'General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0" s="37" t="s">
        <v>353</v>
      </c>
      <c r="G20" s="39"/>
    </row>
    <row r="21" spans="1:7" ht="102">
      <c r="A21" s="33" t="s">
        <v>193</v>
      </c>
      <c r="B21" s="44" t="s">
        <v>200</v>
      </c>
      <c r="C21" s="35" t="s">
        <v>157</v>
      </c>
      <c r="D21" s="36" t="str">
        <f>IFERROR(VLOOKUP('General Information'!$D$6, Validations!$L$2:$M$8, 2,FALSE), "")</f>
        <v>€/ha</v>
      </c>
      <c r="E21" s="22">
        <f>'Parcel 1 with DATSs'!G205*'General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1" s="37" t="s">
        <v>374</v>
      </c>
      <c r="G21" s="39"/>
    </row>
    <row r="22" spans="1:7" ht="136">
      <c r="A22" s="33" t="s">
        <v>193</v>
      </c>
      <c r="B22" s="44" t="s">
        <v>201</v>
      </c>
      <c r="C22" s="35" t="s">
        <v>157</v>
      </c>
      <c r="D22" s="36" t="str">
        <f>IFERROR(VLOOKUP('General Information'!$D$6, Validations!$L$2:$M$8, 2,FALSE), "")</f>
        <v>€/ha</v>
      </c>
      <c r="E22" s="22">
        <f>'Parcel 1 with DATSs'!G206*'General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2" s="37" t="s">
        <v>375</v>
      </c>
      <c r="G22" s="39"/>
    </row>
    <row r="23" spans="1:7" ht="119">
      <c r="A23" s="33" t="s">
        <v>193</v>
      </c>
      <c r="B23" s="44" t="s">
        <v>202</v>
      </c>
      <c r="C23" s="35" t="s">
        <v>157</v>
      </c>
      <c r="D23" s="36" t="str">
        <f>IFERROR(VLOOKUP('General Information'!$D$6, Validations!$L$2:$M$8, 2,FALSE), "")</f>
        <v>€/ha</v>
      </c>
      <c r="E23" s="22">
        <f>'Parcel 1 with DATSs'!G207*'General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3" s="37" t="s">
        <v>376</v>
      </c>
      <c r="G23" s="39"/>
    </row>
    <row r="24" spans="1:7" ht="119">
      <c r="A24" s="33" t="s">
        <v>193</v>
      </c>
      <c r="B24" s="44" t="s">
        <v>203</v>
      </c>
      <c r="C24" s="35" t="s">
        <v>157</v>
      </c>
      <c r="D24" s="36" t="str">
        <f>IFERROR(VLOOKUP('General Information'!$D$6, Validations!$L$2:$M$8, 2,FALSE), "")</f>
        <v>€/ha</v>
      </c>
      <c r="E24" s="22">
        <f>'Parcel 1 with DATSs'!G208*'General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4" s="37" t="s">
        <v>377</v>
      </c>
      <c r="G24" s="39"/>
    </row>
    <row r="25" spans="1:7" ht="119">
      <c r="A25" s="33" t="s">
        <v>193</v>
      </c>
      <c r="B25" s="44" t="s">
        <v>204</v>
      </c>
      <c r="C25" s="35" t="s">
        <v>157</v>
      </c>
      <c r="D25" s="36" t="str">
        <f>IFERROR(VLOOKUP('General Information'!$D$6, Validations!$L$2:$M$8, 2,FALSE), "")</f>
        <v>€/ha</v>
      </c>
      <c r="E25" s="22">
        <f>'Parcel 1 with DATSs'!G209*'General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5" s="37" t="s">
        <v>378</v>
      </c>
      <c r="G25" s="39"/>
    </row>
    <row r="26" spans="1:7" ht="102">
      <c r="A26" s="33" t="s">
        <v>193</v>
      </c>
      <c r="B26" s="44" t="s">
        <v>418</v>
      </c>
      <c r="C26" s="35" t="s">
        <v>157</v>
      </c>
      <c r="D26" s="36" t="str">
        <f>IFERROR(VLOOKUP('General Information'!$D$6, Validations!$L$2:$M$8, 2,FALSE), "")</f>
        <v>€/ha</v>
      </c>
      <c r="E26" s="22">
        <f>'Parcel 1 with DATSs'!G210*'General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6" s="37" t="s">
        <v>419</v>
      </c>
      <c r="G26" s="39"/>
    </row>
    <row r="27" spans="1:7" ht="136">
      <c r="A27" s="33" t="s">
        <v>193</v>
      </c>
      <c r="B27" s="44" t="s">
        <v>205</v>
      </c>
      <c r="C27" s="35" t="s">
        <v>157</v>
      </c>
      <c r="D27" s="36" t="str">
        <f>IFERROR(VLOOKUP('General Information'!$D$6, Validations!$L$2:$M$8, 2,FALSE), "")</f>
        <v>€/ha</v>
      </c>
      <c r="E27" s="22">
        <f>'Parcel 1 with DATSs'!G211*'General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7" s="37" t="s">
        <v>379</v>
      </c>
      <c r="G27" s="39"/>
    </row>
    <row r="28" spans="1:7" ht="102">
      <c r="A28" s="33" t="s">
        <v>193</v>
      </c>
      <c r="B28" s="44" t="s">
        <v>206</v>
      </c>
      <c r="C28" s="35" t="s">
        <v>157</v>
      </c>
      <c r="D28" s="36" t="str">
        <f>IFERROR(VLOOKUP('General Information'!$D$6, Validations!$L$2:$M$8, 2,FALSE), "")</f>
        <v>€/ha</v>
      </c>
      <c r="E28" s="22">
        <f>'Parcel 1 with DATSs'!G212*'General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8" s="37" t="s">
        <v>380</v>
      </c>
      <c r="G28" s="39"/>
    </row>
    <row r="29" spans="1:7" ht="119">
      <c r="A29" s="33" t="s">
        <v>193</v>
      </c>
      <c r="B29" s="44" t="s">
        <v>207</v>
      </c>
      <c r="C29" s="35" t="s">
        <v>157</v>
      </c>
      <c r="D29" s="36" t="str">
        <f>IFERROR(VLOOKUP('General Information'!$D$6, Validations!$L$2:$M$8, 2,FALSE), "")</f>
        <v>€/ha</v>
      </c>
      <c r="E29" s="22" t="e">
        <f>'Parcel 1 with DATSs'!G213*'General Information'!D39/'Parcel 1 with DATSs'!G255</f>
        <v>#DIV/0!</v>
      </c>
      <c r="F29" s="37" t="s">
        <v>381</v>
      </c>
      <c r="G29" s="39"/>
    </row>
    <row r="30" spans="1:7" ht="119">
      <c r="A30" s="33" t="s">
        <v>193</v>
      </c>
      <c r="B30" s="44" t="s">
        <v>208</v>
      </c>
      <c r="C30" s="35" t="s">
        <v>157</v>
      </c>
      <c r="D30" s="36" t="str">
        <f>IFERROR(VLOOKUP('General Information'!$D$6, Validations!$L$2:$M$8, 2,FALSE), "")</f>
        <v>€/ha</v>
      </c>
      <c r="E30" s="22" t="e">
        <f>'Parcel 1 with DATSs'!G214*'General Information'!D39/'Parcel 1 with DATSs'!G254</f>
        <v>#DIV/0!</v>
      </c>
      <c r="F30" s="37" t="s">
        <v>382</v>
      </c>
      <c r="G30" s="39"/>
    </row>
    <row r="31" spans="1:7" ht="153">
      <c r="A31" s="33" t="s">
        <v>193</v>
      </c>
      <c r="B31" s="44" t="s">
        <v>209</v>
      </c>
      <c r="C31" s="35" t="s">
        <v>157</v>
      </c>
      <c r="D31" s="36" t="str">
        <f>IFERROR(VLOOKUP('General Information'!$D$6, Validations!$L$2:$M$8, 2,FALSE), "")</f>
        <v>€/ha</v>
      </c>
      <c r="E31" s="22" t="e">
        <f>'Parcel 1 with DATSs'!G215*'General Information'!D39/'Parcel 1 with DATSs'!G254</f>
        <v>#DIV/0!</v>
      </c>
      <c r="F31" s="37" t="s">
        <v>383</v>
      </c>
      <c r="G31" s="39"/>
    </row>
    <row r="32" spans="1:7" ht="102">
      <c r="A32" s="33" t="s">
        <v>193</v>
      </c>
      <c r="B32" s="44" t="s">
        <v>423</v>
      </c>
      <c r="C32" s="35" t="s">
        <v>157</v>
      </c>
      <c r="D32" s="36" t="str">
        <f>IFERROR(VLOOKUP('General Information'!$D$6, Validations!$L$2:$M$8, 2,FALSE), "")</f>
        <v>€/ha</v>
      </c>
      <c r="E32" s="22">
        <f>'Parcel 1 with DATSs'!G216*'General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14.776837416481069</v>
      </c>
      <c r="F32" s="37" t="s">
        <v>384</v>
      </c>
      <c r="G32" s="39"/>
    </row>
    <row r="33" spans="1:13" ht="102">
      <c r="A33" s="33" t="s">
        <v>193</v>
      </c>
      <c r="B33" s="44" t="s">
        <v>346</v>
      </c>
      <c r="C33" s="35" t="s">
        <v>157</v>
      </c>
      <c r="D33" s="36" t="str">
        <f>IFERROR(VLOOKUP('General Information'!$D$6, Validations!$L$2:$M$8, 2,FALSE), "")</f>
        <v>€/ha</v>
      </c>
      <c r="E33" s="22">
        <f>'Parcel 1 with DATSs'!G217*'General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3" s="37" t="s">
        <v>385</v>
      </c>
      <c r="G33" s="39"/>
    </row>
    <row r="34" spans="1:13" ht="204">
      <c r="A34" s="33" t="s">
        <v>193</v>
      </c>
      <c r="B34" s="44" t="s">
        <v>596</v>
      </c>
      <c r="C34" s="35" t="s">
        <v>157</v>
      </c>
      <c r="D34" s="36" t="str">
        <f>IFERROR(VLOOKUP('General Information'!$D$6, Validations!$L$2:$M$8, 2,FALSE), "")</f>
        <v>€/ha</v>
      </c>
      <c r="E34" s="22">
        <f>'Parcel 1 with DATSs'!G218*'General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8.4427616926503344</v>
      </c>
      <c r="F34" s="37" t="s">
        <v>387</v>
      </c>
      <c r="G34" s="39"/>
    </row>
    <row r="35" spans="1:13" ht="204">
      <c r="A35" s="33" t="s">
        <v>503</v>
      </c>
      <c r="B35" s="45" t="s">
        <v>431</v>
      </c>
      <c r="C35" s="35" t="s">
        <v>157</v>
      </c>
      <c r="D35" s="36" t="str">
        <f>IFERROR(VLOOKUP('General Information'!$D$6, Validations!$L$2:$M$8, 2,FALSE), "")</f>
        <v>€/ha</v>
      </c>
      <c r="E35" s="22">
        <f>_xlfn.AGGREGATE(9,6,E3:E34)</f>
        <v>487.53813808463241</v>
      </c>
      <c r="F35" s="37" t="s">
        <v>388</v>
      </c>
      <c r="G35" s="39"/>
    </row>
    <row r="36" spans="1:13" ht="170">
      <c r="A36" s="40" t="s">
        <v>505</v>
      </c>
      <c r="B36" s="41" t="s">
        <v>504</v>
      </c>
      <c r="C36" s="35" t="s">
        <v>157</v>
      </c>
      <c r="D36" s="36" t="str">
        <f>IFERROR(VLOOKUP('General Information'!$D$6, Validations!$L$2:$M$8, 2,FALSE), "")</f>
        <v>€/ha</v>
      </c>
      <c r="E36" s="22">
        <f>(('General Information'!D23+'General Information'!D24)+('General Information'!H23+'General Information'!H24)+('General Information'!L23+'General Information'!L24))/(IF('General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1.7817371937639199</v>
      </c>
      <c r="F36" s="37" t="s">
        <v>389</v>
      </c>
      <c r="G36" s="39"/>
    </row>
    <row r="37" spans="1:13" ht="221">
      <c r="A37" s="40" t="s">
        <v>505</v>
      </c>
      <c r="B37" s="41" t="s">
        <v>354</v>
      </c>
      <c r="C37" s="35" t="s">
        <v>157</v>
      </c>
      <c r="D37" s="36" t="str">
        <f>IFERROR(VLOOKUP('General Information'!$D$6, Validations!$L$2:$M$8, 2,FALSE), "")</f>
        <v>€/ha</v>
      </c>
      <c r="E37" s="22">
        <f>'General Information'!D27/(IF('General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1.3363028953229399</v>
      </c>
      <c r="F37" s="37" t="s">
        <v>390</v>
      </c>
      <c r="G37" s="39"/>
    </row>
    <row r="38" spans="1:13">
      <c r="A38" s="51"/>
      <c r="B38" s="3"/>
      <c r="C38" s="51"/>
      <c r="D38" s="1"/>
      <c r="E38" s="22"/>
      <c r="F38" s="30"/>
      <c r="G38" s="56"/>
    </row>
    <row r="39" spans="1:13" ht="34">
      <c r="A39" s="46" t="s">
        <v>182</v>
      </c>
      <c r="C39" s="51"/>
      <c r="F39" s="30"/>
      <c r="M39" s="38"/>
    </row>
    <row r="40" spans="1:13">
      <c r="A40" s="47" t="s">
        <v>358</v>
      </c>
      <c r="B40" s="47" t="s">
        <v>138</v>
      </c>
      <c r="C40" s="47" t="s">
        <v>139</v>
      </c>
      <c r="D40" s="47" t="s">
        <v>140</v>
      </c>
      <c r="E40" s="47" t="s">
        <v>195</v>
      </c>
      <c r="F40" s="47" t="s">
        <v>194</v>
      </c>
      <c r="G40" s="50"/>
    </row>
    <row r="41" spans="1:13" ht="51">
      <c r="A41" s="40" t="s">
        <v>116</v>
      </c>
      <c r="B41" s="41" t="s">
        <v>597</v>
      </c>
      <c r="C41" s="35" t="s">
        <v>157</v>
      </c>
      <c r="D41" s="43" t="s">
        <v>143</v>
      </c>
      <c r="E41" s="22">
        <f>'Parcel 1 with DATSs'!G250/'Parcel 1 with DATSs'!E10*'General Information'!$D$41</f>
        <v>1217.4253897550111</v>
      </c>
      <c r="F41" s="37" t="s">
        <v>183</v>
      </c>
      <c r="G41" s="39"/>
    </row>
    <row r="42" spans="1:13" ht="68">
      <c r="A42" s="40" t="s">
        <v>116</v>
      </c>
      <c r="B42" s="41" t="s">
        <v>598</v>
      </c>
      <c r="C42" s="35" t="s">
        <v>157</v>
      </c>
      <c r="D42" s="43" t="str">
        <f>IFERROR(VLOOKUP('General Information'!$D$6, Validations!$L$2:$M$8, 2,FALSE), "")</f>
        <v>€/ha</v>
      </c>
      <c r="E42" s="22">
        <f>('Parcel 1 with DATSs'!G251*'General Information'!$D$41/(IF('General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DATSs'!G256))))))))*1000</f>
        <v>0</v>
      </c>
      <c r="F42" s="37" t="s">
        <v>220</v>
      </c>
      <c r="G42" s="39"/>
    </row>
    <row r="43" spans="1:13" ht="51">
      <c r="A43" s="40" t="s">
        <v>116</v>
      </c>
      <c r="B43" s="41" t="s">
        <v>599</v>
      </c>
      <c r="C43" s="35" t="s">
        <v>157</v>
      </c>
      <c r="D43" s="43" t="str">
        <f>IFERROR(VLOOKUP('General Information'!$D$6, Validations!$L$2:$M$8, 2,FALSE), "")</f>
        <v>€/ha</v>
      </c>
      <c r="E43" s="22">
        <f>('Parcel 1 with DATSs'!G252*'General Information'!D41/(IF('General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f>
        <v>0</v>
      </c>
      <c r="F43" s="37" t="s">
        <v>221</v>
      </c>
      <c r="G43" s="39"/>
    </row>
    <row r="44" spans="1:13" ht="68">
      <c r="A44" s="40" t="s">
        <v>116</v>
      </c>
      <c r="B44" s="41" t="s">
        <v>600</v>
      </c>
      <c r="C44" s="35" t="s">
        <v>157</v>
      </c>
      <c r="D44" s="43" t="s">
        <v>562</v>
      </c>
      <c r="E44" s="22" t="e">
        <f>'Parcel 1 with DATSs'!G254*'General Information'!$H$41/'Parcel 1 with DATSs'!E20</f>
        <v>#DIV/0!</v>
      </c>
      <c r="F44" s="37" t="s">
        <v>222</v>
      </c>
      <c r="G44" s="39"/>
    </row>
    <row r="45" spans="1:13" ht="51">
      <c r="A45" s="40" t="s">
        <v>116</v>
      </c>
      <c r="B45" s="41" t="s">
        <v>601</v>
      </c>
      <c r="C45" s="35" t="s">
        <v>157</v>
      </c>
      <c r="D45" s="43" t="s">
        <v>563</v>
      </c>
      <c r="E45" s="22" t="e">
        <f>'Parcel 1 with DATSs'!G255*'General Information'!$H$41/'Parcel 1 with DATSs'!E19</f>
        <v>#DIV/0!</v>
      </c>
      <c r="F45" s="37" t="s">
        <v>223</v>
      </c>
      <c r="G45" s="39"/>
    </row>
    <row r="46" spans="1:13">
      <c r="A46" s="40" t="s">
        <v>116</v>
      </c>
      <c r="B46" s="41" t="s">
        <v>602</v>
      </c>
      <c r="C46" s="35" t="s">
        <v>157</v>
      </c>
      <c r="D46" s="43" t="s">
        <v>462</v>
      </c>
      <c r="E46" s="22">
        <f>'Parcel 1 with DATSs'!G256*'General Information'!D41</f>
        <v>0</v>
      </c>
      <c r="F46" s="37"/>
      <c r="G46" s="39"/>
    </row>
    <row r="47" spans="1:13">
      <c r="A47" s="40" t="s">
        <v>357</v>
      </c>
      <c r="B47" s="41" t="s">
        <v>281</v>
      </c>
      <c r="C47" s="35" t="s">
        <v>157</v>
      </c>
      <c r="D47" s="43" t="str">
        <f>IFERROR(VLOOKUP('General Information'!$D$6, Validations!$L$2:$M$8, 2,FALSE), "")</f>
        <v>€/ha</v>
      </c>
      <c r="E47" s="22">
        <f>'Parcel 1 with DATSs'!G225</f>
        <v>0</v>
      </c>
      <c r="F47" s="41" t="s">
        <v>281</v>
      </c>
    </row>
    <row r="48" spans="1:13">
      <c r="A48" s="51"/>
      <c r="B48" s="3"/>
      <c r="C48" s="32"/>
      <c r="D48" s="1"/>
      <c r="E48" s="22"/>
      <c r="F48" s="30"/>
      <c r="G48" s="56"/>
    </row>
    <row r="49" spans="1:6">
      <c r="A49" s="51"/>
      <c r="B49" s="51"/>
      <c r="C49" s="52"/>
      <c r="D49" s="51"/>
      <c r="E49" s="51"/>
      <c r="F49"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9"/>
  <sheetViews>
    <sheetView workbookViewId="0"/>
  </sheetViews>
  <sheetFormatPr baseColWidth="10" defaultRowHeight="16"/>
  <sheetData>
    <row r="1" spans="1:13" ht="34">
      <c r="A1" s="46" t="s">
        <v>181</v>
      </c>
      <c r="M1" s="38"/>
    </row>
    <row r="2" spans="1:13">
      <c r="A2" s="47" t="s">
        <v>166</v>
      </c>
      <c r="B2" s="47" t="s">
        <v>138</v>
      </c>
      <c r="C2" s="47" t="s">
        <v>139</v>
      </c>
      <c r="D2" s="47" t="s">
        <v>140</v>
      </c>
      <c r="E2" s="47" t="s">
        <v>195</v>
      </c>
      <c r="F2" s="47" t="s">
        <v>194</v>
      </c>
    </row>
    <row r="3" spans="1:13" ht="306">
      <c r="A3" s="33" t="s">
        <v>0</v>
      </c>
      <c r="B3" s="34" t="s">
        <v>141</v>
      </c>
      <c r="C3" s="35" t="s">
        <v>142</v>
      </c>
      <c r="D3" s="36" t="str">
        <f>IFERROR(VLOOKUP('General Information'!$D$6, Validations!$L$2:$M$8, 2,FALSE), "")</f>
        <v>€/ha</v>
      </c>
      <c r="E3" s="22">
        <f>('Parcel 1 without DATSs'!G29*'General Information'!H32)/(IF('General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 s="37" t="s">
        <v>428</v>
      </c>
      <c r="G3" s="39"/>
    </row>
    <row r="4" spans="1:13" ht="272">
      <c r="A4" s="33" t="s">
        <v>167</v>
      </c>
      <c r="B4" s="34" t="s">
        <v>144</v>
      </c>
      <c r="C4" s="35" t="s">
        <v>142</v>
      </c>
      <c r="D4" s="36" t="str">
        <f>IFERROR(VLOOKUP('General Information'!$D$6, Validations!$L$2:$M$8, 2,FALSE), "")</f>
        <v>€/ha</v>
      </c>
      <c r="E4" s="22">
        <f>'Parcel 1 without DATSs'!G43*'General Information'!H33/(IF('General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61.646634615384606</v>
      </c>
      <c r="F4" s="37" t="s">
        <v>429</v>
      </c>
    </row>
    <row r="5" spans="1:13" ht="238">
      <c r="A5" s="33" t="s">
        <v>168</v>
      </c>
      <c r="B5" s="44" t="s">
        <v>161</v>
      </c>
      <c r="C5" s="35" t="s">
        <v>142</v>
      </c>
      <c r="D5" s="36" t="str">
        <f>IFERROR(VLOOKUP('General Information'!$D$6, Validations!$L$2:$M$8, 2,FALSE), "")</f>
        <v>€/ha</v>
      </c>
      <c r="E5" s="22">
        <f>'Parcel 1 without DATSs'!G62*'General Information'!H38/(IF('General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0.76632692307692296</v>
      </c>
      <c r="F5" s="37" t="s">
        <v>430</v>
      </c>
    </row>
    <row r="6" spans="1:13" ht="409.6">
      <c r="A6" s="33" t="s">
        <v>177</v>
      </c>
      <c r="B6" s="44" t="s">
        <v>178</v>
      </c>
      <c r="C6" s="35" t="s">
        <v>142</v>
      </c>
      <c r="D6" s="36" t="str">
        <f>IFERROR(VLOOKUP('General Information'!$D$6, Validations!$L$2:$M$8, 2,FALSE), "")</f>
        <v>€/ha</v>
      </c>
      <c r="E6" s="22">
        <f>('Parcel 1 without DATSs'!G67*'Parcel 1 without DATSs'!G68*'General Information'!H43)+
('Parcel 1 without DATSs'!G70*'Parcel 1 without DATSs'!G71*'General Information'!H44)+
('Parcel 1 without DATSs'!G73*'Parcel 1 without DATSs'!G74*'General Information'!H45)+
('Parcel 1 without DATSs'!G76*'Parcel 1 without DATSs'!G77*'General Information'!H46)+
('Parcel 1 without DATSs'!G79*'Parcel 1 without DATSs'!G80*'General Information'!H47)+
('Parcel 1 without DATSs'!G82*'Parcel 1 without DATSs'!G83*'General Information'!H48)+
('Parcel 1 without DATSs'!G85*'Parcel 1 without DATSs'!G86*'General Information'!H49)+
('Parcel 1 without DATSs'!G88*'Parcel 1 without DATSs'!G89*'General Information'!H50)+
('Parcel 1 without DATSs'!G91*'Parcel 1 without DATSs'!G92*'General Information'!H51)+
('Parcel 1 without DATSs'!G94*'Parcel 1 without DATSs'!G95*'General Information'!H52)</f>
        <v>115.792</v>
      </c>
      <c r="F6" s="37" t="s">
        <v>420</v>
      </c>
    </row>
    <row r="7" spans="1:13" ht="409.6">
      <c r="A7" s="33" t="s">
        <v>179</v>
      </c>
      <c r="B7" s="44" t="s">
        <v>180</v>
      </c>
      <c r="C7" s="35" t="s">
        <v>142</v>
      </c>
      <c r="D7" s="36" t="str">
        <f>IFERROR(VLOOKUP('General Information'!$D$6, Validations!$L$2:$M$8, 2,FALSE), "")</f>
        <v>€/ha</v>
      </c>
      <c r="E7" s="22">
        <f>('Parcel 1 without DATSs'!G101*'Parcel 1 without DATSs'!G102*'General Information'!H54)+
('Parcel 1 without DATSs'!G108*'Parcel 1 without DATSs'!G109*'General Information'!H55)+
('Parcel 1 without DATSs'!G115*'Parcel 1 without DATSs'!G116*'General Information'!H56)+
('Parcel 1 without DATSs'!G122*'Parcel 1 without DATSs'!G123*'General Information'!H57)+
('Parcel 1 without DATSs'!G129*'Parcel 1 without DATSs'!G130*'General Information'!H58)+
('Parcel 1 without DATSs'!G136*'Parcel 1 without DATSs'!G137*'General Information'!H59)+
('Parcel 1 without DATSs'!G143*'Parcel 1 without DATSs'!G144*'General Information'!H60)+
('Parcel 1 without DATSs'!G150*'Parcel 1 without DATSs'!G151*'General Information'!H61)+
('Parcel 1 without DATSs'!G157*'Parcel 1 without DATSs'!G158*'General Information'!H62)+
('Parcel 1 without DATSs'!G164*'Parcel 1 without DATSs'!G165*'General Information'!H63)</f>
        <v>247.54499999999999</v>
      </c>
      <c r="F7" s="37" t="s">
        <v>421</v>
      </c>
    </row>
    <row r="8" spans="1:13" ht="153">
      <c r="A8" s="33" t="s">
        <v>9</v>
      </c>
      <c r="B8" s="44" t="s">
        <v>218</v>
      </c>
      <c r="C8" s="35" t="s">
        <v>142</v>
      </c>
      <c r="D8" s="36" t="str">
        <f>IFERROR(VLOOKUP('General Information'!$D$6, Validations!$L$2:$M$8, 2,FALSE), "")</f>
        <v>€/ha</v>
      </c>
      <c r="E8" s="22">
        <f>('General Information'!H65*'Parcel 1 without DATSs'!G173+'General Information'!H66*'Parcel 1 without DATSs'!G175+'General Information'!H69*'Parcel 1 without DATSs'!G177)/(IF('General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8" s="37" t="s">
        <v>368</v>
      </c>
    </row>
    <row r="9" spans="1:13" ht="187">
      <c r="A9" s="33" t="s">
        <v>12</v>
      </c>
      <c r="B9" s="44" t="s">
        <v>219</v>
      </c>
      <c r="C9" s="35" t="s">
        <v>142</v>
      </c>
      <c r="D9" s="36" t="str">
        <f>IFERROR(VLOOKUP('General Information'!$D$6, Validations!$L$2:$M$8, 2,FALSE), "")</f>
        <v>€/ha</v>
      </c>
      <c r="E9" s="22">
        <f>('General Information'!H71*'Parcel 1 without DATSs'!G186+'General Information'!H72*'Parcel 1 without DATSs'!G188+'General Information'!H73*'Parcel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9" s="37" t="s">
        <v>386</v>
      </c>
      <c r="G9" s="50"/>
      <c r="H9" s="50"/>
      <c r="I9" s="50"/>
      <c r="J9" s="50"/>
    </row>
    <row r="10" spans="1:13" ht="136">
      <c r="A10" s="33" t="s">
        <v>193</v>
      </c>
      <c r="B10" s="44" t="s">
        <v>172</v>
      </c>
      <c r="C10" s="35" t="s">
        <v>142</v>
      </c>
      <c r="D10" s="36" t="str">
        <f>IFERROR(VLOOKUP('General Information'!$D$6, Validations!$L$2:$M$8, 2,FALSE), "")</f>
        <v>€/ha</v>
      </c>
      <c r="E10" s="22">
        <f>'Parcel 1 without DATSs'!G194*'General Information'!H39/'Parcel 1 without DATSs'!E10</f>
        <v>0</v>
      </c>
      <c r="F10" s="37" t="s">
        <v>369</v>
      </c>
    </row>
    <row r="11" spans="1:13" ht="136">
      <c r="A11" s="33" t="s">
        <v>193</v>
      </c>
      <c r="B11" s="44" t="s">
        <v>173</v>
      </c>
      <c r="C11" s="35" t="s">
        <v>142</v>
      </c>
      <c r="D11" s="36" t="str">
        <f>IFERROR(VLOOKUP('General Information'!$D$6, Validations!$L$2:$M$8, 2,FALSE), "")</f>
        <v>€/ha</v>
      </c>
      <c r="E11" s="22">
        <f>'Parcel 1 without DATSs'!G195*'General Information'!H39/'Parcel 1 without DATSs'!E10</f>
        <v>22.707692307692305</v>
      </c>
      <c r="F11" s="37" t="s">
        <v>366</v>
      </c>
    </row>
    <row r="12" spans="1:13" ht="136">
      <c r="A12" s="33" t="s">
        <v>193</v>
      </c>
      <c r="B12" s="44" t="s">
        <v>169</v>
      </c>
      <c r="C12" s="35" t="s">
        <v>142</v>
      </c>
      <c r="D12" s="36" t="str">
        <f>IFERROR(VLOOKUP('General Information'!$D$6, Validations!$L$2:$M$8, 2,FALSE), "")</f>
        <v>€/ha</v>
      </c>
      <c r="E12" s="22">
        <f>'Parcel 1 without DATSs'!G196*'General Information'!H39/'Parcel 1 without DATSs'!E10</f>
        <v>13.430769230769231</v>
      </c>
      <c r="F12" s="37" t="s">
        <v>370</v>
      </c>
    </row>
    <row r="13" spans="1:13" ht="153">
      <c r="A13" s="33" t="s">
        <v>193</v>
      </c>
      <c r="B13" s="44" t="s">
        <v>174</v>
      </c>
      <c r="C13" s="35" t="s">
        <v>142</v>
      </c>
      <c r="D13" s="36" t="str">
        <f>IFERROR(VLOOKUP('General Information'!$D$6, Validations!$L$2:$M$8, 2,FALSE), "")</f>
        <v>€/ha</v>
      </c>
      <c r="E13" s="22">
        <f>'Parcel 1 without DATSs'!G197*'General Information'!H39/'Parcel 1 without DATSs'!E10</f>
        <v>20.665384615384617</v>
      </c>
      <c r="F13" s="37" t="s">
        <v>371</v>
      </c>
    </row>
    <row r="14" spans="1:13" ht="136">
      <c r="A14" s="33" t="s">
        <v>193</v>
      </c>
      <c r="B14" s="44" t="s">
        <v>175</v>
      </c>
      <c r="C14" s="35" t="s">
        <v>142</v>
      </c>
      <c r="D14" s="36" t="str">
        <f>IFERROR(VLOOKUP('General Information'!$D$6, Validations!$L$2:$M$8, 2,FALSE), "")</f>
        <v>€/ha</v>
      </c>
      <c r="E14" s="22">
        <f>'Parcel 1 without DATSs'!G198*'General Information'!H39/'Parcel 1 without DATSs'!E10</f>
        <v>5.1576923076923071</v>
      </c>
      <c r="F14" s="37" t="s">
        <v>372</v>
      </c>
    </row>
    <row r="15" spans="1:13" ht="153">
      <c r="A15" s="33" t="s">
        <v>193</v>
      </c>
      <c r="B15" s="44" t="s">
        <v>176</v>
      </c>
      <c r="C15" s="35" t="s">
        <v>142</v>
      </c>
      <c r="D15" s="36" t="str">
        <f>IFERROR(VLOOKUP('General Information'!$D$6, Validations!$L$2:$M$8, 2,FALSE), "")</f>
        <v>€/ha</v>
      </c>
      <c r="E15" s="22">
        <f>'Parcel 1 without DATSs'!G199*'General Information'!H39/'Parcel 1 without DATSs'!E10</f>
        <v>13.673076923076923</v>
      </c>
      <c r="F15" s="37" t="s">
        <v>367</v>
      </c>
    </row>
    <row r="16" spans="1:13" ht="153">
      <c r="A16" s="33" t="s">
        <v>193</v>
      </c>
      <c r="B16" s="44" t="s">
        <v>290</v>
      </c>
      <c r="C16" s="35" t="s">
        <v>142</v>
      </c>
      <c r="D16" s="36" t="str">
        <f>IFERROR(VLOOKUP('General Information'!$D$6, Validations!$L$2:$M$8, 2,FALSE), "")</f>
        <v>€/ha</v>
      </c>
      <c r="E16" s="22">
        <f>'Parcel 1 without DATSs'!G200*'General Information'!H39/'Parcel 1 without DATSs'!E10</f>
        <v>0</v>
      </c>
      <c r="F16" s="37" t="s">
        <v>373</v>
      </c>
    </row>
    <row r="17" spans="1:7" ht="153">
      <c r="A17" s="33" t="s">
        <v>193</v>
      </c>
      <c r="B17" s="44" t="s">
        <v>197</v>
      </c>
      <c r="C17" s="35" t="s">
        <v>142</v>
      </c>
      <c r="D17" s="36" t="str">
        <f>IFERROR(VLOOKUP('General Information'!$D$6, Validations!$L$2:$M$8, 2,FALSE), "")</f>
        <v>€/ha</v>
      </c>
      <c r="E17" s="22">
        <f>'Parcel 1 without DATSs'!G201*'General Information'!H39/'Parcel 1 without DATSs'!E10</f>
        <v>0</v>
      </c>
      <c r="F17" s="37" t="s">
        <v>350</v>
      </c>
    </row>
    <row r="18" spans="1:7" ht="119">
      <c r="A18" s="33" t="s">
        <v>193</v>
      </c>
      <c r="B18" s="44" t="s">
        <v>522</v>
      </c>
      <c r="C18" s="35" t="s">
        <v>142</v>
      </c>
      <c r="D18" s="36" t="str">
        <f>IFERROR(VLOOKUP('General Information'!$D$6, Validations!$L$2:$M$8, 2,FALSE), "")</f>
        <v>€/ha</v>
      </c>
      <c r="E18" s="22">
        <f>'Parcel 1 without DATSs'!G202*'General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18" s="37" t="s">
        <v>351</v>
      </c>
    </row>
    <row r="19" spans="1:7" ht="153">
      <c r="A19" s="33" t="s">
        <v>193</v>
      </c>
      <c r="B19" s="44" t="s">
        <v>198</v>
      </c>
      <c r="C19" s="35" t="s">
        <v>142</v>
      </c>
      <c r="D19" s="36" t="str">
        <f>IFERROR(VLOOKUP('General Information'!$D$6, Validations!$L$2:$M$8, 2,FALSE), "")</f>
        <v>€/ha</v>
      </c>
      <c r="E19" s="22">
        <f>'Parcel 1 without DATSs'!G203*'General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19" s="37" t="s">
        <v>352</v>
      </c>
    </row>
    <row r="20" spans="1:7" ht="102">
      <c r="A20" s="33" t="s">
        <v>193</v>
      </c>
      <c r="B20" s="44" t="s">
        <v>280</v>
      </c>
      <c r="C20" s="35" t="s">
        <v>142</v>
      </c>
      <c r="D20" s="36" t="str">
        <f>IFERROR(VLOOKUP('General Information'!$D$6, Validations!$L$2:$M$8, 2,FALSE), "")</f>
        <v>€/ha</v>
      </c>
      <c r="E20" s="22">
        <f>'Parcel 1 without DATSs'!G204*'General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0" s="37" t="s">
        <v>353</v>
      </c>
    </row>
    <row r="21" spans="1:7" ht="102">
      <c r="A21" s="33" t="s">
        <v>193</v>
      </c>
      <c r="B21" s="44" t="s">
        <v>200</v>
      </c>
      <c r="C21" s="35" t="s">
        <v>142</v>
      </c>
      <c r="D21" s="36" t="str">
        <f>IFERROR(VLOOKUP('General Information'!$D$6, Validations!$L$2:$M$8, 2,FALSE), "")</f>
        <v>€/ha</v>
      </c>
      <c r="E21" s="22">
        <f>'Parcel 1 without DATSs'!G205*'General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1" s="37" t="s">
        <v>374</v>
      </c>
    </row>
    <row r="22" spans="1:7" ht="136">
      <c r="A22" s="33" t="s">
        <v>193</v>
      </c>
      <c r="B22" s="44" t="s">
        <v>201</v>
      </c>
      <c r="C22" s="35" t="s">
        <v>142</v>
      </c>
      <c r="D22" s="36" t="str">
        <f>IFERROR(VLOOKUP('General Information'!$D$6, Validations!$L$2:$M$8, 2,FALSE), "")</f>
        <v>€/ha</v>
      </c>
      <c r="E22" s="22">
        <f>'Parcel 1 without DATSs'!G206*'General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2" s="37" t="s">
        <v>375</v>
      </c>
    </row>
    <row r="23" spans="1:7" ht="119">
      <c r="A23" s="33" t="s">
        <v>193</v>
      </c>
      <c r="B23" s="44" t="s">
        <v>202</v>
      </c>
      <c r="C23" s="35" t="s">
        <v>142</v>
      </c>
      <c r="D23" s="36" t="str">
        <f>IFERROR(VLOOKUP('General Information'!$D$6, Validations!$L$2:$M$8, 2,FALSE), "")</f>
        <v>€/ha</v>
      </c>
      <c r="E23" s="22">
        <f>'Parcel 1 without DATSs'!G207*'General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3" s="37" t="s">
        <v>376</v>
      </c>
    </row>
    <row r="24" spans="1:7" ht="119">
      <c r="A24" s="33" t="s">
        <v>193</v>
      </c>
      <c r="B24" s="44" t="s">
        <v>203</v>
      </c>
      <c r="C24" s="35" t="s">
        <v>142</v>
      </c>
      <c r="D24" s="36" t="str">
        <f>IFERROR(VLOOKUP('General Information'!$D$6, Validations!$L$2:$M$8, 2,FALSE), "")</f>
        <v>€/ha</v>
      </c>
      <c r="E24" s="22">
        <f>'Parcel 1 without DATSs'!G208*'General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4" s="37" t="s">
        <v>377</v>
      </c>
    </row>
    <row r="25" spans="1:7" ht="119">
      <c r="A25" s="33" t="s">
        <v>193</v>
      </c>
      <c r="B25" s="44" t="s">
        <v>204</v>
      </c>
      <c r="C25" s="35" t="s">
        <v>142</v>
      </c>
      <c r="D25" s="36" t="str">
        <f>IFERROR(VLOOKUP('General Information'!$D$6, Validations!$L$2:$M$8, 2,FALSE), "")</f>
        <v>€/ha</v>
      </c>
      <c r="E25" s="22">
        <f>'Parcel 1 without DATSs'!G209*'General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5" s="37" t="s">
        <v>378</v>
      </c>
    </row>
    <row r="26" spans="1:7" ht="102">
      <c r="A26" s="33" t="s">
        <v>193</v>
      </c>
      <c r="B26" s="44" t="s">
        <v>418</v>
      </c>
      <c r="C26" s="35" t="s">
        <v>142</v>
      </c>
      <c r="D26" s="36" t="str">
        <f>IFERROR(VLOOKUP('General Information'!$D$6, Validations!$L$2:$M$8, 2,FALSE), "")</f>
        <v>€/ha</v>
      </c>
      <c r="E26" s="22">
        <f>'Parcel 1 without DATSs'!G210*'General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6" s="37" t="s">
        <v>419</v>
      </c>
      <c r="G26" s="39"/>
    </row>
    <row r="27" spans="1:7" ht="136">
      <c r="A27" s="33" t="s">
        <v>193</v>
      </c>
      <c r="B27" s="44" t="s">
        <v>205</v>
      </c>
      <c r="C27" s="35" t="s">
        <v>142</v>
      </c>
      <c r="D27" s="36" t="str">
        <f>IFERROR(VLOOKUP('General Information'!$D$6, Validations!$L$2:$M$8, 2,FALSE), "")</f>
        <v>€/ha</v>
      </c>
      <c r="E27" s="22">
        <f>'Parcel 1 without DATSs'!G211*'General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7" s="37" t="s">
        <v>379</v>
      </c>
    </row>
    <row r="28" spans="1:7" ht="102">
      <c r="A28" s="33" t="s">
        <v>193</v>
      </c>
      <c r="B28" s="44" t="s">
        <v>206</v>
      </c>
      <c r="C28" s="35" t="s">
        <v>142</v>
      </c>
      <c r="D28" s="36" t="str">
        <f>IFERROR(VLOOKUP('General Information'!$D$6, Validations!$L$2:$M$8, 2,FALSE), "")</f>
        <v>€/ha</v>
      </c>
      <c r="E28" s="22">
        <f>'Parcel 1 without DATSs'!G212*'General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8" s="37" t="s">
        <v>380</v>
      </c>
    </row>
    <row r="29" spans="1:7" ht="119">
      <c r="A29" s="33" t="s">
        <v>193</v>
      </c>
      <c r="B29" s="44" t="s">
        <v>207</v>
      </c>
      <c r="C29" s="35" t="s">
        <v>142</v>
      </c>
      <c r="D29" s="36" t="str">
        <f>IFERROR(VLOOKUP('General Information'!$D$6, Validations!$L$2:$M$8, 2,FALSE), "")</f>
        <v>€/ha</v>
      </c>
      <c r="E29" s="22" t="e">
        <f>'Parcel 1 without DATSs'!G213*'General Information'!H39/'Parcel 1 without DATSs'!E19</f>
        <v>#DIV/0!</v>
      </c>
      <c r="F29" s="37" t="s">
        <v>381</v>
      </c>
    </row>
    <row r="30" spans="1:7" ht="119">
      <c r="A30" s="33" t="s">
        <v>193</v>
      </c>
      <c r="B30" s="44" t="s">
        <v>208</v>
      </c>
      <c r="C30" s="35" t="s">
        <v>142</v>
      </c>
      <c r="D30" s="36" t="str">
        <f>IFERROR(VLOOKUP('General Information'!$D$6, Validations!$L$2:$M$8, 2,FALSE), "")</f>
        <v>€/ha</v>
      </c>
      <c r="E30" s="22" t="e">
        <f>'Parcel 1 without DATSs'!G214*'General Information'!H39/'Parcel 1 without DATSs'!G254</f>
        <v>#DIV/0!</v>
      </c>
      <c r="F30" s="37" t="s">
        <v>382</v>
      </c>
    </row>
    <row r="31" spans="1:7" ht="153">
      <c r="A31" s="33" t="s">
        <v>193</v>
      </c>
      <c r="B31" s="44" t="s">
        <v>209</v>
      </c>
      <c r="C31" s="35" t="s">
        <v>142</v>
      </c>
      <c r="D31" s="36" t="str">
        <f>IFERROR(VLOOKUP('General Information'!$D$6, Validations!$L$2:$M$8, 2,FALSE), "")</f>
        <v>€/ha</v>
      </c>
      <c r="E31" s="22" t="e">
        <f>'Parcel 1 without DATSs'!G215*'General Information'!H39/'Parcel 1 without DATSs'!G254</f>
        <v>#DIV/0!</v>
      </c>
      <c r="F31" s="37" t="s">
        <v>383</v>
      </c>
    </row>
    <row r="32" spans="1:7" ht="102">
      <c r="A32" s="33" t="s">
        <v>193</v>
      </c>
      <c r="B32" s="44" t="s">
        <v>422</v>
      </c>
      <c r="C32" s="35" t="s">
        <v>142</v>
      </c>
      <c r="D32" s="36" t="str">
        <f>IFERROR(VLOOKUP('General Information'!$D$6, Validations!$L$2:$M$8, 2,FALSE), "")</f>
        <v>€/ha</v>
      </c>
      <c r="E32" s="22">
        <f>'Parcel 1 without DATSs'!G216*'General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30.98076923076923</v>
      </c>
      <c r="F32" s="37" t="s">
        <v>384</v>
      </c>
      <c r="G32" s="39"/>
    </row>
    <row r="33" spans="1:13" ht="102">
      <c r="A33" s="33" t="s">
        <v>193</v>
      </c>
      <c r="B33" s="44" t="s">
        <v>346</v>
      </c>
      <c r="C33" s="35" t="s">
        <v>142</v>
      </c>
      <c r="D33" s="36" t="str">
        <f>IFERROR(VLOOKUP('General Information'!$D$6, Validations!$L$2:$M$8, 2,FALSE), "")</f>
        <v>€/ha</v>
      </c>
      <c r="E33" s="22">
        <f>'Parcel 1 without DATSs'!G217*'General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3" s="37" t="s">
        <v>385</v>
      </c>
      <c r="G33" s="39"/>
    </row>
    <row r="34" spans="1:13" ht="204">
      <c r="A34" s="33" t="s">
        <v>193</v>
      </c>
      <c r="B34" s="44" t="s">
        <v>596</v>
      </c>
      <c r="C34" s="35" t="s">
        <v>142</v>
      </c>
      <c r="D34" s="36" t="str">
        <f>IFERROR(VLOOKUP('General Information'!$D$6, Validations!$L$2:$M$8, 2,FALSE), "")</f>
        <v>€/ha</v>
      </c>
      <c r="E34" s="22">
        <f>'Parcel 1 without DATSs'!G218*'General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13.673076923076923</v>
      </c>
      <c r="F34" s="37" t="s">
        <v>387</v>
      </c>
    </row>
    <row r="35" spans="1:13" ht="204">
      <c r="A35" s="33" t="s">
        <v>503</v>
      </c>
      <c r="B35" s="45" t="s">
        <v>431</v>
      </c>
      <c r="C35" s="35" t="s">
        <v>142</v>
      </c>
      <c r="D35" s="36" t="str">
        <f>IFERROR(VLOOKUP('General Information'!$D$6, Validations!$L$2:$M$8, 2,FALSE), "")</f>
        <v>€/ha</v>
      </c>
      <c r="E35" s="22">
        <f>_xlfn.AGGREGATE(9,6,E3:E34)</f>
        <v>546.03842307692298</v>
      </c>
      <c r="F35" s="37" t="s">
        <v>388</v>
      </c>
    </row>
    <row r="36" spans="1:13" ht="32">
      <c r="A36" s="40" t="s">
        <v>296</v>
      </c>
      <c r="B36" s="41" t="s">
        <v>297</v>
      </c>
      <c r="C36" s="35" t="s">
        <v>142</v>
      </c>
      <c r="D36" s="36"/>
      <c r="E36" s="22">
        <v>0</v>
      </c>
      <c r="F36" s="37"/>
      <c r="G36" s="39"/>
    </row>
    <row r="37" spans="1:13" ht="32">
      <c r="A37" s="40" t="s">
        <v>296</v>
      </c>
      <c r="B37" s="41" t="s">
        <v>354</v>
      </c>
      <c r="C37" s="35" t="s">
        <v>142</v>
      </c>
      <c r="D37" s="36"/>
      <c r="E37" s="22">
        <v>0</v>
      </c>
      <c r="F37" s="37"/>
      <c r="G37" s="39"/>
    </row>
    <row r="38" spans="1:13">
      <c r="A38" s="51"/>
      <c r="B38" s="3"/>
      <c r="C38" s="32"/>
      <c r="D38" s="1"/>
      <c r="E38" s="22"/>
      <c r="F38" s="30"/>
      <c r="G38" s="56"/>
    </row>
    <row r="39" spans="1:13" ht="34">
      <c r="A39" s="46" t="s">
        <v>182</v>
      </c>
      <c r="F39" s="30"/>
      <c r="M39" s="38"/>
    </row>
    <row r="40" spans="1:13">
      <c r="A40" s="47" t="s">
        <v>358</v>
      </c>
      <c r="B40" s="47" t="s">
        <v>138</v>
      </c>
      <c r="C40" s="47" t="s">
        <v>139</v>
      </c>
      <c r="D40" s="47" t="s">
        <v>140</v>
      </c>
      <c r="E40" s="47" t="s">
        <v>195</v>
      </c>
      <c r="F40" s="47" t="s">
        <v>194</v>
      </c>
    </row>
    <row r="41" spans="1:13" ht="51">
      <c r="A41" s="40" t="s">
        <v>116</v>
      </c>
      <c r="B41" s="41" t="s">
        <v>597</v>
      </c>
      <c r="C41" s="42" t="s">
        <v>142</v>
      </c>
      <c r="D41" s="43" t="s">
        <v>143</v>
      </c>
      <c r="E41" s="22">
        <f>'Parcel 1 without DATSs'!G250/'Parcel 1 without DATSs'!E10*'General Information'!H41</f>
        <v>1070.7692307692307</v>
      </c>
      <c r="F41" s="37" t="s">
        <v>183</v>
      </c>
    </row>
    <row r="42" spans="1:13" ht="68">
      <c r="A42" s="40" t="s">
        <v>116</v>
      </c>
      <c r="B42" s="41" t="s">
        <v>598</v>
      </c>
      <c r="C42" s="42" t="s">
        <v>142</v>
      </c>
      <c r="D42" s="43" t="str">
        <f>IFERROR(VLOOKUP('General Information'!$D$6, Validations!$L$2:$M$8, 2,FALSE), "")</f>
        <v>€/ha</v>
      </c>
      <c r="E42" s="22">
        <f>('Parcel 1 without DATSs'!G251*'General Information'!H41/(IF('General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DATSs'!G256))))))))*1000</f>
        <v>0</v>
      </c>
      <c r="F42" s="37" t="s">
        <v>220</v>
      </c>
    </row>
    <row r="43" spans="1:13" ht="51">
      <c r="A43" s="40" t="s">
        <v>116</v>
      </c>
      <c r="B43" s="41" t="s">
        <v>599</v>
      </c>
      <c r="C43" s="42" t="s">
        <v>142</v>
      </c>
      <c r="D43" s="43" t="str">
        <f>IFERROR(VLOOKUP('General Information'!$D$6, Validations!$L$2:$M$8, 2,FALSE), "")</f>
        <v>€/ha</v>
      </c>
      <c r="E43" s="22">
        <f>('Parcel 1 without DATSs'!G252*'General Information'!H41/(IF('General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DATSs'!G256))))))))/10</f>
        <v>0</v>
      </c>
      <c r="F43" s="37" t="s">
        <v>221</v>
      </c>
    </row>
    <row r="44" spans="1:13" ht="68">
      <c r="A44" s="40" t="s">
        <v>116</v>
      </c>
      <c r="B44" s="41" t="s">
        <v>600</v>
      </c>
      <c r="C44" s="42" t="s">
        <v>142</v>
      </c>
      <c r="D44" s="43" t="s">
        <v>562</v>
      </c>
      <c r="E44" s="22" t="e">
        <f>'Parcel 1 without DATSs'!G254*'General Information'!H41/'Parcel 1 without DATSs'!E20</f>
        <v>#DIV/0!</v>
      </c>
      <c r="F44" s="37" t="s">
        <v>222</v>
      </c>
    </row>
    <row r="45" spans="1:13" ht="51">
      <c r="A45" s="40" t="s">
        <v>116</v>
      </c>
      <c r="B45" s="41" t="s">
        <v>601</v>
      </c>
      <c r="C45" s="42" t="s">
        <v>142</v>
      </c>
      <c r="D45" s="43" t="s">
        <v>563</v>
      </c>
      <c r="E45" s="22" t="e">
        <f>'Parcel 1 without DATSs'!G255/'Parcel 1 without DATSs'!E19*'General Information'!H41</f>
        <v>#DIV/0!</v>
      </c>
      <c r="F45" s="37" t="s">
        <v>223</v>
      </c>
    </row>
    <row r="46" spans="1:13">
      <c r="A46" s="40" t="s">
        <v>116</v>
      </c>
      <c r="B46" s="41" t="s">
        <v>602</v>
      </c>
      <c r="C46" s="42" t="s">
        <v>142</v>
      </c>
      <c r="D46" s="43" t="s">
        <v>462</v>
      </c>
      <c r="E46" s="22">
        <f>'Parcel 1 without DATSs'!G256*'General Information'!H41</f>
        <v>0</v>
      </c>
      <c r="F46" s="37"/>
    </row>
    <row r="47" spans="1:13">
      <c r="A47" s="40" t="s">
        <v>357</v>
      </c>
      <c r="B47" s="41" t="s">
        <v>281</v>
      </c>
      <c r="C47" s="42" t="s">
        <v>142</v>
      </c>
      <c r="D47" s="43" t="str">
        <f>IFERROR(VLOOKUP('General Information'!$D$6, Validations!$L$2:$M$8, 2,FALSE), "")</f>
        <v>€/ha</v>
      </c>
      <c r="E47" s="22">
        <f>'Parcel 1 without DATSs'!G225</f>
        <v>0</v>
      </c>
      <c r="F47" s="41" t="s">
        <v>281</v>
      </c>
    </row>
    <row r="48" spans="1:13">
      <c r="A48" s="51"/>
      <c r="B48" s="3"/>
      <c r="C48" s="52"/>
      <c r="D48" s="1"/>
      <c r="E48" s="22"/>
      <c r="F48" s="30"/>
    </row>
    <row r="49" spans="1:6">
      <c r="A49" s="51"/>
      <c r="B49" s="3"/>
      <c r="C49" s="52"/>
      <c r="D49" s="51"/>
      <c r="E49" s="22"/>
      <c r="F4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8"/>
  <sheetViews>
    <sheetView workbookViewId="0"/>
  </sheetViews>
  <sheetFormatPr baseColWidth="10" defaultRowHeight="16"/>
  <sheetData>
    <row r="1" spans="1:13" ht="51">
      <c r="A1" s="69" t="s">
        <v>337</v>
      </c>
      <c r="F1" s="30"/>
      <c r="M1" s="38"/>
    </row>
    <row r="2" spans="1:13">
      <c r="A2" s="47"/>
      <c r="B2" s="47" t="s">
        <v>138</v>
      </c>
      <c r="C2" s="47" t="s">
        <v>139</v>
      </c>
      <c r="D2" s="47" t="s">
        <v>140</v>
      </c>
      <c r="E2" s="47" t="s">
        <v>195</v>
      </c>
      <c r="F2" s="47" t="s">
        <v>194</v>
      </c>
    </row>
    <row r="3" spans="1:13" ht="68">
      <c r="A3" s="33"/>
      <c r="B3" s="41" t="s">
        <v>527</v>
      </c>
      <c r="C3" s="35" t="s">
        <v>157</v>
      </c>
      <c r="D3" s="43" t="s">
        <v>316</v>
      </c>
      <c r="E3" s="22">
        <f>'Parcel 1 with DATSs'!G250/'Parcel 1 with DATSs'!E10</f>
        <v>6.3407572383073498</v>
      </c>
      <c r="F3" s="37" t="s">
        <v>395</v>
      </c>
    </row>
    <row r="4" spans="1:13" ht="85">
      <c r="A4" s="33"/>
      <c r="B4" s="41" t="s">
        <v>399</v>
      </c>
      <c r="C4" s="35" t="s">
        <v>157</v>
      </c>
      <c r="D4" s="43" t="s">
        <v>315</v>
      </c>
      <c r="E4" s="22">
        <f>'Parcel 1 with DATSs'!G250/SUM('Parcel 1 with DATSs'!G194:G218)</f>
        <v>0.60075965393542941</v>
      </c>
      <c r="F4" s="37" t="s">
        <v>308</v>
      </c>
    </row>
    <row r="5" spans="1:13" ht="85">
      <c r="A5" s="33"/>
      <c r="B5" s="41" t="s">
        <v>400</v>
      </c>
      <c r="C5" s="35" t="s">
        <v>157</v>
      </c>
      <c r="D5" s="43" t="s">
        <v>531</v>
      </c>
      <c r="E5" s="22">
        <f>'Parcel 1 with DATSs'!G251/SUM('Parcel 1 with DATSs'!G194:G218)</f>
        <v>0</v>
      </c>
      <c r="F5" s="37" t="s">
        <v>308</v>
      </c>
    </row>
    <row r="6" spans="1:13" ht="85">
      <c r="A6" s="33"/>
      <c r="B6" s="41" t="s">
        <v>401</v>
      </c>
      <c r="C6" s="35" t="s">
        <v>157</v>
      </c>
      <c r="D6" s="43" t="s">
        <v>530</v>
      </c>
      <c r="E6" s="22">
        <f>'Parcel 1 with DATSs'!G252/SUM('Parcel 1 with DATSs'!G194:G218)</f>
        <v>0</v>
      </c>
      <c r="F6" s="37" t="s">
        <v>308</v>
      </c>
    </row>
    <row r="7" spans="1:13" ht="85">
      <c r="A7" s="33"/>
      <c r="B7" s="41" t="s">
        <v>402</v>
      </c>
      <c r="C7" s="35" t="s">
        <v>157</v>
      </c>
      <c r="D7" s="43" t="s">
        <v>532</v>
      </c>
      <c r="E7" s="22">
        <f>'Parcel 1 with DATSs'!G254/SUM('Parcel 1 with DATSs'!G194:G218)</f>
        <v>0</v>
      </c>
      <c r="F7" s="37" t="s">
        <v>308</v>
      </c>
      <c r="G7" s="39"/>
    </row>
    <row r="8" spans="1:13" ht="85">
      <c r="A8" s="33"/>
      <c r="B8" s="41" t="s">
        <v>403</v>
      </c>
      <c r="C8" s="35" t="s">
        <v>157</v>
      </c>
      <c r="D8" s="43" t="s">
        <v>533</v>
      </c>
      <c r="E8" s="22">
        <f>'Parcel 1 with DATSs'!G255/SUM('Parcel 1 with DATSs'!G194:G218)</f>
        <v>0</v>
      </c>
      <c r="F8" s="37" t="s">
        <v>308</v>
      </c>
      <c r="G8" s="39"/>
    </row>
    <row r="9" spans="1:13">
      <c r="A9" s="33"/>
      <c r="B9" s="41" t="s">
        <v>603</v>
      </c>
      <c r="C9" s="35" t="s">
        <v>157</v>
      </c>
      <c r="D9" s="43" t="s">
        <v>604</v>
      </c>
      <c r="E9" s="22">
        <f>'Parcel 1 with DATSs'!G256/SUM('Parcel 1 with DATSs'!G194:G218)</f>
        <v>0</v>
      </c>
      <c r="F9" s="37"/>
      <c r="G9" s="39"/>
    </row>
    <row r="10" spans="1:13" ht="85">
      <c r="A10" s="33"/>
      <c r="B10" s="41" t="s">
        <v>309</v>
      </c>
      <c r="C10" s="35" t="s">
        <v>157</v>
      </c>
      <c r="D10" s="43" t="s">
        <v>605</v>
      </c>
      <c r="E10" s="22" t="e">
        <f>'Parcel 1 with DATSs'!G251/'Parcel 1 with DATSs'!E17/365</f>
        <v>#DIV/0!</v>
      </c>
      <c r="F10" s="37" t="s">
        <v>310</v>
      </c>
      <c r="G10" s="39"/>
    </row>
    <row r="11" spans="1:13" ht="51">
      <c r="A11" s="33"/>
      <c r="B11" s="41" t="s">
        <v>314</v>
      </c>
      <c r="C11" s="35" t="s">
        <v>157</v>
      </c>
      <c r="D11" s="43" t="s">
        <v>608</v>
      </c>
      <c r="E11" s="22" t="e">
        <f>'Parcel 1 with DATSs'!G252/'Parcel 1 with DATSs'!E17/365</f>
        <v>#DIV/0!</v>
      </c>
      <c r="F11" s="37" t="s">
        <v>393</v>
      </c>
      <c r="G11" s="39"/>
    </row>
    <row r="12" spans="1:13" ht="51">
      <c r="A12" s="33"/>
      <c r="B12" s="41" t="s">
        <v>311</v>
      </c>
      <c r="C12" s="35" t="s">
        <v>157</v>
      </c>
      <c r="D12" s="43" t="s">
        <v>528</v>
      </c>
      <c r="E12" s="22" t="e">
        <f>'Parcel 1 with DATSs'!G255/'Parcel 1 with DATSs'!E19</f>
        <v>#DIV/0!</v>
      </c>
      <c r="F12" s="37" t="s">
        <v>392</v>
      </c>
      <c r="G12" s="39"/>
    </row>
    <row r="13" spans="1:13" ht="34">
      <c r="A13" s="33"/>
      <c r="B13" s="41" t="s">
        <v>312</v>
      </c>
      <c r="C13" s="35" t="s">
        <v>157</v>
      </c>
      <c r="D13" s="43" t="s">
        <v>529</v>
      </c>
      <c r="E13" s="22" t="e">
        <f>'Parcel 1 with DATSs'!G254/'Parcel 1 with DATSs'!E20</f>
        <v>#DIV/0!</v>
      </c>
      <c r="F13" s="37" t="s">
        <v>313</v>
      </c>
      <c r="G13" s="39"/>
    </row>
    <row r="14" spans="1:13">
      <c r="A14" s="51"/>
      <c r="B14" s="3"/>
      <c r="C14" s="52"/>
      <c r="D14" s="1"/>
      <c r="E14" s="22"/>
    </row>
    <row r="15" spans="1:13" ht="34">
      <c r="A15" s="69" t="s">
        <v>338</v>
      </c>
      <c r="F15" s="30"/>
      <c r="M15" s="38"/>
    </row>
    <row r="16" spans="1:13">
      <c r="A16" s="47"/>
      <c r="B16" s="47" t="s">
        <v>138</v>
      </c>
      <c r="C16" s="47" t="s">
        <v>139</v>
      </c>
      <c r="D16" s="47" t="s">
        <v>140</v>
      </c>
      <c r="E16" s="47" t="s">
        <v>195</v>
      </c>
      <c r="F16" s="47" t="s">
        <v>194</v>
      </c>
    </row>
    <row r="17" spans="1:13" ht="136">
      <c r="A17" s="33"/>
      <c r="B17" s="41" t="s">
        <v>318</v>
      </c>
      <c r="C17" s="35" t="s">
        <v>157</v>
      </c>
      <c r="D17" s="43" t="s">
        <v>105</v>
      </c>
      <c r="E17" s="22" t="e">
        <f>('Parcel 1 with DATSs'!G202/SUM('Parcel 1 with DATSs'!G201:G204))*100</f>
        <v>#DIV/0!</v>
      </c>
      <c r="F17" s="37" t="s">
        <v>319</v>
      </c>
      <c r="G17" s="39"/>
    </row>
    <row r="18" spans="1:13" ht="136">
      <c r="A18" s="67"/>
      <c r="B18" s="41" t="s">
        <v>320</v>
      </c>
      <c r="C18" s="35" t="s">
        <v>157</v>
      </c>
      <c r="D18" s="43" t="s">
        <v>105</v>
      </c>
      <c r="E18" s="22" t="e">
        <f>('Parcel 1 with DATSs'!G222/'Parcel 1 with DATSs'!G223)*100</f>
        <v>#DIV/0!</v>
      </c>
      <c r="F18" s="37" t="s">
        <v>321</v>
      </c>
      <c r="G18" s="39"/>
    </row>
    <row r="19" spans="1:13" ht="51">
      <c r="A19" s="33"/>
      <c r="B19" s="41" t="s">
        <v>322</v>
      </c>
      <c r="C19" s="35" t="s">
        <v>157</v>
      </c>
      <c r="D19" s="43" t="s">
        <v>113</v>
      </c>
      <c r="E19" s="22">
        <f>'Parcel 1 with DATSs'!G224</f>
        <v>0</v>
      </c>
      <c r="F19" s="37" t="s">
        <v>322</v>
      </c>
      <c r="G19" s="39"/>
    </row>
    <row r="20" spans="1:13">
      <c r="A20" s="51"/>
      <c r="B20" s="3"/>
      <c r="C20" s="52"/>
      <c r="D20" s="1"/>
      <c r="E20" s="30"/>
    </row>
    <row r="21" spans="1:13" ht="34">
      <c r="A21" s="46" t="s">
        <v>323</v>
      </c>
      <c r="F21" s="30"/>
      <c r="M21" s="38"/>
    </row>
    <row r="22" spans="1:13">
      <c r="A22" s="47" t="s">
        <v>166</v>
      </c>
      <c r="B22" s="47" t="s">
        <v>138</v>
      </c>
      <c r="C22" s="47" t="s">
        <v>139</v>
      </c>
      <c r="D22" s="47" t="s">
        <v>140</v>
      </c>
      <c r="E22" s="47" t="s">
        <v>195</v>
      </c>
      <c r="F22" s="47" t="s">
        <v>194</v>
      </c>
    </row>
    <row r="23" spans="1:13">
      <c r="A23" s="33"/>
      <c r="B23" s="41" t="s">
        <v>324</v>
      </c>
      <c r="C23" s="35" t="s">
        <v>157</v>
      </c>
      <c r="D23" s="43"/>
      <c r="E23" s="39"/>
      <c r="F23" s="37"/>
      <c r="G23" s="39"/>
    </row>
    <row r="24" spans="1:13">
      <c r="A24" s="33"/>
      <c r="B24" s="41" t="s">
        <v>362</v>
      </c>
      <c r="C24" s="35" t="s">
        <v>157</v>
      </c>
      <c r="D24" s="43" t="s">
        <v>105</v>
      </c>
      <c r="E24" s="22">
        <f>'Parcel 1 with DATSs'!G226</f>
        <v>12.5</v>
      </c>
      <c r="F24" s="37"/>
      <c r="G24" s="39"/>
    </row>
    <row r="25" spans="1:13">
      <c r="A25" s="33"/>
      <c r="B25" s="41" t="s">
        <v>363</v>
      </c>
      <c r="C25" s="35" t="s">
        <v>157</v>
      </c>
      <c r="D25" s="43" t="s">
        <v>105</v>
      </c>
      <c r="E25" s="22">
        <f>'Parcel 1 with DATSs'!G227</f>
        <v>14.1</v>
      </c>
      <c r="F25" s="37"/>
      <c r="G25" s="39"/>
    </row>
    <row r="26" spans="1:13">
      <c r="A26" s="33"/>
      <c r="B26" s="41" t="s">
        <v>364</v>
      </c>
      <c r="C26" s="35" t="s">
        <v>157</v>
      </c>
      <c r="D26" s="43" t="s">
        <v>365</v>
      </c>
      <c r="E26" s="22">
        <f>'Parcel 1 with DATSs'!G228</f>
        <v>76.599999999999994</v>
      </c>
      <c r="F26" s="37"/>
      <c r="G26" s="39"/>
    </row>
    <row r="27" spans="1:13">
      <c r="A27" s="51"/>
      <c r="B27" s="3"/>
      <c r="C27" s="52"/>
      <c r="D27" s="1"/>
      <c r="E27" s="30"/>
    </row>
    <row r="28" spans="1:13" ht="30">
      <c r="A28" s="49" t="s">
        <v>339</v>
      </c>
      <c r="M28" s="48"/>
    </row>
    <row r="29" spans="1:13">
      <c r="A29" s="47" t="s">
        <v>225</v>
      </c>
      <c r="B29" s="47" t="s">
        <v>145</v>
      </c>
      <c r="C29" s="47" t="s">
        <v>139</v>
      </c>
      <c r="D29" s="47" t="s">
        <v>140</v>
      </c>
      <c r="E29" s="47" t="s">
        <v>195</v>
      </c>
      <c r="F29" s="47" t="s">
        <v>146</v>
      </c>
      <c r="G29" s="50"/>
      <c r="I29" s="50"/>
      <c r="J29" s="50"/>
      <c r="K29" s="50"/>
      <c r="L29" s="50"/>
      <c r="M29" s="50"/>
    </row>
    <row r="30" spans="1:13" ht="68">
      <c r="A30" s="33" t="s">
        <v>179</v>
      </c>
      <c r="B30" s="41" t="s">
        <v>17</v>
      </c>
      <c r="C30" s="35" t="s">
        <v>157</v>
      </c>
      <c r="D30" s="43" t="s">
        <v>147</v>
      </c>
      <c r="E30" s="22">
        <f>('Parcel 1 with DATSs'!G101*'Parcel 1 with DATSs'!G102*('Parcel 1 with DATSs'!G103/100))+
('Parcel 1 with DATSs'!G108*'Parcel 1 with DATSs'!G109*('Parcel 1 with DATSs'!G110/100))+
('Parcel 1 with DATSs'!G115*'Parcel 1 with DATSs'!G116*('Parcel 1 with DATSs'!G117/100))+
('Parcel 1 with DATSs'!G122*'Parcel 1 with DATSs'!G123*('Parcel 1 with DATSs'!G124/100))+
('Parcel 1 with DATSs'!G129*'Parcel 1 with DATSs'!G130*('Parcel 1 with DATSs'!G131/100))+
('Parcel 1 with DATSs'!G136*'Parcel 1 with DATSs'!G137*('Parcel 1 with DATSs'!G138/100))+
('Parcel 1 with DATSs'!G143*'Parcel 1 with DATSs'!G144*('Parcel 1 with DATSs'!G145/100))+
('Parcel 1 with DATSs'!G150*'Parcel 1 with DATSs'!G151*('Parcel 1 with DATSs'!G152/100))+
('Parcel 1 with DATSs'!G157*'Parcel 1 with DATSs'!G158*('Parcel 1 with DATSs'!G159/100))+
('Parcel 1 with DATSs'!G164*'Parcel 1 with DATSs'!G165*('Parcel 1 with DATSs'!G166/100))</f>
        <v>110.09999999999998</v>
      </c>
      <c r="F30" s="37" t="s">
        <v>185</v>
      </c>
      <c r="G30" s="39"/>
      <c r="H30" s="72"/>
    </row>
    <row r="31" spans="1:13" ht="136">
      <c r="A31" s="33" t="s">
        <v>179</v>
      </c>
      <c r="B31" s="41" t="s">
        <v>18</v>
      </c>
      <c r="C31" s="35" t="s">
        <v>157</v>
      </c>
      <c r="D31" s="43" t="s">
        <v>105</v>
      </c>
      <c r="E31" s="22">
        <f>((('Parcel 1 with DATSs'!G250*1000/'Parcel 1 with DATSs'!E10)*C98)/(E30)*100)</f>
        <v>116.3336023740313</v>
      </c>
      <c r="F31" s="37" t="s">
        <v>534</v>
      </c>
      <c r="G31" s="73"/>
    </row>
    <row r="32" spans="1:13" ht="68">
      <c r="A32" s="33" t="s">
        <v>179</v>
      </c>
      <c r="B32" s="41" t="s">
        <v>19</v>
      </c>
      <c r="C32" s="35" t="s">
        <v>157</v>
      </c>
      <c r="D32" s="43" t="s">
        <v>147</v>
      </c>
      <c r="E32" s="22">
        <f>('Parcel 1 with DATSs'!G101*'Parcel 1 with DATSs'!G102*('Parcel 1 with DATSs'!G104/100))+
('Parcel 1 with DATSs'!G108*'Parcel 1 with DATSs'!G109*('Parcel 1 with DATSs'!G111/100))+
('Parcel 1 with DATSs'!G115*'Parcel 1 with DATSs'!G116*('Parcel 1 with DATSs'!G118/100))+
('Parcel 1 with DATSs'!G122*'Parcel 1 with DATSs'!G123*('Parcel 1 with DATSs'!G125/100))+
('Parcel 1 with DATSs'!G129*'Parcel 1 with DATSs'!G130*('Parcel 1 with DATSs'!G132/100))+
('Parcel 1 with DATSs'!G136*'Parcel 1 with DATSs'!G137*('Parcel 1 with DATSs'!G139/100))+
('Parcel 1 with DATSs'!G143*'Parcel 1 with DATSs'!G144*('Parcel 1 with DATSs'!G146/100))+
('Parcel 1 with DATSs'!G150*'Parcel 1 with DATSs'!G151*('Parcel 1 with DATSs'!G153/100))+
('Parcel 1 with DATSs'!G157*'Parcel 1 with DATSs'!G158*('Parcel 1 with DATSs'!G160/100))+
('Parcel 1 with DATSs'!G164*'Parcel 1 with DATSs'!G165*('Parcel 1 with DATSs'!G167/100))</f>
        <v>31.200000000000003</v>
      </c>
      <c r="F32" s="37" t="s">
        <v>186</v>
      </c>
      <c r="G32" s="39"/>
    </row>
    <row r="33" spans="1:13" ht="136">
      <c r="A33" s="33" t="s">
        <v>179</v>
      </c>
      <c r="B33" s="41" t="s">
        <v>20</v>
      </c>
      <c r="C33" s="35" t="s">
        <v>157</v>
      </c>
      <c r="D33" s="43" t="s">
        <v>105</v>
      </c>
      <c r="E33" s="22">
        <f>((('Parcel 1 with DATSs'!G250*1000/'Parcel 1 with DATSs'!E10)*C99)/E32*100)</f>
        <v>166.64810690423161</v>
      </c>
      <c r="F33" s="37" t="s">
        <v>535</v>
      </c>
      <c r="G33" s="39"/>
    </row>
    <row r="34" spans="1:13" ht="68">
      <c r="A34" s="33" t="s">
        <v>179</v>
      </c>
      <c r="B34" s="41" t="s">
        <v>286</v>
      </c>
      <c r="C34" s="162" t="s">
        <v>157</v>
      </c>
      <c r="D34" s="43" t="s">
        <v>105</v>
      </c>
      <c r="E34" s="163">
        <f>('Parcel 1 with DATSs'!G101*'Parcel 1 with DATSs'!G102*('Parcel 1 with DATSs'!G105/100))+
('Parcel 1 with DATSs'!G108*'Parcel 1 with DATSs'!G109*('Parcel 1 with DATSs'!G112/100))+
('Parcel 1 with DATSs'!G115*'Parcel 1 with DATSs'!G116*('Parcel 1 with DATSs'!G119/100))+
('Parcel 1 with DATSs'!G122*'Parcel 1 with DATSs'!G123*('Parcel 1 with DATSs'!G126/100))+
('Parcel 1 with DATSs'!G129*'Parcel 1 with DATSs'!G130*('Parcel 1 with DATSs'!G133/100))+
('Parcel 1 with DATSs'!G136*'Parcel 1 with DATSs'!G137*('Parcel 1 with DATSs'!G140/100))+
('Parcel 1 with DATSs'!G143*'Parcel 1 with DATSs'!G144*('Parcel 1 with DATSs'!G147/100))+
('Parcel 1 with DATSs'!G150*'Parcel 1 with DATSs'!G151*('Parcel 1 with DATSs'!G154/100))+
('Parcel 1 with DATSs'!G157*'Parcel 1 with DATSs'!G158*('Parcel 1 with DATSs'!G161/100))+
('Parcel 1 with DATSs'!G164*'Parcel 1 with DATSs'!G165*('Parcel 1 with DATSs'!G168/100))</f>
        <v>0</v>
      </c>
      <c r="F34" s="37" t="s">
        <v>288</v>
      </c>
    </row>
    <row r="35" spans="1:13" ht="136">
      <c r="A35" s="33" t="s">
        <v>179</v>
      </c>
      <c r="B35" s="41" t="s">
        <v>287</v>
      </c>
      <c r="C35" s="162" t="s">
        <v>157</v>
      </c>
      <c r="D35" s="43" t="s">
        <v>105</v>
      </c>
      <c r="E35" s="163" t="e">
        <f>(((('Parcel 1 with DATSs'!G250*1000)/'Parcel 1 with DATSs'!E10)*'sust. impact KPIs DATS'!C100)/E34*100)</f>
        <v>#DIV/0!</v>
      </c>
      <c r="F35" s="37" t="s">
        <v>536</v>
      </c>
    </row>
    <row r="36" spans="1:13" ht="119">
      <c r="A36" s="33" t="s">
        <v>177</v>
      </c>
      <c r="B36" s="41" t="s">
        <v>299</v>
      </c>
      <c r="C36" s="35" t="s">
        <v>157</v>
      </c>
      <c r="D36" s="43" t="s">
        <v>147</v>
      </c>
      <c r="E36" s="22">
        <f>('Parcel 1 with DATSs'!G67*'Parcel 1 with DATSs'!G68)+
('Parcel 1 with DATSs'!G70*'Parcel 1 with DATSs'!G71)+
('Parcel 1 with DATSs'!G73*'Parcel 1 with DATSs'!G74)+
('Parcel 1 with DATSs'!G76*'Parcel 1 with DATSs'!G77)+
('Parcel 1 with DATSs'!G79*'Parcel 1 with DATSs'!G80)+
('Parcel 1 with DATSs'!G82*'Parcel 1 with DATSs'!G83)+
('Parcel 1 with DATSs'!G85*'Parcel 1 with DATSs'!G86)+
('Parcel 1 with DATSs'!G88*'Parcel 1 with DATSs'!G89)+
('Parcel 1 with DATSs'!G91*'Parcel 1 with DATSs'!G92)+
('Parcel 1 with DATSs'!G94*'Parcel 1 with DATSs'!G95)</f>
        <v>2.3000000000000003</v>
      </c>
      <c r="F36" s="37" t="s">
        <v>300</v>
      </c>
      <c r="G36" s="39"/>
    </row>
    <row r="37" spans="1:13" ht="68">
      <c r="A37" s="33" t="s">
        <v>0</v>
      </c>
      <c r="B37" s="41" t="s">
        <v>764</v>
      </c>
      <c r="C37" s="35" t="s">
        <v>157</v>
      </c>
      <c r="D37" s="43" t="str">
        <f>IFERROR(VLOOKUP('General Information'!$D$6, Validations!$J$2:$K$8, 2,FALSE), "")</f>
        <v/>
      </c>
      <c r="E37" s="22">
        <f>'Parcel 1 with DATSs'!G29/(IF('General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0.40089086859688194</v>
      </c>
      <c r="F37" s="37" t="s">
        <v>188</v>
      </c>
      <c r="G37" s="39"/>
    </row>
    <row r="38" spans="1:13" ht="68">
      <c r="A38" s="33" t="s">
        <v>0</v>
      </c>
      <c r="B38" s="41" t="s">
        <v>397</v>
      </c>
      <c r="C38" s="35" t="s">
        <v>157</v>
      </c>
      <c r="D38" s="43" t="s">
        <v>398</v>
      </c>
      <c r="E38" s="22"/>
      <c r="F38" s="37" t="s">
        <v>285</v>
      </c>
      <c r="G38" s="39"/>
    </row>
    <row r="39" spans="1:13" ht="68">
      <c r="A39" s="33" t="s">
        <v>0</v>
      </c>
      <c r="B39" s="41" t="s">
        <v>21</v>
      </c>
      <c r="C39" s="35" t="s">
        <v>157</v>
      </c>
      <c r="D39" s="43" t="s">
        <v>427</v>
      </c>
      <c r="E39" s="22">
        <f>(('Parcel 1 with DATSs'!G250)*1000)/(IF(('Parcel 1 with DATSs'!G24+'Parcel 1 with DATSs'!G25)&gt;0,('Parcel 1 with DATSs'!G24+'Parcel 1 with DATSs'!G25),'Parcel 1 with DATSs'!G29))</f>
        <v>15816.666666666666</v>
      </c>
      <c r="F39" s="37" t="s">
        <v>189</v>
      </c>
    </row>
    <row r="40" spans="1:13" ht="102">
      <c r="A40" s="33" t="s">
        <v>168</v>
      </c>
      <c r="B40" s="41" t="s">
        <v>22</v>
      </c>
      <c r="C40" s="35" t="s">
        <v>157</v>
      </c>
      <c r="D40" s="43" t="str">
        <f>IFERROR(VLOOKUP('General Information'!$D$6, Validations!$W$2:$X$8, 2,FALSE), "")</f>
        <v>kWh/ha</v>
      </c>
      <c r="E40" s="22">
        <f>'Parcel 1 with DATSs'!G62/(IF('General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3.091314031180401</v>
      </c>
      <c r="F40" s="37" t="s">
        <v>406</v>
      </c>
      <c r="G40" s="39"/>
    </row>
    <row r="41" spans="1:13" ht="136">
      <c r="A41" s="33" t="s">
        <v>344</v>
      </c>
      <c r="B41" s="41" t="s">
        <v>35</v>
      </c>
      <c r="C41" s="35" t="s">
        <v>157</v>
      </c>
      <c r="D41" s="43" t="s">
        <v>162</v>
      </c>
      <c r="E41" s="22" t="e">
        <f>'Parcel 1 with DATSs'!G235/'Parcel 1 with DATSs'!G236</f>
        <v>#DIV/0!</v>
      </c>
      <c r="F41" s="37" t="s">
        <v>129</v>
      </c>
      <c r="G41" s="39"/>
      <c r="H41" s="30"/>
      <c r="J41" s="30"/>
      <c r="K41" s="3"/>
      <c r="M41" s="3"/>
    </row>
    <row r="42" spans="1:13" ht="85">
      <c r="A42" s="33" t="s">
        <v>344</v>
      </c>
      <c r="B42" s="41" t="s">
        <v>407</v>
      </c>
      <c r="C42" s="35" t="s">
        <v>157</v>
      </c>
      <c r="D42" s="43" t="s">
        <v>105</v>
      </c>
      <c r="E42" s="22" t="e">
        <f>'Parcel 1 with DATSs'!G232/'Parcel 1 with DATSs'!E17*100</f>
        <v>#DIV/0!</v>
      </c>
      <c r="F42" s="37" t="s">
        <v>163</v>
      </c>
      <c r="G42" s="39"/>
      <c r="H42" s="30">
        <f>5/200*100</f>
        <v>2.5</v>
      </c>
      <c r="J42" s="30"/>
      <c r="K42" s="3"/>
      <c r="M42" s="3"/>
    </row>
    <row r="43" spans="1:13" ht="68">
      <c r="A43" s="33" t="s">
        <v>344</v>
      </c>
      <c r="B43" s="41" t="s">
        <v>408</v>
      </c>
      <c r="C43" s="35" t="s">
        <v>157</v>
      </c>
      <c r="D43" s="43" t="s">
        <v>560</v>
      </c>
      <c r="E43" s="22" t="e">
        <f>'Parcel 1 with DATSs'!G232/'Parcel 1 with DATSs'!E20</f>
        <v>#DIV/0!</v>
      </c>
      <c r="F43" s="37" t="s">
        <v>410</v>
      </c>
      <c r="G43" s="39"/>
      <c r="H43" s="30"/>
      <c r="J43" s="30"/>
      <c r="K43" s="3"/>
      <c r="M43" s="3"/>
    </row>
    <row r="44" spans="1:13" ht="68">
      <c r="A44" s="33" t="s">
        <v>344</v>
      </c>
      <c r="B44" s="41" t="s">
        <v>409</v>
      </c>
      <c r="C44" s="35" t="s">
        <v>157</v>
      </c>
      <c r="D44" s="43" t="s">
        <v>105</v>
      </c>
      <c r="E44" s="22" t="e">
        <f>'Parcel 1 with DATSs'!G232/'Parcel 1 with DATSs'!E19*100</f>
        <v>#DIV/0!</v>
      </c>
      <c r="F44" s="37" t="s">
        <v>410</v>
      </c>
      <c r="G44" s="39"/>
      <c r="H44" s="30"/>
      <c r="J44" s="30"/>
      <c r="K44" s="3"/>
      <c r="M44" s="3"/>
    </row>
    <row r="45" spans="1:13" ht="119">
      <c r="A45" s="33" t="s">
        <v>344</v>
      </c>
      <c r="B45" s="41" t="s">
        <v>36</v>
      </c>
      <c r="C45" s="35" t="s">
        <v>157</v>
      </c>
      <c r="D45" s="43" t="s">
        <v>105</v>
      </c>
      <c r="E45" s="22" t="e">
        <f>'Parcel 1 with DATSs'!G233/'Parcel 1 with DATSs'!G234</f>
        <v>#DIV/0!</v>
      </c>
      <c r="F45" s="37" t="s">
        <v>164</v>
      </c>
      <c r="G45" s="39"/>
      <c r="H45" s="30"/>
      <c r="J45" s="30"/>
      <c r="K45" s="3"/>
      <c r="M45" s="3"/>
    </row>
    <row r="46" spans="1:13" ht="119">
      <c r="A46" s="33" t="s">
        <v>344</v>
      </c>
      <c r="B46" s="41" t="s">
        <v>325</v>
      </c>
      <c r="C46" s="68" t="s">
        <v>157</v>
      </c>
      <c r="D46" s="43" t="s">
        <v>105</v>
      </c>
      <c r="E46" s="22" t="e">
        <f>'Parcel 1 with DATSs'!G237/'Parcel 1 with DATSs'!E17</f>
        <v>#DIV/0!</v>
      </c>
      <c r="F46" s="37" t="s">
        <v>326</v>
      </c>
      <c r="H46" s="30"/>
      <c r="J46" s="30"/>
      <c r="K46" s="3"/>
      <c r="M46" s="3"/>
    </row>
    <row r="47" spans="1:13" ht="51">
      <c r="A47" s="33" t="s">
        <v>12</v>
      </c>
      <c r="B47" s="41" t="s">
        <v>283</v>
      </c>
      <c r="C47" s="35" t="s">
        <v>157</v>
      </c>
      <c r="D47" s="43">
        <f>IFERROR(VLOOKUP('General Information'!$D$6, Validations!$AA$2:$AB$8, 2,FALSE), "")</f>
        <v>0</v>
      </c>
      <c r="E47" s="22">
        <f>('Parcel 1 with DATSs'!G186+'Parcel 1 with DATSs'!G188+'Parcel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7" s="37" t="s">
        <v>276</v>
      </c>
      <c r="H47" s="30"/>
      <c r="J47" s="30"/>
      <c r="K47" s="3"/>
      <c r="M47" s="3"/>
    </row>
    <row r="48" spans="1:13" ht="51">
      <c r="A48" s="33" t="s">
        <v>12</v>
      </c>
      <c r="B48" s="41" t="s">
        <v>284</v>
      </c>
      <c r="C48" s="35" t="s">
        <v>157</v>
      </c>
      <c r="D48" s="43">
        <f>IFERROR(VLOOKUP('General Information'!$D$6, Validations!$AA$2:$AB$8, 2,FALSE), "")</f>
        <v>0</v>
      </c>
      <c r="E48" s="22">
        <f>('Parcel 1 with DATSs'!G186+'Parcel 1 with DATSs'!G188+'Parcel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8" s="37" t="s">
        <v>276</v>
      </c>
      <c r="H48" s="30"/>
      <c r="J48" s="30"/>
      <c r="K48" s="3"/>
      <c r="M48" s="3"/>
    </row>
    <row r="49" spans="1:13" ht="51">
      <c r="A49" s="33" t="s">
        <v>12</v>
      </c>
      <c r="B49" s="41" t="s">
        <v>275</v>
      </c>
      <c r="C49" s="35" t="s">
        <v>157</v>
      </c>
      <c r="D49" s="43" t="s">
        <v>561</v>
      </c>
      <c r="E49" s="22" t="e">
        <f>('Parcel 1 with DATSs'!G187+'Parcel 1 with DATSs'!G189+'Parcel 1 with DATSs'!#REF!)/'Parcel 1 with DATSs'!E20</f>
        <v>#REF!</v>
      </c>
      <c r="F49" s="37" t="s">
        <v>276</v>
      </c>
      <c r="H49" s="30"/>
      <c r="J49" s="30"/>
      <c r="K49" s="3"/>
      <c r="M49" s="3"/>
    </row>
    <row r="50" spans="1:13" ht="51">
      <c r="A50" s="33" t="s">
        <v>12</v>
      </c>
      <c r="B50" s="41" t="s">
        <v>274</v>
      </c>
      <c r="C50" s="35" t="s">
        <v>157</v>
      </c>
      <c r="D50" s="43" t="s">
        <v>486</v>
      </c>
      <c r="E50" s="22" t="e">
        <f>('Parcel 1 with DATSs'!G187+'Parcel 1 with DATSs'!G189+'Parcel 1 with DATSs'!#REF!)/'Parcel 1 with DATSs'!E19</f>
        <v>#REF!</v>
      </c>
      <c r="F50" s="37" t="s">
        <v>276</v>
      </c>
      <c r="H50" s="30"/>
      <c r="J50" s="30"/>
      <c r="K50" s="3"/>
      <c r="M50" s="3"/>
    </row>
    <row r="51" spans="1:13" ht="119">
      <c r="A51" s="33" t="s">
        <v>167</v>
      </c>
      <c r="B51" s="41" t="s">
        <v>23</v>
      </c>
      <c r="C51" s="35" t="s">
        <v>157</v>
      </c>
      <c r="D51" s="43" t="str">
        <f>IFERROR(VLOOKUP('General Information'!$D$6, Validations!$AA$2:$AC$8, 3,FALSE), "")</f>
        <v>kg CO2 eq/ha</v>
      </c>
      <c r="E51" s="22">
        <f>('Parcel 1 with DATSs'!G43*'sust. impact KPIs DATS'!C94*'sust. impact KPIs DATS'!C95)/(IF('General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131.82456013363029</v>
      </c>
      <c r="F51" s="37" t="s">
        <v>191</v>
      </c>
      <c r="G51" s="39"/>
    </row>
    <row r="52" spans="1:13" ht="85">
      <c r="A52" s="33" t="s">
        <v>167</v>
      </c>
      <c r="B52" s="41" t="s">
        <v>302</v>
      </c>
      <c r="C52" s="35" t="s">
        <v>157</v>
      </c>
      <c r="D52" s="43" t="s">
        <v>226</v>
      </c>
      <c r="E52" s="22">
        <f>'Parcel 1 with DATSs'!G43/'Parcel 1 with DATSs'!E10</f>
        <v>49.554565701559021</v>
      </c>
      <c r="F52" s="37" t="s">
        <v>328</v>
      </c>
    </row>
    <row r="53" spans="1:13" ht="68">
      <c r="A53" s="33" t="s">
        <v>167</v>
      </c>
      <c r="B53" s="41" t="s">
        <v>303</v>
      </c>
      <c r="C53" s="35" t="s">
        <v>157</v>
      </c>
      <c r="D53" s="43" t="str">
        <f>IFERROR(VLOOKUP('General Information'!$D$6, Validations!$AA$2:$AD$8, 4,FALSE), "")</f>
        <v>l/ha</v>
      </c>
      <c r="E53" s="22" t="e">
        <f>'Parcel 1 with DATSs'!G43/'Parcel 1 with DATSs'!E17</f>
        <v>#DIV/0!</v>
      </c>
      <c r="F53" s="37" t="s">
        <v>329</v>
      </c>
    </row>
    <row r="54" spans="1:13" ht="85">
      <c r="A54" s="33" t="s">
        <v>167</v>
      </c>
      <c r="B54" s="41" t="s">
        <v>304</v>
      </c>
      <c r="C54" s="35" t="s">
        <v>157</v>
      </c>
      <c r="D54" s="43" t="s">
        <v>331</v>
      </c>
      <c r="E54" s="22" t="e">
        <f>'Parcel 1 with DATSs'!G43/'Parcel 1 with DATSs'!E20</f>
        <v>#DIV/0!</v>
      </c>
      <c r="F54" s="37" t="s">
        <v>330</v>
      </c>
    </row>
    <row r="55" spans="1:13" ht="102">
      <c r="A55" s="33" t="s">
        <v>167</v>
      </c>
      <c r="B55" s="41" t="s">
        <v>305</v>
      </c>
      <c r="C55" s="35" t="s">
        <v>157</v>
      </c>
      <c r="D55" s="43" t="s">
        <v>455</v>
      </c>
      <c r="E55" s="22" t="e">
        <f>'Parcel 1 with DATSs'!G43/'Parcel 1 with DATSs'!E19</f>
        <v>#DIV/0!</v>
      </c>
      <c r="F55" s="37" t="s">
        <v>333</v>
      </c>
    </row>
    <row r="56" spans="1:13">
      <c r="B56" s="2"/>
      <c r="C56" s="21"/>
      <c r="D56" s="25"/>
      <c r="E56" s="22"/>
      <c r="F56" s="53" t="s">
        <v>192</v>
      </c>
      <c r="G56" s="53"/>
      <c r="H56" s="26" t="s">
        <v>151</v>
      </c>
      <c r="I56" s="53"/>
      <c r="J56" s="26" t="s">
        <v>152</v>
      </c>
      <c r="K56" s="26"/>
      <c r="L56" s="26" t="s">
        <v>412</v>
      </c>
    </row>
    <row r="57" spans="1:13" ht="238">
      <c r="A57" s="33" t="s">
        <v>179</v>
      </c>
      <c r="B57" s="40" t="s">
        <v>24</v>
      </c>
      <c r="C57" s="35" t="s">
        <v>157</v>
      </c>
      <c r="D57" s="40" t="s">
        <v>149</v>
      </c>
      <c r="E57" s="78">
        <f>(G57+I57+K57)*C90*C91</f>
        <v>648.9800459999999</v>
      </c>
      <c r="F57" s="37" t="s">
        <v>150</v>
      </c>
      <c r="G57" s="82">
        <f>E30*C77</f>
        <v>1.1009999999999998</v>
      </c>
      <c r="H57" s="37" t="s">
        <v>415</v>
      </c>
      <c r="I57" s="82">
        <f>((((IF('Parcel 1 with DATSs'!G100="Mineral",'Parcel 1 with DATSs'!G101*'Parcel 1 with DATSs'!G102*'Parcel 1 with DATSs'!G103/100,0))+
(IF('Parcel 1 with DATSs'!G107="Mineral",'Parcel 1 with DATSs'!G108*'Parcel 1 with DATSs'!G109*'Parcel 1 with DATSs'!G110/100,0))+
(IF('Parcel 1 with DATSs'!G114="Mineral",'Parcel 1 with DATSs'!G115*'Parcel 1 with DATSs'!G116*'Parcel 1 with DATSs'!G117/100,0))+
(IF('Parcel 1 with DATSs'!G121="Mineral",'Parcel 1 with DATSs'!G122*'Parcel 1 with DATSs'!G123*'Parcel 1 with DATSs'!G124/100,0))+
(IF('Parcel 1 with DATSs'!G128="Mineral",'Parcel 1 with DATSs'!G129*'Parcel 1 with DATSs'!G130*'Parcel 1 with DATSs'!G131/100,0))+
(IF('Parcel 1 with DATSs'!G135="Mineral",'Parcel 1 with DATSs'!G136*'Parcel 1 with DATSs'!G137*'Parcel 1 with DATSs'!G138/100,0))+
(IF('Parcel 1 with DATSs'!G142="Mineral",'Parcel 1 with DATSs'!G143*'Parcel 1 with DATSs'!G144*'Parcel 1 with DATSs'!G145/100,0))+
(IF('Parcel 1 with DATSs'!G149="Mineral",'Parcel 1 with DATSs'!G150*'Parcel 1 with DATSs'!G151*'Parcel 1 with DATSs'!G152/100,0))+
(IF('Parcel 1 with DATSs'!G156="Mineral",'Parcel 1 with DATSs'!G157*'Parcel 1 with DATSs'!G158*'Parcel 1 with DATSs'!G159/100,0))+
(IF('Parcel 1 with DATSs'!G163="Mineral",'Parcel 1 with DATSs'!G164*'Parcel 1 with DATSs'!G165*'Parcel 1 with DATSs'!G166/100,0)))
*'sust. impact KPIs DATS'!C85) + (((IF('Parcel 1 with DATSs'!G100="Organic",'Parcel 1 with DATSs'!G101*'Parcel 1 with DATSs'!G102*'Parcel 1 with DATSs'!G103/100,0))+
(IF('Parcel 1 with DATSs'!G107="Organic",'Parcel 1 with DATSs'!G108*'Parcel 1 with DATSs'!G109*'Parcel 1 with DATSs'!G110/100,0))+
(IF('Parcel 1 with DATSs'!G114="Organic",'Parcel 1 with DATSs'!G115*'Parcel 1 with DATSs'!G116*'Parcel 1 with DATSs'!G117/100,0))+
(IF('Parcel 1 with DATSs'!G121="Organic",'Parcel 1 with DATSs'!G122*'Parcel 1 with DATSs'!G123*'Parcel 1 with DATSs'!G124/100,0))+
(IF('Parcel 1 with DATSs'!G128="Organic",'Parcel 1 with DATSs'!G129*'Parcel 1 with DATSs'!G130*'Parcel 1 with DATSs'!G131/100,0))+
(IF('Parcel 1 with DATSs'!G135="Organic",'Parcel 1 with DATSs'!G136*'Parcel 1 with DATSs'!G137*'Parcel 1 with DATSs'!G138/100,0))+
(IF('Parcel 1 with DATSs'!G142="Organic",'Parcel 1 with DATSs'!G143*'Parcel 1 with DATSs'!G144*'Parcel 1 with DATSs'!G145/100,0))+
(IF('Parcel 1 with DATSs'!G149="Organic",'Parcel 1 with DATSs'!G150*'Parcel 1 with DATSs'!G151*'Parcel 1 with DATSs'!G152/100,0))+
(IF('Parcel 1 with DATSs'!G156="Organic",'Parcel 1 with DATSs'!G157*'Parcel 1 with DATSs'!G158*'Parcel 1 with DATSs'!G159/100,0))+
(IF('Parcel 1 with DATSs'!G163="Organic",'Parcel 1 with DATSs'!G164*'Parcel 1 with DATSs'!G165*'Parcel 1 with DATSs'!G166/100,0)))
*'sust. impact KPIs DATS'!C86))
*'sust. impact KPIs DATS'!C82</f>
        <v>0.12111</v>
      </c>
      <c r="J57" s="37" t="s">
        <v>414</v>
      </c>
      <c r="K57" s="81">
        <f>E30*C87*C89</f>
        <v>0.29066399999999992</v>
      </c>
      <c r="L57" s="37" t="s">
        <v>413</v>
      </c>
      <c r="M57" s="3"/>
    </row>
    <row r="58" spans="1:13" ht="17">
      <c r="A58" s="33" t="s">
        <v>617</v>
      </c>
      <c r="B58" s="40" t="s">
        <v>619</v>
      </c>
      <c r="C58" s="35" t="s">
        <v>157</v>
      </c>
      <c r="D58" s="40" t="str">
        <f>D51</f>
        <v>kg CO2 eq/ha</v>
      </c>
      <c r="E58" s="54">
        <f>E57+E51</f>
        <v>780.80460613363016</v>
      </c>
      <c r="F58" s="3"/>
      <c r="G58" s="3"/>
      <c r="H58" s="3"/>
      <c r="I58" s="3">
        <f>IF(ISERR((((('Parcel 1 with DATSs'!G101*'Parcel 1 with DATSs'!G102*100/'Parcel 1 with DATSs'!G103)+('Parcel 1 with DATSs'!G108*'Parcel 1 with DATSs'!G109*100/'Parcel 1 with DATSs'!G110))*'sust. impact KPIs DATS'!C85)+(('Parcel 1 with DATSs'!G115*'Parcel 1 with DATSs'!G116*100/'Parcel 1 with DATSs'!G117)*'sust. impact KPIs DATS'!C86))*C82),0,(((('Parcel 1 with DATSs'!G101*'Parcel 1 with DATSs'!G102*100/'Parcel 1 with DATSs'!G103)+('Parcel 1 with DATSs'!G108*'Parcel 1 with DATSs'!G109*100/'Parcel 1 with DATSs'!G110))*'sust. impact KPIs DATS'!C85)+(('Parcel 1 with DATSs'!G115*'Parcel 1 with DATSs'!G116*100/'Parcel 1 with DATSs'!G117)*'sust. impact KPIs DATS'!C86))*C82)</f>
        <v>0</v>
      </c>
      <c r="J58" s="3"/>
      <c r="K58" s="3"/>
      <c r="L58" s="3"/>
      <c r="M58" s="3"/>
    </row>
    <row r="59" spans="1:13">
      <c r="A59" s="27" t="s">
        <v>340</v>
      </c>
      <c r="B59" s="20"/>
      <c r="C59" s="20"/>
      <c r="D59" s="20"/>
      <c r="E59" s="22"/>
      <c r="F59" s="20"/>
      <c r="G59" s="20"/>
      <c r="H59" s="20"/>
      <c r="I59" s="20"/>
      <c r="J59" s="20"/>
      <c r="K59" s="20"/>
      <c r="L59" s="20"/>
      <c r="M59" s="21"/>
    </row>
    <row r="60" spans="1:13">
      <c r="A60" s="47"/>
      <c r="B60" s="47" t="s">
        <v>145</v>
      </c>
      <c r="C60" s="47" t="s">
        <v>139</v>
      </c>
      <c r="D60" s="47" t="s">
        <v>140</v>
      </c>
      <c r="E60" s="47" t="s">
        <v>195</v>
      </c>
      <c r="F60" s="47" t="s">
        <v>146</v>
      </c>
      <c r="G60" s="29"/>
      <c r="H60" s="29"/>
      <c r="I60" s="29"/>
      <c r="J60" s="29"/>
      <c r="K60" s="29"/>
    </row>
    <row r="61" spans="1:13" ht="119">
      <c r="A61" s="40"/>
      <c r="B61" s="41" t="s">
        <v>25</v>
      </c>
      <c r="C61" s="28" t="s">
        <v>157</v>
      </c>
      <c r="D61" s="43" t="s">
        <v>158</v>
      </c>
      <c r="E61" s="22">
        <f>'General Information'!D25/'General Information'!D14</f>
        <v>4.4444444444444446</v>
      </c>
      <c r="F61" s="37" t="s">
        <v>159</v>
      </c>
      <c r="G61" s="23"/>
      <c r="H61" s="3"/>
      <c r="I61" s="21"/>
      <c r="J61" s="24"/>
      <c r="K61" s="3"/>
    </row>
    <row r="62" spans="1:13" ht="102">
      <c r="A62" s="40"/>
      <c r="B62" s="41" t="s">
        <v>26</v>
      </c>
      <c r="C62" s="35" t="s">
        <v>157</v>
      </c>
      <c r="D62" s="43" t="str">
        <f>IFERROR(VLOOKUP('General Information'!$D$6, Validations!$L$2:$N$8, 3,FALSE), "")</f>
        <v>h/ha</v>
      </c>
      <c r="E62" s="22">
        <f t="array" ref="E62">(SUM(SUMIFS('Parcel 1 with DATSs'!G194:G218,'Parcel 1 with DATSs'!C194:C218,'Analysis DATS vs. NO DATS'!C12:C36,'Analysis DATS vs. NO DATS'!I12:I36,1)))/(IF('General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7.8184855233853003</v>
      </c>
      <c r="F62" s="37" t="s">
        <v>720</v>
      </c>
      <c r="G62" s="23"/>
      <c r="H62" s="3"/>
      <c r="I62" s="21"/>
      <c r="J62" s="24"/>
      <c r="K62" s="3"/>
    </row>
    <row r="63" spans="1:13" ht="102">
      <c r="A63" s="40"/>
      <c r="B63" s="41" t="s">
        <v>27</v>
      </c>
      <c r="C63" s="35" t="s">
        <v>157</v>
      </c>
      <c r="D63" s="43" t="s">
        <v>153</v>
      </c>
      <c r="E63" s="22">
        <f>'Parcel 1 with DATSs'!G241/'Parcel 1 with DATSs'!G243</f>
        <v>0</v>
      </c>
      <c r="F63" s="37" t="s">
        <v>154</v>
      </c>
      <c r="G63" s="23"/>
      <c r="H63" s="3"/>
      <c r="I63" s="21"/>
      <c r="J63" s="24"/>
      <c r="K63" s="3"/>
    </row>
    <row r="64" spans="1:13" ht="204">
      <c r="A64" s="40"/>
      <c r="B64" s="41" t="s">
        <v>28</v>
      </c>
      <c r="C64" s="35" t="s">
        <v>157</v>
      </c>
      <c r="D64" s="43" t="s">
        <v>105</v>
      </c>
      <c r="E64" s="22">
        <f>'Parcel 1 with DATSs'!G242/'Parcel 1 with DATSs'!G243</f>
        <v>0</v>
      </c>
      <c r="F64" s="37" t="s">
        <v>155</v>
      </c>
      <c r="G64" s="23"/>
      <c r="H64" s="3"/>
      <c r="I64" s="21"/>
      <c r="J64" s="24"/>
      <c r="K64" s="3"/>
    </row>
    <row r="65" spans="1:11" ht="102">
      <c r="A65" s="40"/>
      <c r="B65" s="41" t="s">
        <v>29</v>
      </c>
      <c r="C65" s="35" t="s">
        <v>157</v>
      </c>
      <c r="D65" s="43" t="s">
        <v>105</v>
      </c>
      <c r="E65" s="22">
        <f>'Parcel 1 with DATSs'!G245/'Parcel 1 with DATSs'!G246</f>
        <v>0.66666666666666663</v>
      </c>
      <c r="F65" s="37" t="s">
        <v>156</v>
      </c>
      <c r="G65" s="23"/>
      <c r="H65" s="3"/>
      <c r="I65" s="21"/>
      <c r="J65" s="24"/>
      <c r="K65" s="3"/>
    </row>
    <row r="67" spans="1:11">
      <c r="E67" s="178">
        <f t="array" ref="E67">SUM(SUMIFS('Parcel 1 with DATSs'!G194:G218,'Parcel 1 with DATSs'!C194:C218,'Analysis DATS vs. NO DATS'!C12:C36,'Analysis DATS vs. NO DATS'!I12:I36,1))</f>
        <v>7021</v>
      </c>
    </row>
    <row r="74" spans="1:11">
      <c r="A74" s="57"/>
      <c r="B74" s="63" t="s">
        <v>228</v>
      </c>
      <c r="C74" s="64"/>
      <c r="D74" s="57" t="s">
        <v>295</v>
      </c>
      <c r="E74" s="57"/>
      <c r="F74" s="57"/>
    </row>
    <row r="75" spans="1:11">
      <c r="A75" s="65" t="s">
        <v>229</v>
      </c>
      <c r="B75" s="66" t="s">
        <v>140</v>
      </c>
      <c r="C75" s="66" t="s">
        <v>99</v>
      </c>
      <c r="D75" s="66" t="s">
        <v>230</v>
      </c>
      <c r="E75" s="57"/>
      <c r="F75" s="57"/>
    </row>
    <row r="76" spans="1:11">
      <c r="A76" s="58" t="s">
        <v>231</v>
      </c>
      <c r="B76" s="57"/>
      <c r="C76" s="57"/>
      <c r="D76" s="57"/>
      <c r="E76" s="57"/>
      <c r="F76" s="57"/>
    </row>
    <row r="77" spans="1:11">
      <c r="A77" s="146" t="s">
        <v>232</v>
      </c>
      <c r="B77" s="147" t="s">
        <v>233</v>
      </c>
      <c r="C77" s="147">
        <v>0.01</v>
      </c>
      <c r="D77" s="146" t="s">
        <v>234</v>
      </c>
      <c r="E77" s="57"/>
      <c r="F77" s="57"/>
    </row>
    <row r="78" spans="1:11">
      <c r="A78" s="57" t="s">
        <v>235</v>
      </c>
      <c r="B78" s="59" t="s">
        <v>233</v>
      </c>
      <c r="C78" s="59">
        <v>1.6E-2</v>
      </c>
      <c r="D78" s="57" t="s">
        <v>236</v>
      </c>
      <c r="E78" s="57"/>
      <c r="F78" s="57"/>
    </row>
    <row r="79" spans="1:11">
      <c r="A79" s="57" t="s">
        <v>237</v>
      </c>
      <c r="B79" s="59" t="s">
        <v>233</v>
      </c>
      <c r="C79" s="59">
        <v>6.0000000000000001E-3</v>
      </c>
      <c r="D79" s="57" t="s">
        <v>238</v>
      </c>
      <c r="E79" s="57"/>
      <c r="F79" s="57"/>
    </row>
    <row r="80" spans="1:11">
      <c r="A80" s="57" t="s">
        <v>239</v>
      </c>
      <c r="B80" s="59" t="s">
        <v>233</v>
      </c>
      <c r="C80" s="59">
        <v>6.0000000000000001E-3</v>
      </c>
      <c r="D80" s="57" t="s">
        <v>240</v>
      </c>
      <c r="E80" s="57"/>
      <c r="F80" s="57"/>
    </row>
    <row r="81" spans="1:6">
      <c r="A81" s="58" t="s">
        <v>241</v>
      </c>
      <c r="B81" s="57"/>
      <c r="C81" s="57"/>
      <c r="D81" s="57"/>
      <c r="E81" s="57"/>
      <c r="F81" s="57"/>
    </row>
    <row r="82" spans="1:6">
      <c r="A82" s="146" t="s">
        <v>242</v>
      </c>
      <c r="B82" s="147" t="s">
        <v>243</v>
      </c>
      <c r="C82" s="147">
        <v>0.01</v>
      </c>
      <c r="D82" s="146" t="s">
        <v>244</v>
      </c>
      <c r="E82" s="57"/>
      <c r="F82" s="57"/>
    </row>
    <row r="83" spans="1:6">
      <c r="A83" s="57" t="s">
        <v>245</v>
      </c>
      <c r="B83" s="59" t="s">
        <v>243</v>
      </c>
      <c r="C83" s="59">
        <v>1.4E-2</v>
      </c>
      <c r="D83" s="57" t="s">
        <v>246</v>
      </c>
      <c r="E83" s="57"/>
      <c r="F83" s="57"/>
    </row>
    <row r="84" spans="1:6">
      <c r="A84" s="57" t="s">
        <v>247</v>
      </c>
      <c r="B84" s="59" t="s">
        <v>243</v>
      </c>
      <c r="C84" s="59">
        <v>5.0000000000000001E-3</v>
      </c>
      <c r="D84" s="57" t="s">
        <v>248</v>
      </c>
      <c r="E84" s="57"/>
      <c r="F84" s="57"/>
    </row>
    <row r="85" spans="1:6">
      <c r="A85" s="146" t="s">
        <v>249</v>
      </c>
      <c r="B85" s="147" t="s">
        <v>250</v>
      </c>
      <c r="C85" s="147">
        <v>0.11</v>
      </c>
      <c r="D85" s="146" t="s">
        <v>251</v>
      </c>
      <c r="E85" s="57"/>
      <c r="F85" s="57"/>
    </row>
    <row r="86" spans="1:6">
      <c r="A86" s="146" t="s">
        <v>252</v>
      </c>
      <c r="B86" s="147" t="s">
        <v>250</v>
      </c>
      <c r="C86" s="147">
        <v>0.21</v>
      </c>
      <c r="D86" s="146" t="s">
        <v>253</v>
      </c>
      <c r="E86" s="57"/>
      <c r="F86" s="57"/>
    </row>
    <row r="87" spans="1:6">
      <c r="A87" s="146" t="s">
        <v>254</v>
      </c>
      <c r="B87" s="147" t="s">
        <v>255</v>
      </c>
      <c r="C87" s="147">
        <v>0.24</v>
      </c>
      <c r="D87" s="146" t="s">
        <v>256</v>
      </c>
      <c r="E87" s="57"/>
      <c r="F87" s="57"/>
    </row>
    <row r="88" spans="1:6">
      <c r="A88" s="57" t="s">
        <v>257</v>
      </c>
      <c r="B88" s="59" t="s">
        <v>255</v>
      </c>
      <c r="C88" s="59">
        <v>0</v>
      </c>
      <c r="D88" s="57" t="s">
        <v>258</v>
      </c>
      <c r="E88" s="57"/>
      <c r="F88" s="57"/>
    </row>
    <row r="89" spans="1:6">
      <c r="A89" s="146" t="s">
        <v>259</v>
      </c>
      <c r="B89" s="146" t="s">
        <v>260</v>
      </c>
      <c r="C89" s="147">
        <v>1.0999999999999999E-2</v>
      </c>
      <c r="D89" s="146" t="s">
        <v>261</v>
      </c>
      <c r="E89" s="146"/>
      <c r="F89" s="57"/>
    </row>
    <row r="90" spans="1:6">
      <c r="A90" s="146" t="s">
        <v>262</v>
      </c>
      <c r="B90" s="147" t="s">
        <v>263</v>
      </c>
      <c r="C90" s="146">
        <f>44/28</f>
        <v>1.5714285714285714</v>
      </c>
      <c r="D90" s="146" t="s">
        <v>264</v>
      </c>
      <c r="E90" s="146"/>
      <c r="F90" s="57"/>
    </row>
    <row r="91" spans="1:6">
      <c r="A91" s="146" t="s">
        <v>265</v>
      </c>
      <c r="B91" s="146"/>
      <c r="C91" s="153">
        <v>273</v>
      </c>
      <c r="D91" s="146" t="s">
        <v>416</v>
      </c>
      <c r="E91" s="146"/>
      <c r="F91" s="57"/>
    </row>
    <row r="92" spans="1:6">
      <c r="A92" s="57"/>
      <c r="B92" s="57"/>
      <c r="C92" s="57"/>
      <c r="D92" s="57"/>
      <c r="E92" s="57"/>
      <c r="F92" s="57"/>
    </row>
    <row r="93" spans="1:6">
      <c r="A93" s="65" t="s">
        <v>266</v>
      </c>
      <c r="B93" s="57"/>
      <c r="C93" s="57"/>
      <c r="D93" s="57"/>
      <c r="E93" s="57"/>
      <c r="F93" s="57"/>
    </row>
    <row r="94" spans="1:6">
      <c r="A94" s="146" t="s">
        <v>267</v>
      </c>
      <c r="B94" s="147" t="s">
        <v>610</v>
      </c>
      <c r="C94" s="146">
        <v>35.9</v>
      </c>
      <c r="D94" s="146" t="s">
        <v>269</v>
      </c>
      <c r="E94" s="57"/>
      <c r="F94" s="57"/>
    </row>
    <row r="95" spans="1:6">
      <c r="A95" s="146" t="s">
        <v>270</v>
      </c>
      <c r="B95" s="147" t="s">
        <v>271</v>
      </c>
      <c r="C95" s="146">
        <v>7.4099999999999999E-2</v>
      </c>
      <c r="D95" s="146" t="s">
        <v>272</v>
      </c>
      <c r="E95" s="57"/>
      <c r="F95" s="57"/>
    </row>
    <row r="96" spans="1:6">
      <c r="A96" s="57"/>
      <c r="B96" s="57"/>
      <c r="C96" s="57"/>
      <c r="D96" s="57"/>
      <c r="E96" s="57"/>
      <c r="F96" s="57"/>
    </row>
    <row r="97" spans="1:6">
      <c r="A97" s="65" t="s">
        <v>432</v>
      </c>
      <c r="B97" s="62"/>
      <c r="C97" s="57"/>
      <c r="D97" s="57"/>
      <c r="E97" s="57"/>
      <c r="F97" s="57"/>
    </row>
    <row r="98" spans="1:6" ht="34">
      <c r="A98" s="148" t="str">
        <f>'General Information'!D7</f>
        <v>Wheat (T. aestivum)</v>
      </c>
      <c r="B98" s="148" t="s">
        <v>424</v>
      </c>
      <c r="C98" s="151">
        <f>IFERROR(VLOOKUP('General Information'!$D$7, Validations!$P$2:$Q$18, 2,FALSE), "")</f>
        <v>2.0199999999999999E-2</v>
      </c>
      <c r="D98" s="57"/>
      <c r="E98" s="57"/>
      <c r="F98" s="57"/>
    </row>
    <row r="99" spans="1:6" ht="34">
      <c r="A99" s="148" t="str">
        <f>'General Information'!D7</f>
        <v>Wheat (T. aestivum)</v>
      </c>
      <c r="B99" s="152" t="s">
        <v>425</v>
      </c>
      <c r="C99" s="148">
        <f>IFERROR(VLOOKUP('General Information'!$D$7, Validations!$R$2:$S$18, 2,FALSE), "")</f>
        <v>8.2000000000000007E-3</v>
      </c>
      <c r="D99" s="57"/>
      <c r="E99" s="57"/>
      <c r="F99" s="57"/>
    </row>
    <row r="100" spans="1:6" ht="34">
      <c r="A100" s="148" t="str">
        <f>'General Information'!D7</f>
        <v>Wheat (T. aestivum)</v>
      </c>
      <c r="B100" s="152" t="s">
        <v>426</v>
      </c>
      <c r="C100" s="148">
        <f>IFERROR(VLOOKUP('General Information'!$D$7, Validations!$T$2:$U$18, 2,FALSE), "")</f>
        <v>5.1999999999999998E-3</v>
      </c>
      <c r="D100" s="61"/>
      <c r="E100" s="61"/>
      <c r="F100" s="61"/>
    </row>
    <row r="101" spans="1:6">
      <c r="A101" s="60"/>
      <c r="B101" s="74"/>
      <c r="C101" s="60"/>
      <c r="D101" s="60"/>
      <c r="E101" s="60"/>
      <c r="F101" s="60"/>
    </row>
    <row r="102" spans="1:6">
      <c r="A102" s="60"/>
      <c r="B102" s="74"/>
      <c r="C102" s="60"/>
      <c r="D102" s="60"/>
      <c r="E102" s="60"/>
      <c r="F102" s="60"/>
    </row>
    <row r="103" spans="1:6">
      <c r="A103" s="61"/>
      <c r="B103" s="75"/>
      <c r="C103" s="61"/>
      <c r="D103" s="61"/>
      <c r="E103" s="61"/>
      <c r="F103" s="61"/>
    </row>
    <row r="104" spans="1:6">
      <c r="A104" s="60"/>
      <c r="B104" s="75"/>
      <c r="C104" s="61"/>
      <c r="D104" s="60"/>
      <c r="E104" s="60"/>
      <c r="F104" s="60"/>
    </row>
    <row r="105" spans="1:6">
      <c r="A105" s="60"/>
      <c r="B105" s="75"/>
      <c r="C105" s="61"/>
      <c r="D105" s="60"/>
      <c r="E105" s="60"/>
      <c r="F105" s="60"/>
    </row>
    <row r="106" spans="1:6">
      <c r="A106" s="61"/>
      <c r="B106" s="75"/>
      <c r="C106" s="61"/>
      <c r="D106" s="60"/>
      <c r="E106" s="61"/>
      <c r="F106" s="61"/>
    </row>
    <row r="107" spans="1:6">
      <c r="A107" s="60"/>
      <c r="B107" s="60"/>
      <c r="C107" s="60"/>
      <c r="D107" s="60"/>
      <c r="E107" s="60"/>
      <c r="F107" s="60"/>
    </row>
    <row r="108" spans="1:6">
      <c r="A108" s="60"/>
      <c r="B108" s="60"/>
      <c r="C108" s="60"/>
      <c r="D108" s="60"/>
      <c r="E108" s="60"/>
      <c r="F108" s="6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8"/>
  <sheetViews>
    <sheetView workbookViewId="0"/>
  </sheetViews>
  <sheetFormatPr baseColWidth="10" defaultRowHeight="16"/>
  <sheetData>
    <row r="1" spans="1:13" ht="34">
      <c r="A1" s="46" t="s">
        <v>282</v>
      </c>
      <c r="F1" s="30"/>
      <c r="M1" s="38"/>
    </row>
    <row r="2" spans="1:13">
      <c r="A2" s="47" t="s">
        <v>166</v>
      </c>
      <c r="B2" s="47" t="s">
        <v>138</v>
      </c>
      <c r="C2" s="47" t="s">
        <v>139</v>
      </c>
      <c r="D2" s="47" t="s">
        <v>140</v>
      </c>
      <c r="E2" s="47" t="s">
        <v>195</v>
      </c>
      <c r="F2" s="47" t="s">
        <v>194</v>
      </c>
    </row>
    <row r="3" spans="1:13" ht="68">
      <c r="A3" s="33"/>
      <c r="B3" s="41" t="s">
        <v>307</v>
      </c>
      <c r="C3" s="42" t="s">
        <v>142</v>
      </c>
      <c r="D3" s="43" t="s">
        <v>483</v>
      </c>
      <c r="E3" s="22">
        <f>'Parcel 1 without DATSs'!G250/'Parcel 1 without DATSs'!E10</f>
        <v>5.5769230769230766</v>
      </c>
      <c r="F3" s="37" t="s">
        <v>395</v>
      </c>
      <c r="G3" s="39"/>
    </row>
    <row r="4" spans="1:13" ht="85">
      <c r="A4" s="33"/>
      <c r="B4" s="41" t="s">
        <v>399</v>
      </c>
      <c r="C4" s="42" t="s">
        <v>142</v>
      </c>
      <c r="D4" s="43" t="s">
        <v>604</v>
      </c>
      <c r="E4" s="22">
        <f>'Parcel 1 without DATSs'!G250/SUM('Parcel 1 without DATSs'!G194:G218)</f>
        <v>0.33381294964028779</v>
      </c>
      <c r="F4" s="37" t="s">
        <v>308</v>
      </c>
    </row>
    <row r="5" spans="1:13" ht="85">
      <c r="A5" s="33"/>
      <c r="B5" s="41" t="s">
        <v>400</v>
      </c>
      <c r="C5" s="42" t="s">
        <v>142</v>
      </c>
      <c r="D5" s="43" t="s">
        <v>404</v>
      </c>
      <c r="E5" s="22">
        <f>'Parcel 1 without DATSs'!G251/SUM('Parcel 1 without DATSs'!G194:G218)</f>
        <v>0</v>
      </c>
      <c r="F5" s="37" t="s">
        <v>308</v>
      </c>
    </row>
    <row r="6" spans="1:13" ht="85">
      <c r="A6" s="33"/>
      <c r="B6" s="41" t="s">
        <v>401</v>
      </c>
      <c r="C6" s="42" t="s">
        <v>142</v>
      </c>
      <c r="D6" s="43" t="s">
        <v>405</v>
      </c>
      <c r="E6" s="22">
        <f>'Parcel 1 without DATSs'!G252/SUM('Parcel 1 without DATSs'!G194:G218)</f>
        <v>0</v>
      </c>
      <c r="F6" s="37" t="s">
        <v>308</v>
      </c>
    </row>
    <row r="7" spans="1:13" ht="85">
      <c r="A7" s="33"/>
      <c r="B7" s="41" t="s">
        <v>402</v>
      </c>
      <c r="C7" s="42" t="s">
        <v>142</v>
      </c>
      <c r="D7" s="43" t="s">
        <v>532</v>
      </c>
      <c r="E7" s="22">
        <f>'Parcel 1 without DATSs'!G254/SUM('Parcel 1 without DATSs'!G194:G218)</f>
        <v>0</v>
      </c>
      <c r="F7" s="37" t="s">
        <v>308</v>
      </c>
      <c r="G7" s="39"/>
    </row>
    <row r="8" spans="1:13" ht="85">
      <c r="A8" s="33"/>
      <c r="B8" s="41" t="s">
        <v>403</v>
      </c>
      <c r="C8" s="42" t="s">
        <v>142</v>
      </c>
      <c r="D8" s="43" t="s">
        <v>405</v>
      </c>
      <c r="E8" s="22">
        <f>'Parcel 1 without DATSs'!G255/SUM('Parcel 1 without DATSs'!G194:G218)</f>
        <v>0</v>
      </c>
      <c r="F8" s="37" t="s">
        <v>308</v>
      </c>
      <c r="G8" s="39"/>
    </row>
    <row r="9" spans="1:13">
      <c r="A9" s="33"/>
      <c r="B9" s="41" t="s">
        <v>603</v>
      </c>
      <c r="C9" s="42" t="s">
        <v>142</v>
      </c>
      <c r="D9" s="43" t="s">
        <v>604</v>
      </c>
      <c r="E9" s="22">
        <f>'Parcel 1 without DATSs'!G256/SUM('Parcel 1 without DATSs'!G194:G218)</f>
        <v>0</v>
      </c>
      <c r="F9" s="37"/>
      <c r="G9" s="39"/>
    </row>
    <row r="10" spans="1:13" ht="85">
      <c r="A10" s="33"/>
      <c r="B10" s="41" t="s">
        <v>309</v>
      </c>
      <c r="C10" s="42" t="s">
        <v>142</v>
      </c>
      <c r="D10" s="43" t="s">
        <v>605</v>
      </c>
      <c r="E10" s="22" t="e">
        <f>'Parcel 1 without DATSs'!G251/'Parcel 1 without DATSs'!E17/365</f>
        <v>#DIV/0!</v>
      </c>
      <c r="F10" s="37" t="s">
        <v>310</v>
      </c>
      <c r="G10" s="39"/>
    </row>
    <row r="11" spans="1:13" ht="51">
      <c r="A11" s="33"/>
      <c r="B11" s="41" t="s">
        <v>314</v>
      </c>
      <c r="C11" s="42" t="s">
        <v>142</v>
      </c>
      <c r="D11" s="43" t="s">
        <v>394</v>
      </c>
      <c r="E11" s="22" t="e">
        <f>'Parcel 1 without DATSs'!G252/'Parcel 1 without DATSs'!E17/365</f>
        <v>#DIV/0!</v>
      </c>
      <c r="F11" s="37" t="s">
        <v>393</v>
      </c>
      <c r="G11" s="39"/>
    </row>
    <row r="12" spans="1:13" ht="51">
      <c r="A12" s="33"/>
      <c r="B12" s="41" t="s">
        <v>311</v>
      </c>
      <c r="C12" s="42" t="s">
        <v>142</v>
      </c>
      <c r="D12" s="43" t="s">
        <v>391</v>
      </c>
      <c r="E12" s="22" t="e">
        <f>'Parcel 1 without DATSs'!G255/'Parcel 1 without DATSs'!E19</f>
        <v>#DIV/0!</v>
      </c>
      <c r="F12" s="37" t="s">
        <v>392</v>
      </c>
      <c r="G12" s="39"/>
    </row>
    <row r="13" spans="1:13" ht="34">
      <c r="A13" s="33"/>
      <c r="B13" s="41" t="s">
        <v>312</v>
      </c>
      <c r="C13" s="42" t="s">
        <v>142</v>
      </c>
      <c r="D13" s="43" t="s">
        <v>529</v>
      </c>
      <c r="E13" s="22" t="e">
        <f>'Parcel 1 without DATSs'!G254/'Parcel 1 without DATSs'!E20</f>
        <v>#DIV/0!</v>
      </c>
      <c r="F13" s="37" t="s">
        <v>313</v>
      </c>
      <c r="G13" s="39"/>
    </row>
    <row r="14" spans="1:13">
      <c r="A14" s="51"/>
      <c r="B14" s="3"/>
      <c r="C14" s="52"/>
      <c r="D14" s="1"/>
      <c r="E14" s="30"/>
    </row>
    <row r="15" spans="1:13" ht="17">
      <c r="A15" s="46" t="s">
        <v>317</v>
      </c>
      <c r="F15" s="30"/>
      <c r="M15" s="38"/>
    </row>
    <row r="16" spans="1:13">
      <c r="A16" s="47" t="s">
        <v>166</v>
      </c>
      <c r="B16" s="47" t="s">
        <v>138</v>
      </c>
      <c r="C16" s="47" t="s">
        <v>139</v>
      </c>
      <c r="D16" s="47" t="s">
        <v>140</v>
      </c>
      <c r="E16" s="47" t="s">
        <v>195</v>
      </c>
      <c r="F16" s="47" t="s">
        <v>194</v>
      </c>
    </row>
    <row r="17" spans="1:13" ht="136">
      <c r="A17" s="33"/>
      <c r="B17" s="41" t="s">
        <v>318</v>
      </c>
      <c r="C17" s="42" t="s">
        <v>142</v>
      </c>
      <c r="D17" s="43" t="s">
        <v>105</v>
      </c>
      <c r="E17" s="22" t="e">
        <f>('Parcel 1 without DATSs'!G202/SUM('Parcel 1 without DATSs'!G201:G204))*100</f>
        <v>#DIV/0!</v>
      </c>
      <c r="F17" s="37" t="s">
        <v>335</v>
      </c>
      <c r="G17" s="39"/>
    </row>
    <row r="18" spans="1:13" ht="136">
      <c r="A18" s="67"/>
      <c r="B18" s="41" t="s">
        <v>320</v>
      </c>
      <c r="C18" s="42" t="s">
        <v>142</v>
      </c>
      <c r="D18" s="43" t="s">
        <v>105</v>
      </c>
      <c r="E18" s="22" t="e">
        <f>('Parcel 1 without DATSs'!G222/'Parcel 1 without DATSs'!G223)*100</f>
        <v>#DIV/0!</v>
      </c>
      <c r="F18" s="37" t="s">
        <v>321</v>
      </c>
      <c r="G18" s="39"/>
    </row>
    <row r="19" spans="1:13" ht="51">
      <c r="A19" s="33"/>
      <c r="B19" s="41" t="s">
        <v>322</v>
      </c>
      <c r="C19" s="42" t="s">
        <v>142</v>
      </c>
      <c r="D19" s="43" t="s">
        <v>113</v>
      </c>
      <c r="E19" s="22">
        <f>'Parcel 1 without DATSs'!G224</f>
        <v>0</v>
      </c>
      <c r="F19" s="37" t="s">
        <v>322</v>
      </c>
      <c r="G19" s="39"/>
    </row>
    <row r="20" spans="1:13">
      <c r="A20" s="51"/>
      <c r="B20" s="3"/>
      <c r="C20" s="52"/>
      <c r="D20" s="1"/>
      <c r="E20" s="30"/>
    </row>
    <row r="21" spans="1:13" ht="34">
      <c r="A21" s="46" t="s">
        <v>323</v>
      </c>
      <c r="F21" s="30"/>
      <c r="M21" s="38"/>
    </row>
    <row r="22" spans="1:13">
      <c r="A22" s="47" t="s">
        <v>166</v>
      </c>
      <c r="B22" s="47" t="s">
        <v>138</v>
      </c>
      <c r="C22" s="47" t="s">
        <v>139</v>
      </c>
      <c r="D22" s="47" t="s">
        <v>140</v>
      </c>
      <c r="E22" s="47" t="s">
        <v>195</v>
      </c>
      <c r="F22" s="47" t="s">
        <v>194</v>
      </c>
    </row>
    <row r="23" spans="1:13">
      <c r="A23" s="67"/>
      <c r="B23" s="41" t="s">
        <v>324</v>
      </c>
      <c r="C23" s="42" t="s">
        <v>142</v>
      </c>
      <c r="D23" s="43"/>
      <c r="E23" s="22"/>
      <c r="F23" s="43"/>
      <c r="G23" s="39"/>
    </row>
    <row r="24" spans="1:13">
      <c r="A24" s="33"/>
      <c r="B24" s="41" t="s">
        <v>362</v>
      </c>
      <c r="C24" s="42" t="s">
        <v>142</v>
      </c>
      <c r="D24" s="43" t="s">
        <v>105</v>
      </c>
      <c r="E24" s="22">
        <f>'Parcel 1 without DATSs'!G226</f>
        <v>12</v>
      </c>
      <c r="F24" s="37"/>
      <c r="G24" s="39"/>
    </row>
    <row r="25" spans="1:13">
      <c r="A25" s="33"/>
      <c r="B25" s="41" t="s">
        <v>363</v>
      </c>
      <c r="C25" s="42" t="s">
        <v>142</v>
      </c>
      <c r="D25" s="43" t="s">
        <v>105</v>
      </c>
      <c r="E25" s="22">
        <f>'Parcel 1 without DATSs'!G227</f>
        <v>13.5</v>
      </c>
      <c r="F25" s="37"/>
      <c r="G25" s="39"/>
    </row>
    <row r="26" spans="1:13">
      <c r="A26" s="33"/>
      <c r="B26" s="41" t="s">
        <v>364</v>
      </c>
      <c r="C26" s="42" t="s">
        <v>142</v>
      </c>
      <c r="D26" s="43" t="s">
        <v>365</v>
      </c>
      <c r="E26" s="22">
        <f>'Parcel 1 without DATSs'!G228</f>
        <v>71.5</v>
      </c>
      <c r="F26" s="37"/>
      <c r="G26" s="39"/>
    </row>
    <row r="27" spans="1:13">
      <c r="A27" s="51"/>
      <c r="B27" s="3"/>
      <c r="C27" s="52"/>
      <c r="D27" s="51"/>
      <c r="E27" s="51"/>
      <c r="F27" s="51"/>
    </row>
    <row r="28" spans="1:13" ht="45">
      <c r="A28" s="49" t="s">
        <v>224</v>
      </c>
      <c r="M28" s="48"/>
    </row>
    <row r="29" spans="1:13">
      <c r="A29" s="47" t="s">
        <v>225</v>
      </c>
      <c r="B29" s="47" t="s">
        <v>145</v>
      </c>
      <c r="C29" s="47" t="s">
        <v>139</v>
      </c>
      <c r="D29" s="47" t="s">
        <v>140</v>
      </c>
      <c r="E29" s="47" t="s">
        <v>195</v>
      </c>
      <c r="F29" s="47" t="s">
        <v>146</v>
      </c>
      <c r="G29" s="31"/>
      <c r="I29" s="50"/>
      <c r="J29" s="50"/>
      <c r="K29" s="50"/>
      <c r="L29" s="50"/>
      <c r="M29" s="50"/>
    </row>
    <row r="30" spans="1:13" ht="68">
      <c r="A30" s="33" t="s">
        <v>179</v>
      </c>
      <c r="B30" s="41" t="s">
        <v>17</v>
      </c>
      <c r="C30" s="42" t="s">
        <v>142</v>
      </c>
      <c r="D30" s="43" t="s">
        <v>147</v>
      </c>
      <c r="E30" s="22">
        <f>('Parcel 1 without DATSs'!G101*'Parcel 1 without DATSs'!G102*('Parcel 1 without DATSs'!G103/100))+
('Parcel 1 without DATSs'!G108*'Parcel 1 without DATSs'!G109*('Parcel 1 without DATSs'!G110/100))+
('Parcel 1 without DATSs'!G115*'Parcel 1 without DATSs'!G116*('Parcel 1 without DATSs'!G117/100))+
('Parcel 1 without DATSs'!G122*'Parcel 1 without DATSs'!G123*('Parcel 1 without DATSs'!G124/100))+
('Parcel 1 without DATSs'!G129*'Parcel 1 without DATSs'!G130*('Parcel 1 without DATSs'!G131/100))+
('Parcel 1 without DATSs'!G136*'Parcel 1 without DATSs'!G137*('Parcel 1 without DATSs'!G138/100))+
('Parcel 1 without DATSs'!G143*'Parcel 1 without DATSs'!G144*('Parcel 1 without DATSs'!G145/100))+
('Parcel 1 without DATSs'!G150*'Parcel 1 without DATSs'!G151*('Parcel 1 without DATSs'!G152/100))+
('Parcel 1 without DATSs'!G157*'Parcel 1 without DATSs'!G158*('Parcel 1 without DATSs'!G159/100))+
('Parcel 1 without DATSs'!G164*'Parcel 1 without DATSs'!G165*('Parcel 1 without DATSs'!G166/100))</f>
        <v>67.813499999999991</v>
      </c>
      <c r="F30" s="37" t="s">
        <v>185</v>
      </c>
    </row>
    <row r="31" spans="1:13" ht="136">
      <c r="A31" s="33" t="s">
        <v>179</v>
      </c>
      <c r="B31" s="41" t="s">
        <v>18</v>
      </c>
      <c r="C31" s="42" t="s">
        <v>142</v>
      </c>
      <c r="D31" s="43" t="s">
        <v>105</v>
      </c>
      <c r="E31" s="22">
        <f>(('Parcel 1 without DATSs'!G250*1000/'Parcel 1 without DATSs'!E10)*'sust. impact KPIs NO DATS'!C98)/E30*100</f>
        <v>166.12303767516227</v>
      </c>
      <c r="F31" s="37" t="s">
        <v>184</v>
      </c>
    </row>
    <row r="32" spans="1:13" ht="68">
      <c r="A32" s="33" t="s">
        <v>179</v>
      </c>
      <c r="B32" s="41" t="s">
        <v>19</v>
      </c>
      <c r="C32" s="42" t="s">
        <v>142</v>
      </c>
      <c r="D32" s="43" t="s">
        <v>147</v>
      </c>
      <c r="E32" s="22">
        <f>('Parcel 1 without DATSs'!G101*'Parcel 1 without DATSs'!G102*('Parcel 1 without DATSs'!G104/100))+
('Parcel 1 without DATSs'!G108*'Parcel 1 without DATSs'!G109*('Parcel 1 without DATSs'!G111/100))+
('Parcel 1 without DATSs'!G115*'Parcel 1 without DATSs'!G116*('Parcel 1 without DATSs'!G118/100))+
('Parcel 1 without DATSs'!G122*'Parcel 1 without DATSs'!G123*('Parcel 1 without DATSs'!G125/100))+
('Parcel 1 without DATSs'!G129*'Parcel 1 without DATSs'!G130*('Parcel 1 without DATSs'!G132/100))+
('Parcel 1 without DATSs'!G136*'Parcel 1 without DATSs'!G137*('Parcel 1 without DATSs'!G139/100))+
('Parcel 1 without DATSs'!G143*'Parcel 1 without DATSs'!G144*('Parcel 1 without DATSs'!G146/100))+
('Parcel 1 without DATSs'!G150*'Parcel 1 without DATSs'!G151*('Parcel 1 without DATSs'!G153/100))+
('Parcel 1 without DATSs'!G157*'Parcel 1 without DATSs'!G158*('Parcel 1 without DATSs'!G160/100))+
('Parcel 1 without DATSs'!G164*'Parcel 1 without DATSs'!G165*('Parcel 1 without DATSs'!G167/100))</f>
        <v>47.5</v>
      </c>
      <c r="F32" s="37" t="s">
        <v>186</v>
      </c>
    </row>
    <row r="33" spans="1:13" ht="136">
      <c r="A33" s="33" t="s">
        <v>179</v>
      </c>
      <c r="B33" s="41" t="s">
        <v>20</v>
      </c>
      <c r="C33" s="42" t="s">
        <v>142</v>
      </c>
      <c r="D33" s="43" t="s">
        <v>105</v>
      </c>
      <c r="E33" s="22">
        <f>(('Parcel 1 without DATSs'!G250*1000/'Parcel 1 without DATSs'!E10)*'sust. impact KPIs NO DATS'!C99)/E32*100</f>
        <v>96.275303643724698</v>
      </c>
      <c r="F33" s="37" t="s">
        <v>187</v>
      </c>
    </row>
    <row r="34" spans="1:13" ht="68">
      <c r="A34" s="33" t="s">
        <v>179</v>
      </c>
      <c r="B34" s="41" t="s">
        <v>298</v>
      </c>
      <c r="C34" s="164" t="s">
        <v>142</v>
      </c>
      <c r="D34" s="43" t="s">
        <v>147</v>
      </c>
      <c r="E34" s="163">
        <f>('Parcel 1 without DATSs'!G101*'Parcel 1 without DATSs'!G102*('Parcel 1 without DATSs'!G105/100))+
('Parcel 1 without DATSs'!G108*'Parcel 1 without DATSs'!G109*('Parcel 1 without DATSs'!G112/100))+
('Parcel 1 without DATSs'!G115*'Parcel 1 without DATSs'!G116*('Parcel 1 without DATSs'!G119/100))+
('Parcel 1 without DATSs'!G122*'Parcel 1 without DATSs'!G123*('Parcel 1 without DATSs'!G126/100))+
('Parcel 1 without DATSs'!G129*'Parcel 1 without DATSs'!G130*('Parcel 1 without DATSs'!G133/100))+
('Parcel 1 without DATSs'!G136*'Parcel 1 without DATSs'!G137*('Parcel 1 without DATSs'!G140/100))+
('Parcel 1 without DATSs'!G143*'Parcel 1 without DATSs'!G144*('Parcel 1 without DATSs'!G147/100))+
('Parcel 1 without DATSs'!G150*'Parcel 1 without DATSs'!G151*('Parcel 1 without DATSs'!G154/100))+
('Parcel 1 without DATSs'!G157*'Parcel 1 without DATSs'!G158*('Parcel 1 without DATSs'!G161/100))+
('Parcel 1 without DATSs'!G164*'Parcel 1 without DATSs'!G165*('Parcel 1 without DATSs'!G168/100))</f>
        <v>6.2E-2</v>
      </c>
      <c r="F34" s="37" t="s">
        <v>288</v>
      </c>
    </row>
    <row r="35" spans="1:13" ht="136">
      <c r="A35" s="33" t="s">
        <v>179</v>
      </c>
      <c r="B35" s="41" t="s">
        <v>287</v>
      </c>
      <c r="C35" s="164" t="s">
        <v>142</v>
      </c>
      <c r="D35" s="43" t="s">
        <v>105</v>
      </c>
      <c r="E35" s="163">
        <f>(('Parcel 1 without DATSs'!G250*1000/'Parcel 1 without DATSs'!E10)*'sust. impact KPIs NO DATS'!C100)/E34*100</f>
        <v>46774.193548387098</v>
      </c>
      <c r="F35" s="37" t="s">
        <v>289</v>
      </c>
    </row>
    <row r="36" spans="1:13" ht="119">
      <c r="A36" s="33" t="s">
        <v>177</v>
      </c>
      <c r="B36" s="41" t="s">
        <v>396</v>
      </c>
      <c r="C36" s="42" t="s">
        <v>142</v>
      </c>
      <c r="D36" s="43" t="s">
        <v>147</v>
      </c>
      <c r="E36" s="22">
        <f>('Parcel 1 without DATSs'!G67*'Parcel 1 without DATSs'!G68)+
('Parcel 1 without DATSs'!G70*'Parcel 1 without DATSs'!G71)+
('Parcel 1 without DATSs'!G73*'Parcel 1 without DATSs'!G74)+
('Parcel 1 without DATSs'!G76*'Parcel 1 without DATSs'!G77)+
('Parcel 1 without DATSs'!G79*'Parcel 1 without DATSs'!G80)+
('Parcel 1 without DATSs'!G82*'Parcel 1 without DATSs'!G83)+
('Parcel 1 without DATSs'!G85*'Parcel 1 without DATSs'!G86)+
('Parcel 1 without DATSs'!G88*'Parcel 1 without DATSs'!G89)+
('Parcel 1 without DATSs'!G91*'Parcel 1 without DATSs'!G92)+
('Parcel 1 without DATSs'!G94*'Parcel 1 without DATSs'!G95)</f>
        <v>5.38</v>
      </c>
      <c r="F36" s="37" t="s">
        <v>301</v>
      </c>
    </row>
    <row r="37" spans="1:13" ht="68">
      <c r="A37" s="33" t="s">
        <v>0</v>
      </c>
      <c r="B37" s="41" t="s">
        <v>764</v>
      </c>
      <c r="C37" s="42" t="s">
        <v>142</v>
      </c>
      <c r="D37" s="43" t="str">
        <f>IFERROR(VLOOKUP('General Information'!$D$6, Validations!$J$2:$K$8, 2,FALSE), "")</f>
        <v/>
      </c>
      <c r="E37" s="22">
        <f>'Parcel 1 without DATSs'!G29/(IF('General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0.79807692307692313</v>
      </c>
      <c r="F37" s="37" t="s">
        <v>188</v>
      </c>
    </row>
    <row r="38" spans="1:13" ht="68">
      <c r="A38" s="33" t="s">
        <v>0</v>
      </c>
      <c r="B38" s="41" t="s">
        <v>397</v>
      </c>
      <c r="C38" s="42" t="s">
        <v>142</v>
      </c>
      <c r="D38" s="43" t="s">
        <v>398</v>
      </c>
      <c r="E38" s="22"/>
      <c r="F38" s="37" t="s">
        <v>285</v>
      </c>
    </row>
    <row r="39" spans="1:13" ht="68">
      <c r="A39" s="33" t="s">
        <v>0</v>
      </c>
      <c r="B39" s="41" t="s">
        <v>21</v>
      </c>
      <c r="C39" s="42" t="s">
        <v>142</v>
      </c>
      <c r="D39" s="43" t="s">
        <v>427</v>
      </c>
      <c r="E39" s="22">
        <f>(('Parcel 1 without DATSs'!G250)*1000)/(IF(('Parcel 1 without DATSs'!G24+'Parcel 1 without DATSs'!G25)&gt;0,('Parcel 1 without DATSs'!G24+'Parcel 1 without DATSs'!G25),'Parcel 1 without DATSs'!G29))</f>
        <v>6987.9518072289156</v>
      </c>
      <c r="F39" s="37" t="s">
        <v>189</v>
      </c>
    </row>
    <row r="40" spans="1:13" ht="85">
      <c r="A40" s="33" t="s">
        <v>168</v>
      </c>
      <c r="B40" s="41" t="s">
        <v>22</v>
      </c>
      <c r="C40" s="42" t="s">
        <v>142</v>
      </c>
      <c r="D40" s="43" t="str">
        <f>IFERROR(VLOOKUP('General Information'!$D$6, Validations!$W$2:$X$8, 2,FALSE), "")</f>
        <v>kWh/ha</v>
      </c>
      <c r="E40" s="22">
        <f>'Parcel 1 without DATSs'!G62/(IF('General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5.177884615384615</v>
      </c>
      <c r="F40" s="37" t="s">
        <v>190</v>
      </c>
    </row>
    <row r="41" spans="1:13" ht="136">
      <c r="A41" s="33" t="s">
        <v>344</v>
      </c>
      <c r="B41" s="41" t="s">
        <v>35</v>
      </c>
      <c r="C41" s="42" t="s">
        <v>142</v>
      </c>
      <c r="D41" s="43" t="s">
        <v>162</v>
      </c>
      <c r="E41" s="22" t="e">
        <f>'Parcel 1 without DATSs'!G235/'Parcel 1 without DATSs'!G236</f>
        <v>#DIV/0!</v>
      </c>
      <c r="F41" s="37" t="s">
        <v>129</v>
      </c>
      <c r="H41" s="30"/>
      <c r="J41" s="30"/>
      <c r="K41" s="3"/>
      <c r="M41" s="3"/>
    </row>
    <row r="42" spans="1:13" ht="85">
      <c r="A42" s="33" t="s">
        <v>344</v>
      </c>
      <c r="B42" s="41" t="s">
        <v>411</v>
      </c>
      <c r="C42" s="42" t="s">
        <v>142</v>
      </c>
      <c r="D42" s="43" t="s">
        <v>105</v>
      </c>
      <c r="E42" s="22" t="e">
        <f>'Parcel 1 without DATSs'!G232/'Parcel 1 without DATSs'!E17*100</f>
        <v>#DIV/0!</v>
      </c>
      <c r="F42" s="37" t="s">
        <v>163</v>
      </c>
      <c r="H42" s="30"/>
      <c r="J42" s="30"/>
      <c r="K42" s="3"/>
      <c r="M42" s="3"/>
    </row>
    <row r="43" spans="1:13" ht="68">
      <c r="A43" s="33" t="s">
        <v>344</v>
      </c>
      <c r="B43" s="41" t="s">
        <v>408</v>
      </c>
      <c r="C43" s="42" t="s">
        <v>142</v>
      </c>
      <c r="D43" s="43" t="s">
        <v>105</v>
      </c>
      <c r="E43" s="22" t="e">
        <f>'Parcel 1 without DATSs'!G232/'Parcel 1 without DATSs'!E20</f>
        <v>#DIV/0!</v>
      </c>
      <c r="F43" s="37" t="s">
        <v>410</v>
      </c>
      <c r="G43" s="39"/>
      <c r="H43" s="30"/>
      <c r="J43" s="30"/>
      <c r="K43" s="3"/>
      <c r="M43" s="3"/>
    </row>
    <row r="44" spans="1:13" ht="68">
      <c r="A44" s="33" t="s">
        <v>344</v>
      </c>
      <c r="B44" s="41" t="s">
        <v>409</v>
      </c>
      <c r="C44" s="42" t="s">
        <v>142</v>
      </c>
      <c r="D44" s="43" t="s">
        <v>105</v>
      </c>
      <c r="E44" s="22" t="e">
        <f>'Parcel 1 without DATSs'!G232/'Parcel 1 without DATSs'!E19*100</f>
        <v>#DIV/0!</v>
      </c>
      <c r="F44" s="37" t="s">
        <v>410</v>
      </c>
      <c r="G44" s="39"/>
      <c r="H44" s="30"/>
      <c r="J44" s="30"/>
      <c r="K44" s="3"/>
      <c r="M44" s="3"/>
    </row>
    <row r="45" spans="1:13" ht="119">
      <c r="A45" s="33" t="s">
        <v>344</v>
      </c>
      <c r="B45" s="41" t="s">
        <v>36</v>
      </c>
      <c r="C45" s="42" t="s">
        <v>142</v>
      </c>
      <c r="D45" s="43" t="s">
        <v>105</v>
      </c>
      <c r="E45" s="22" t="e">
        <f>'Parcel 1 without DATSs'!G233/'Parcel 1 without DATSs'!G234</f>
        <v>#DIV/0!</v>
      </c>
      <c r="F45" s="37" t="s">
        <v>164</v>
      </c>
      <c r="H45" s="30"/>
      <c r="J45" s="30"/>
      <c r="K45" s="3"/>
      <c r="M45" s="3"/>
    </row>
    <row r="46" spans="1:13" ht="119">
      <c r="A46" s="33" t="s">
        <v>344</v>
      </c>
      <c r="B46" s="41" t="s">
        <v>325</v>
      </c>
      <c r="C46" s="42" t="s">
        <v>142</v>
      </c>
      <c r="D46" s="43" t="s">
        <v>105</v>
      </c>
      <c r="E46" s="22" t="e">
        <f>'Parcel 1 without DATSs'!G237/'Parcel 1 without DATSs'!E17</f>
        <v>#DIV/0!</v>
      </c>
      <c r="F46" s="37" t="s">
        <v>326</v>
      </c>
      <c r="H46" s="30"/>
      <c r="J46" s="30"/>
      <c r="K46" s="3"/>
      <c r="M46" s="3"/>
    </row>
    <row r="47" spans="1:13" ht="51">
      <c r="A47" s="33" t="s">
        <v>12</v>
      </c>
      <c r="B47" s="41" t="s">
        <v>283</v>
      </c>
      <c r="C47" s="42" t="s">
        <v>142</v>
      </c>
      <c r="D47" s="43">
        <f>IFERROR(VLOOKUP('General Information'!$D$6, Validations!$AA$2:$AB$8, 2,FALSE), "")</f>
        <v>0</v>
      </c>
      <c r="E47" s="22">
        <f>('Parcel 1 without DATSs'!G186+'Parcel 1 without DATSs'!G188+'Parcel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47" s="37" t="s">
        <v>276</v>
      </c>
      <c r="H47" s="30"/>
      <c r="J47" s="30"/>
      <c r="K47" s="3"/>
      <c r="M47" s="3"/>
    </row>
    <row r="48" spans="1:13" ht="51">
      <c r="A48" s="33" t="s">
        <v>12</v>
      </c>
      <c r="B48" s="41" t="s">
        <v>284</v>
      </c>
      <c r="C48" s="42" t="s">
        <v>142</v>
      </c>
      <c r="D48" s="43">
        <f>IFERROR(VLOOKUP('General Information'!$D$6, Validations!$AA$2:$AB$8, 2,FALSE), "")</f>
        <v>0</v>
      </c>
      <c r="E48" s="22">
        <f>('Parcel 1 without DATSs'!G186+'Parcel 1 without DATSs'!G188+'Parcel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48" s="37" t="s">
        <v>276</v>
      </c>
      <c r="H48" s="30"/>
      <c r="J48" s="30"/>
      <c r="K48" s="3"/>
      <c r="M48" s="3"/>
    </row>
    <row r="49" spans="1:13" ht="51">
      <c r="A49" s="33" t="s">
        <v>12</v>
      </c>
      <c r="B49" s="41" t="s">
        <v>275</v>
      </c>
      <c r="C49" s="42" t="s">
        <v>142</v>
      </c>
      <c r="D49" s="43" t="s">
        <v>561</v>
      </c>
      <c r="E49" s="22" t="e">
        <f>('Parcel 1 without DATSs'!G186+'Parcel 1 without DATSs'!G188+'Parcel 1 without DATSs'!G190)/'Parcel 1 without DATSs'!E20</f>
        <v>#DIV/0!</v>
      </c>
      <c r="F49" s="37" t="s">
        <v>276</v>
      </c>
      <c r="H49" s="30"/>
      <c r="J49" s="30"/>
      <c r="K49" s="3"/>
      <c r="M49" s="3"/>
    </row>
    <row r="50" spans="1:13" ht="51">
      <c r="A50" s="33" t="s">
        <v>12</v>
      </c>
      <c r="B50" s="41" t="s">
        <v>274</v>
      </c>
      <c r="C50" s="42" t="s">
        <v>142</v>
      </c>
      <c r="D50" s="43" t="s">
        <v>486</v>
      </c>
      <c r="E50" s="22" t="e">
        <f>('Parcel 1 without DATSs'!G186+'Parcel 1 without DATSs'!G188+'Parcel 1 without DATSs'!G190)/'Parcel 1 without DATSs'!E19</f>
        <v>#DIV/0!</v>
      </c>
      <c r="F50" s="37" t="s">
        <v>276</v>
      </c>
      <c r="H50" s="30"/>
      <c r="J50" s="30"/>
      <c r="K50" s="3"/>
      <c r="M50" s="3"/>
    </row>
    <row r="51" spans="1:13" ht="119">
      <c r="A51" s="33" t="s">
        <v>167</v>
      </c>
      <c r="B51" s="41" t="s">
        <v>23</v>
      </c>
      <c r="C51" s="42" t="s">
        <v>142</v>
      </c>
      <c r="D51" s="43" t="str">
        <f>IFERROR(VLOOKUP('General Information'!$D$6, Validations!$AA$2:$AC$8, 3,FALSE), "")</f>
        <v>kg CO2 eq/ha</v>
      </c>
      <c r="E51" s="22">
        <f>('Parcel 1 without DATSs'!G43*'sust. impact KPIs NO DATS'!C94*'sust. impact KPIs NO DATS'!C95)/(IF('General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142.60153124999999</v>
      </c>
      <c r="F51" s="37" t="s">
        <v>191</v>
      </c>
      <c r="H51">
        <f>6.2*100/31</f>
        <v>20</v>
      </c>
    </row>
    <row r="52" spans="1:13" ht="85">
      <c r="A52" s="33" t="s">
        <v>167</v>
      </c>
      <c r="B52" s="41" t="s">
        <v>302</v>
      </c>
      <c r="C52" s="42" t="s">
        <v>142</v>
      </c>
      <c r="D52" s="43" t="s">
        <v>226</v>
      </c>
      <c r="E52" s="22">
        <f>'Parcel 1 without DATSs'!G43/'Parcel 1 without DATSs'!E10</f>
        <v>53.605769230769234</v>
      </c>
      <c r="F52" s="37" t="s">
        <v>328</v>
      </c>
    </row>
    <row r="53" spans="1:13" ht="102">
      <c r="A53" s="33" t="s">
        <v>167</v>
      </c>
      <c r="B53" s="41" t="s">
        <v>303</v>
      </c>
      <c r="C53" s="42" t="s">
        <v>142</v>
      </c>
      <c r="D53" s="43" t="str">
        <f>IFERROR(VLOOKUP('General Information'!$D$6, Validations!$AA$2:$AD$8, 4,FALSE), "")</f>
        <v>l/ha</v>
      </c>
      <c r="E53" s="22" t="e">
        <f>'Parcel 1 without DATSs'!G43/'Parcel 1 without DATSs'!E17</f>
        <v>#DIV/0!</v>
      </c>
      <c r="F53" s="37" t="s">
        <v>334</v>
      </c>
    </row>
    <row r="54" spans="1:13" ht="85">
      <c r="A54" s="33" t="s">
        <v>167</v>
      </c>
      <c r="B54" s="41" t="s">
        <v>304</v>
      </c>
      <c r="C54" s="42" t="s">
        <v>142</v>
      </c>
      <c r="D54" s="43" t="s">
        <v>331</v>
      </c>
      <c r="E54" s="22" t="e">
        <f>'Parcel 1 without DATSs'!G43/'Parcel 1 without DATSs'!E20</f>
        <v>#DIV/0!</v>
      </c>
      <c r="F54" s="37" t="s">
        <v>330</v>
      </c>
    </row>
    <row r="55" spans="1:13" ht="102">
      <c r="A55" s="33" t="s">
        <v>167</v>
      </c>
      <c r="B55" s="41" t="s">
        <v>305</v>
      </c>
      <c r="C55" s="42" t="s">
        <v>142</v>
      </c>
      <c r="D55" s="43" t="s">
        <v>332</v>
      </c>
      <c r="E55" s="22" t="e">
        <f>'Parcel 1 without DATSs'!G43/'Parcel 1 without DATSs'!E19</f>
        <v>#DIV/0!</v>
      </c>
      <c r="F55" s="37" t="s">
        <v>333</v>
      </c>
    </row>
    <row r="56" spans="1:13">
      <c r="B56" s="2"/>
      <c r="C56" s="21"/>
      <c r="D56" s="25"/>
      <c r="E56" s="22"/>
      <c r="F56" s="53" t="s">
        <v>192</v>
      </c>
      <c r="G56" s="53"/>
      <c r="H56" s="26" t="s">
        <v>151</v>
      </c>
      <c r="I56" s="53"/>
      <c r="J56" s="26" t="s">
        <v>152</v>
      </c>
      <c r="K56" s="26"/>
      <c r="L56" s="26"/>
    </row>
    <row r="57" spans="1:13" ht="238">
      <c r="A57" s="33" t="s">
        <v>179</v>
      </c>
      <c r="B57" s="41" t="s">
        <v>24</v>
      </c>
      <c r="C57" s="42" t="s">
        <v>142</v>
      </c>
      <c r="D57" s="40" t="s">
        <v>149</v>
      </c>
      <c r="E57" s="22">
        <f>(G57+I57+K57)*C90*C91</f>
        <v>399.72396320999991</v>
      </c>
      <c r="F57" s="37" t="s">
        <v>150</v>
      </c>
      <c r="G57" s="20">
        <f>E30*C77</f>
        <v>0.67813499999999993</v>
      </c>
      <c r="H57" s="37" t="s">
        <v>415</v>
      </c>
      <c r="I57" s="20">
        <f>((((IF('Parcel 1 without DATSs'!G100="Mineral",'Parcel 1 without DATSs'!G101*'Parcel 1 without DATSs'!G102*'Parcel 1 without DATSs'!G103/100,0)) +
(IF('Parcel 1 without DATSs'!G107="Mineral",'Parcel 1 without DATSs'!G108*'Parcel 1 without DATSs'!G109*'Parcel 1 without DATSs'!G110/100,0)) +
(IF('Parcel 1 without DATSs'!G114="Mineral",'Parcel 1 without DATSs'!G115*'Parcel 1 without DATSs'!G116*'Parcel 1 without DATSs'!G117/100,0)) +
(IF('Parcel 1 without DATSs'!G121="Mineral",'Parcel 1 without DATSs'!G122*'Parcel 1 without DATSs'!G123*'Parcel 1 without DATSs'!G124/100,0)) +
(IF('Parcel 1 without DATSs'!G128="Mineral",'Parcel 1 without DATSs'!G129*'Parcel 1 without DATSs'!G130*'Parcel 1 without DATSs'!G131/100,0)) +
(IF('Parcel 1 without DATSs'!G135="Mineral",'Parcel 1 without DATSs'!G136*'Parcel 1 without DATSs'!G137*'Parcel 1 without DATSs'!G138/100,0)) +
(IF('Parcel 1 without DATSs'!G142="Mineral",'Parcel 1 without DATSs'!G143*'Parcel 1 without DATSs'!G144*'Parcel 1 without DATSs'!G145/100,0)) +
(IF('Parcel 1 without DATSs'!G149="Mineral",'Parcel 1 without DATSs'!G150*'Parcel 1 without DATSs'!G151*'Parcel 1 without DATSs'!G152/100,0)) +
(IF('Parcel 1 without DATSs'!G156="Mineral",'Parcel 1 without DATSs'!G157*'Parcel 1 without DATSs'!G158*'Parcel 1 without DATSs'!G159/100,0)) +
(IF('Parcel 1 without DATSs'!G163="Mineral",'Parcel 1 without DATSs'!G164*'Parcel 1 without DATSs'!G165*'Parcel 1 without DATSs'!G166/100,0)))*'sust. impact KPIs DATS'!C85) +
(((IF('Parcel 1 without DATSs'!G100="Organic",'Parcel 1 without DATSs'!G101*'Parcel 1 without DATSs'!G102*'Parcel 1 without DATSs'!G103/100,0)) +
(IF('Parcel 1 without DATSs'!G107="Organic",'Parcel 1 without DATSs'!G108*'Parcel 1 without DATSs'!G109*'Parcel 1 without DATSs'!G110/100,0)) +
(IF('Parcel 1 without DATSs'!G114="Organic",'Parcel 1 without DATSs'!G115*'Parcel 1 without DATSs'!G116*'Parcel 1 without DATSs'!G117/100,0)) +
(IF('Parcel 1 without DATSs'!G121="Organic",'Parcel 1 without DATSs'!G122*'Parcel 1 without DATSs'!G123*'Parcel 1 without DATSs'!G124/100,0)) +
(IF('Parcel 1 without DATSs'!G128="Organic",'Parcel 1 without DATSs'!G129*'Parcel 1 without DATSs'!G130*'Parcel 1 without DATSs'!G131/100,0)) +
(IF('Parcel 1 without DATSs'!G135="Organic",'Parcel 1 without DATSs'!G136*'Parcel 1 without DATSs'!G137*'Parcel 1 without DATSs'!G138/100,0)) +
(IF('Parcel 1 without DATSs'!G142="Organic",'Parcel 1 without DATSs'!G143*'Parcel 1 without DATSs'!G144*'Parcel 1 without DATSs'!G145/100,0)) +
(IF('Parcel 1 without DATSs'!G149="Organic",'Parcel 1 without DATSs'!G150*'Parcel 1 without DATSs'!G151*'Parcel 1 without DATSs'!G152/100,0)) +
(IF('Parcel 1 without DATSs'!G156="Organic",'Parcel 1 without DATSs'!G157*'Parcel 1 without DATSs'!G158*'Parcel 1 without DATSs'!G159/100,0)) +
(IF('Parcel 1 without DATSs'!G163="Organic",'Parcel 1 without DATSs'!G164*'Parcel 1 without DATSs'!G165*'Parcel 1 without DATSs'!G166/100,0)))*'sust. impact KPIs DATS'!C86))
*'sust. impact KPIs DATS'!C82</f>
        <v>7.459484999999999E-2</v>
      </c>
      <c r="J57" s="37" t="s">
        <v>414</v>
      </c>
      <c r="K57" s="20">
        <f>E30*C87*C89</f>
        <v>0.17902763999999996</v>
      </c>
      <c r="L57" s="37" t="s">
        <v>413</v>
      </c>
      <c r="M57" s="3"/>
    </row>
    <row r="58" spans="1:13" ht="17">
      <c r="A58" s="33" t="s">
        <v>617</v>
      </c>
      <c r="B58" s="41" t="s">
        <v>619</v>
      </c>
      <c r="C58" s="42" t="s">
        <v>142</v>
      </c>
      <c r="D58" s="40" t="str">
        <f>D51</f>
        <v>kg CO2 eq/ha</v>
      </c>
      <c r="E58" s="54">
        <f>E57+E51</f>
        <v>542.32549445999985</v>
      </c>
      <c r="F58" s="3"/>
      <c r="G58" s="3"/>
      <c r="H58" s="3"/>
      <c r="I58" s="3"/>
      <c r="J58" s="3"/>
      <c r="L58" s="3"/>
      <c r="M58" s="3"/>
    </row>
    <row r="59" spans="1:13">
      <c r="A59" s="27" t="s">
        <v>227</v>
      </c>
      <c r="B59" s="20"/>
      <c r="C59" s="20"/>
      <c r="D59" s="20"/>
      <c r="E59" s="22"/>
      <c r="F59" s="20"/>
      <c r="G59" s="20"/>
      <c r="H59" s="20"/>
      <c r="I59" s="20"/>
      <c r="J59" s="20"/>
      <c r="K59" s="3"/>
      <c r="L59" s="20"/>
      <c r="M59" s="21"/>
    </row>
    <row r="60" spans="1:13">
      <c r="A60" s="47"/>
      <c r="B60" s="47" t="s">
        <v>145</v>
      </c>
      <c r="C60" s="47" t="s">
        <v>139</v>
      </c>
      <c r="D60" s="47" t="s">
        <v>140</v>
      </c>
      <c r="E60" s="47" t="s">
        <v>195</v>
      </c>
      <c r="F60" s="47" t="s">
        <v>146</v>
      </c>
      <c r="G60" s="29"/>
      <c r="H60" s="29"/>
      <c r="I60" s="29"/>
      <c r="J60" s="29"/>
      <c r="K60" s="29"/>
    </row>
    <row r="62" spans="1:13" ht="136">
      <c r="A62" s="40"/>
      <c r="B62" s="41" t="s">
        <v>26</v>
      </c>
      <c r="C62" s="55" t="s">
        <v>142</v>
      </c>
      <c r="D62" s="43" t="str">
        <f>IFERROR(VLOOKUP('General Information'!$D$6, Validations!$L$2:$N$8, 3,FALSE), "")</f>
        <v>h/ha</v>
      </c>
      <c r="E62" s="22">
        <f t="array" ref="E62">(SUM(SUMIFS('Parcel 1 without DATSs'!G194:G218,'Parcel 1 without DATSs'!C194:C218,'Analysis DATS vs. NO DATS'!C12:C36,'Analysis DATS vs. NO DATS'!I12:I36,1)))/(IF('General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11.6875</v>
      </c>
      <c r="F62" s="37" t="s">
        <v>721</v>
      </c>
      <c r="G62" s="23">
        <f>(SUM('Parcel 1 without DATSs'!G194:G218))/(IF('General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16.70673076923077</v>
      </c>
      <c r="H62" s="3"/>
      <c r="I62" s="21"/>
      <c r="J62" s="24"/>
      <c r="K62" s="3"/>
    </row>
    <row r="63" spans="1:13" ht="102">
      <c r="A63" s="40"/>
      <c r="B63" s="41" t="s">
        <v>27</v>
      </c>
      <c r="C63" s="55" t="s">
        <v>142</v>
      </c>
      <c r="D63" s="43" t="s">
        <v>153</v>
      </c>
      <c r="E63" s="22">
        <f>'Parcel 1 without DATSs'!G241/'Parcel 1 without DATSs'!G243</f>
        <v>0</v>
      </c>
      <c r="F63" s="37" t="s">
        <v>154</v>
      </c>
      <c r="G63" s="23"/>
      <c r="H63" s="3"/>
      <c r="I63" s="21"/>
      <c r="J63" s="24"/>
      <c r="K63" s="3"/>
    </row>
    <row r="64" spans="1:13" ht="204">
      <c r="A64" s="40"/>
      <c r="B64" s="41" t="s">
        <v>28</v>
      </c>
      <c r="C64" s="55" t="s">
        <v>142</v>
      </c>
      <c r="D64" s="43" t="s">
        <v>105</v>
      </c>
      <c r="E64" s="22">
        <f>'Parcel 1 without DATSs'!G242/'Parcel 1 without DATSs'!G243</f>
        <v>0</v>
      </c>
      <c r="F64" s="37" t="s">
        <v>155</v>
      </c>
      <c r="G64" s="23"/>
      <c r="H64" s="3"/>
      <c r="I64" s="21"/>
      <c r="J64" s="24"/>
      <c r="K64" s="3"/>
    </row>
    <row r="65" spans="1:11" ht="102">
      <c r="A65" s="40"/>
      <c r="B65" s="41" t="s">
        <v>29</v>
      </c>
      <c r="C65" s="55" t="s">
        <v>142</v>
      </c>
      <c r="D65" s="43" t="s">
        <v>105</v>
      </c>
      <c r="E65" s="22" t="e">
        <f>'Parcel 1 without DATSs'!G245/'Parcel 1 without DATSs'!G246</f>
        <v>#DIV/0!</v>
      </c>
      <c r="F65" s="37" t="s">
        <v>156</v>
      </c>
      <c r="G65" s="23"/>
      <c r="H65" s="3"/>
      <c r="I65" s="21"/>
      <c r="J65" s="24"/>
      <c r="K65" s="3"/>
    </row>
    <row r="74" spans="1:11">
      <c r="A74" s="57"/>
      <c r="B74" s="63" t="s">
        <v>228</v>
      </c>
      <c r="C74" s="64"/>
      <c r="D74" s="57" t="s">
        <v>295</v>
      </c>
      <c r="E74" s="57"/>
      <c r="F74" s="57"/>
    </row>
    <row r="75" spans="1:11">
      <c r="A75" s="65" t="s">
        <v>229</v>
      </c>
      <c r="B75" s="66" t="s">
        <v>140</v>
      </c>
      <c r="C75" s="66" t="s">
        <v>99</v>
      </c>
      <c r="D75" s="66" t="s">
        <v>230</v>
      </c>
      <c r="E75" s="57"/>
      <c r="F75" s="57"/>
    </row>
    <row r="76" spans="1:11">
      <c r="A76" s="58" t="s">
        <v>231</v>
      </c>
      <c r="B76" s="57"/>
      <c r="C76" s="57"/>
      <c r="D76" s="57"/>
      <c r="E76" s="57"/>
      <c r="F76" s="57"/>
    </row>
    <row r="77" spans="1:11">
      <c r="A77" s="146" t="s">
        <v>232</v>
      </c>
      <c r="B77" s="147" t="s">
        <v>233</v>
      </c>
      <c r="C77" s="147">
        <v>0.01</v>
      </c>
      <c r="D77" s="146" t="s">
        <v>234</v>
      </c>
      <c r="E77" s="146"/>
      <c r="F77" s="57"/>
    </row>
    <row r="78" spans="1:11">
      <c r="A78" s="57" t="s">
        <v>235</v>
      </c>
      <c r="B78" s="59" t="s">
        <v>233</v>
      </c>
      <c r="C78" s="59">
        <v>1.6E-2</v>
      </c>
      <c r="D78" s="57" t="s">
        <v>236</v>
      </c>
      <c r="E78" s="57"/>
      <c r="F78" s="57"/>
    </row>
    <row r="79" spans="1:11">
      <c r="A79" s="57" t="s">
        <v>237</v>
      </c>
      <c r="B79" s="59" t="s">
        <v>233</v>
      </c>
      <c r="C79" s="59">
        <v>6.0000000000000001E-3</v>
      </c>
      <c r="D79" s="57" t="s">
        <v>238</v>
      </c>
      <c r="E79" s="57"/>
      <c r="F79" s="57"/>
    </row>
    <row r="80" spans="1:11">
      <c r="A80" s="57" t="s">
        <v>239</v>
      </c>
      <c r="B80" s="59" t="s">
        <v>233</v>
      </c>
      <c r="C80" s="59">
        <v>6.0000000000000001E-3</v>
      </c>
      <c r="D80" s="57" t="s">
        <v>240</v>
      </c>
      <c r="E80" s="57"/>
      <c r="F80" s="57"/>
    </row>
    <row r="81" spans="1:6">
      <c r="A81" s="58" t="s">
        <v>241</v>
      </c>
      <c r="B81" s="57"/>
      <c r="C81" s="57"/>
      <c r="D81" s="57"/>
      <c r="E81" s="57"/>
      <c r="F81" s="57"/>
    </row>
    <row r="82" spans="1:6">
      <c r="A82" s="146" t="s">
        <v>242</v>
      </c>
      <c r="B82" s="147" t="s">
        <v>243</v>
      </c>
      <c r="C82" s="147">
        <v>0.01</v>
      </c>
      <c r="D82" s="146" t="s">
        <v>244</v>
      </c>
      <c r="E82" s="146"/>
      <c r="F82" s="57"/>
    </row>
    <row r="83" spans="1:6">
      <c r="A83" s="57" t="s">
        <v>245</v>
      </c>
      <c r="B83" s="59" t="s">
        <v>243</v>
      </c>
      <c r="C83" s="59">
        <v>1.4E-2</v>
      </c>
      <c r="D83" s="57" t="s">
        <v>246</v>
      </c>
      <c r="E83" s="57"/>
      <c r="F83" s="57"/>
    </row>
    <row r="84" spans="1:6">
      <c r="A84" s="57" t="s">
        <v>247</v>
      </c>
      <c r="B84" s="59" t="s">
        <v>243</v>
      </c>
      <c r="C84" s="59">
        <v>5.0000000000000001E-3</v>
      </c>
      <c r="D84" s="57" t="s">
        <v>248</v>
      </c>
      <c r="E84" s="57"/>
      <c r="F84" s="57"/>
    </row>
    <row r="85" spans="1:6">
      <c r="A85" s="146" t="s">
        <v>249</v>
      </c>
      <c r="B85" s="147" t="s">
        <v>250</v>
      </c>
      <c r="C85" s="147">
        <v>0.11</v>
      </c>
      <c r="D85" s="146" t="s">
        <v>251</v>
      </c>
      <c r="E85" s="146"/>
      <c r="F85" s="57"/>
    </row>
    <row r="86" spans="1:6">
      <c r="A86" s="146" t="s">
        <v>252</v>
      </c>
      <c r="B86" s="147" t="s">
        <v>250</v>
      </c>
      <c r="C86" s="147">
        <v>0.21</v>
      </c>
      <c r="D86" s="146" t="s">
        <v>253</v>
      </c>
      <c r="E86" s="146"/>
      <c r="F86" s="57"/>
    </row>
    <row r="87" spans="1:6">
      <c r="A87" s="146" t="s">
        <v>254</v>
      </c>
      <c r="B87" s="147" t="s">
        <v>255</v>
      </c>
      <c r="C87" s="147">
        <v>0.24</v>
      </c>
      <c r="D87" s="146" t="s">
        <v>256</v>
      </c>
      <c r="E87" s="57"/>
      <c r="F87" s="57"/>
    </row>
    <row r="88" spans="1:6">
      <c r="A88" s="57" t="s">
        <v>257</v>
      </c>
      <c r="B88" s="59" t="s">
        <v>255</v>
      </c>
      <c r="C88" s="59">
        <v>0</v>
      </c>
      <c r="D88" s="57" t="s">
        <v>258</v>
      </c>
      <c r="E88" s="57"/>
      <c r="F88" s="57"/>
    </row>
    <row r="89" spans="1:6">
      <c r="A89" s="146" t="s">
        <v>259</v>
      </c>
      <c r="B89" s="146" t="s">
        <v>260</v>
      </c>
      <c r="C89" s="147">
        <v>1.0999999999999999E-2</v>
      </c>
      <c r="D89" s="146" t="s">
        <v>261</v>
      </c>
      <c r="E89" s="146"/>
      <c r="F89" s="57"/>
    </row>
    <row r="90" spans="1:6">
      <c r="A90" s="146" t="s">
        <v>262</v>
      </c>
      <c r="B90" s="147" t="s">
        <v>263</v>
      </c>
      <c r="C90" s="146">
        <f>44/28</f>
        <v>1.5714285714285714</v>
      </c>
      <c r="D90" s="146" t="s">
        <v>264</v>
      </c>
      <c r="E90" s="146"/>
      <c r="F90" s="57"/>
    </row>
    <row r="91" spans="1:6">
      <c r="A91" s="146" t="s">
        <v>265</v>
      </c>
      <c r="B91" s="146"/>
      <c r="C91" s="147">
        <v>273</v>
      </c>
      <c r="D91" s="146" t="s">
        <v>416</v>
      </c>
      <c r="E91" s="146"/>
      <c r="F91" s="57"/>
    </row>
    <row r="92" spans="1:6">
      <c r="A92" s="57"/>
      <c r="B92" s="57"/>
      <c r="C92" s="57"/>
      <c r="D92" s="57"/>
      <c r="E92" s="57"/>
      <c r="F92" s="57"/>
    </row>
    <row r="93" spans="1:6">
      <c r="A93" s="65" t="s">
        <v>266</v>
      </c>
      <c r="B93" s="57"/>
      <c r="C93" s="57"/>
      <c r="D93" s="57"/>
      <c r="E93" s="57"/>
      <c r="F93" s="57"/>
    </row>
    <row r="94" spans="1:6">
      <c r="A94" s="146" t="s">
        <v>267</v>
      </c>
      <c r="B94" s="147" t="s">
        <v>268</v>
      </c>
      <c r="C94" s="146">
        <v>35.9</v>
      </c>
      <c r="D94" s="146" t="s">
        <v>269</v>
      </c>
      <c r="E94" s="57"/>
      <c r="F94" s="57"/>
    </row>
    <row r="95" spans="1:6">
      <c r="A95" s="146" t="s">
        <v>270</v>
      </c>
      <c r="B95" s="147" t="s">
        <v>271</v>
      </c>
      <c r="C95" s="146">
        <v>7.4099999999999999E-2</v>
      </c>
      <c r="D95" s="146" t="s">
        <v>272</v>
      </c>
      <c r="E95" s="57"/>
      <c r="F95" s="57"/>
    </row>
    <row r="96" spans="1:6">
      <c r="A96" s="57"/>
      <c r="B96" s="57"/>
      <c r="C96" s="57"/>
      <c r="D96" s="57"/>
      <c r="E96" s="57"/>
      <c r="F96" s="57"/>
    </row>
    <row r="97" spans="1:6">
      <c r="A97" s="65" t="s">
        <v>432</v>
      </c>
      <c r="B97" s="62"/>
      <c r="C97" s="57"/>
      <c r="D97" s="57"/>
      <c r="E97" s="57"/>
      <c r="F97" s="57"/>
    </row>
    <row r="98" spans="1:6" ht="34">
      <c r="A98" s="148" t="str">
        <f>'General Information'!D7</f>
        <v>Wheat (T. aestivum)</v>
      </c>
      <c r="B98" s="149" t="s">
        <v>424</v>
      </c>
      <c r="C98" s="148">
        <f>IFERROR(VLOOKUP('General Information'!$D$7, Validations!$P$2:$Q$18, 2,FALSE), "")</f>
        <v>2.0199999999999999E-2</v>
      </c>
      <c r="D98" s="57"/>
      <c r="E98" s="57"/>
      <c r="F98" s="57"/>
    </row>
    <row r="99" spans="1:6" ht="34">
      <c r="A99" s="148" t="str">
        <f>'General Information'!D7</f>
        <v>Wheat (T. aestivum)</v>
      </c>
      <c r="B99" s="150" t="s">
        <v>425</v>
      </c>
      <c r="C99" s="148">
        <f>IFERROR(VLOOKUP('General Information'!$D$7, Validations!$R$2:$S$18, 2,FALSE), "")</f>
        <v>8.2000000000000007E-3</v>
      </c>
      <c r="D99" s="57"/>
      <c r="E99" s="57"/>
      <c r="F99" s="57"/>
    </row>
    <row r="100" spans="1:6" ht="34">
      <c r="A100" s="148" t="str">
        <f>'General Information'!D7</f>
        <v>Wheat (T. aestivum)</v>
      </c>
      <c r="B100" s="150" t="s">
        <v>426</v>
      </c>
      <c r="C100" s="148">
        <f>IFERROR(VLOOKUP('General Information'!$D$7, Validations!$T$2:$U$18, 2,FALSE), "")</f>
        <v>5.1999999999999998E-3</v>
      </c>
      <c r="D100" s="57"/>
      <c r="E100" s="61"/>
      <c r="F100" s="57"/>
    </row>
    <row r="101" spans="1:6">
      <c r="A101" s="60"/>
      <c r="B101" s="74"/>
      <c r="C101" s="60"/>
      <c r="D101" s="60"/>
      <c r="E101" s="60"/>
      <c r="F101" s="60"/>
    </row>
    <row r="102" spans="1:6">
      <c r="A102" s="60"/>
      <c r="B102" s="74"/>
      <c r="C102" s="60"/>
      <c r="D102" s="60"/>
      <c r="E102" s="60"/>
      <c r="F102" s="60"/>
    </row>
    <row r="103" spans="1:6">
      <c r="A103" s="61"/>
      <c r="B103" s="75"/>
      <c r="C103" s="61"/>
      <c r="D103" s="61"/>
      <c r="E103" s="61"/>
      <c r="F103" s="61"/>
    </row>
    <row r="104" spans="1:6">
      <c r="A104" s="60"/>
      <c r="B104" s="75"/>
      <c r="C104" s="61"/>
      <c r="D104" s="60"/>
      <c r="E104" s="60"/>
      <c r="F104" s="60"/>
    </row>
    <row r="105" spans="1:6">
      <c r="A105" s="60"/>
      <c r="B105" s="75"/>
      <c r="C105" s="61"/>
      <c r="D105" s="60"/>
      <c r="E105" s="60"/>
      <c r="F105" s="60"/>
    </row>
    <row r="106" spans="1:6">
      <c r="A106" s="61"/>
      <c r="B106" s="75"/>
      <c r="C106" s="61"/>
      <c r="D106" s="60"/>
      <c r="E106" s="61"/>
      <c r="F106" s="61"/>
    </row>
    <row r="107" spans="1:6">
      <c r="A107" s="60"/>
      <c r="B107" s="60"/>
      <c r="C107" s="60"/>
      <c r="D107" s="60"/>
      <c r="E107" s="60"/>
      <c r="F107" s="60"/>
    </row>
    <row r="108" spans="1:6">
      <c r="A108" s="60"/>
      <c r="B108" s="60"/>
      <c r="C108" s="60"/>
      <c r="D108" s="60"/>
      <c r="E108" s="60"/>
      <c r="F108" s="6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5"/>
  <sheetViews>
    <sheetView tabSelected="1" topLeftCell="A63" workbookViewId="0">
      <selection activeCell="F96" sqref="F96"/>
    </sheetView>
  </sheetViews>
  <sheetFormatPr baseColWidth="10" defaultRowHeight="16"/>
  <sheetData>
    <row r="1" spans="1:30">
      <c r="S1" s="232" t="s">
        <v>788</v>
      </c>
      <c r="T1" s="233"/>
      <c r="U1" s="233"/>
      <c r="V1" s="233"/>
      <c r="W1" s="234"/>
      <c r="X1" s="232" t="s">
        <v>748</v>
      </c>
      <c r="Y1" s="233"/>
      <c r="Z1" s="234"/>
    </row>
    <row r="2" spans="1:30">
      <c r="A2" s="165" t="s">
        <v>679</v>
      </c>
      <c r="B2" s="165" t="s">
        <v>789</v>
      </c>
      <c r="C2" s="165" t="s">
        <v>684</v>
      </c>
      <c r="D2" s="165" t="s">
        <v>685</v>
      </c>
      <c r="E2" s="165" t="s">
        <v>754</v>
      </c>
      <c r="F2" s="166" t="s">
        <v>105</v>
      </c>
      <c r="G2" s="189" t="s">
        <v>785</v>
      </c>
      <c r="H2" s="189" t="s">
        <v>752</v>
      </c>
      <c r="I2" s="186" t="s">
        <v>753</v>
      </c>
      <c r="J2" s="187" t="s">
        <v>722</v>
      </c>
      <c r="K2" s="184" t="s">
        <v>791</v>
      </c>
      <c r="L2" s="181" t="s">
        <v>786</v>
      </c>
      <c r="M2" s="185" t="s">
        <v>777</v>
      </c>
      <c r="N2" s="185" t="s">
        <v>776</v>
      </c>
      <c r="O2" s="183" t="s">
        <v>775</v>
      </c>
      <c r="P2" s="183" t="s">
        <v>723</v>
      </c>
      <c r="Q2" s="183" t="s">
        <v>790</v>
      </c>
      <c r="S2" s="181" t="s">
        <v>746</v>
      </c>
      <c r="T2" s="182" t="s">
        <v>747</v>
      </c>
      <c r="U2" s="182" t="s">
        <v>787</v>
      </c>
      <c r="V2" s="182" t="s">
        <v>723</v>
      </c>
      <c r="W2" s="182" t="s">
        <v>790</v>
      </c>
      <c r="X2" s="182" t="s">
        <v>679</v>
      </c>
      <c r="Y2" s="166" t="s">
        <v>679</v>
      </c>
      <c r="Z2" s="166" t="s">
        <v>724</v>
      </c>
      <c r="AB2" s="91" t="s">
        <v>755</v>
      </c>
      <c r="AC2" s="91" t="s">
        <v>756</v>
      </c>
      <c r="AD2" s="91" t="s">
        <v>757</v>
      </c>
    </row>
    <row r="3" spans="1:30">
      <c r="A3" t="s">
        <v>678</v>
      </c>
      <c r="B3" s="40" t="s">
        <v>682</v>
      </c>
      <c r="C3" s="41" t="s">
        <v>745</v>
      </c>
      <c r="D3" s="43" t="str">
        <f>'Cost-revenue DATS'!D35</f>
        <v>€/ha</v>
      </c>
      <c r="E3" s="167">
        <f>('Cost-revenue DATS'!E36-'Cost-revenue NO DATS'!E36)</f>
        <v>1.7817371937639199</v>
      </c>
      <c r="F3" s="20"/>
      <c r="G3" s="20"/>
      <c r="H3" s="20"/>
      <c r="K3">
        <v>1</v>
      </c>
      <c r="O3" t="s">
        <v>745</v>
      </c>
      <c r="P3" s="20">
        <v>1</v>
      </c>
      <c r="Q3" s="20">
        <v>3</v>
      </c>
      <c r="S3" s="196" t="s">
        <v>435</v>
      </c>
      <c r="T3" s="208">
        <f>IFERROR((VLOOKUP("Sum of costs",C5:G38,5,FALSE)),0)</f>
        <v>7.6464927238894429</v>
      </c>
      <c r="U3" s="208">
        <f>MIN(MAX(T3,-100),100)</f>
        <v>7.6464927238894429</v>
      </c>
      <c r="V3" s="190">
        <v>10</v>
      </c>
      <c r="W3" s="190">
        <f t="shared" ref="W3:W9" si="0">IF(T3&gt;0,1,IF(T3=0,2,0))</f>
        <v>1</v>
      </c>
      <c r="X3" s="201" t="s">
        <v>678</v>
      </c>
      <c r="Y3" s="20"/>
      <c r="AB3" s="188">
        <v>1</v>
      </c>
      <c r="AC3" s="89" t="s">
        <v>749</v>
      </c>
      <c r="AD3" s="89" t="s">
        <v>758</v>
      </c>
    </row>
    <row r="4" spans="1:30">
      <c r="A4" t="s">
        <v>678</v>
      </c>
      <c r="B4" s="40" t="s">
        <v>682</v>
      </c>
      <c r="C4" s="41" t="s">
        <v>744</v>
      </c>
      <c r="D4" s="43" t="str">
        <f>'Cost-revenue DATS'!$D$3</f>
        <v>€/ha</v>
      </c>
      <c r="E4" s="167">
        <f>('General Information'!D20+'General Information'!H20+'General Information'!L20)/(IF('General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78.391982182628055</v>
      </c>
      <c r="F4" s="20"/>
      <c r="G4" s="20"/>
      <c r="H4" s="20"/>
      <c r="K4">
        <v>1</v>
      </c>
      <c r="O4" t="s">
        <v>744</v>
      </c>
      <c r="P4" s="20">
        <v>1</v>
      </c>
      <c r="Q4" s="20">
        <v>3</v>
      </c>
      <c r="S4" s="197" t="s">
        <v>282</v>
      </c>
      <c r="T4" s="206">
        <f t="shared" ref="T4:T9" si="1">IFERROR(AVERAGEIFS(G$5:G$99,B$5:B$99,S4,L$5:L$99,1),0)</f>
        <v>26.241204635089179</v>
      </c>
      <c r="U4" s="206">
        <f t="shared" ref="U4:U9" si="2">MIN(MAX(T4,-100),100)</f>
        <v>26.241204635089179</v>
      </c>
      <c r="V4" s="191">
        <v>12</v>
      </c>
      <c r="W4" s="191">
        <f t="shared" si="0"/>
        <v>1</v>
      </c>
      <c r="X4" s="202" t="s">
        <v>678</v>
      </c>
      <c r="Y4" s="199" t="s">
        <v>678</v>
      </c>
      <c r="Z4" s="195">
        <f>AVERAGEIF(X3:X9,Y4,T3:T9)</f>
        <v>16.94384867948931</v>
      </c>
      <c r="AB4" s="188">
        <v>0</v>
      </c>
      <c r="AC4" s="89" t="s">
        <v>750</v>
      </c>
      <c r="AD4" s="89" t="s">
        <v>759</v>
      </c>
    </row>
    <row r="5" spans="1:30">
      <c r="A5" t="s">
        <v>678</v>
      </c>
      <c r="B5" s="43" t="s">
        <v>435</v>
      </c>
      <c r="C5" s="41" t="s">
        <v>141</v>
      </c>
      <c r="D5" s="43" t="str">
        <f>'Cost-revenue DATS'!$D$3</f>
        <v>€/ha</v>
      </c>
      <c r="E5" s="167">
        <f>'Cost-revenue DATS'!E3-'Cost-revenue NO DATS'!E3</f>
        <v>0</v>
      </c>
      <c r="F5" s="167" t="e">
        <f>E5*100/'Cost-revenue NO DATS'!E3</f>
        <v>#DIV/0!</v>
      </c>
      <c r="G5" s="167" t="e">
        <f t="shared" ref="G5:G38" si="3">IF(H5=1,F5,F5*(-1))</f>
        <v>#DIV/0!</v>
      </c>
      <c r="H5" s="167">
        <v>0</v>
      </c>
      <c r="P5" s="20">
        <v>2</v>
      </c>
      <c r="Q5" s="20">
        <f>IFERROR(IF(IF(H5=1,E5,-E5)&gt;0,1,IF(IF(H5=1,E5,-E5)&lt;0,0,2)),"")</f>
        <v>2</v>
      </c>
      <c r="S5" s="197" t="s">
        <v>0</v>
      </c>
      <c r="T5" s="206">
        <f t="shared" si="1"/>
        <v>0</v>
      </c>
      <c r="U5" s="206">
        <f t="shared" si="2"/>
        <v>0</v>
      </c>
      <c r="V5" s="191">
        <v>2</v>
      </c>
      <c r="W5" s="191">
        <f t="shared" si="0"/>
        <v>2</v>
      </c>
      <c r="X5" s="203" t="s">
        <v>680</v>
      </c>
      <c r="Y5" s="20"/>
      <c r="Z5" s="193"/>
      <c r="AB5" s="188">
        <v>2</v>
      </c>
      <c r="AC5" s="89" t="s">
        <v>751</v>
      </c>
      <c r="AD5" s="89" t="s">
        <v>760</v>
      </c>
    </row>
    <row r="6" spans="1:30">
      <c r="A6" t="s">
        <v>678</v>
      </c>
      <c r="B6" s="43" t="s">
        <v>435</v>
      </c>
      <c r="C6" s="41" t="s">
        <v>144</v>
      </c>
      <c r="D6" s="43" t="str">
        <f>'Cost-revenue DATS'!$D$3</f>
        <v>€/ha</v>
      </c>
      <c r="E6" s="167">
        <f>'Cost-revenue DATS'!E4-'Cost-revenue NO DATS'!E4</f>
        <v>-4.6588840585917382</v>
      </c>
      <c r="F6" s="167">
        <f>E6*100/'Cost-revenue NO DATS'!E4</f>
        <v>-7.5574020993338404</v>
      </c>
      <c r="G6" s="167">
        <f t="shared" si="3"/>
        <v>7.5574020993338404</v>
      </c>
      <c r="H6" s="167">
        <v>0</v>
      </c>
      <c r="I6" s="20">
        <v>1</v>
      </c>
      <c r="K6" s="20">
        <v>1</v>
      </c>
      <c r="L6" s="20">
        <v>1</v>
      </c>
      <c r="M6" s="168"/>
      <c r="N6" s="168"/>
      <c r="O6" s="235" t="s">
        <v>822</v>
      </c>
      <c r="P6" s="20">
        <v>3</v>
      </c>
      <c r="Q6" s="20">
        <f t="shared" ref="Q6:Q70" si="4">IFERROR(IF(IF(H6=1,E6,-E6)&gt;0,1,IF(IF(H6=1,E6,-E6)&lt;0,0,2)),"")</f>
        <v>1</v>
      </c>
      <c r="S6" s="197" t="s">
        <v>687</v>
      </c>
      <c r="T6" s="206">
        <f t="shared" si="1"/>
        <v>3.2147664119215449</v>
      </c>
      <c r="U6" s="206">
        <f t="shared" si="2"/>
        <v>3.2147664119215449</v>
      </c>
      <c r="V6" s="191">
        <v>6</v>
      </c>
      <c r="W6" s="191">
        <f t="shared" si="0"/>
        <v>1</v>
      </c>
      <c r="X6" s="203" t="s">
        <v>680</v>
      </c>
      <c r="Y6" s="200" t="s">
        <v>680</v>
      </c>
      <c r="Z6" s="195">
        <f>AVERAGEIF(X3:X9,Y6,T3:T9)</f>
        <v>-4.2077724213745862</v>
      </c>
      <c r="AB6" s="188">
        <v>3</v>
      </c>
      <c r="AC6" s="89" t="s">
        <v>761</v>
      </c>
      <c r="AD6" s="89" t="s">
        <v>762</v>
      </c>
    </row>
    <row r="7" spans="1:30">
      <c r="A7" t="s">
        <v>678</v>
      </c>
      <c r="B7" s="43" t="s">
        <v>435</v>
      </c>
      <c r="C7" s="41" t="s">
        <v>161</v>
      </c>
      <c r="D7" s="43" t="str">
        <f>'Cost-revenue DATS'!$D$3</f>
        <v>€/ha</v>
      </c>
      <c r="E7" s="167">
        <f>'Cost-revenue DATS'!E5-'Cost-revenue NO DATS'!E5</f>
        <v>-0.30881244646222367</v>
      </c>
      <c r="F7" s="167">
        <f>E7*100/'Cost-revenue NO DATS'!E5</f>
        <v>-40.297742016200239</v>
      </c>
      <c r="G7" s="167">
        <f t="shared" si="3"/>
        <v>40.297742016200239</v>
      </c>
      <c r="H7" s="167">
        <v>0</v>
      </c>
      <c r="P7" s="20">
        <v>4</v>
      </c>
      <c r="Q7" s="20">
        <f t="shared" si="4"/>
        <v>1</v>
      </c>
      <c r="S7" s="197" t="s">
        <v>688</v>
      </c>
      <c r="T7" s="206">
        <f t="shared" si="1"/>
        <v>23.927572057767041</v>
      </c>
      <c r="U7" s="206">
        <f t="shared" si="2"/>
        <v>23.927572057767041</v>
      </c>
      <c r="V7" s="191">
        <v>4</v>
      </c>
      <c r="W7" s="191">
        <f t="shared" si="0"/>
        <v>1</v>
      </c>
      <c r="X7" s="203" t="s">
        <v>680</v>
      </c>
      <c r="Y7" s="20"/>
      <c r="Z7" s="193"/>
    </row>
    <row r="8" spans="1:30">
      <c r="A8" t="s">
        <v>678</v>
      </c>
      <c r="B8" s="43" t="s">
        <v>435</v>
      </c>
      <c r="C8" s="41" t="s">
        <v>742</v>
      </c>
      <c r="D8" s="43" t="str">
        <f>'Cost-revenue DATS'!$D$3</f>
        <v>€/ha</v>
      </c>
      <c r="E8" s="167">
        <f>'Cost-revenue DATS'!E6-'Cost-revenue NO DATS'!E6</f>
        <v>-64.692000000000007</v>
      </c>
      <c r="F8" s="167">
        <f>E8*100/'Cost-revenue NO DATS'!E6</f>
        <v>-55.869144673207138</v>
      </c>
      <c r="G8" s="167">
        <f t="shared" si="3"/>
        <v>55.869144673207138</v>
      </c>
      <c r="H8" s="167">
        <v>0</v>
      </c>
      <c r="I8" s="20">
        <v>1</v>
      </c>
      <c r="J8" s="20">
        <v>1</v>
      </c>
      <c r="K8" s="20">
        <v>1</v>
      </c>
      <c r="L8" s="20">
        <v>1</v>
      </c>
      <c r="M8" t="s">
        <v>812</v>
      </c>
      <c r="N8" t="s">
        <v>819</v>
      </c>
      <c r="O8" s="235" t="s">
        <v>823</v>
      </c>
      <c r="P8" s="20">
        <v>5</v>
      </c>
      <c r="Q8" s="20">
        <f t="shared" si="4"/>
        <v>1</v>
      </c>
      <c r="S8" s="197" t="s">
        <v>689</v>
      </c>
      <c r="T8" s="206">
        <f t="shared" si="1"/>
        <v>-43.97342815518693</v>
      </c>
      <c r="U8" s="206">
        <f t="shared" si="2"/>
        <v>-43.97342815518693</v>
      </c>
      <c r="V8" s="191">
        <v>13</v>
      </c>
      <c r="W8" s="191">
        <f t="shared" si="0"/>
        <v>0</v>
      </c>
      <c r="X8" s="203" t="s">
        <v>680</v>
      </c>
      <c r="Y8" s="199" t="s">
        <v>681</v>
      </c>
      <c r="Z8" s="195">
        <f>AVERAGEIF(X3:X9,Y8,T3:T9)</f>
        <v>33.103867179591013</v>
      </c>
    </row>
    <row r="9" spans="1:30">
      <c r="A9" t="s">
        <v>678</v>
      </c>
      <c r="B9" s="43" t="s">
        <v>435</v>
      </c>
      <c r="C9" s="41" t="s">
        <v>180</v>
      </c>
      <c r="D9" s="43" t="str">
        <f>'Cost-revenue DATS'!$D$3</f>
        <v>€/ha</v>
      </c>
      <c r="E9" s="167">
        <f>'Cost-revenue DATS'!E7-'Cost-revenue NO DATS'!E7</f>
        <v>55.455000000000013</v>
      </c>
      <c r="F9" s="167">
        <f>E9*100/'Cost-revenue NO DATS'!E7</f>
        <v>22.40198751742108</v>
      </c>
      <c r="G9" s="167">
        <f t="shared" si="3"/>
        <v>-22.40198751742108</v>
      </c>
      <c r="H9" s="167">
        <v>0</v>
      </c>
      <c r="I9" s="20">
        <v>1</v>
      </c>
      <c r="K9" s="20">
        <v>1</v>
      </c>
      <c r="L9" s="20">
        <v>1</v>
      </c>
      <c r="O9" s="235" t="s">
        <v>824</v>
      </c>
      <c r="P9" s="20">
        <v>6</v>
      </c>
      <c r="Q9" s="20">
        <f t="shared" si="4"/>
        <v>0</v>
      </c>
      <c r="S9" s="198" t="s">
        <v>193</v>
      </c>
      <c r="T9" s="207">
        <f t="shared" si="1"/>
        <v>33.103867179591013</v>
      </c>
      <c r="U9" s="207">
        <f t="shared" si="2"/>
        <v>33.103867179591013</v>
      </c>
      <c r="V9" s="192">
        <v>9</v>
      </c>
      <c r="W9" s="192">
        <f t="shared" si="0"/>
        <v>1</v>
      </c>
      <c r="X9" s="204" t="s">
        <v>681</v>
      </c>
      <c r="Y9" s="194"/>
      <c r="Z9" s="193"/>
    </row>
    <row r="10" spans="1:30">
      <c r="A10" t="s">
        <v>678</v>
      </c>
      <c r="B10" s="43" t="s">
        <v>435</v>
      </c>
      <c r="C10" s="41" t="s">
        <v>218</v>
      </c>
      <c r="D10" s="43" t="str">
        <f>'Cost-revenue DATS'!$D$3</f>
        <v>€/ha</v>
      </c>
      <c r="E10" s="167">
        <f>'Cost-revenue DATS'!E8-'Cost-revenue NO DATS'!E8</f>
        <v>0</v>
      </c>
      <c r="F10" s="167" t="e">
        <f>E10*100/'Cost-revenue NO DATS'!E8</f>
        <v>#DIV/0!</v>
      </c>
      <c r="G10" s="167" t="e">
        <f t="shared" si="3"/>
        <v>#DIV/0!</v>
      </c>
      <c r="H10" s="167">
        <v>0</v>
      </c>
      <c r="O10" s="180"/>
      <c r="P10" s="20">
        <v>7</v>
      </c>
      <c r="Q10" s="20">
        <f t="shared" si="4"/>
        <v>2</v>
      </c>
    </row>
    <row r="11" spans="1:30">
      <c r="A11" t="s">
        <v>678</v>
      </c>
      <c r="B11" s="43" t="s">
        <v>435</v>
      </c>
      <c r="C11" s="41" t="s">
        <v>219</v>
      </c>
      <c r="D11" s="43" t="str">
        <f>'Cost-revenue DATS'!$D$3</f>
        <v>€/ha</v>
      </c>
      <c r="E11" s="167">
        <f>'Cost-revenue DATS'!E9-'Cost-revenue NO DATS'!E9</f>
        <v>0</v>
      </c>
      <c r="F11" s="167" t="e">
        <f>E11*100/'Cost-revenue NO DATS'!E9</f>
        <v>#DIV/0!</v>
      </c>
      <c r="G11" s="167" t="e">
        <f t="shared" si="3"/>
        <v>#DIV/0!</v>
      </c>
      <c r="H11" s="167">
        <v>0</v>
      </c>
      <c r="O11" s="180"/>
      <c r="P11" s="20">
        <v>8</v>
      </c>
      <c r="Q11" s="20">
        <f t="shared" si="4"/>
        <v>2</v>
      </c>
    </row>
    <row r="12" spans="1:30">
      <c r="A12" t="s">
        <v>678</v>
      </c>
      <c r="B12" s="43" t="s">
        <v>435</v>
      </c>
      <c r="C12" s="41" t="s">
        <v>695</v>
      </c>
      <c r="D12" s="43" t="str">
        <f>'Cost-revenue DATS'!$D$3</f>
        <v>€/ha</v>
      </c>
      <c r="E12" s="167">
        <f>'Cost-revenue DATS'!E10-'Cost-revenue NO DATS'!E10</f>
        <v>0</v>
      </c>
      <c r="F12" s="167" t="e">
        <f>E12*100/'Cost-revenue NO DATS'!E10</f>
        <v>#DIV/0!</v>
      </c>
      <c r="G12" s="167" t="e">
        <f t="shared" si="3"/>
        <v>#DIV/0!</v>
      </c>
      <c r="H12" s="167">
        <v>0</v>
      </c>
      <c r="P12" s="20">
        <v>9</v>
      </c>
      <c r="Q12" s="20">
        <f t="shared" si="4"/>
        <v>2</v>
      </c>
    </row>
    <row r="13" spans="1:30">
      <c r="A13" t="s">
        <v>678</v>
      </c>
      <c r="B13" s="43" t="s">
        <v>435</v>
      </c>
      <c r="C13" s="41" t="s">
        <v>696</v>
      </c>
      <c r="D13" s="43" t="str">
        <f>'Cost-revenue DATS'!$D$3</f>
        <v>€/ha</v>
      </c>
      <c r="E13" s="167">
        <f>'Cost-revenue DATS'!E11-'Cost-revenue NO DATS'!E11</f>
        <v>-3.0079150248415232</v>
      </c>
      <c r="F13" s="167">
        <f>E13*100/'Cost-revenue NO DATS'!E11</f>
        <v>-13.246238253028389</v>
      </c>
      <c r="G13" s="167">
        <f t="shared" si="3"/>
        <v>13.246238253028389</v>
      </c>
      <c r="H13" s="167">
        <v>0</v>
      </c>
      <c r="I13" s="20">
        <v>1</v>
      </c>
      <c r="K13" s="20">
        <v>1</v>
      </c>
      <c r="L13" s="20">
        <v>1</v>
      </c>
      <c r="O13" s="235" t="s">
        <v>825</v>
      </c>
      <c r="P13" s="20">
        <v>9</v>
      </c>
      <c r="Q13" s="20">
        <f t="shared" si="4"/>
        <v>1</v>
      </c>
    </row>
    <row r="14" spans="1:30">
      <c r="A14" t="s">
        <v>678</v>
      </c>
      <c r="B14" s="43" t="s">
        <v>435</v>
      </c>
      <c r="C14" s="41" t="s">
        <v>697</v>
      </c>
      <c r="D14" s="43" t="str">
        <f>'Cost-revenue DATS'!$D$3</f>
        <v>€/ha</v>
      </c>
      <c r="E14" s="167">
        <f>'Cost-revenue DATS'!E12-'Cost-revenue NO DATS'!E12</f>
        <v>-3.576871680657872</v>
      </c>
      <c r="F14" s="167">
        <f>E14*100/'Cost-revenue NO DATS'!E12</f>
        <v>-26.631919729984155</v>
      </c>
      <c r="G14" s="167">
        <f t="shared" si="3"/>
        <v>26.631919729984155</v>
      </c>
      <c r="H14" s="167">
        <v>0</v>
      </c>
      <c r="I14" s="20">
        <v>1</v>
      </c>
      <c r="K14" s="20">
        <v>1</v>
      </c>
      <c r="L14" s="20">
        <v>1</v>
      </c>
      <c r="O14" s="235" t="s">
        <v>826</v>
      </c>
      <c r="P14" s="20">
        <v>9</v>
      </c>
      <c r="Q14" s="20">
        <f>IFERROR(IF(IF(H14=1,E14,-E14)&gt;0,1,IF(IF(H14=1,E14,-E14)&lt;0,0,2)),"")</f>
        <v>1</v>
      </c>
    </row>
    <row r="15" spans="1:30">
      <c r="A15" t="s">
        <v>678</v>
      </c>
      <c r="B15" s="43" t="s">
        <v>435</v>
      </c>
      <c r="C15" s="41" t="s">
        <v>698</v>
      </c>
      <c r="D15" s="43" t="str">
        <f>'Cost-revenue DATS'!$D$3</f>
        <v>€/ha</v>
      </c>
      <c r="E15" s="167">
        <f>'Cost-revenue DATS'!E13-'Cost-revenue NO DATS'!E13</f>
        <v>-10.811487065273258</v>
      </c>
      <c r="F15" s="167">
        <f>E15*100/'Cost-revenue NO DATS'!E13</f>
        <v>-52.316892554830581</v>
      </c>
      <c r="G15" s="167">
        <f t="shared" si="3"/>
        <v>52.316892554830581</v>
      </c>
      <c r="H15" s="167">
        <v>0</v>
      </c>
      <c r="I15" s="20">
        <v>1</v>
      </c>
      <c r="K15" s="20">
        <v>1</v>
      </c>
      <c r="L15" s="20">
        <v>1</v>
      </c>
      <c r="O15" s="235" t="s">
        <v>827</v>
      </c>
      <c r="P15" s="20">
        <v>9</v>
      </c>
      <c r="Q15" s="20">
        <f t="shared" si="4"/>
        <v>1</v>
      </c>
    </row>
    <row r="16" spans="1:30">
      <c r="A16" t="s">
        <v>678</v>
      </c>
      <c r="B16" s="43" t="s">
        <v>435</v>
      </c>
      <c r="C16" s="41" t="s">
        <v>699</v>
      </c>
      <c r="D16" s="43" t="str">
        <f>'Cost-revenue DATS'!$D$3</f>
        <v>€/ha</v>
      </c>
      <c r="E16" s="167">
        <f>'Cost-revenue DATS'!E14-'Cost-revenue NO DATS'!E14</f>
        <v>-0.23475244132259654</v>
      </c>
      <c r="F16" s="167">
        <f>E16*100/'Cost-revenue NO DATS'!E14</f>
        <v>-4.551501472324766</v>
      </c>
      <c r="G16" s="167">
        <f t="shared" si="3"/>
        <v>4.551501472324766</v>
      </c>
      <c r="H16" s="167">
        <v>0</v>
      </c>
      <c r="O16" s="180"/>
      <c r="P16" s="20">
        <v>9</v>
      </c>
      <c r="Q16" s="20">
        <f t="shared" si="4"/>
        <v>1</v>
      </c>
    </row>
    <row r="17" spans="1:26">
      <c r="A17" t="s">
        <v>678</v>
      </c>
      <c r="B17" s="43" t="s">
        <v>435</v>
      </c>
      <c r="C17" s="41" t="s">
        <v>700</v>
      </c>
      <c r="D17" s="43" t="str">
        <f>'Cost-revenue DATS'!$D$3</f>
        <v>€/ha</v>
      </c>
      <c r="E17" s="167">
        <f>'Cost-revenue DATS'!E15-'Cost-revenue NO DATS'!E15</f>
        <v>-5.230315230426589</v>
      </c>
      <c r="F17" s="167">
        <f>E17*100/'Cost-revenue NO DATS'!E15</f>
        <v>-38.252657100166331</v>
      </c>
      <c r="G17" s="167">
        <f t="shared" si="3"/>
        <v>38.252657100166331</v>
      </c>
      <c r="H17" s="167">
        <v>0</v>
      </c>
      <c r="I17" s="20">
        <v>1</v>
      </c>
      <c r="K17" s="20">
        <v>1</v>
      </c>
      <c r="L17" s="20">
        <v>1</v>
      </c>
      <c r="O17" s="235" t="s">
        <v>828</v>
      </c>
      <c r="P17" s="20">
        <v>9</v>
      </c>
      <c r="Q17" s="20">
        <f t="shared" si="4"/>
        <v>1</v>
      </c>
      <c r="S17" s="179"/>
      <c r="T17" s="179"/>
      <c r="U17" s="179"/>
      <c r="V17" s="179"/>
      <c r="W17" s="179"/>
      <c r="X17" s="179"/>
      <c r="Y17" s="179"/>
      <c r="Z17" s="1"/>
    </row>
    <row r="18" spans="1:26">
      <c r="A18" t="s">
        <v>678</v>
      </c>
      <c r="B18" s="43" t="s">
        <v>435</v>
      </c>
      <c r="C18" s="41" t="s">
        <v>701</v>
      </c>
      <c r="D18" s="43" t="str">
        <f>'Cost-revenue DATS'!$D$3</f>
        <v>€/ha</v>
      </c>
      <c r="E18" s="167">
        <f>'Cost-revenue DATS'!E16-'Cost-revenue NO DATS'!E16</f>
        <v>0</v>
      </c>
      <c r="F18" s="167" t="e">
        <f>E18*100/'Cost-revenue NO DATS'!E16</f>
        <v>#DIV/0!</v>
      </c>
      <c r="G18" s="167" t="e">
        <f t="shared" si="3"/>
        <v>#DIV/0!</v>
      </c>
      <c r="H18" s="167">
        <v>0</v>
      </c>
      <c r="P18" s="20">
        <v>9</v>
      </c>
      <c r="Q18" s="20">
        <f t="shared" si="4"/>
        <v>2</v>
      </c>
      <c r="R18" s="180"/>
      <c r="S18" s="7"/>
      <c r="T18" s="179"/>
      <c r="U18" s="179"/>
      <c r="V18" s="179"/>
      <c r="W18" s="179"/>
      <c r="X18" s="179"/>
      <c r="Y18" s="179"/>
      <c r="Z18" s="1"/>
    </row>
    <row r="19" spans="1:26">
      <c r="A19" t="s">
        <v>678</v>
      </c>
      <c r="B19" s="43" t="s">
        <v>435</v>
      </c>
      <c r="C19" s="41" t="s">
        <v>702</v>
      </c>
      <c r="D19" s="43" t="str">
        <f>'Cost-revenue DATS'!$D$3</f>
        <v>€/ha</v>
      </c>
      <c r="E19" s="167" t="e">
        <f>'Cost-revenue DATS'!E17-'Cost-revenue NO DATS'!E17</f>
        <v>#DIV/0!</v>
      </c>
      <c r="F19" s="167" t="e">
        <f>E19*100/'Cost-revenue NO DATS'!E17</f>
        <v>#DIV/0!</v>
      </c>
      <c r="G19" s="167" t="e">
        <f t="shared" si="3"/>
        <v>#DIV/0!</v>
      </c>
      <c r="H19" s="167">
        <v>0</v>
      </c>
      <c r="O19" s="180"/>
      <c r="P19" s="20">
        <v>9</v>
      </c>
      <c r="Q19" s="20" t="str">
        <f t="shared" si="4"/>
        <v/>
      </c>
      <c r="S19" s="7"/>
      <c r="T19" s="179"/>
      <c r="U19" s="179"/>
      <c r="V19" s="179"/>
      <c r="W19" s="179"/>
      <c r="X19" s="179"/>
      <c r="Y19" s="179"/>
    </row>
    <row r="20" spans="1:26">
      <c r="A20" t="s">
        <v>678</v>
      </c>
      <c r="B20" s="43" t="s">
        <v>435</v>
      </c>
      <c r="C20" s="41" t="s">
        <v>703</v>
      </c>
      <c r="D20" s="43" t="str">
        <f>'Cost-revenue DATS'!$D$3</f>
        <v>€/ha</v>
      </c>
      <c r="E20" s="167">
        <f>'Cost-revenue DATS'!E18-'Cost-revenue NO DATS'!E18</f>
        <v>0</v>
      </c>
      <c r="F20" s="167" t="e">
        <f>E20*100/'Cost-revenue NO DATS'!E18</f>
        <v>#DIV/0!</v>
      </c>
      <c r="G20" s="167" t="e">
        <f t="shared" si="3"/>
        <v>#DIV/0!</v>
      </c>
      <c r="H20" s="167">
        <v>0</v>
      </c>
      <c r="O20" s="180"/>
      <c r="P20" s="20">
        <v>9</v>
      </c>
      <c r="Q20" s="20">
        <f t="shared" si="4"/>
        <v>2</v>
      </c>
      <c r="S20" s="179"/>
      <c r="T20" s="179"/>
      <c r="U20" s="179"/>
      <c r="V20" s="179"/>
      <c r="W20" s="179"/>
      <c r="X20" s="179"/>
      <c r="Y20" s="179"/>
      <c r="Z20" s="20"/>
    </row>
    <row r="21" spans="1:26">
      <c r="A21" t="s">
        <v>678</v>
      </c>
      <c r="B21" s="43" t="s">
        <v>435</v>
      </c>
      <c r="C21" s="41" t="s">
        <v>704</v>
      </c>
      <c r="D21" s="43" t="str">
        <f>'Cost-revenue DATS'!$D$3</f>
        <v>€/ha</v>
      </c>
      <c r="E21" s="167">
        <f>'Cost-revenue DATS'!E19-'Cost-revenue NO DATS'!E19</f>
        <v>0</v>
      </c>
      <c r="F21" s="167" t="e">
        <f>E21*100/'Cost-revenue NO DATS'!E19</f>
        <v>#DIV/0!</v>
      </c>
      <c r="G21" s="167" t="e">
        <f t="shared" si="3"/>
        <v>#DIV/0!</v>
      </c>
      <c r="H21" s="167">
        <v>0</v>
      </c>
      <c r="O21" s="180"/>
      <c r="P21" s="20">
        <v>9</v>
      </c>
      <c r="Q21" s="20">
        <f t="shared" si="4"/>
        <v>2</v>
      </c>
      <c r="S21" s="7"/>
      <c r="T21" s="179"/>
      <c r="U21" s="179"/>
      <c r="V21" s="179"/>
      <c r="W21" s="179"/>
      <c r="X21" s="179"/>
      <c r="Y21" s="179"/>
      <c r="Z21" s="20"/>
    </row>
    <row r="22" spans="1:26">
      <c r="A22" t="s">
        <v>678</v>
      </c>
      <c r="B22" s="43" t="s">
        <v>435</v>
      </c>
      <c r="C22" s="41" t="s">
        <v>705</v>
      </c>
      <c r="D22" s="43" t="str">
        <f>'Cost-revenue DATS'!$D$3</f>
        <v>€/ha</v>
      </c>
      <c r="E22" s="167">
        <f>'Cost-revenue DATS'!E20-'Cost-revenue NO DATS'!E20</f>
        <v>0</v>
      </c>
      <c r="F22" s="167" t="e">
        <f>E22*100/'Cost-revenue NO DATS'!E20</f>
        <v>#DIV/0!</v>
      </c>
      <c r="G22" s="167" t="e">
        <f t="shared" si="3"/>
        <v>#DIV/0!</v>
      </c>
      <c r="H22" s="167">
        <v>0</v>
      </c>
      <c r="O22" s="180"/>
      <c r="P22" s="20">
        <v>9</v>
      </c>
      <c r="Q22" s="20">
        <f>IFERROR(IF(IF(H22=1,E22,-E22)&gt;0,1,IF(IF(H22=1,E22,-E22)&lt;0,0,2)),"")</f>
        <v>2</v>
      </c>
      <c r="S22" s="7"/>
      <c r="T22" s="179"/>
      <c r="U22" s="179"/>
      <c r="V22" s="179"/>
      <c r="W22" s="179"/>
      <c r="X22" s="179"/>
      <c r="Y22" s="179"/>
      <c r="Z22" s="20"/>
    </row>
    <row r="23" spans="1:26">
      <c r="A23" t="s">
        <v>678</v>
      </c>
      <c r="B23" s="43" t="s">
        <v>435</v>
      </c>
      <c r="C23" s="41" t="s">
        <v>706</v>
      </c>
      <c r="D23" s="43" t="str">
        <f>'Cost-revenue DATS'!$D$3</f>
        <v>€/ha</v>
      </c>
      <c r="E23" s="167">
        <f>'Cost-revenue DATS'!E21-'Cost-revenue NO DATS'!E21</f>
        <v>0</v>
      </c>
      <c r="F23" s="167" t="e">
        <f>E23*100/'Cost-revenue NO DATS'!E21</f>
        <v>#DIV/0!</v>
      </c>
      <c r="G23" s="167" t="e">
        <f t="shared" si="3"/>
        <v>#DIV/0!</v>
      </c>
      <c r="H23" s="167">
        <v>0</v>
      </c>
      <c r="O23" s="180"/>
      <c r="P23" s="20">
        <v>9</v>
      </c>
      <c r="Q23" s="20">
        <f t="shared" si="4"/>
        <v>2</v>
      </c>
      <c r="S23" s="7"/>
      <c r="T23" s="179"/>
      <c r="U23" s="179"/>
      <c r="V23" s="179"/>
      <c r="W23" s="179"/>
      <c r="X23" s="179"/>
      <c r="Y23" s="179"/>
    </row>
    <row r="24" spans="1:26">
      <c r="A24" t="s">
        <v>678</v>
      </c>
      <c r="B24" s="43" t="s">
        <v>435</v>
      </c>
      <c r="C24" s="41" t="s">
        <v>707</v>
      </c>
      <c r="D24" s="43" t="str">
        <f>'Cost-revenue DATS'!$D$3</f>
        <v>€/ha</v>
      </c>
      <c r="E24" s="167">
        <f>'Cost-revenue DATS'!E22-'Cost-revenue NO DATS'!E22</f>
        <v>0</v>
      </c>
      <c r="F24" s="167" t="e">
        <f>E24*100/'Cost-revenue NO DATS'!E22</f>
        <v>#DIV/0!</v>
      </c>
      <c r="G24" s="167" t="e">
        <f t="shared" si="3"/>
        <v>#DIV/0!</v>
      </c>
      <c r="H24" s="167">
        <v>0</v>
      </c>
      <c r="O24" s="180"/>
      <c r="P24" s="20">
        <v>9</v>
      </c>
      <c r="Q24" s="20">
        <f t="shared" si="4"/>
        <v>2</v>
      </c>
      <c r="S24" s="179"/>
      <c r="T24" s="179"/>
      <c r="U24" s="179"/>
      <c r="V24" s="179"/>
      <c r="W24" s="179"/>
      <c r="X24" s="179"/>
      <c r="Y24" s="179"/>
      <c r="Z24" s="20"/>
    </row>
    <row r="25" spans="1:26">
      <c r="A25" t="s">
        <v>678</v>
      </c>
      <c r="B25" s="43" t="s">
        <v>435</v>
      </c>
      <c r="C25" s="41" t="s">
        <v>708</v>
      </c>
      <c r="D25" s="43" t="str">
        <f>'Cost-revenue DATS'!$D$3</f>
        <v>€/ha</v>
      </c>
      <c r="E25" s="167">
        <f>'Cost-revenue DATS'!E23-'Cost-revenue NO DATS'!E23</f>
        <v>0</v>
      </c>
      <c r="F25" s="167" t="e">
        <f>E25*100/'Cost-revenue NO DATS'!E23</f>
        <v>#DIV/0!</v>
      </c>
      <c r="G25" s="167" t="e">
        <f t="shared" si="3"/>
        <v>#DIV/0!</v>
      </c>
      <c r="H25" s="167">
        <v>0</v>
      </c>
      <c r="O25" s="180"/>
      <c r="P25" s="20">
        <v>9</v>
      </c>
      <c r="Q25" s="20">
        <f t="shared" si="4"/>
        <v>2</v>
      </c>
      <c r="S25" s="7"/>
      <c r="T25" s="179"/>
      <c r="U25" s="179"/>
      <c r="V25" s="179"/>
      <c r="W25" s="179"/>
      <c r="X25" s="179"/>
      <c r="Y25" s="179"/>
      <c r="Z25" s="20"/>
    </row>
    <row r="26" spans="1:26">
      <c r="A26" t="s">
        <v>678</v>
      </c>
      <c r="B26" s="43" t="s">
        <v>435</v>
      </c>
      <c r="C26" s="41" t="s">
        <v>709</v>
      </c>
      <c r="D26" s="43" t="str">
        <f>'Cost-revenue DATS'!$D$3</f>
        <v>€/ha</v>
      </c>
      <c r="E26" s="167">
        <f>'Cost-revenue DATS'!E24-'Cost-revenue NO DATS'!E24</f>
        <v>0</v>
      </c>
      <c r="F26" s="167" t="e">
        <f>E26*100/'Cost-revenue NO DATS'!E24</f>
        <v>#DIV/0!</v>
      </c>
      <c r="G26" s="167" t="e">
        <f t="shared" si="3"/>
        <v>#DIV/0!</v>
      </c>
      <c r="H26" s="167">
        <v>0</v>
      </c>
      <c r="J26" s="167"/>
      <c r="O26" s="180"/>
      <c r="P26" s="20">
        <v>9</v>
      </c>
      <c r="Q26" s="20">
        <f t="shared" si="4"/>
        <v>2</v>
      </c>
      <c r="S26" s="7"/>
      <c r="T26" s="179"/>
      <c r="U26" s="179"/>
      <c r="V26" s="179"/>
      <c r="W26" s="179"/>
      <c r="X26" s="179"/>
      <c r="Y26" s="179"/>
    </row>
    <row r="27" spans="1:26">
      <c r="A27" t="s">
        <v>678</v>
      </c>
      <c r="B27" s="43" t="s">
        <v>435</v>
      </c>
      <c r="C27" s="41" t="s">
        <v>713</v>
      </c>
      <c r="D27" s="43" t="str">
        <f>'Cost-revenue DATS'!$D$3</f>
        <v>€/ha</v>
      </c>
      <c r="E27" s="167">
        <f>'Cost-revenue DATS'!E25-'Cost-revenue NO DATS'!E25</f>
        <v>0</v>
      </c>
      <c r="F27" s="167" t="e">
        <f>E27*100/'Cost-revenue NO DATS'!E25</f>
        <v>#DIV/0!</v>
      </c>
      <c r="G27" s="167" t="e">
        <f t="shared" si="3"/>
        <v>#DIV/0!</v>
      </c>
      <c r="H27" s="167">
        <v>0</v>
      </c>
      <c r="O27" s="180"/>
      <c r="P27" s="20">
        <v>9</v>
      </c>
      <c r="Q27" s="20">
        <f t="shared" si="4"/>
        <v>2</v>
      </c>
      <c r="S27" s="179"/>
      <c r="T27" s="179"/>
      <c r="U27" s="179"/>
      <c r="V27" s="179"/>
      <c r="W27" s="179"/>
      <c r="X27" s="179"/>
      <c r="Y27" s="179"/>
      <c r="Z27" s="20"/>
    </row>
    <row r="28" spans="1:26">
      <c r="A28" t="s">
        <v>678</v>
      </c>
      <c r="B28" s="43" t="s">
        <v>435</v>
      </c>
      <c r="C28" s="41" t="s">
        <v>718</v>
      </c>
      <c r="D28" s="43" t="str">
        <f>'Cost-revenue DATS'!$D$3</f>
        <v>€/ha</v>
      </c>
      <c r="E28" s="167">
        <f>'Cost-revenue DATS'!E26-'Cost-revenue NO DATS'!E26</f>
        <v>0</v>
      </c>
      <c r="F28" s="167" t="e">
        <f>E28*100/'Cost-revenue NO DATS'!E26</f>
        <v>#DIV/0!</v>
      </c>
      <c r="G28" s="167" t="e">
        <f t="shared" si="3"/>
        <v>#DIV/0!</v>
      </c>
      <c r="H28" s="167">
        <v>0</v>
      </c>
      <c r="P28" s="20">
        <v>9</v>
      </c>
      <c r="Q28" s="20">
        <f t="shared" si="4"/>
        <v>2</v>
      </c>
      <c r="T28" s="179"/>
      <c r="U28" s="179"/>
      <c r="V28" s="179"/>
      <c r="W28" s="179"/>
      <c r="X28" s="179"/>
      <c r="Y28" s="179"/>
      <c r="Z28" s="20"/>
    </row>
    <row r="29" spans="1:26">
      <c r="A29" t="s">
        <v>678</v>
      </c>
      <c r="B29" s="43" t="s">
        <v>435</v>
      </c>
      <c r="C29" s="41" t="s">
        <v>714</v>
      </c>
      <c r="D29" s="43" t="str">
        <f>'Cost-revenue DATS'!$D$3</f>
        <v>€/ha</v>
      </c>
      <c r="E29" s="167">
        <f>'Cost-revenue DATS'!E27-'Cost-revenue NO DATS'!E27</f>
        <v>0</v>
      </c>
      <c r="F29" s="167" t="e">
        <f>E29*100/'Cost-revenue NO DATS'!E27</f>
        <v>#DIV/0!</v>
      </c>
      <c r="G29" s="167" t="e">
        <f t="shared" si="3"/>
        <v>#DIV/0!</v>
      </c>
      <c r="H29" s="167">
        <v>0</v>
      </c>
      <c r="P29" s="20">
        <v>9</v>
      </c>
      <c r="Q29" s="20">
        <f t="shared" si="4"/>
        <v>2</v>
      </c>
      <c r="S29" s="179"/>
      <c r="T29" s="179"/>
      <c r="U29" s="179"/>
      <c r="V29" s="179"/>
      <c r="W29" s="179"/>
      <c r="X29" s="179"/>
      <c r="Y29" s="179"/>
    </row>
    <row r="30" spans="1:26">
      <c r="A30" t="s">
        <v>678</v>
      </c>
      <c r="B30" s="43" t="s">
        <v>435</v>
      </c>
      <c r="C30" s="41" t="s">
        <v>715</v>
      </c>
      <c r="D30" s="43" t="str">
        <f>'Cost-revenue DATS'!$D$3</f>
        <v>€/ha</v>
      </c>
      <c r="E30" s="167">
        <f>'Cost-revenue DATS'!E28-'Cost-revenue NO DATS'!E28</f>
        <v>0</v>
      </c>
      <c r="F30" s="167" t="e">
        <f>E30*100/'Cost-revenue NO DATS'!E28</f>
        <v>#DIV/0!</v>
      </c>
      <c r="G30" s="167" t="e">
        <f t="shared" si="3"/>
        <v>#DIV/0!</v>
      </c>
      <c r="H30" s="167">
        <v>0</v>
      </c>
      <c r="P30" s="20">
        <v>9</v>
      </c>
      <c r="Q30" s="20">
        <f t="shared" si="4"/>
        <v>2</v>
      </c>
      <c r="S30" s="179"/>
      <c r="T30" s="179"/>
      <c r="U30" s="179"/>
      <c r="V30" s="179"/>
      <c r="W30" s="179"/>
      <c r="X30" s="179"/>
      <c r="Y30" s="179"/>
    </row>
    <row r="31" spans="1:26">
      <c r="A31" t="s">
        <v>678</v>
      </c>
      <c r="B31" s="43" t="s">
        <v>435</v>
      </c>
      <c r="C31" s="41" t="s">
        <v>716</v>
      </c>
      <c r="D31" s="43" t="s">
        <v>348</v>
      </c>
      <c r="E31" s="167" t="e">
        <f>'Cost-revenue DATS'!E29-'Cost-revenue NO DATS'!E29</f>
        <v>#DIV/0!</v>
      </c>
      <c r="F31" s="167" t="e">
        <f>E31*100/'Cost-revenue NO DATS'!E29</f>
        <v>#DIV/0!</v>
      </c>
      <c r="G31" s="167" t="e">
        <f t="shared" si="3"/>
        <v>#DIV/0!</v>
      </c>
      <c r="H31" s="167">
        <v>0</v>
      </c>
      <c r="P31" s="20">
        <v>9</v>
      </c>
      <c r="Q31" s="20" t="str">
        <f>IFERROR(IF(IF(H31=1,E31,-E31)&gt;0,1,IF(IF(H31=1,E31,-E31)&lt;0,0,2)),"")</f>
        <v/>
      </c>
      <c r="S31" s="179"/>
      <c r="T31" s="179"/>
      <c r="U31" s="179"/>
      <c r="V31" s="179"/>
      <c r="W31" s="179"/>
      <c r="X31" s="179"/>
      <c r="Y31" s="179"/>
    </row>
    <row r="32" spans="1:26">
      <c r="A32" t="s">
        <v>678</v>
      </c>
      <c r="B32" s="43" t="s">
        <v>435</v>
      </c>
      <c r="C32" s="41" t="s">
        <v>717</v>
      </c>
      <c r="D32" s="43" t="s">
        <v>349</v>
      </c>
      <c r="E32" s="167" t="e">
        <f>'Cost-revenue DATS'!E30-'Cost-revenue NO DATS'!E30</f>
        <v>#DIV/0!</v>
      </c>
      <c r="F32" s="167" t="e">
        <f>E32*100/'Cost-revenue NO DATS'!E30</f>
        <v>#DIV/0!</v>
      </c>
      <c r="G32" s="167" t="e">
        <f t="shared" si="3"/>
        <v>#DIV/0!</v>
      </c>
      <c r="H32" s="167">
        <v>0</v>
      </c>
      <c r="P32" s="20">
        <v>9</v>
      </c>
      <c r="Q32" s="20" t="str">
        <f t="shared" si="4"/>
        <v/>
      </c>
      <c r="S32" s="179"/>
      <c r="T32" s="179"/>
      <c r="U32" s="179"/>
      <c r="V32" s="179"/>
      <c r="W32" s="179"/>
      <c r="X32" s="179"/>
      <c r="Y32" s="179"/>
    </row>
    <row r="33" spans="1:25">
      <c r="A33" t="s">
        <v>678</v>
      </c>
      <c r="B33" s="43" t="s">
        <v>435</v>
      </c>
      <c r="C33" s="41" t="s">
        <v>712</v>
      </c>
      <c r="D33" s="43" t="s">
        <v>349</v>
      </c>
      <c r="E33" s="167" t="e">
        <f>'Cost-revenue DATS'!E31-'Cost-revenue NO DATS'!E31</f>
        <v>#DIV/0!</v>
      </c>
      <c r="F33" s="167" t="e">
        <f>E33*100/'Cost-revenue NO DATS'!E31</f>
        <v>#DIV/0!</v>
      </c>
      <c r="G33" s="167" t="e">
        <f t="shared" si="3"/>
        <v>#DIV/0!</v>
      </c>
      <c r="H33" s="167">
        <v>0</v>
      </c>
      <c r="P33" s="20">
        <v>9</v>
      </c>
      <c r="Q33" s="20" t="str">
        <f t="shared" si="4"/>
        <v/>
      </c>
      <c r="S33" s="179"/>
      <c r="T33" s="179"/>
      <c r="U33" s="179"/>
      <c r="V33" s="179"/>
      <c r="W33" s="179"/>
      <c r="X33" s="179"/>
      <c r="Y33" s="179"/>
    </row>
    <row r="34" spans="1:25">
      <c r="A34" t="s">
        <v>678</v>
      </c>
      <c r="B34" s="43" t="s">
        <v>435</v>
      </c>
      <c r="C34" s="41" t="s">
        <v>711</v>
      </c>
      <c r="D34" s="43" t="str">
        <f>'Cost-revenue DATS'!$D$3</f>
        <v>€/ha</v>
      </c>
      <c r="E34" s="167">
        <f>'Cost-revenue DATS'!E32-'Cost-revenue NO DATS'!E32</f>
        <v>-16.203931814288161</v>
      </c>
      <c r="F34" s="167">
        <f>E34*100/'Cost-revenue NO DATS'!E32</f>
        <v>-52.30319393811201</v>
      </c>
      <c r="G34" s="167">
        <f t="shared" si="3"/>
        <v>52.30319393811201</v>
      </c>
      <c r="H34" s="167">
        <v>0</v>
      </c>
      <c r="P34" s="20">
        <v>9</v>
      </c>
      <c r="Q34" s="20">
        <f t="shared" si="4"/>
        <v>1</v>
      </c>
      <c r="S34" s="179"/>
      <c r="T34" s="179"/>
      <c r="U34" s="179"/>
      <c r="V34" s="179"/>
      <c r="W34" s="179"/>
      <c r="X34" s="179"/>
      <c r="Y34" s="179"/>
    </row>
    <row r="35" spans="1:25">
      <c r="A35" t="s">
        <v>678</v>
      </c>
      <c r="B35" s="43" t="s">
        <v>435</v>
      </c>
      <c r="C35" s="41" t="s">
        <v>710</v>
      </c>
      <c r="D35" s="43" t="str">
        <f>'Cost-revenue DATS'!$D$3</f>
        <v>€/ha</v>
      </c>
      <c r="E35" s="167">
        <f>'Cost-revenue DATS'!E33-'Cost-revenue NO DATS'!E33</f>
        <v>0</v>
      </c>
      <c r="F35" s="167" t="e">
        <f>E35*100/'Cost-revenue NO DATS'!E33</f>
        <v>#DIV/0!</v>
      </c>
      <c r="G35" s="167" t="e">
        <f t="shared" si="3"/>
        <v>#DIV/0!</v>
      </c>
      <c r="H35" s="167">
        <v>0</v>
      </c>
      <c r="P35" s="20">
        <v>9</v>
      </c>
      <c r="Q35" s="20">
        <f t="shared" si="4"/>
        <v>2</v>
      </c>
      <c r="S35" s="179"/>
      <c r="T35" s="179"/>
      <c r="U35" s="179"/>
      <c r="V35" s="179"/>
      <c r="W35" s="179"/>
      <c r="X35" s="179"/>
      <c r="Y35" s="179"/>
    </row>
    <row r="36" spans="1:25">
      <c r="A36" t="s">
        <v>678</v>
      </c>
      <c r="B36" s="43" t="s">
        <v>435</v>
      </c>
      <c r="C36" s="41" t="s">
        <v>719</v>
      </c>
      <c r="D36" s="43" t="str">
        <f>'Cost-revenue DATS'!$D$3</f>
        <v>€/ha</v>
      </c>
      <c r="E36" s="167">
        <f>'Cost-revenue DATS'!E34-'Cost-revenue NO DATS'!E34</f>
        <v>-5.230315230426589</v>
      </c>
      <c r="F36" s="167">
        <f>E36*100/'Cost-revenue NO DATS'!E34</f>
        <v>-38.252657100166331</v>
      </c>
      <c r="G36" s="167">
        <f t="shared" si="3"/>
        <v>38.252657100166331</v>
      </c>
      <c r="H36" s="167">
        <v>0</v>
      </c>
      <c r="I36" s="20">
        <v>1</v>
      </c>
      <c r="K36" s="20">
        <v>1</v>
      </c>
      <c r="L36" s="20">
        <v>1</v>
      </c>
      <c r="O36" s="235" t="s">
        <v>829</v>
      </c>
      <c r="P36" s="20">
        <v>9</v>
      </c>
      <c r="Q36" s="20">
        <f t="shared" si="4"/>
        <v>1</v>
      </c>
      <c r="S36" s="179"/>
      <c r="T36" s="179"/>
      <c r="U36" s="179"/>
      <c r="V36" s="179"/>
      <c r="W36" s="179"/>
      <c r="X36" s="179"/>
      <c r="Y36" s="179"/>
    </row>
    <row r="37" spans="1:25">
      <c r="A37" t="s">
        <v>678</v>
      </c>
      <c r="B37" s="176" t="s">
        <v>435</v>
      </c>
      <c r="C37" s="171" t="s">
        <v>683</v>
      </c>
      <c r="D37" s="176" t="str">
        <f>'Cost-revenue DATS'!D35</f>
        <v>€/ha</v>
      </c>
      <c r="E37" s="177">
        <f>SUMIF(I12:I36,1,E12:E36)</f>
        <v>-27.856904231625833</v>
      </c>
      <c r="F37" s="177">
        <f>E37*100/'Cost-revenue NO DATS'!E35</f>
        <v>-5.1016380998707662</v>
      </c>
      <c r="G37" s="167">
        <f t="shared" si="3"/>
        <v>5.1016380998707662</v>
      </c>
      <c r="H37" s="167">
        <v>0</v>
      </c>
      <c r="I37" s="20">
        <v>1</v>
      </c>
      <c r="L37" s="20">
        <v>1</v>
      </c>
      <c r="Q37" s="20">
        <f t="shared" si="4"/>
        <v>1</v>
      </c>
      <c r="S37" s="179"/>
      <c r="T37" s="179"/>
      <c r="U37" s="179"/>
      <c r="V37" s="179"/>
      <c r="W37" s="179"/>
      <c r="X37" s="179"/>
      <c r="Y37" s="179"/>
    </row>
    <row r="38" spans="1:25">
      <c r="A38" t="s">
        <v>678</v>
      </c>
      <c r="B38" s="176" t="s">
        <v>435</v>
      </c>
      <c r="C38" s="171" t="s">
        <v>434</v>
      </c>
      <c r="D38" s="176" t="str">
        <f>'Cost-revenue DATS'!D36</f>
        <v>€/ha</v>
      </c>
      <c r="E38" s="177">
        <f>SUMIF(I5:I36,1,E5:E36)</f>
        <v>-41.752788290217566</v>
      </c>
      <c r="F38" s="177">
        <f>E38*100/'Cost-revenue NO DATS'!E35</f>
        <v>-7.6464927238894429</v>
      </c>
      <c r="G38" s="167">
        <f t="shared" si="3"/>
        <v>7.6464927238894429</v>
      </c>
      <c r="H38" s="167">
        <v>0</v>
      </c>
      <c r="I38" s="20">
        <v>1</v>
      </c>
      <c r="J38" s="20">
        <v>1</v>
      </c>
      <c r="K38" s="20"/>
      <c r="L38" s="20">
        <v>1</v>
      </c>
      <c r="M38" t="s">
        <v>818</v>
      </c>
      <c r="N38" t="s">
        <v>820</v>
      </c>
      <c r="P38" s="20">
        <v>10</v>
      </c>
      <c r="Q38" s="20">
        <f t="shared" si="4"/>
        <v>1</v>
      </c>
      <c r="S38" s="179"/>
      <c r="T38" s="179"/>
      <c r="U38" s="179"/>
      <c r="V38" s="179"/>
      <c r="W38" s="179"/>
      <c r="X38" s="179"/>
      <c r="Y38" s="179"/>
    </row>
    <row r="39" spans="1:25">
      <c r="A39" t="s">
        <v>678</v>
      </c>
      <c r="B39" s="170" t="s">
        <v>116</v>
      </c>
      <c r="C39" s="171" t="s">
        <v>597</v>
      </c>
      <c r="D39" s="43" t="str">
        <f>'Cost-revenue DATS'!$D$3</f>
        <v>€/ha</v>
      </c>
      <c r="E39" s="167">
        <f>'Cost-revenue DATS'!E41-'Cost-revenue NO DATS'!E41</f>
        <v>146.65615898578039</v>
      </c>
      <c r="F39" s="167">
        <f>E39*100/'Cost-revenue NO DATS'!E41</f>
        <v>13.69633668689041</v>
      </c>
      <c r="G39" s="167">
        <f t="shared" ref="G39:G44" si="5">IF(H39=1,F39,F39*(-1))</f>
        <v>13.69633668689041</v>
      </c>
      <c r="H39" s="167">
        <v>1</v>
      </c>
      <c r="I39" s="20">
        <v>1</v>
      </c>
      <c r="J39" s="20">
        <v>1</v>
      </c>
      <c r="K39" s="20">
        <v>1</v>
      </c>
      <c r="L39" s="20">
        <v>1</v>
      </c>
      <c r="M39" t="s">
        <v>813</v>
      </c>
      <c r="N39" t="s">
        <v>814</v>
      </c>
      <c r="O39" t="s">
        <v>831</v>
      </c>
      <c r="P39" s="20">
        <v>10</v>
      </c>
      <c r="Q39" s="20">
        <f t="shared" si="4"/>
        <v>1</v>
      </c>
      <c r="S39" s="179"/>
      <c r="T39" s="179"/>
      <c r="U39" s="179"/>
      <c r="V39" s="179"/>
      <c r="W39" s="179"/>
      <c r="X39" s="179"/>
      <c r="Y39" s="179"/>
    </row>
    <row r="40" spans="1:25">
      <c r="A40" t="s">
        <v>678</v>
      </c>
      <c r="B40" s="170" t="s">
        <v>116</v>
      </c>
      <c r="C40" s="171" t="s">
        <v>598</v>
      </c>
      <c r="D40" s="43" t="str">
        <f>'Cost-revenue DATS'!$D$3</f>
        <v>€/ha</v>
      </c>
      <c r="E40" s="20">
        <f>'Cost-revenue DATS'!E42-'Cost-revenue NO DATS'!E42</f>
        <v>0</v>
      </c>
      <c r="F40" s="167" t="e">
        <f>E40*100/'Cost-revenue NO DATS'!E42</f>
        <v>#DIV/0!</v>
      </c>
      <c r="G40" s="167" t="e">
        <f t="shared" si="5"/>
        <v>#DIV/0!</v>
      </c>
      <c r="H40" s="167">
        <v>1</v>
      </c>
      <c r="P40" s="20">
        <v>10</v>
      </c>
      <c r="Q40" s="20">
        <f t="shared" si="4"/>
        <v>2</v>
      </c>
      <c r="S40" s="179"/>
      <c r="T40" s="179"/>
      <c r="U40" s="179"/>
      <c r="V40" s="179"/>
      <c r="W40" s="179"/>
      <c r="X40" s="179"/>
      <c r="Y40" s="179"/>
    </row>
    <row r="41" spans="1:25">
      <c r="A41" t="s">
        <v>678</v>
      </c>
      <c r="B41" s="170" t="s">
        <v>116</v>
      </c>
      <c r="C41" s="171" t="s">
        <v>599</v>
      </c>
      <c r="D41" s="43" t="str">
        <f>'Cost-revenue DATS'!$D$3</f>
        <v>€/ha</v>
      </c>
      <c r="E41" s="20">
        <f>'Cost-revenue DATS'!E43-'Cost-revenue NO DATS'!E43</f>
        <v>0</v>
      </c>
      <c r="F41" s="167" t="e">
        <f>E41*100/'Cost-revenue NO DATS'!E43</f>
        <v>#DIV/0!</v>
      </c>
      <c r="G41" s="167" t="e">
        <f t="shared" si="5"/>
        <v>#DIV/0!</v>
      </c>
      <c r="H41" s="167">
        <v>1</v>
      </c>
      <c r="O41" s="237"/>
      <c r="P41" s="20">
        <v>10</v>
      </c>
      <c r="Q41" s="20">
        <f t="shared" si="4"/>
        <v>2</v>
      </c>
      <c r="S41" s="179"/>
      <c r="T41" s="179"/>
      <c r="U41" s="179"/>
      <c r="V41" s="179"/>
      <c r="W41" s="179"/>
      <c r="X41" s="179"/>
      <c r="Y41" s="179"/>
    </row>
    <row r="42" spans="1:25">
      <c r="A42" t="s">
        <v>678</v>
      </c>
      <c r="B42" s="170" t="s">
        <v>116</v>
      </c>
      <c r="C42" s="171" t="s">
        <v>600</v>
      </c>
      <c r="D42" s="43" t="str">
        <f>'Cost-revenue DATS'!$D$3</f>
        <v>€/ha</v>
      </c>
      <c r="E42" s="20" t="e">
        <f>'Cost-revenue DATS'!E44-'Cost-revenue NO DATS'!E44</f>
        <v>#DIV/0!</v>
      </c>
      <c r="F42" s="167" t="e">
        <f>E42*100/'Cost-revenue NO DATS'!E44</f>
        <v>#DIV/0!</v>
      </c>
      <c r="G42" s="167" t="e">
        <f t="shared" si="5"/>
        <v>#DIV/0!</v>
      </c>
      <c r="H42" s="167">
        <v>1</v>
      </c>
      <c r="P42" s="20">
        <v>10</v>
      </c>
      <c r="Q42" s="20" t="str">
        <f t="shared" si="4"/>
        <v/>
      </c>
      <c r="S42" s="179"/>
      <c r="T42" s="179"/>
      <c r="U42" s="179"/>
      <c r="V42" s="179"/>
      <c r="W42" s="179"/>
      <c r="X42" s="179"/>
      <c r="Y42" s="179"/>
    </row>
    <row r="43" spans="1:25">
      <c r="A43" t="s">
        <v>678</v>
      </c>
      <c r="B43" s="170" t="s">
        <v>116</v>
      </c>
      <c r="C43" s="171" t="s">
        <v>601</v>
      </c>
      <c r="D43" s="43" t="str">
        <f>'Cost-revenue DATS'!$D$3</f>
        <v>€/ha</v>
      </c>
      <c r="E43" s="20" t="e">
        <f>'Cost-revenue DATS'!E45-'Cost-revenue NO DATS'!E45</f>
        <v>#DIV/0!</v>
      </c>
      <c r="F43" s="167" t="e">
        <f>E43*100/'Cost-revenue NO DATS'!E45</f>
        <v>#DIV/0!</v>
      </c>
      <c r="G43" s="167" t="e">
        <f t="shared" si="5"/>
        <v>#DIV/0!</v>
      </c>
      <c r="H43" s="167">
        <v>1</v>
      </c>
      <c r="P43" s="20">
        <v>10</v>
      </c>
      <c r="Q43" s="20" t="str">
        <f t="shared" si="4"/>
        <v/>
      </c>
      <c r="S43" s="179"/>
      <c r="T43" s="179"/>
      <c r="U43" s="179"/>
      <c r="V43" s="179"/>
      <c r="W43" s="179"/>
      <c r="X43" s="179"/>
      <c r="Y43" s="179"/>
    </row>
    <row r="44" spans="1:25">
      <c r="A44" t="s">
        <v>678</v>
      </c>
      <c r="B44" s="170" t="s">
        <v>116</v>
      </c>
      <c r="C44" s="171" t="s">
        <v>763</v>
      </c>
      <c r="D44" s="43" t="str">
        <f>'Cost-revenue DATS'!$D$3</f>
        <v>€/ha</v>
      </c>
      <c r="E44" s="20">
        <f>'Cost-revenue DATS'!E46-'Cost-revenue NO DATS'!E46</f>
        <v>0</v>
      </c>
      <c r="F44" s="167" t="e">
        <f>E44*100/'Cost-revenue NO DATS'!E46</f>
        <v>#DIV/0!</v>
      </c>
      <c r="G44" s="167" t="e">
        <f t="shared" si="5"/>
        <v>#DIV/0!</v>
      </c>
      <c r="H44" s="167">
        <v>1</v>
      </c>
      <c r="P44" s="20">
        <v>10</v>
      </c>
      <c r="Q44" s="20">
        <f t="shared" si="4"/>
        <v>2</v>
      </c>
      <c r="S44" s="179"/>
      <c r="T44" s="179"/>
      <c r="U44" s="179"/>
      <c r="V44" s="179"/>
      <c r="W44" s="179"/>
      <c r="X44" s="179"/>
      <c r="Y44" s="179"/>
    </row>
    <row r="45" spans="1:25">
      <c r="A45" t="s">
        <v>678</v>
      </c>
      <c r="B45" s="172" t="s">
        <v>686</v>
      </c>
      <c r="C45" s="172" t="s">
        <v>433</v>
      </c>
      <c r="D45" s="172" t="str">
        <f>D38</f>
        <v>€/ha</v>
      </c>
      <c r="E45" s="177">
        <f>IF(I39=1,E39-E38,-E38)</f>
        <v>188.40894727599795</v>
      </c>
      <c r="F45" s="20"/>
      <c r="G45" s="167"/>
      <c r="H45" s="167">
        <v>1</v>
      </c>
      <c r="Q45" s="20">
        <f t="shared" si="4"/>
        <v>1</v>
      </c>
      <c r="S45" s="179"/>
      <c r="T45" s="179"/>
      <c r="U45" s="179"/>
      <c r="V45" s="179"/>
      <c r="W45" s="179"/>
      <c r="X45" s="179"/>
      <c r="Y45" s="179"/>
    </row>
    <row r="46" spans="1:25">
      <c r="A46" t="s">
        <v>678</v>
      </c>
      <c r="B46" s="172" t="s">
        <v>686</v>
      </c>
      <c r="C46" s="172" t="s">
        <v>436</v>
      </c>
      <c r="D46" s="172" t="str">
        <f>D45</f>
        <v>€/ha</v>
      </c>
      <c r="E46" s="177">
        <f>E45-E3</f>
        <v>186.62721008223403</v>
      </c>
      <c r="F46" s="20"/>
      <c r="G46" s="167"/>
      <c r="H46" s="167">
        <v>1</v>
      </c>
      <c r="I46" s="20">
        <v>1</v>
      </c>
      <c r="J46" s="20">
        <v>1</v>
      </c>
      <c r="K46" s="20">
        <v>1</v>
      </c>
      <c r="L46" s="20">
        <v>1</v>
      </c>
      <c r="M46" t="s">
        <v>816</v>
      </c>
      <c r="N46" t="s">
        <v>815</v>
      </c>
      <c r="O46" s="236" t="s">
        <v>830</v>
      </c>
      <c r="P46" s="20">
        <v>10</v>
      </c>
      <c r="Q46" s="20">
        <f t="shared" si="4"/>
        <v>1</v>
      </c>
      <c r="R46">
        <v>1</v>
      </c>
      <c r="S46" s="179"/>
      <c r="T46" s="179"/>
      <c r="U46" s="179"/>
      <c r="V46" s="179"/>
      <c r="W46" s="179"/>
      <c r="X46" s="179"/>
      <c r="Y46" s="179"/>
    </row>
    <row r="47" spans="1:25">
      <c r="A47" t="s">
        <v>678</v>
      </c>
      <c r="B47" s="172" t="s">
        <v>686</v>
      </c>
      <c r="C47" s="172" t="s">
        <v>437</v>
      </c>
      <c r="D47" s="172" t="s">
        <v>811</v>
      </c>
      <c r="E47" s="205">
        <f>E4/E46</f>
        <v>0.42004583441013771</v>
      </c>
      <c r="F47" s="20"/>
      <c r="G47" s="167"/>
      <c r="H47" s="167"/>
      <c r="J47" s="20">
        <v>1</v>
      </c>
      <c r="M47" t="s">
        <v>817</v>
      </c>
      <c r="N47" t="s">
        <v>821</v>
      </c>
      <c r="P47" s="20">
        <v>11</v>
      </c>
      <c r="Q47" s="20">
        <v>1</v>
      </c>
      <c r="S47" s="179"/>
      <c r="T47" s="179"/>
      <c r="U47" s="179"/>
      <c r="V47" s="179"/>
      <c r="W47" s="179"/>
      <c r="X47" s="179"/>
      <c r="Y47" s="179"/>
    </row>
    <row r="48" spans="1:25">
      <c r="A48" t="s">
        <v>678</v>
      </c>
      <c r="B48" s="172" t="s">
        <v>686</v>
      </c>
      <c r="C48" s="172" t="s">
        <v>438</v>
      </c>
      <c r="D48" s="172" t="str">
        <f>D46</f>
        <v>€/ha</v>
      </c>
      <c r="E48" s="205"/>
      <c r="F48" s="20"/>
      <c r="Q48" s="20">
        <v>2</v>
      </c>
      <c r="S48" s="179"/>
      <c r="T48" s="179"/>
      <c r="U48" s="179"/>
      <c r="V48" s="179"/>
      <c r="W48" s="179"/>
      <c r="X48" s="179"/>
      <c r="Y48" s="179"/>
    </row>
    <row r="49" spans="1:25">
      <c r="A49" t="s">
        <v>678</v>
      </c>
      <c r="B49" s="172" t="s">
        <v>686</v>
      </c>
      <c r="C49" s="172" t="s">
        <v>439</v>
      </c>
      <c r="D49" s="172" t="str">
        <f>D48</f>
        <v>€/ha</v>
      </c>
      <c r="E49" s="205"/>
      <c r="F49" s="20"/>
      <c r="Q49" s="20">
        <v>2</v>
      </c>
      <c r="S49" s="179"/>
      <c r="T49" s="179"/>
      <c r="U49" s="179"/>
      <c r="V49" s="179"/>
      <c r="W49" s="179"/>
      <c r="X49" s="179"/>
      <c r="Y49" s="179"/>
    </row>
    <row r="50" spans="1:25">
      <c r="A50" t="s">
        <v>678</v>
      </c>
      <c r="B50" s="40" t="s">
        <v>282</v>
      </c>
      <c r="C50" s="41" t="s">
        <v>307</v>
      </c>
      <c r="D50" s="43" t="s">
        <v>316</v>
      </c>
      <c r="E50" s="167">
        <f>'sust. impact KPIs DATS'!E3-'sust. impact KPIs NO DATS'!E3</f>
        <v>0.76383416138427318</v>
      </c>
      <c r="F50" s="169">
        <f>E50*100/'sust. impact KPIs NO DATS'!E3</f>
        <v>13.696336686890417</v>
      </c>
      <c r="G50" s="169">
        <f t="shared" ref="G50:G59" si="6">IF(H50=1,F50,F50*(-1))</f>
        <v>13.696336686890417</v>
      </c>
      <c r="H50" s="167">
        <v>1</v>
      </c>
      <c r="I50" s="20">
        <v>1</v>
      </c>
      <c r="L50" s="20">
        <v>1</v>
      </c>
      <c r="Q50" s="20">
        <f t="shared" si="4"/>
        <v>1</v>
      </c>
      <c r="S50" s="179"/>
      <c r="T50" s="179"/>
      <c r="U50" s="179"/>
      <c r="V50" s="179"/>
      <c r="W50" s="179"/>
      <c r="X50" s="179"/>
      <c r="Y50" s="179"/>
    </row>
    <row r="51" spans="1:25">
      <c r="A51" t="s">
        <v>678</v>
      </c>
      <c r="B51" s="40" t="s">
        <v>282</v>
      </c>
      <c r="C51" s="41" t="s">
        <v>399</v>
      </c>
      <c r="D51" s="43" t="str">
        <f>'sust. impact KPIs DATS'!D4</f>
        <v>t / h</v>
      </c>
      <c r="E51" s="169">
        <f>'sust. impact KPIs DATS'!E4-'sust. impact KPIs NO DATS'!E4</f>
        <v>0.26694670429514161</v>
      </c>
      <c r="F51" s="169">
        <f>E51*100/'sust. impact KPIs NO DATS'!E4</f>
        <v>79.968948053932507</v>
      </c>
      <c r="G51" s="169">
        <f t="shared" si="6"/>
        <v>79.968948053932507</v>
      </c>
      <c r="H51" s="167">
        <v>1</v>
      </c>
      <c r="I51" s="20">
        <v>1</v>
      </c>
      <c r="L51" s="20">
        <v>1</v>
      </c>
      <c r="Q51" s="20">
        <f t="shared" si="4"/>
        <v>1</v>
      </c>
      <c r="S51" s="179"/>
      <c r="T51" s="179"/>
      <c r="U51" s="179"/>
      <c r="V51" s="179"/>
      <c r="W51" s="179"/>
      <c r="X51" s="179"/>
      <c r="Y51" s="179"/>
    </row>
    <row r="52" spans="1:25">
      <c r="A52" t="s">
        <v>678</v>
      </c>
      <c r="B52" s="40" t="s">
        <v>282</v>
      </c>
      <c r="C52" s="41" t="s">
        <v>400</v>
      </c>
      <c r="D52" s="43" t="str">
        <f>'sust. impact KPIs DATS'!D5</f>
        <v>l milk/h</v>
      </c>
      <c r="E52" s="20">
        <f>'sust. impact KPIs DATS'!E5-'sust. impact KPIs NO DATS'!E5</f>
        <v>0</v>
      </c>
      <c r="F52" s="20" t="e">
        <f>E52*100/'sust. impact KPIs NO DATS'!E5</f>
        <v>#DIV/0!</v>
      </c>
      <c r="G52" s="169" t="e">
        <f t="shared" si="6"/>
        <v>#DIV/0!</v>
      </c>
      <c r="H52" s="167">
        <v>1</v>
      </c>
      <c r="Q52" s="20">
        <f t="shared" si="4"/>
        <v>2</v>
      </c>
      <c r="S52" s="179"/>
      <c r="T52" s="179"/>
      <c r="U52" s="179"/>
      <c r="V52" s="179"/>
      <c r="W52" s="179"/>
      <c r="X52" s="179"/>
      <c r="Y52" s="179"/>
    </row>
    <row r="53" spans="1:25">
      <c r="A53" t="s">
        <v>678</v>
      </c>
      <c r="B53" s="40" t="s">
        <v>282</v>
      </c>
      <c r="C53" s="41" t="s">
        <v>401</v>
      </c>
      <c r="D53" s="43" t="str">
        <f>'sust. impact KPIs DATS'!D6</f>
        <v>kg meat/h</v>
      </c>
      <c r="E53" s="20">
        <f>'sust. impact KPIs DATS'!E6-'sust. impact KPIs NO DATS'!E6</f>
        <v>0</v>
      </c>
      <c r="F53" s="20" t="e">
        <f>E53*100/'sust. impact KPIs NO DATS'!E6</f>
        <v>#DIV/0!</v>
      </c>
      <c r="G53" s="169" t="e">
        <f t="shared" si="6"/>
        <v>#DIV/0!</v>
      </c>
      <c r="H53" s="167">
        <v>1</v>
      </c>
      <c r="Q53" s="20">
        <f t="shared" si="4"/>
        <v>2</v>
      </c>
      <c r="S53" s="179"/>
      <c r="T53" s="179"/>
      <c r="U53" s="179"/>
      <c r="V53" s="179"/>
      <c r="W53" s="179"/>
      <c r="X53" s="179"/>
      <c r="Y53" s="179"/>
    </row>
    <row r="54" spans="1:25">
      <c r="A54" t="s">
        <v>678</v>
      </c>
      <c r="B54" s="40" t="s">
        <v>282</v>
      </c>
      <c r="C54" s="41" t="s">
        <v>402</v>
      </c>
      <c r="D54" s="43" t="str">
        <f>'sust. impact KPIs DATS'!D7</f>
        <v>pieces/h</v>
      </c>
      <c r="E54" s="20">
        <f>'sust. impact KPIs DATS'!E7-'sust. impact KPIs NO DATS'!E7</f>
        <v>0</v>
      </c>
      <c r="F54" s="20" t="e">
        <f>E54*100/'sust. impact KPIs NO DATS'!E7</f>
        <v>#DIV/0!</v>
      </c>
      <c r="G54" s="169" t="e">
        <f t="shared" si="6"/>
        <v>#DIV/0!</v>
      </c>
      <c r="H54" s="167">
        <v>1</v>
      </c>
      <c r="Q54" s="20">
        <f t="shared" si="4"/>
        <v>2</v>
      </c>
      <c r="S54" s="179"/>
      <c r="T54" s="179"/>
      <c r="U54" s="179"/>
      <c r="V54" s="179"/>
      <c r="W54" s="179"/>
      <c r="X54" s="179"/>
      <c r="Y54" s="179"/>
    </row>
    <row r="55" spans="1:25">
      <c r="A55" t="s">
        <v>678</v>
      </c>
      <c r="B55" s="40" t="s">
        <v>282</v>
      </c>
      <c r="C55" s="41" t="s">
        <v>403</v>
      </c>
      <c r="D55" s="43" t="str">
        <f>'sust. impact KPIs DATS'!D8</f>
        <v>kg honey/h</v>
      </c>
      <c r="E55" s="20">
        <f>'sust. impact KPIs DATS'!E8-'sust. impact KPIs NO DATS'!E8</f>
        <v>0</v>
      </c>
      <c r="F55" s="20" t="e">
        <f>E55*100/'sust. impact KPIs NO DATS'!E8</f>
        <v>#DIV/0!</v>
      </c>
      <c r="G55" s="169" t="e">
        <f t="shared" si="6"/>
        <v>#DIV/0!</v>
      </c>
      <c r="H55" s="167">
        <v>1</v>
      </c>
      <c r="Q55" s="20">
        <f t="shared" si="4"/>
        <v>2</v>
      </c>
      <c r="S55" s="179"/>
      <c r="T55" s="179"/>
      <c r="U55" s="179"/>
      <c r="V55" s="179"/>
      <c r="W55" s="179"/>
      <c r="X55" s="179"/>
      <c r="Y55" s="179"/>
    </row>
    <row r="56" spans="1:25">
      <c r="A56" t="s">
        <v>678</v>
      </c>
      <c r="B56" s="40" t="s">
        <v>282</v>
      </c>
      <c r="C56" s="41" t="s">
        <v>309</v>
      </c>
      <c r="D56" s="43" t="s">
        <v>781</v>
      </c>
      <c r="E56" s="20" t="e">
        <f>'sust. impact KPIs DATS'!E10-'sust. impact KPIs NO DATS'!E10</f>
        <v>#DIV/0!</v>
      </c>
      <c r="F56" s="20" t="e">
        <f>E56*100/'sust. impact KPIs NO DATS'!E10</f>
        <v>#DIV/0!</v>
      </c>
      <c r="G56" s="169" t="e">
        <f t="shared" si="6"/>
        <v>#DIV/0!</v>
      </c>
      <c r="H56" s="167">
        <v>1</v>
      </c>
      <c r="Q56" s="20" t="str">
        <f t="shared" si="4"/>
        <v/>
      </c>
      <c r="S56" s="179"/>
      <c r="T56" s="179"/>
      <c r="U56" s="179"/>
      <c r="V56" s="179"/>
      <c r="W56" s="179"/>
      <c r="X56" s="179"/>
      <c r="Y56" s="179"/>
    </row>
    <row r="57" spans="1:25">
      <c r="A57" t="s">
        <v>678</v>
      </c>
      <c r="B57" s="40" t="s">
        <v>282</v>
      </c>
      <c r="C57" s="41" t="s">
        <v>314</v>
      </c>
      <c r="D57" s="43" t="s">
        <v>782</v>
      </c>
      <c r="E57" s="20" t="e">
        <f>'sust. impact KPIs DATS'!E11-'sust. impact KPIs NO DATS'!E11</f>
        <v>#DIV/0!</v>
      </c>
      <c r="F57" s="20" t="e">
        <f>E57*100/'sust. impact KPIs NO DATS'!E11</f>
        <v>#DIV/0!</v>
      </c>
      <c r="G57" s="169" t="e">
        <f t="shared" si="6"/>
        <v>#DIV/0!</v>
      </c>
      <c r="H57" s="167">
        <v>1</v>
      </c>
      <c r="Q57" s="20" t="str">
        <f t="shared" si="4"/>
        <v/>
      </c>
      <c r="S57" s="179"/>
      <c r="T57" s="179"/>
      <c r="U57" s="179"/>
      <c r="V57" s="179"/>
      <c r="W57" s="179"/>
      <c r="X57" s="179"/>
      <c r="Y57" s="179"/>
    </row>
    <row r="58" spans="1:25">
      <c r="A58" t="s">
        <v>678</v>
      </c>
      <c r="B58" s="40" t="s">
        <v>282</v>
      </c>
      <c r="C58" s="41" t="s">
        <v>311</v>
      </c>
      <c r="D58" s="43" t="s">
        <v>783</v>
      </c>
      <c r="E58" s="20" t="e">
        <f>'sust. impact KPIs DATS'!E12-'sust. impact KPIs NO DATS'!E12</f>
        <v>#DIV/0!</v>
      </c>
      <c r="F58" s="20" t="e">
        <f>E58*100/'sust. impact KPIs NO DATS'!E12</f>
        <v>#DIV/0!</v>
      </c>
      <c r="G58" s="169" t="e">
        <f t="shared" si="6"/>
        <v>#DIV/0!</v>
      </c>
      <c r="H58" s="167">
        <v>1</v>
      </c>
      <c r="Q58" s="20" t="str">
        <f t="shared" si="4"/>
        <v/>
      </c>
      <c r="S58" s="179"/>
      <c r="T58" s="179"/>
      <c r="U58" s="179"/>
      <c r="V58" s="179"/>
      <c r="W58" s="179"/>
      <c r="X58" s="179"/>
      <c r="Y58" s="179"/>
    </row>
    <row r="59" spans="1:25">
      <c r="A59" t="s">
        <v>678</v>
      </c>
      <c r="B59" s="40" t="s">
        <v>282</v>
      </c>
      <c r="C59" s="41" t="s">
        <v>312</v>
      </c>
      <c r="D59" s="43" t="s">
        <v>529</v>
      </c>
      <c r="E59" s="20" t="e">
        <f>'sust. impact KPIs DATS'!E13-'sust. impact KPIs NO DATS'!E13</f>
        <v>#DIV/0!</v>
      </c>
      <c r="F59" s="20" t="e">
        <f>E59*100/'sust. impact KPIs NO DATS'!E13</f>
        <v>#DIV/0!</v>
      </c>
      <c r="G59" s="169" t="e">
        <f t="shared" si="6"/>
        <v>#DIV/0!</v>
      </c>
      <c r="H59" s="167">
        <v>1</v>
      </c>
      <c r="Q59" s="20" t="str">
        <f t="shared" si="4"/>
        <v/>
      </c>
      <c r="S59" s="179"/>
      <c r="T59" s="179"/>
      <c r="U59" s="179"/>
      <c r="V59" s="179"/>
      <c r="W59" s="179"/>
      <c r="X59" s="179"/>
      <c r="Y59" s="179"/>
    </row>
    <row r="60" spans="1:25">
      <c r="B60" s="40" t="s">
        <v>282</v>
      </c>
      <c r="C60" s="41" t="s">
        <v>318</v>
      </c>
      <c r="D60" s="43" t="s">
        <v>105</v>
      </c>
      <c r="E60" s="20" t="e">
        <f>'sust. impact KPIs DATS'!E17-'sust. impact KPIs NO DATS'!E17</f>
        <v>#DIV/0!</v>
      </c>
      <c r="F60" s="20" t="e">
        <f>E60*100/'sust. impact KPIs NO DATS'!E17</f>
        <v>#DIV/0!</v>
      </c>
      <c r="G60" s="169" t="e">
        <f t="shared" ref="G60:G62" si="7">IF(H60=1,F60,F60*(-1))</f>
        <v>#DIV/0!</v>
      </c>
      <c r="H60" s="20">
        <v>0</v>
      </c>
      <c r="Q60" s="20" t="str">
        <f t="shared" si="4"/>
        <v/>
      </c>
    </row>
    <row r="61" spans="1:25">
      <c r="A61" t="s">
        <v>678</v>
      </c>
      <c r="B61" s="40" t="s">
        <v>282</v>
      </c>
      <c r="C61" s="41" t="s">
        <v>320</v>
      </c>
      <c r="D61" s="43" t="s">
        <v>105</v>
      </c>
      <c r="E61" s="20" t="e">
        <f>'sust. impact KPIs DATS'!E18-'sust. impact KPIs NO DATS'!E18</f>
        <v>#DIV/0!</v>
      </c>
      <c r="F61" s="20" t="e">
        <f>E61*100/'sust. impact KPIs NO DATS'!E18</f>
        <v>#DIV/0!</v>
      </c>
      <c r="G61" s="169" t="e">
        <f t="shared" si="7"/>
        <v>#DIV/0!</v>
      </c>
      <c r="H61" s="20">
        <v>1</v>
      </c>
      <c r="Q61" s="20" t="str">
        <f t="shared" si="4"/>
        <v/>
      </c>
    </row>
    <row r="62" spans="1:25">
      <c r="A62" t="s">
        <v>678</v>
      </c>
      <c r="B62" s="40" t="s">
        <v>282</v>
      </c>
      <c r="C62" s="41" t="s">
        <v>322</v>
      </c>
      <c r="D62" s="43" t="s">
        <v>113</v>
      </c>
      <c r="E62" s="20">
        <f>'sust. impact KPIs DATS'!E19-'sust. impact KPIs NO DATS'!E19</f>
        <v>0</v>
      </c>
      <c r="F62" s="20" t="e">
        <f>E62*100/'sust. impact KPIs NO DATS'!E19</f>
        <v>#DIV/0!</v>
      </c>
      <c r="G62" s="169" t="e">
        <f t="shared" si="7"/>
        <v>#DIV/0!</v>
      </c>
      <c r="H62" s="20">
        <v>0</v>
      </c>
      <c r="Q62" s="20">
        <f t="shared" si="4"/>
        <v>2</v>
      </c>
    </row>
    <row r="63" spans="1:25">
      <c r="B63" s="40" t="s">
        <v>282</v>
      </c>
      <c r="C63" s="41" t="s">
        <v>324</v>
      </c>
      <c r="D63" s="43"/>
      <c r="E63" s="20">
        <f>'sust. impact KPIs DATS'!E23-'sust. impact KPIs NO DATS'!E23</f>
        <v>0</v>
      </c>
      <c r="F63" s="20" t="e">
        <f>E63*100/'sust. impact KPIs NO DATS'!E23</f>
        <v>#DIV/0!</v>
      </c>
      <c r="G63" s="169" t="e">
        <f t="shared" ref="G63:G66" si="8">IF(H63=1,F63,F63*(-1))</f>
        <v>#DIV/0!</v>
      </c>
      <c r="H63" s="167">
        <v>1</v>
      </c>
      <c r="Q63" s="20">
        <f t="shared" si="4"/>
        <v>2</v>
      </c>
    </row>
    <row r="64" spans="1:25">
      <c r="A64" t="s">
        <v>678</v>
      </c>
      <c r="B64" s="40" t="s">
        <v>282</v>
      </c>
      <c r="C64" s="41" t="s">
        <v>362</v>
      </c>
      <c r="D64" s="43" t="s">
        <v>105</v>
      </c>
      <c r="E64" s="20">
        <f>'sust. impact KPIs DATS'!E24-'sust. impact KPIs NO DATS'!E24</f>
        <v>0.5</v>
      </c>
      <c r="F64" s="169">
        <f>E64*100/'sust. impact KPIs NO DATS'!E24</f>
        <v>4.166666666666667</v>
      </c>
      <c r="G64" s="169">
        <f t="shared" si="8"/>
        <v>4.166666666666667</v>
      </c>
      <c r="H64" s="167">
        <v>1</v>
      </c>
      <c r="I64" s="20">
        <v>1</v>
      </c>
      <c r="L64" s="20">
        <v>1</v>
      </c>
      <c r="Q64" s="20">
        <f t="shared" si="4"/>
        <v>1</v>
      </c>
    </row>
    <row r="65" spans="1:17">
      <c r="A65" t="s">
        <v>678</v>
      </c>
      <c r="B65" s="40" t="s">
        <v>282</v>
      </c>
      <c r="C65" s="41" t="s">
        <v>363</v>
      </c>
      <c r="D65" s="43" t="s">
        <v>105</v>
      </c>
      <c r="E65" s="20">
        <f>'sust. impact KPIs DATS'!E25-'sust. impact KPIs NO DATS'!E25</f>
        <v>0.59999999999999964</v>
      </c>
      <c r="F65" s="169">
        <f>E65*100/'sust. impact KPIs NO DATS'!E25</f>
        <v>4.444444444444442</v>
      </c>
      <c r="G65" s="169">
        <f t="shared" si="8"/>
        <v>-4.444444444444442</v>
      </c>
      <c r="H65" s="167">
        <v>0</v>
      </c>
      <c r="Q65" s="20">
        <f t="shared" si="4"/>
        <v>0</v>
      </c>
    </row>
    <row r="66" spans="1:17">
      <c r="A66" t="s">
        <v>678</v>
      </c>
      <c r="B66" s="40" t="s">
        <v>282</v>
      </c>
      <c r="C66" s="41" t="s">
        <v>364</v>
      </c>
      <c r="D66" s="43" t="s">
        <v>365</v>
      </c>
      <c r="E66" s="20">
        <f>'sust. impact KPIs DATS'!E26-'sust. impact KPIs NO DATS'!E26</f>
        <v>5.0999999999999943</v>
      </c>
      <c r="F66" s="169">
        <f>E66*100/'sust. impact KPIs NO DATS'!E26</f>
        <v>7.1328671328671245</v>
      </c>
      <c r="G66" s="169">
        <f t="shared" si="8"/>
        <v>7.1328671328671245</v>
      </c>
      <c r="H66" s="167">
        <v>1</v>
      </c>
      <c r="I66" s="20">
        <v>1</v>
      </c>
      <c r="L66" s="20">
        <v>1</v>
      </c>
      <c r="Q66" s="20">
        <f t="shared" si="4"/>
        <v>1</v>
      </c>
    </row>
    <row r="67" spans="1:17">
      <c r="A67" t="s">
        <v>680</v>
      </c>
      <c r="B67" s="40" t="s">
        <v>687</v>
      </c>
      <c r="C67" s="41" t="s">
        <v>17</v>
      </c>
      <c r="D67" s="43" t="s">
        <v>147</v>
      </c>
      <c r="E67" s="169">
        <f>'sust. impact KPIs DATS'!E30-'sust. impact KPIs NO DATS'!E30</f>
        <v>42.28649999999999</v>
      </c>
      <c r="F67" s="169">
        <f>E67*100/'sust. impact KPIs NO DATS'!E30</f>
        <v>62.357052799221385</v>
      </c>
      <c r="G67" s="169">
        <f t="shared" ref="G67:G94" si="9">IF(H67=1,F67,F67*(-1))</f>
        <v>-62.357052799221385</v>
      </c>
      <c r="H67" s="167">
        <v>0</v>
      </c>
      <c r="I67" s="20">
        <v>1</v>
      </c>
      <c r="L67" s="20">
        <v>1</v>
      </c>
      <c r="Q67" s="20">
        <f t="shared" si="4"/>
        <v>0</v>
      </c>
    </row>
    <row r="68" spans="1:17">
      <c r="A68" t="s">
        <v>680</v>
      </c>
      <c r="B68" s="40" t="s">
        <v>687</v>
      </c>
      <c r="C68" s="41" t="s">
        <v>18</v>
      </c>
      <c r="D68" s="43" t="s">
        <v>105</v>
      </c>
      <c r="E68" s="169">
        <f>ABS('sust. impact KPIs NO DATS'!E31-100)-ABS('sust. impact KPIs DATS'!E31-100)</f>
        <v>49.789435301130965</v>
      </c>
      <c r="F68" s="20"/>
      <c r="G68" s="169">
        <f>IF(H68=1,E68,E68*(-1))</f>
        <v>49.789435301130965</v>
      </c>
      <c r="H68" s="167">
        <v>1</v>
      </c>
      <c r="I68" s="20">
        <v>1</v>
      </c>
      <c r="L68" s="20">
        <v>1</v>
      </c>
      <c r="Q68" s="20">
        <f t="shared" si="4"/>
        <v>1</v>
      </c>
    </row>
    <row r="69" spans="1:17">
      <c r="A69" t="s">
        <v>680</v>
      </c>
      <c r="B69" s="40" t="s">
        <v>687</v>
      </c>
      <c r="C69" s="41" t="s">
        <v>19</v>
      </c>
      <c r="D69" s="43" t="s">
        <v>147</v>
      </c>
      <c r="E69" s="169">
        <f>'sust. impact KPIs DATS'!E32-'sust. impact KPIs NO DATS'!E32</f>
        <v>-16.299999999999997</v>
      </c>
      <c r="F69" s="169">
        <f>E69*100/'sust. impact KPIs NO DATS'!E32</f>
        <v>-34.315789473684205</v>
      </c>
      <c r="G69" s="169">
        <f t="shared" si="9"/>
        <v>34.315789473684205</v>
      </c>
      <c r="H69" s="167">
        <v>0</v>
      </c>
      <c r="I69" s="20">
        <v>1</v>
      </c>
      <c r="L69" s="20">
        <v>1</v>
      </c>
      <c r="Q69" s="20">
        <f t="shared" si="4"/>
        <v>1</v>
      </c>
    </row>
    <row r="70" spans="1:17">
      <c r="A70" t="s">
        <v>680</v>
      </c>
      <c r="B70" s="40" t="s">
        <v>687</v>
      </c>
      <c r="C70" s="41" t="s">
        <v>20</v>
      </c>
      <c r="D70" s="43" t="s">
        <v>105</v>
      </c>
      <c r="E70" s="169">
        <f>ABS('sust. impact KPIs NO DATS'!E33-100)-ABS('sust. impact KPIs DATS'!E33-100)</f>
        <v>-62.923410547956308</v>
      </c>
      <c r="F70" s="20"/>
      <c r="G70" s="169">
        <f>IF(H70=1,E70,E70*(-1))</f>
        <v>-62.923410547956308</v>
      </c>
      <c r="H70" s="167">
        <v>1</v>
      </c>
      <c r="I70" s="20">
        <v>1</v>
      </c>
      <c r="L70" s="20">
        <v>1</v>
      </c>
      <c r="Q70" s="20">
        <f t="shared" si="4"/>
        <v>0</v>
      </c>
    </row>
    <row r="71" spans="1:17">
      <c r="A71" t="s">
        <v>680</v>
      </c>
      <c r="B71" s="40" t="s">
        <v>687</v>
      </c>
      <c r="C71" s="41" t="s">
        <v>298</v>
      </c>
      <c r="D71" s="43" t="s">
        <v>147</v>
      </c>
      <c r="E71" s="169">
        <f>'sust. impact KPIs DATS'!E34-'sust. impact KPIs NO DATS'!E34</f>
        <v>-6.2E-2</v>
      </c>
      <c r="F71" s="169">
        <f>E71*100/'sust. impact KPIs NO DATS'!E34</f>
        <v>-100</v>
      </c>
      <c r="G71" s="169">
        <f t="shared" si="9"/>
        <v>100</v>
      </c>
      <c r="H71" s="167">
        <v>0</v>
      </c>
      <c r="Q71" s="20">
        <f t="shared" ref="Q71:Q105" si="10">IFERROR(IF(IF(H71=1,E71,-E71)&gt;0,1,IF(IF(H71=1,E71,-E71)&lt;0,0,2)),"")</f>
        <v>1</v>
      </c>
    </row>
    <row r="72" spans="1:17">
      <c r="A72" t="s">
        <v>680</v>
      </c>
      <c r="B72" s="40" t="s">
        <v>687</v>
      </c>
      <c r="C72" s="41" t="s">
        <v>287</v>
      </c>
      <c r="D72" s="43" t="s">
        <v>105</v>
      </c>
      <c r="E72" s="169" t="e">
        <f>ABS('sust. impact KPIs NO DATS'!E35-100)-ABS('sust. impact KPIs DATS'!E35-100)</f>
        <v>#DIV/0!</v>
      </c>
      <c r="F72" s="20"/>
      <c r="G72" s="169" t="e">
        <f>IF(H72=1,E72,E72*(-1))</f>
        <v>#DIV/0!</v>
      </c>
      <c r="H72" s="167">
        <v>1</v>
      </c>
      <c r="Q72" s="20" t="str">
        <f t="shared" si="10"/>
        <v/>
      </c>
    </row>
    <row r="73" spans="1:17">
      <c r="A73" t="s">
        <v>680</v>
      </c>
      <c r="B73" s="40" t="s">
        <v>687</v>
      </c>
      <c r="C73" s="41" t="s">
        <v>299</v>
      </c>
      <c r="D73" s="43" t="s">
        <v>147</v>
      </c>
      <c r="E73" s="169">
        <f>'sust. impact KPIs DATS'!E36-'sust. impact KPIs NO DATS'!E36</f>
        <v>-3.0799999999999996</v>
      </c>
      <c r="F73" s="169">
        <f>E73*100/'sust. impact KPIs NO DATS'!E36</f>
        <v>-57.249070631970248</v>
      </c>
      <c r="G73" s="169">
        <f t="shared" si="9"/>
        <v>57.249070631970248</v>
      </c>
      <c r="H73" s="167">
        <v>0</v>
      </c>
      <c r="I73" s="20">
        <v>1</v>
      </c>
      <c r="L73" s="20">
        <v>1</v>
      </c>
      <c r="Q73" s="20">
        <f t="shared" si="10"/>
        <v>1</v>
      </c>
    </row>
    <row r="74" spans="1:17">
      <c r="A74" t="s">
        <v>680</v>
      </c>
      <c r="B74" s="40" t="s">
        <v>0</v>
      </c>
      <c r="C74" s="41" t="s">
        <v>764</v>
      </c>
      <c r="D74" s="43" t="str">
        <f>'sust. impact KPIs NO DATS'!D37</f>
        <v/>
      </c>
      <c r="E74" s="169">
        <f>'sust. impact KPIs DATS'!E37-'sust. impact KPIs NO DATS'!E37</f>
        <v>-0.39718605448004118</v>
      </c>
      <c r="F74" s="167">
        <f>E74*100/'sust. impact KPIs NO DATS'!E37</f>
        <v>-49.767891163764197</v>
      </c>
      <c r="G74" s="169">
        <f t="shared" si="9"/>
        <v>49.767891163764197</v>
      </c>
      <c r="H74" s="167">
        <v>0</v>
      </c>
      <c r="Q74" s="20">
        <f t="shared" si="10"/>
        <v>1</v>
      </c>
    </row>
    <row r="75" spans="1:17">
      <c r="A75" t="s">
        <v>680</v>
      </c>
      <c r="B75" s="40" t="s">
        <v>0</v>
      </c>
      <c r="C75" s="41" t="s">
        <v>778</v>
      </c>
      <c r="D75" s="43" t="s">
        <v>306</v>
      </c>
      <c r="E75" s="169">
        <f>'sust. impact KPIs DATS'!E38-'sust. impact KPIs NO DATS'!E38</f>
        <v>0</v>
      </c>
      <c r="F75" s="169" t="e">
        <f>E75*100/'sust. impact KPIs NO DATS'!E38</f>
        <v>#DIV/0!</v>
      </c>
      <c r="G75" s="169" t="e">
        <f t="shared" si="9"/>
        <v>#DIV/0!</v>
      </c>
      <c r="H75" s="167">
        <v>0</v>
      </c>
      <c r="Q75" s="20">
        <f t="shared" si="10"/>
        <v>2</v>
      </c>
    </row>
    <row r="76" spans="1:17">
      <c r="A76" t="s">
        <v>680</v>
      </c>
      <c r="B76" s="173" t="s">
        <v>0</v>
      </c>
      <c r="C76" s="41" t="s">
        <v>21</v>
      </c>
      <c r="D76" s="43" t="s">
        <v>427</v>
      </c>
      <c r="E76" s="174">
        <f>'sust. impact KPIs DATS'!E39-'sust. impact KPIs NO DATS'!E39</f>
        <v>8828.7148594377504</v>
      </c>
      <c r="F76" s="175">
        <f>E76*100/'sust. impact KPIs NO DATS'!E39</f>
        <v>126.3419540229885</v>
      </c>
      <c r="G76" s="169">
        <f t="shared" si="9"/>
        <v>126.3419540229885</v>
      </c>
      <c r="H76" s="175">
        <v>1</v>
      </c>
      <c r="Q76" s="20">
        <f t="shared" si="10"/>
        <v>1</v>
      </c>
    </row>
    <row r="77" spans="1:17">
      <c r="A77" t="s">
        <v>680</v>
      </c>
      <c r="B77" s="40" t="s">
        <v>688</v>
      </c>
      <c r="C77" s="41" t="s">
        <v>22</v>
      </c>
      <c r="D77" s="43" t="str">
        <f>'sust. impact KPIs NO DATS'!D40</f>
        <v>kWh/ha</v>
      </c>
      <c r="E77" s="169">
        <f>'sust. impact KPIs DATS'!E40-'sust. impact KPIs NO DATS'!E40</f>
        <v>-2.0865705842042139</v>
      </c>
      <c r="F77" s="169">
        <f>E77*100/'sust. impact KPIs NO DATS'!E40</f>
        <v>-40.297742016200232</v>
      </c>
      <c r="G77" s="169">
        <f t="shared" si="9"/>
        <v>40.297742016200232</v>
      </c>
      <c r="H77" s="167">
        <v>0</v>
      </c>
      <c r="I77" s="20">
        <v>1</v>
      </c>
      <c r="L77" s="20">
        <v>1</v>
      </c>
      <c r="Q77" s="20">
        <f t="shared" si="10"/>
        <v>1</v>
      </c>
    </row>
    <row r="78" spans="1:17">
      <c r="A78" t="s">
        <v>681</v>
      </c>
      <c r="B78" s="40" t="s">
        <v>344</v>
      </c>
      <c r="C78" s="41" t="s">
        <v>35</v>
      </c>
      <c r="D78" s="43" t="s">
        <v>162</v>
      </c>
      <c r="E78" s="169" t="e">
        <f>'sust. impact KPIs DATS'!E41-'sust. impact KPIs NO DATS'!E41</f>
        <v>#DIV/0!</v>
      </c>
      <c r="F78" s="169" t="e">
        <f>E78*100/'sust. impact KPIs NO DATS'!E41</f>
        <v>#DIV/0!</v>
      </c>
      <c r="G78" s="169" t="e">
        <f t="shared" si="9"/>
        <v>#DIV/0!</v>
      </c>
      <c r="H78" s="167">
        <v>1</v>
      </c>
      <c r="Q78" s="20" t="str">
        <f t="shared" si="10"/>
        <v/>
      </c>
    </row>
    <row r="79" spans="1:17">
      <c r="A79" t="s">
        <v>681</v>
      </c>
      <c r="B79" s="40" t="s">
        <v>344</v>
      </c>
      <c r="C79" s="41" t="s">
        <v>407</v>
      </c>
      <c r="D79" s="43" t="s">
        <v>105</v>
      </c>
      <c r="E79" s="169" t="e">
        <f>'sust. impact KPIs DATS'!E42-'sust. impact KPIs NO DATS'!E42</f>
        <v>#DIV/0!</v>
      </c>
      <c r="F79" s="169" t="e">
        <f>E79*100/'sust. impact KPIs NO DATS'!E42</f>
        <v>#DIV/0!</v>
      </c>
      <c r="G79" s="169" t="e">
        <f t="shared" si="9"/>
        <v>#DIV/0!</v>
      </c>
      <c r="H79" s="167">
        <v>0</v>
      </c>
      <c r="Q79" s="20" t="str">
        <f t="shared" si="10"/>
        <v/>
      </c>
    </row>
    <row r="80" spans="1:17">
      <c r="A80" t="s">
        <v>681</v>
      </c>
      <c r="B80" s="40" t="s">
        <v>344</v>
      </c>
      <c r="C80" s="41" t="s">
        <v>408</v>
      </c>
      <c r="D80" s="43" t="s">
        <v>105</v>
      </c>
      <c r="E80" s="169" t="e">
        <f>'sust. impact KPIs DATS'!E43-'sust. impact KPIs NO DATS'!E43</f>
        <v>#DIV/0!</v>
      </c>
      <c r="F80" s="169" t="e">
        <f>E80*100/'sust. impact KPIs NO DATS'!E43</f>
        <v>#DIV/0!</v>
      </c>
      <c r="G80" s="169" t="e">
        <f t="shared" si="9"/>
        <v>#DIV/0!</v>
      </c>
      <c r="H80" s="167">
        <v>0</v>
      </c>
      <c r="Q80" s="20" t="str">
        <f t="shared" si="10"/>
        <v/>
      </c>
    </row>
    <row r="81" spans="1:17">
      <c r="A81" t="s">
        <v>681</v>
      </c>
      <c r="B81" s="40" t="s">
        <v>344</v>
      </c>
      <c r="C81" s="41" t="s">
        <v>409</v>
      </c>
      <c r="D81" s="43" t="s">
        <v>105</v>
      </c>
      <c r="E81" s="169" t="e">
        <f>'sust. impact KPIs DATS'!E44-'sust. impact KPIs NO DATS'!E44</f>
        <v>#DIV/0!</v>
      </c>
      <c r="F81" s="169" t="e">
        <f>E81*100/'sust. impact KPIs NO DATS'!E44</f>
        <v>#DIV/0!</v>
      </c>
      <c r="G81" s="169" t="e">
        <f t="shared" si="9"/>
        <v>#DIV/0!</v>
      </c>
      <c r="H81" s="167">
        <v>0</v>
      </c>
      <c r="Q81" s="20" t="str">
        <f t="shared" si="10"/>
        <v/>
      </c>
    </row>
    <row r="82" spans="1:17">
      <c r="A82" t="s">
        <v>681</v>
      </c>
      <c r="B82" s="40" t="s">
        <v>344</v>
      </c>
      <c r="C82" s="41" t="s">
        <v>36</v>
      </c>
      <c r="D82" s="43" t="s">
        <v>105</v>
      </c>
      <c r="E82" s="169" t="e">
        <f>'sust. impact KPIs DATS'!E45-'sust. impact KPIs NO DATS'!E45</f>
        <v>#DIV/0!</v>
      </c>
      <c r="F82" s="169" t="e">
        <f>E82*100/'sust. impact KPIs NO DATS'!E45</f>
        <v>#DIV/0!</v>
      </c>
      <c r="G82" s="169" t="e">
        <f t="shared" si="9"/>
        <v>#DIV/0!</v>
      </c>
      <c r="H82" s="167">
        <v>0</v>
      </c>
      <c r="Q82" s="20" t="str">
        <f t="shared" si="10"/>
        <v/>
      </c>
    </row>
    <row r="83" spans="1:17">
      <c r="A83" t="s">
        <v>681</v>
      </c>
      <c r="B83" s="40" t="s">
        <v>344</v>
      </c>
      <c r="C83" s="41" t="s">
        <v>325</v>
      </c>
      <c r="D83" s="43" t="s">
        <v>105</v>
      </c>
      <c r="E83" s="169" t="e">
        <f>'sust. impact KPIs DATS'!E46-'sust. impact KPIs NO DATS'!E46</f>
        <v>#DIV/0!</v>
      </c>
      <c r="F83" s="169" t="e">
        <f>E83*100/'sust. impact KPIs NO DATS'!E46</f>
        <v>#DIV/0!</v>
      </c>
      <c r="G83" s="169" t="e">
        <f t="shared" si="9"/>
        <v>#DIV/0!</v>
      </c>
      <c r="H83" s="167">
        <v>0</v>
      </c>
      <c r="Q83" s="20" t="str">
        <f t="shared" si="10"/>
        <v/>
      </c>
    </row>
    <row r="84" spans="1:17">
      <c r="A84" t="s">
        <v>680</v>
      </c>
      <c r="B84" s="40" t="s">
        <v>687</v>
      </c>
      <c r="C84" s="41" t="s">
        <v>283</v>
      </c>
      <c r="D84" s="43">
        <f>'sust. impact KPIs NO DATS'!D47</f>
        <v>0</v>
      </c>
      <c r="E84" s="169">
        <f>'sust. impact KPIs DATS'!E47-'sust. impact KPIs NO DATS'!E47</f>
        <v>0</v>
      </c>
      <c r="F84" s="169" t="e">
        <f>E84*100/'sust. impact KPIs NO DATS'!E47</f>
        <v>#DIV/0!</v>
      </c>
      <c r="G84" s="169" t="e">
        <f t="shared" si="9"/>
        <v>#DIV/0!</v>
      </c>
      <c r="H84" s="167">
        <v>0</v>
      </c>
      <c r="Q84" s="20">
        <f t="shared" si="10"/>
        <v>2</v>
      </c>
    </row>
    <row r="85" spans="1:17">
      <c r="A85" t="s">
        <v>680</v>
      </c>
      <c r="B85" s="40" t="s">
        <v>687</v>
      </c>
      <c r="C85" s="41" t="s">
        <v>284</v>
      </c>
      <c r="D85" s="43">
        <f>'sust. impact KPIs NO DATS'!D48</f>
        <v>0</v>
      </c>
      <c r="E85" s="169">
        <f>'sust. impact KPIs DATS'!E48-'sust. impact KPIs NO DATS'!E48</f>
        <v>0</v>
      </c>
      <c r="F85" s="169" t="e">
        <f>E85*100/'sust. impact KPIs NO DATS'!E48</f>
        <v>#DIV/0!</v>
      </c>
      <c r="G85" s="169" t="e">
        <f t="shared" si="9"/>
        <v>#DIV/0!</v>
      </c>
      <c r="H85" s="167">
        <v>0</v>
      </c>
      <c r="Q85" s="20">
        <f t="shared" si="10"/>
        <v>2</v>
      </c>
    </row>
    <row r="86" spans="1:17">
      <c r="A86" t="s">
        <v>680</v>
      </c>
      <c r="B86" s="40" t="s">
        <v>687</v>
      </c>
      <c r="C86" s="41" t="s">
        <v>275</v>
      </c>
      <c r="D86" s="43" t="str">
        <f>'sust. impact KPIs NO DATS'!D49</f>
        <v>g/m2</v>
      </c>
      <c r="E86" s="169" t="e">
        <f>'sust. impact KPIs DATS'!E49-'sust. impact KPIs NO DATS'!E49</f>
        <v>#REF!</v>
      </c>
      <c r="F86" s="169" t="e">
        <f>E86*100/'sust. impact KPIs NO DATS'!E49</f>
        <v>#REF!</v>
      </c>
      <c r="G86" s="169" t="e">
        <f t="shared" si="9"/>
        <v>#REF!</v>
      </c>
      <c r="H86" s="167">
        <v>0</v>
      </c>
      <c r="Q86" s="20" t="str">
        <f t="shared" si="10"/>
        <v/>
      </c>
    </row>
    <row r="87" spans="1:17">
      <c r="A87" t="s">
        <v>680</v>
      </c>
      <c r="B87" s="40" t="s">
        <v>687</v>
      </c>
      <c r="C87" s="41" t="s">
        <v>274</v>
      </c>
      <c r="D87" s="43" t="str">
        <f>'sust. impact KPIs NO DATS'!D50</f>
        <v>g/beehive</v>
      </c>
      <c r="E87" s="169" t="e">
        <f>'sust. impact KPIs DATS'!E50-'sust. impact KPIs NO DATS'!E50</f>
        <v>#REF!</v>
      </c>
      <c r="F87" s="169" t="e">
        <f>E87*100/'sust. impact KPIs NO DATS'!E50</f>
        <v>#REF!</v>
      </c>
      <c r="G87" s="169" t="e">
        <f t="shared" si="9"/>
        <v>#REF!</v>
      </c>
      <c r="H87" s="167">
        <v>0</v>
      </c>
      <c r="Q87" s="20" t="str">
        <f t="shared" si="10"/>
        <v/>
      </c>
    </row>
    <row r="88" spans="1:17">
      <c r="A88" t="s">
        <v>680</v>
      </c>
      <c r="B88" s="173" t="s">
        <v>689</v>
      </c>
      <c r="C88" s="41" t="s">
        <v>23</v>
      </c>
      <c r="D88" s="43" t="str">
        <f>'sust. impact KPIs NO DATS'!D51</f>
        <v>kg CO2 eq/ha</v>
      </c>
      <c r="E88" s="174">
        <f>'sust. impact KPIs DATS'!E51-'sust. impact KPIs NO DATS'!E51</f>
        <v>-10.776971116369708</v>
      </c>
      <c r="F88" s="175">
        <f>E88*100/'sust. impact KPIs NO DATS'!E51</f>
        <v>-7.5574020993338458</v>
      </c>
      <c r="G88" s="169">
        <f t="shared" si="9"/>
        <v>7.5574020993338458</v>
      </c>
      <c r="H88" s="175">
        <v>0</v>
      </c>
      <c r="I88" s="20">
        <v>1</v>
      </c>
      <c r="Q88" s="20">
        <f t="shared" si="10"/>
        <v>1</v>
      </c>
    </row>
    <row r="89" spans="1:17">
      <c r="A89" t="s">
        <v>680</v>
      </c>
      <c r="B89" s="40" t="s">
        <v>688</v>
      </c>
      <c r="C89" s="41" t="s">
        <v>302</v>
      </c>
      <c r="D89" s="43" t="s">
        <v>226</v>
      </c>
      <c r="E89" s="169">
        <f>'sust. impact KPIs DATS'!E52-'sust. impact KPIs NO DATS'!E52</f>
        <v>-4.0512035292102127</v>
      </c>
      <c r="F89" s="169">
        <f>E89*100/'sust. impact KPIs NO DATS'!E52</f>
        <v>-7.5574020993338493</v>
      </c>
      <c r="G89" s="169">
        <f t="shared" si="9"/>
        <v>7.5574020993338493</v>
      </c>
      <c r="H89" s="167">
        <v>0</v>
      </c>
      <c r="I89" s="20">
        <v>1</v>
      </c>
      <c r="L89" s="20">
        <v>1</v>
      </c>
      <c r="Q89" s="20">
        <f t="shared" si="10"/>
        <v>1</v>
      </c>
    </row>
    <row r="90" spans="1:17">
      <c r="A90" t="s">
        <v>680</v>
      </c>
      <c r="B90" s="173" t="s">
        <v>688</v>
      </c>
      <c r="C90" s="41" t="s">
        <v>303</v>
      </c>
      <c r="D90" s="43" t="str">
        <f>'sust. impact KPIs NO DATS'!D53</f>
        <v>l/ha</v>
      </c>
      <c r="E90" s="174" t="e">
        <f>'sust. impact KPIs DATS'!E53-'sust. impact KPIs NO DATS'!E53</f>
        <v>#DIV/0!</v>
      </c>
      <c r="F90" s="175" t="e">
        <f>E90*100/'sust. impact KPIs NO DATS'!E53</f>
        <v>#DIV/0!</v>
      </c>
      <c r="G90" s="169" t="e">
        <f t="shared" si="9"/>
        <v>#DIV/0!</v>
      </c>
      <c r="H90" s="175">
        <v>0</v>
      </c>
      <c r="Q90" s="20" t="str">
        <f t="shared" si="10"/>
        <v/>
      </c>
    </row>
    <row r="91" spans="1:17">
      <c r="A91" t="s">
        <v>680</v>
      </c>
      <c r="B91" s="173" t="s">
        <v>688</v>
      </c>
      <c r="C91" s="41" t="s">
        <v>304</v>
      </c>
      <c r="D91" s="43" t="s">
        <v>331</v>
      </c>
      <c r="E91" s="174" t="e">
        <f>'sust. impact KPIs DATS'!E54-'sust. impact KPIs NO DATS'!E54</f>
        <v>#DIV/0!</v>
      </c>
      <c r="F91" s="175" t="e">
        <f>E91*100/'sust. impact KPIs NO DATS'!E54</f>
        <v>#DIV/0!</v>
      </c>
      <c r="G91" s="169" t="e">
        <f t="shared" si="9"/>
        <v>#DIV/0!</v>
      </c>
      <c r="H91" s="175">
        <v>0</v>
      </c>
      <c r="Q91" s="20" t="str">
        <f t="shared" si="10"/>
        <v/>
      </c>
    </row>
    <row r="92" spans="1:17">
      <c r="A92" t="s">
        <v>680</v>
      </c>
      <c r="B92" s="173" t="s">
        <v>688</v>
      </c>
      <c r="C92" s="41" t="s">
        <v>305</v>
      </c>
      <c r="D92" s="43" t="s">
        <v>784</v>
      </c>
      <c r="E92" s="174" t="e">
        <f>'sust. impact KPIs DATS'!E55-'sust. impact KPIs NO DATS'!E55</f>
        <v>#DIV/0!</v>
      </c>
      <c r="F92" s="175" t="e">
        <f>E92*100/'sust. impact KPIs NO DATS'!E55</f>
        <v>#DIV/0!</v>
      </c>
      <c r="G92" s="169" t="e">
        <f t="shared" si="9"/>
        <v>#DIV/0!</v>
      </c>
      <c r="H92" s="175">
        <v>0</v>
      </c>
      <c r="Q92" s="20" t="str">
        <f t="shared" si="10"/>
        <v/>
      </c>
    </row>
    <row r="93" spans="1:17">
      <c r="A93" t="s">
        <v>680</v>
      </c>
      <c r="B93" s="173" t="s">
        <v>689</v>
      </c>
      <c r="C93" s="41" t="s">
        <v>24</v>
      </c>
      <c r="D93" s="173" t="s">
        <v>149</v>
      </c>
      <c r="E93" s="174">
        <f>'sust. impact KPIs DATS'!E57-'sust. impact KPIs NO DATS'!E57</f>
        <v>249.25608278999999</v>
      </c>
      <c r="F93" s="175"/>
      <c r="G93" s="169">
        <f t="shared" si="9"/>
        <v>0</v>
      </c>
      <c r="H93" s="175">
        <v>0</v>
      </c>
      <c r="I93" s="20">
        <v>1</v>
      </c>
      <c r="Q93" s="20">
        <f t="shared" si="10"/>
        <v>0</v>
      </c>
    </row>
    <row r="94" spans="1:17">
      <c r="A94" t="s">
        <v>680</v>
      </c>
      <c r="B94" s="40" t="s">
        <v>689</v>
      </c>
      <c r="C94" s="41" t="s">
        <v>618</v>
      </c>
      <c r="D94" s="43" t="str">
        <f>'sust. impact KPIs NO DATS'!D58</f>
        <v>kg CO2 eq/ha</v>
      </c>
      <c r="E94" s="169">
        <f>'sust. impact KPIs DATS'!E58-'sust. impact KPIs NO DATS'!E58</f>
        <v>238.47911167363031</v>
      </c>
      <c r="F94" s="169">
        <f>E94*100/'sust. impact KPIs NO DATS'!E58</f>
        <v>43.97342815518693</v>
      </c>
      <c r="G94" s="169">
        <f t="shared" si="9"/>
        <v>-43.97342815518693</v>
      </c>
      <c r="H94" s="167">
        <v>0</v>
      </c>
      <c r="I94" s="20">
        <v>1</v>
      </c>
      <c r="L94" s="20">
        <v>1</v>
      </c>
      <c r="Q94" s="20">
        <f t="shared" si="10"/>
        <v>0</v>
      </c>
    </row>
    <row r="95" spans="1:17">
      <c r="A95" t="s">
        <v>681</v>
      </c>
      <c r="B95" s="40" t="s">
        <v>193</v>
      </c>
      <c r="C95" s="41" t="s">
        <v>25</v>
      </c>
      <c r="D95" s="43" t="s">
        <v>158</v>
      </c>
      <c r="E95" s="20">
        <f>'sust. impact KPIs DATS'!E61</f>
        <v>4.4444444444444446</v>
      </c>
      <c r="F95" s="169" t="e">
        <f>E95*100/'sust. impact KPIs NO DATS'!E61</f>
        <v>#DIV/0!</v>
      </c>
      <c r="G95" s="169" t="e">
        <f t="shared" ref="G95:G99" si="11">IF(H95=1,F95,F95*(-1))</f>
        <v>#DIV/0!</v>
      </c>
      <c r="H95" s="167">
        <v>1</v>
      </c>
      <c r="Q95" s="20">
        <f t="shared" si="10"/>
        <v>1</v>
      </c>
    </row>
    <row r="96" spans="1:17">
      <c r="A96" t="s">
        <v>681</v>
      </c>
      <c r="B96" s="40" t="s">
        <v>193</v>
      </c>
      <c r="C96" s="41" t="s">
        <v>26</v>
      </c>
      <c r="D96" s="43" t="s">
        <v>105</v>
      </c>
      <c r="E96" s="169">
        <f>'sust. impact KPIs DATS'!E62-'sust. impact KPIs NO DATS'!E62</f>
        <v>-3.8690144766146997</v>
      </c>
      <c r="F96" s="169">
        <f>E96*100/'sust. impact KPIs NO DATS'!E62</f>
        <v>-33.103867179591013</v>
      </c>
      <c r="G96" s="169">
        <f t="shared" si="11"/>
        <v>33.103867179591013</v>
      </c>
      <c r="H96" s="167">
        <v>0</v>
      </c>
      <c r="I96" s="20">
        <v>1</v>
      </c>
      <c r="J96" s="20">
        <v>1</v>
      </c>
      <c r="L96" s="20">
        <v>1</v>
      </c>
      <c r="M96" t="s">
        <v>832</v>
      </c>
      <c r="N96" t="s">
        <v>833</v>
      </c>
      <c r="O96" s="235"/>
      <c r="Q96" s="20">
        <f t="shared" si="10"/>
        <v>1</v>
      </c>
    </row>
    <row r="97" spans="1:17">
      <c r="A97" t="s">
        <v>681</v>
      </c>
      <c r="B97" s="40" t="s">
        <v>193</v>
      </c>
      <c r="C97" s="41" t="s">
        <v>27</v>
      </c>
      <c r="D97" s="43" t="s">
        <v>153</v>
      </c>
      <c r="E97" s="20">
        <f>'sust. impact KPIs DATS'!E63-'sust. impact KPIs NO DATS'!E63</f>
        <v>0</v>
      </c>
      <c r="F97" s="20"/>
      <c r="G97" s="169">
        <f t="shared" si="11"/>
        <v>0</v>
      </c>
      <c r="H97" s="167">
        <v>0</v>
      </c>
      <c r="Q97" s="20">
        <f t="shared" si="10"/>
        <v>2</v>
      </c>
    </row>
    <row r="98" spans="1:17">
      <c r="A98" t="s">
        <v>681</v>
      </c>
      <c r="B98" s="40" t="s">
        <v>193</v>
      </c>
      <c r="C98" s="41" t="s">
        <v>28</v>
      </c>
      <c r="D98" s="43" t="s">
        <v>105</v>
      </c>
      <c r="E98" s="20">
        <f>'sust. impact KPIs DATS'!E64-'sust. impact KPIs NO DATS'!E64</f>
        <v>0</v>
      </c>
      <c r="F98" s="20"/>
      <c r="G98" s="169">
        <f t="shared" si="11"/>
        <v>0</v>
      </c>
      <c r="H98" s="167">
        <v>0</v>
      </c>
      <c r="Q98" s="20">
        <f t="shared" si="10"/>
        <v>2</v>
      </c>
    </row>
    <row r="99" spans="1:17">
      <c r="A99" t="s">
        <v>681</v>
      </c>
      <c r="B99" s="40" t="s">
        <v>193</v>
      </c>
      <c r="C99" s="41" t="s">
        <v>29</v>
      </c>
      <c r="D99" s="43" t="s">
        <v>105</v>
      </c>
      <c r="E99" s="20" t="e">
        <f>'sust. impact KPIs DATS'!E65-'sust. impact KPIs NO DATS'!E65</f>
        <v>#DIV/0!</v>
      </c>
      <c r="F99" s="20"/>
      <c r="G99" s="169">
        <f t="shared" si="11"/>
        <v>0</v>
      </c>
      <c r="H99" s="167">
        <v>1</v>
      </c>
      <c r="Q99" s="20" t="str">
        <f t="shared" si="10"/>
        <v/>
      </c>
    </row>
    <row r="100" spans="1:17">
      <c r="Q100" s="20">
        <f t="shared" si="10"/>
        <v>2</v>
      </c>
    </row>
    <row r="101" spans="1:17">
      <c r="Q101" s="20">
        <f t="shared" si="10"/>
        <v>2</v>
      </c>
    </row>
    <row r="102" spans="1:17">
      <c r="Q102" s="20">
        <f t="shared" si="10"/>
        <v>2</v>
      </c>
    </row>
    <row r="103" spans="1:17">
      <c r="Q103" s="20">
        <f t="shared" si="10"/>
        <v>2</v>
      </c>
    </row>
    <row r="104" spans="1:17">
      <c r="Q104" s="20">
        <f t="shared" si="10"/>
        <v>2</v>
      </c>
    </row>
    <row r="105" spans="1:17">
      <c r="Q105" s="20">
        <f t="shared" si="10"/>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heetViews>
  <sheetFormatPr baseColWidth="10" defaultRowHeight="16"/>
  <sheetData>
    <row r="1" spans="1:2">
      <c r="A1" s="17" t="s">
        <v>743</v>
      </c>
      <c r="B1" s="17" t="s">
        <v>723</v>
      </c>
    </row>
    <row r="2" spans="1:2">
      <c r="A2" s="51">
        <v>1</v>
      </c>
      <c r="B2" s="51" t="e">
        <v>#VALUE!</v>
      </c>
    </row>
    <row r="3" spans="1:2">
      <c r="A3" s="51">
        <v>2</v>
      </c>
      <c r="B3" s="51" t="e">
        <v>#VALUE!</v>
      </c>
    </row>
    <row r="4" spans="1:2">
      <c r="A4" s="51">
        <v>3</v>
      </c>
      <c r="B4" s="51" t="e">
        <v>#VALUE!</v>
      </c>
    </row>
    <row r="5" spans="1:2">
      <c r="A5" s="51">
        <v>4</v>
      </c>
      <c r="B5" s="51" t="e">
        <v>#VALUE!</v>
      </c>
    </row>
    <row r="6" spans="1:2">
      <c r="A6" s="51">
        <v>5</v>
      </c>
      <c r="B6" s="51" t="e">
        <v>#VALUE!</v>
      </c>
    </row>
    <row r="7" spans="1:2">
      <c r="A7" s="51">
        <v>6</v>
      </c>
      <c r="B7" s="51" t="e">
        <v>#VALUE!</v>
      </c>
    </row>
    <row r="8" spans="1:2">
      <c r="A8" s="51">
        <v>7</v>
      </c>
      <c r="B8" s="51" t="e">
        <v>#VALUE!</v>
      </c>
    </row>
    <row r="9" spans="1:2">
      <c r="A9" s="51">
        <v>8</v>
      </c>
      <c r="B9" s="51" t="e">
        <v>#VALUE!</v>
      </c>
    </row>
    <row r="10" spans="1:2">
      <c r="A10" s="51">
        <v>9</v>
      </c>
      <c r="B10" s="51" t="e">
        <v>#VALUE!</v>
      </c>
    </row>
    <row r="11" spans="1:2">
      <c r="A11" s="51">
        <v>10</v>
      </c>
      <c r="B11" s="51" t="e">
        <v>#VALUE!</v>
      </c>
    </row>
    <row r="12" spans="1:2">
      <c r="A12" s="51">
        <v>11</v>
      </c>
      <c r="B12" s="51" t="e">
        <v>#VALUE!</v>
      </c>
    </row>
    <row r="13" spans="1:2">
      <c r="A13" s="51">
        <v>12</v>
      </c>
      <c r="B13" s="51" t="e">
        <v>#VALUE!</v>
      </c>
    </row>
    <row r="14" spans="1:2">
      <c r="A14" s="51">
        <v>13</v>
      </c>
      <c r="B14" s="51" t="e">
        <v>#VALUE!</v>
      </c>
    </row>
    <row r="15" spans="1:2">
      <c r="A15" s="51"/>
      <c r="B15" s="5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8"/>
  <sheetViews>
    <sheetView workbookViewId="0"/>
  </sheetViews>
  <sheetFormatPr baseColWidth="10" defaultRowHeight="16"/>
  <sheetData>
    <row r="1" spans="1:30">
      <c r="A1" s="7" t="s">
        <v>470</v>
      </c>
      <c r="B1" s="7" t="s">
        <v>474</v>
      </c>
      <c r="C1" s="7" t="s">
        <v>5</v>
      </c>
      <c r="D1" s="7" t="s">
        <v>168</v>
      </c>
      <c r="E1" s="7" t="s">
        <v>480</v>
      </c>
      <c r="F1" s="7" t="s">
        <v>482</v>
      </c>
      <c r="G1" s="7" t="s">
        <v>583</v>
      </c>
      <c r="H1" s="7" t="s">
        <v>9</v>
      </c>
      <c r="I1" s="7"/>
      <c r="J1" s="7" t="s">
        <v>517</v>
      </c>
      <c r="K1" s="7" t="s">
        <v>516</v>
      </c>
      <c r="L1" s="7" t="s">
        <v>517</v>
      </c>
      <c r="M1" s="7" t="s">
        <v>518</v>
      </c>
      <c r="N1" s="7" t="s">
        <v>690</v>
      </c>
      <c r="O1" s="7"/>
      <c r="P1" s="7" t="s">
        <v>508</v>
      </c>
      <c r="Q1" s="7" t="s">
        <v>554</v>
      </c>
      <c r="R1" s="7"/>
      <c r="S1" s="7" t="s">
        <v>555</v>
      </c>
      <c r="T1" s="7"/>
      <c r="U1" s="7" t="s">
        <v>556</v>
      </c>
      <c r="V1" s="7"/>
      <c r="W1" s="7" t="s">
        <v>517</v>
      </c>
      <c r="X1" s="7" t="s">
        <v>22</v>
      </c>
      <c r="Y1" s="7" t="s">
        <v>520</v>
      </c>
      <c r="AA1" s="7" t="s">
        <v>517</v>
      </c>
      <c r="AB1" s="7" t="s">
        <v>484</v>
      </c>
      <c r="AC1" s="7" t="s">
        <v>618</v>
      </c>
      <c r="AD1" s="7" t="s">
        <v>5</v>
      </c>
    </row>
    <row r="2" spans="1:30">
      <c r="A2" t="s">
        <v>462</v>
      </c>
      <c r="B2" t="s">
        <v>454</v>
      </c>
      <c r="C2" t="s">
        <v>226</v>
      </c>
      <c r="D2" t="s">
        <v>148</v>
      </c>
      <c r="E2" t="s">
        <v>147</v>
      </c>
      <c r="F2" t="s">
        <v>147</v>
      </c>
      <c r="G2" t="s">
        <v>585</v>
      </c>
      <c r="H2" t="s">
        <v>729</v>
      </c>
      <c r="J2" s="7" t="s">
        <v>525</v>
      </c>
      <c r="K2" t="s">
        <v>453</v>
      </c>
      <c r="L2" t="s">
        <v>508</v>
      </c>
      <c r="M2" t="s">
        <v>143</v>
      </c>
      <c r="N2" t="s">
        <v>616</v>
      </c>
      <c r="O2" s="7"/>
      <c r="P2" s="7" t="s">
        <v>537</v>
      </c>
      <c r="Q2">
        <v>6.9999999999999999E-4</v>
      </c>
      <c r="R2" s="7" t="s">
        <v>537</v>
      </c>
      <c r="S2">
        <v>2.2000000000000001E-4</v>
      </c>
      <c r="T2" s="7" t="s">
        <v>537</v>
      </c>
      <c r="U2">
        <v>1.8E-3</v>
      </c>
      <c r="W2" s="7" t="s">
        <v>508</v>
      </c>
      <c r="X2" t="s">
        <v>148</v>
      </c>
      <c r="Y2" t="s">
        <v>571</v>
      </c>
      <c r="AA2" s="7" t="s">
        <v>525</v>
      </c>
      <c r="AC2" t="s">
        <v>766</v>
      </c>
      <c r="AD2" t="s">
        <v>226</v>
      </c>
    </row>
    <row r="3" spans="1:30">
      <c r="A3" t="s">
        <v>471</v>
      </c>
      <c r="B3" t="s">
        <v>733</v>
      </c>
      <c r="C3" t="s">
        <v>774</v>
      </c>
      <c r="D3" t="s">
        <v>727</v>
      </c>
      <c r="E3" t="s">
        <v>226</v>
      </c>
      <c r="F3" t="s">
        <v>483</v>
      </c>
      <c r="G3" t="s">
        <v>584</v>
      </c>
      <c r="H3" t="s">
        <v>481</v>
      </c>
      <c r="J3" s="7" t="s">
        <v>574</v>
      </c>
      <c r="K3" t="s">
        <v>725</v>
      </c>
      <c r="L3" t="s">
        <v>510</v>
      </c>
      <c r="M3" t="s">
        <v>734</v>
      </c>
      <c r="N3" t="s">
        <v>736</v>
      </c>
      <c r="O3" s="7"/>
      <c r="P3" s="7" t="s">
        <v>545</v>
      </c>
      <c r="Q3">
        <v>1.66E-3</v>
      </c>
      <c r="R3" s="7" t="s">
        <v>545</v>
      </c>
      <c r="S3">
        <v>3.6000000000000002E-4</v>
      </c>
      <c r="T3" s="7" t="s">
        <v>545</v>
      </c>
      <c r="U3">
        <v>4.3E-3</v>
      </c>
      <c r="W3" s="7" t="s">
        <v>567</v>
      </c>
      <c r="X3" t="s">
        <v>148</v>
      </c>
      <c r="Y3" t="s">
        <v>572</v>
      </c>
      <c r="AA3" s="7" t="s">
        <v>574</v>
      </c>
      <c r="AB3" t="s">
        <v>732</v>
      </c>
      <c r="AC3" t="s">
        <v>767</v>
      </c>
      <c r="AD3" t="s">
        <v>726</v>
      </c>
    </row>
    <row r="4" spans="1:30">
      <c r="A4" t="s">
        <v>341</v>
      </c>
      <c r="B4" t="s">
        <v>725</v>
      </c>
      <c r="C4" t="s">
        <v>475</v>
      </c>
      <c r="D4" t="s">
        <v>477</v>
      </c>
      <c r="H4" t="s">
        <v>730</v>
      </c>
      <c r="J4" s="7" t="s">
        <v>575</v>
      </c>
      <c r="K4" t="s">
        <v>733</v>
      </c>
      <c r="L4" t="s">
        <v>509</v>
      </c>
      <c r="M4" t="s">
        <v>735</v>
      </c>
      <c r="N4" t="s">
        <v>737</v>
      </c>
      <c r="O4" s="7"/>
      <c r="P4" s="7" t="s">
        <v>548</v>
      </c>
      <c r="Q4">
        <v>0.02</v>
      </c>
      <c r="R4" s="7" t="s">
        <v>548</v>
      </c>
      <c r="S4">
        <v>8.3000000000000001E-3</v>
      </c>
      <c r="T4" s="7" t="s">
        <v>548</v>
      </c>
      <c r="U4">
        <v>6.6E-3</v>
      </c>
      <c r="W4" s="7" t="s">
        <v>510</v>
      </c>
      <c r="X4" t="s">
        <v>728</v>
      </c>
      <c r="Y4" t="s">
        <v>573</v>
      </c>
      <c r="AA4" s="7" t="s">
        <v>575</v>
      </c>
      <c r="AB4" t="s">
        <v>731</v>
      </c>
      <c r="AC4" t="s">
        <v>768</v>
      </c>
      <c r="AD4" t="s">
        <v>774</v>
      </c>
    </row>
    <row r="5" spans="1:30">
      <c r="A5" t="s">
        <v>472</v>
      </c>
      <c r="B5" t="s">
        <v>453</v>
      </c>
      <c r="C5" t="s">
        <v>726</v>
      </c>
      <c r="D5" t="s">
        <v>728</v>
      </c>
      <c r="J5" s="7" t="s">
        <v>520</v>
      </c>
      <c r="K5" t="s">
        <v>765</v>
      </c>
      <c r="L5" t="s">
        <v>519</v>
      </c>
      <c r="M5" t="s">
        <v>347</v>
      </c>
      <c r="N5" t="s">
        <v>691</v>
      </c>
      <c r="O5" s="7"/>
      <c r="P5" s="7" t="s">
        <v>542</v>
      </c>
      <c r="Q5">
        <v>4.7000000000000002E-3</v>
      </c>
      <c r="R5" s="7" t="s">
        <v>542</v>
      </c>
      <c r="S5">
        <v>1.1000000000000001E-3</v>
      </c>
      <c r="T5" s="7" t="s">
        <v>542</v>
      </c>
      <c r="U5">
        <v>4.7999999999999996E-3</v>
      </c>
      <c r="W5" s="7" t="s">
        <v>509</v>
      </c>
      <c r="X5" t="s">
        <v>727</v>
      </c>
      <c r="AA5" s="7" t="s">
        <v>520</v>
      </c>
      <c r="AB5" t="s">
        <v>485</v>
      </c>
      <c r="AC5" t="s">
        <v>769</v>
      </c>
      <c r="AD5" t="s">
        <v>475</v>
      </c>
    </row>
    <row r="6" spans="1:30">
      <c r="B6" t="s">
        <v>331</v>
      </c>
      <c r="C6" t="s">
        <v>455</v>
      </c>
      <c r="D6" t="s">
        <v>478</v>
      </c>
      <c r="J6" s="7" t="s">
        <v>576</v>
      </c>
      <c r="K6" t="s">
        <v>514</v>
      </c>
      <c r="L6" t="s">
        <v>512</v>
      </c>
      <c r="M6" t="s">
        <v>472</v>
      </c>
      <c r="N6" t="s">
        <v>692</v>
      </c>
      <c r="O6" s="7"/>
      <c r="P6" s="7" t="s">
        <v>543</v>
      </c>
      <c r="Q6">
        <v>1.47E-2</v>
      </c>
      <c r="R6" s="7" t="s">
        <v>543</v>
      </c>
      <c r="S6">
        <v>6.4999999999999997E-3</v>
      </c>
      <c r="T6" s="7" t="s">
        <v>543</v>
      </c>
      <c r="U6">
        <v>4.1999999999999997E-3</v>
      </c>
      <c r="W6" s="7" t="s">
        <v>519</v>
      </c>
      <c r="X6" t="s">
        <v>477</v>
      </c>
      <c r="AA6" s="7" t="s">
        <v>576</v>
      </c>
      <c r="AB6" t="s">
        <v>487</v>
      </c>
      <c r="AC6" t="s">
        <v>772</v>
      </c>
      <c r="AD6" t="s">
        <v>456</v>
      </c>
    </row>
    <row r="7" spans="1:30">
      <c r="C7" t="s">
        <v>456</v>
      </c>
      <c r="D7" t="s">
        <v>479</v>
      </c>
      <c r="J7" s="7" t="s">
        <v>577</v>
      </c>
      <c r="K7" t="s">
        <v>513</v>
      </c>
      <c r="L7" t="s">
        <v>511</v>
      </c>
      <c r="M7" t="s">
        <v>515</v>
      </c>
      <c r="N7" t="s">
        <v>693</v>
      </c>
      <c r="O7" s="7"/>
      <c r="P7" s="7" t="s">
        <v>551</v>
      </c>
      <c r="Q7">
        <v>4.3E-3</v>
      </c>
      <c r="R7" s="7" t="s">
        <v>551</v>
      </c>
      <c r="S7">
        <v>1.4E-3</v>
      </c>
      <c r="T7" s="7" t="s">
        <v>551</v>
      </c>
      <c r="U7">
        <v>3.3E-3</v>
      </c>
      <c r="W7" s="7" t="s">
        <v>512</v>
      </c>
      <c r="X7" t="s">
        <v>479</v>
      </c>
      <c r="AA7" s="7" t="s">
        <v>577</v>
      </c>
      <c r="AB7" t="s">
        <v>486</v>
      </c>
      <c r="AC7" t="s">
        <v>770</v>
      </c>
      <c r="AD7" t="s">
        <v>455</v>
      </c>
    </row>
    <row r="8" spans="1:30">
      <c r="J8" s="7" t="s">
        <v>526</v>
      </c>
      <c r="L8" t="s">
        <v>524</v>
      </c>
      <c r="M8" t="s">
        <v>462</v>
      </c>
      <c r="N8" t="s">
        <v>694</v>
      </c>
      <c r="O8" s="7"/>
      <c r="P8" s="7" t="s">
        <v>549</v>
      </c>
      <c r="Q8">
        <v>6.5000000000000002E-2</v>
      </c>
      <c r="R8" s="7" t="s">
        <v>549</v>
      </c>
      <c r="S8">
        <v>2.9000000000000001E-2</v>
      </c>
      <c r="T8" s="7" t="s">
        <v>549</v>
      </c>
      <c r="U8">
        <v>3.9E-2</v>
      </c>
      <c r="W8" s="7" t="s">
        <v>511</v>
      </c>
      <c r="X8" t="s">
        <v>557</v>
      </c>
      <c r="AA8" s="7" t="s">
        <v>526</v>
      </c>
      <c r="AC8" t="s">
        <v>771</v>
      </c>
      <c r="AD8" t="s">
        <v>773</v>
      </c>
    </row>
    <row r="9" spans="1:30">
      <c r="P9" s="7" t="s">
        <v>538</v>
      </c>
      <c r="Q9">
        <f>1.32/1000</f>
        <v>1.32E-3</v>
      </c>
      <c r="R9" s="7" t="s">
        <v>538</v>
      </c>
      <c r="S9">
        <v>2.5000000000000001E-4</v>
      </c>
      <c r="T9" s="7" t="s">
        <v>538</v>
      </c>
      <c r="U9">
        <v>2.2399999999999998E-3</v>
      </c>
      <c r="W9" s="7" t="s">
        <v>524</v>
      </c>
      <c r="X9" t="s">
        <v>558</v>
      </c>
    </row>
    <row r="10" spans="1:30">
      <c r="P10" s="7" t="s">
        <v>539</v>
      </c>
      <c r="Q10">
        <v>2.8700000000000002E-3</v>
      </c>
      <c r="R10" s="7" t="s">
        <v>539</v>
      </c>
      <c r="S10">
        <v>4.8999999999999998E-4</v>
      </c>
      <c r="T10" s="7" t="s">
        <v>539</v>
      </c>
      <c r="U10">
        <v>4.4200000000000003E-3</v>
      </c>
    </row>
    <row r="11" spans="1:30">
      <c r="P11" s="7" t="s">
        <v>550</v>
      </c>
      <c r="Q11">
        <v>3.0000000000000001E-3</v>
      </c>
      <c r="R11" s="7" t="s">
        <v>550</v>
      </c>
      <c r="S11">
        <v>1.1999999999999999E-3</v>
      </c>
      <c r="T11" s="7" t="s">
        <v>550</v>
      </c>
      <c r="U11">
        <v>4.0000000000000001E-3</v>
      </c>
    </row>
    <row r="12" spans="1:30">
      <c r="P12" s="7" t="s">
        <v>541</v>
      </c>
      <c r="Q12">
        <f>3.5/1000</f>
        <v>3.5000000000000001E-3</v>
      </c>
      <c r="R12" s="7" t="s">
        <v>541</v>
      </c>
      <c r="S12">
        <f>1.3/1000</f>
        <v>1.2999999999999999E-3</v>
      </c>
      <c r="T12" s="7" t="s">
        <v>541</v>
      </c>
      <c r="U12">
        <f>5.8/1000</f>
        <v>5.7999999999999996E-3</v>
      </c>
    </row>
    <row r="13" spans="1:30">
      <c r="P13" s="7" t="s">
        <v>553</v>
      </c>
      <c r="Q13">
        <v>3.1E-2</v>
      </c>
      <c r="R13" s="7" t="s">
        <v>553</v>
      </c>
      <c r="S13">
        <v>0.02</v>
      </c>
      <c r="T13" s="7" t="s">
        <v>553</v>
      </c>
      <c r="U13">
        <v>2.1000000000000001E-2</v>
      </c>
    </row>
    <row r="14" spans="1:30">
      <c r="P14" s="7" t="s">
        <v>552</v>
      </c>
      <c r="Q14">
        <v>2.5000000000000001E-2</v>
      </c>
      <c r="R14" s="7" t="s">
        <v>552</v>
      </c>
      <c r="S14">
        <v>8.2000000000000007E-3</v>
      </c>
      <c r="T14" s="7" t="s">
        <v>552</v>
      </c>
      <c r="U14">
        <v>5.4999999999999997E-3</v>
      </c>
    </row>
    <row r="15" spans="1:30">
      <c r="P15" s="7" t="s">
        <v>544</v>
      </c>
      <c r="Q15">
        <v>5.7999999999999996E-3</v>
      </c>
      <c r="R15" s="7" t="s">
        <v>544</v>
      </c>
      <c r="S15">
        <v>1.1000000000000001E-3</v>
      </c>
      <c r="T15" s="7" t="s">
        <v>544</v>
      </c>
      <c r="U15">
        <v>8.0999999999999996E-3</v>
      </c>
    </row>
    <row r="16" spans="1:30">
      <c r="P16" s="7" t="s">
        <v>540</v>
      </c>
      <c r="Q16">
        <v>3.2000000000000002E-3</v>
      </c>
      <c r="R16" s="7" t="s">
        <v>540</v>
      </c>
      <c r="S16">
        <v>1E-3</v>
      </c>
      <c r="T16" s="7" t="s">
        <v>540</v>
      </c>
      <c r="U16">
        <v>6.7999999999999996E-3</v>
      </c>
    </row>
    <row r="17" spans="16:21">
      <c r="P17" s="7" t="s">
        <v>546</v>
      </c>
      <c r="Q17">
        <v>2.0199999999999999E-2</v>
      </c>
      <c r="R17" s="7" t="s">
        <v>546</v>
      </c>
      <c r="S17">
        <v>8.2000000000000007E-3</v>
      </c>
      <c r="T17" s="7" t="s">
        <v>546</v>
      </c>
      <c r="U17">
        <v>5.1999999999999998E-3</v>
      </c>
    </row>
    <row r="18" spans="16:21">
      <c r="P18" s="7" t="s">
        <v>547</v>
      </c>
      <c r="Q18">
        <v>2.0299999999999999E-2</v>
      </c>
      <c r="R18" s="7" t="s">
        <v>547</v>
      </c>
      <c r="S18">
        <v>8.3999999999999995E-3</v>
      </c>
      <c r="T18" s="7" t="s">
        <v>547</v>
      </c>
      <c r="U18">
        <v>5.1000000000000004E-3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11</vt:i4>
      </vt:variant>
    </vt:vector>
  </HeadingPairs>
  <TitlesOfParts>
    <vt:vector size="11" baseType="lpstr">
      <vt:lpstr>Instructions </vt:lpstr>
      <vt:lpstr>General Information</vt:lpstr>
      <vt:lpstr>Parcel 1 with DATSs</vt:lpstr>
      <vt:lpstr>Parcel 1 without DATSs</vt:lpstr>
      <vt:lpstr>Cost-revenue DATS</vt:lpstr>
      <vt:lpstr>Cost-revenue NO DATS</vt:lpstr>
      <vt:lpstr>sust. impact KPIs DATS</vt:lpstr>
      <vt:lpstr>sust. impact KPIs NO DATS</vt:lpstr>
      <vt:lpstr>Analysis DATS vs. NO DATS</vt:lpstr>
      <vt:lpstr>Icons</vt:lpstr>
      <vt:lpstr>Validations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Parigi</dc:creator>
  <cp:lastModifiedBy>Francesco Parigi</cp:lastModifiedBy>
  <dcterms:created xsi:type="dcterms:W3CDTF">2023-10-26T11:59:27Z</dcterms:created>
  <dcterms:modified xsi:type="dcterms:W3CDTF">2025-06-06T13:20:50Z</dcterms:modified>
</cp:coreProperties>
</file>