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drichvalue.xml" ContentType="application/vnd.ms-excel.rdrichvalue+xml"/>
  <Override PartName="/xl/persons/person.xml" ContentType="application/vnd.ms-excel.person+xml"/>
  <Override PartName="/xl/richData/richValueRel.xml" ContentType="application/vnd.ms-excel.richvaluerel+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E:\Dev\PythonProjects\Neuropublic\European\Quantifarm\Parser_V6_Assessment_Tool\Resources\"/>
    </mc:Choice>
  </mc:AlternateContent>
  <xr:revisionPtr revIDLastSave="0" documentId="13_ncr:1_{235DB1E1-F115-41AF-8E2C-460B35E92053}" xr6:coauthVersionLast="47" xr6:coauthVersionMax="47" xr10:uidLastSave="{00000000-0000-0000-0000-000000000000}"/>
  <bookViews>
    <workbookView xWindow="-16200" yWindow="-5100" windowWidth="16200" windowHeight="11790" tabRatio="963" firstSheet="5" activeTab="5" xr2:uid="{C8CCFE31-AE15-EC44-985A-4BA84CA9B17D}"/>
  </bookViews>
  <sheets>
    <sheet name="Instructions " sheetId="4" r:id="rId1"/>
    <sheet name="General Information" sheetId="3" r:id="rId2"/>
    <sheet name="Parcel 1 with DATSs" sheetId="1" r:id="rId3"/>
    <sheet name="Parcel 1 without DATSs" sheetId="6" r:id="rId4"/>
    <sheet name="Cost-revenue DATS" sheetId="5" r:id="rId5"/>
    <sheet name="Cost-revenue NO DATS" sheetId="10" r:id="rId6"/>
    <sheet name="sust. impact KPIs DATS" sheetId="12" r:id="rId7"/>
    <sheet name="sust. impact KPIs NO DATS" sheetId="11" r:id="rId8"/>
    <sheet name="Analysis DATS vs. NO DATS" sheetId="9" r:id="rId9"/>
    <sheet name="Icons" sheetId="16" r:id="rId10"/>
    <sheet name="Validations" sheetId="14" r:id="rId11"/>
  </sheets>
  <definedNames>
    <definedName name="_xlnm._FilterDatabase" localSheetId="1" hidden="1">'General Information'!$B$19:$D$28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4" i="12" l="1" a="1"/>
  <c r="E64" i="12" s="1"/>
  <c r="D64" i="12"/>
  <c r="G42" i="10"/>
  <c r="G43" i="10"/>
  <c r="G44" i="10"/>
  <c r="G45" i="10"/>
  <c r="G46" i="10"/>
  <c r="G47" i="10"/>
  <c r="G41"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 i="10"/>
  <c r="G42" i="5"/>
  <c r="G43" i="5"/>
  <c r="G44" i="5"/>
  <c r="G45" i="5"/>
  <c r="G46" i="5"/>
  <c r="G47" i="5"/>
  <c r="G41"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 i="5"/>
  <c r="G4" i="12"/>
  <c r="G5" i="12"/>
  <c r="G6" i="12"/>
  <c r="G7" i="12"/>
  <c r="G8" i="12"/>
  <c r="G9" i="12"/>
  <c r="G10" i="12"/>
  <c r="G11" i="12"/>
  <c r="G12" i="12"/>
  <c r="G13" i="12"/>
  <c r="G17" i="12"/>
  <c r="G18" i="12"/>
  <c r="G19" i="12"/>
  <c r="G23" i="12"/>
  <c r="G24" i="12"/>
  <c r="G25" i="12"/>
  <c r="G26"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3" i="12"/>
  <c r="G64" i="12"/>
  <c r="G65" i="12"/>
  <c r="G66" i="12"/>
  <c r="G67" i="12"/>
  <c r="G3" i="12"/>
  <c r="G17" i="11"/>
  <c r="G18" i="11"/>
  <c r="G19" i="11"/>
  <c r="G23" i="11"/>
  <c r="G24" i="11"/>
  <c r="G25" i="11"/>
  <c r="G26"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3" i="11"/>
  <c r="G64" i="11"/>
  <c r="G65" i="11"/>
  <c r="G66" i="11"/>
  <c r="G67" i="11"/>
  <c r="G4" i="11"/>
  <c r="G5" i="11"/>
  <c r="G6" i="11"/>
  <c r="G7" i="11"/>
  <c r="G8" i="11"/>
  <c r="G9" i="11"/>
  <c r="G10" i="11"/>
  <c r="G11" i="11"/>
  <c r="G12" i="11"/>
  <c r="G13" i="11"/>
  <c r="G3" i="1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3" i="9"/>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10" i="6"/>
  <c r="J21" i="1"/>
  <c r="J22" i="1"/>
  <c r="J23" i="1"/>
  <c r="J11" i="1"/>
  <c r="J12" i="1"/>
  <c r="J13" i="1"/>
  <c r="J14" i="1"/>
  <c r="J15" i="1"/>
  <c r="J16" i="1"/>
  <c r="J17" i="1"/>
  <c r="J18" i="1"/>
  <c r="J19" i="1"/>
  <c r="J20"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10" i="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3" i="3"/>
  <c r="D54" i="9" l="1"/>
  <c r="D55" i="9"/>
  <c r="D53" i="9"/>
  <c r="D52" i="9"/>
  <c r="E42" i="10"/>
  <c r="E42" i="5"/>
  <c r="E43" i="10" l="1"/>
  <c r="D43" i="10"/>
  <c r="D42" i="10"/>
  <c r="E43" i="5"/>
  <c r="D86" i="9" l="1"/>
  <c r="D87" i="9"/>
  <c r="E4" i="9"/>
  <c r="D53" i="11"/>
  <c r="D90" i="9" s="1"/>
  <c r="D53" i="12"/>
  <c r="E51" i="11"/>
  <c r="E51" i="12"/>
  <c r="D51" i="11"/>
  <c r="D60" i="11" s="1"/>
  <c r="D94" i="9" s="1"/>
  <c r="D51" i="12"/>
  <c r="D60" i="12" s="1"/>
  <c r="E48" i="11"/>
  <c r="E47" i="11"/>
  <c r="E48" i="12"/>
  <c r="E47" i="12"/>
  <c r="E37" i="12"/>
  <c r="E37" i="11"/>
  <c r="D48" i="11"/>
  <c r="D85" i="9" s="1"/>
  <c r="D47" i="11"/>
  <c r="D84" i="9" s="1"/>
  <c r="D48" i="12"/>
  <c r="D47" i="12"/>
  <c r="D37" i="12"/>
  <c r="D40" i="11"/>
  <c r="D77" i="9" s="1"/>
  <c r="D37" i="11"/>
  <c r="D74" i="9" s="1"/>
  <c r="E11" i="11"/>
  <c r="E11" i="12"/>
  <c r="E10" i="11"/>
  <c r="E10" i="12"/>
  <c r="E44" i="10"/>
  <c r="D47" i="5"/>
  <c r="D43" i="5"/>
  <c r="D42" i="5"/>
  <c r="D51" i="9"/>
  <c r="R100" i="9"/>
  <c r="R101" i="9"/>
  <c r="R102" i="9"/>
  <c r="R103" i="9"/>
  <c r="R104" i="9"/>
  <c r="R105" i="9"/>
  <c r="D88" i="9" l="1"/>
  <c r="U6" i="9"/>
  <c r="V6" i="9" s="1"/>
  <c r="E36" i="5" l="1"/>
  <c r="U12" i="14"/>
  <c r="S12" i="14"/>
  <c r="Q12" i="14"/>
  <c r="Q9" i="14"/>
  <c r="E64" i="11" l="1" a="1"/>
  <c r="E64" i="11" s="1"/>
  <c r="E69" i="12" a="1"/>
  <c r="E69" i="12" s="1"/>
  <c r="E65" i="12" l="1"/>
  <c r="D64" i="11"/>
  <c r="D96" i="9" s="1"/>
  <c r="E57" i="11" l="1"/>
  <c r="E57" i="12"/>
  <c r="E36" i="11"/>
  <c r="E36" i="12"/>
  <c r="E34" i="11"/>
  <c r="E32" i="11"/>
  <c r="E30" i="11"/>
  <c r="E34" i="12"/>
  <c r="E32" i="12"/>
  <c r="E30" i="12"/>
  <c r="E10" i="5"/>
  <c r="E7" i="10"/>
  <c r="E7" i="5"/>
  <c r="E6" i="10"/>
  <c r="E6" i="5"/>
  <c r="E8" i="9" l="1"/>
  <c r="R8" i="9" s="1"/>
  <c r="E26" i="11" l="1"/>
  <c r="E25" i="11"/>
  <c r="D225" i="6" l="1"/>
  <c r="E67" i="11"/>
  <c r="E66" i="11"/>
  <c r="E65" i="11"/>
  <c r="I60" i="12"/>
  <c r="E55" i="11"/>
  <c r="E54" i="11"/>
  <c r="E53" i="11"/>
  <c r="E52" i="11"/>
  <c r="E50" i="11"/>
  <c r="E49" i="11"/>
  <c r="E50" i="12"/>
  <c r="E49" i="12"/>
  <c r="E46" i="11"/>
  <c r="E45" i="11"/>
  <c r="E44" i="11"/>
  <c r="E43" i="11"/>
  <c r="E41" i="11"/>
  <c r="E42" i="11"/>
  <c r="E40" i="11"/>
  <c r="E40" i="12"/>
  <c r="E39" i="11"/>
  <c r="E39" i="12"/>
  <c r="A102" i="11"/>
  <c r="A101" i="11"/>
  <c r="A100" i="11"/>
  <c r="C100" i="11"/>
  <c r="E58" i="11"/>
  <c r="E24" i="11"/>
  <c r="E17" i="11"/>
  <c r="E58" i="12"/>
  <c r="E19" i="11"/>
  <c r="E18" i="11"/>
  <c r="E13" i="11"/>
  <c r="E12" i="11"/>
  <c r="E9" i="11"/>
  <c r="E8" i="11"/>
  <c r="E7" i="11"/>
  <c r="E6" i="11"/>
  <c r="E5" i="11"/>
  <c r="E4" i="11"/>
  <c r="E9" i="12"/>
  <c r="E3" i="11"/>
  <c r="D225" i="1"/>
  <c r="E47" i="10"/>
  <c r="E46" i="10"/>
  <c r="E45" i="10"/>
  <c r="E41" i="10"/>
  <c r="D47" i="10"/>
  <c r="E34" i="10"/>
  <c r="E33" i="10"/>
  <c r="E32" i="10"/>
  <c r="E31" i="10"/>
  <c r="E30" i="10"/>
  <c r="E29" i="10"/>
  <c r="E28" i="10"/>
  <c r="E27" i="10"/>
  <c r="E26" i="10"/>
  <c r="E25" i="10"/>
  <c r="E24" i="10"/>
  <c r="E23" i="10"/>
  <c r="E22" i="10"/>
  <c r="E21" i="10"/>
  <c r="E20" i="10"/>
  <c r="E46" i="5"/>
  <c r="E45" i="5"/>
  <c r="E44" i="5"/>
  <c r="E37" i="5"/>
  <c r="D37" i="5"/>
  <c r="D36" i="5"/>
  <c r="D38" i="9" s="1"/>
  <c r="D45" i="9" s="1"/>
  <c r="D46" i="9" s="1"/>
  <c r="D48" i="9" s="1"/>
  <c r="D49" i="9" s="1"/>
  <c r="E34" i="5"/>
  <c r="E33" i="5"/>
  <c r="E32" i="5"/>
  <c r="E29" i="5"/>
  <c r="E19" i="10"/>
  <c r="E18" i="10"/>
  <c r="E17" i="10"/>
  <c r="E18" i="5"/>
  <c r="E16" i="10"/>
  <c r="E15" i="10"/>
  <c r="E14" i="10"/>
  <c r="E13" i="10"/>
  <c r="E12" i="10"/>
  <c r="E11" i="10"/>
  <c r="E15" i="5"/>
  <c r="E10" i="10"/>
  <c r="E9" i="10"/>
  <c r="E9" i="5"/>
  <c r="E8" i="10"/>
  <c r="E5" i="10"/>
  <c r="E4" i="10"/>
  <c r="E3" i="10"/>
  <c r="E8" i="5"/>
  <c r="E5" i="5"/>
  <c r="E4" i="5"/>
  <c r="E3" i="5"/>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4" i="10"/>
  <c r="D3" i="10"/>
  <c r="E55" i="12"/>
  <c r="E54" i="12"/>
  <c r="E53" i="12"/>
  <c r="E52" i="12"/>
  <c r="E44" i="12"/>
  <c r="E43" i="12"/>
  <c r="E42" i="12"/>
  <c r="D40" i="12"/>
  <c r="A102" i="12"/>
  <c r="A101" i="12"/>
  <c r="A100" i="12"/>
  <c r="C100" i="12"/>
  <c r="C102" i="11"/>
  <c r="C101" i="11"/>
  <c r="E5" i="12"/>
  <c r="E4" i="12"/>
  <c r="E44" i="9" l="1"/>
  <c r="F44" i="9" s="1"/>
  <c r="E35" i="10"/>
  <c r="C101" i="12"/>
  <c r="C102" i="12"/>
  <c r="E33" i="11"/>
  <c r="E31" i="11"/>
  <c r="E56" i="11"/>
  <c r="E56" i="12"/>
  <c r="E35" i="11"/>
  <c r="E31" i="12"/>
  <c r="E31" i="5"/>
  <c r="E30" i="5"/>
  <c r="E28" i="5"/>
  <c r="E27" i="5"/>
  <c r="E26" i="5"/>
  <c r="E25" i="5"/>
  <c r="E24" i="5"/>
  <c r="E23" i="5"/>
  <c r="E22" i="5"/>
  <c r="E21" i="5"/>
  <c r="E20" i="5"/>
  <c r="E19" i="5"/>
  <c r="E17"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 i="5"/>
  <c r="R44" i="9" l="1"/>
  <c r="D4" i="9"/>
  <c r="D21" i="9"/>
  <c r="D22" i="9"/>
  <c r="D29" i="9"/>
  <c r="D23" i="9"/>
  <c r="D25" i="9"/>
  <c r="D24" i="9"/>
  <c r="D26" i="9"/>
  <c r="D27" i="9"/>
  <c r="D28" i="9"/>
  <c r="D19" i="9"/>
  <c r="D20" i="9"/>
  <c r="D30" i="9"/>
  <c r="D41" i="9"/>
  <c r="D43" i="9"/>
  <c r="D44" i="9"/>
  <c r="D40" i="9"/>
  <c r="D39" i="9"/>
  <c r="D42" i="9"/>
  <c r="D6" i="9"/>
  <c r="D14" i="9"/>
  <c r="D34" i="9"/>
  <c r="D13" i="9"/>
  <c r="D7" i="9"/>
  <c r="D15" i="9"/>
  <c r="D8" i="9"/>
  <c r="D16" i="9"/>
  <c r="D9" i="9"/>
  <c r="D17" i="9"/>
  <c r="D10" i="9"/>
  <c r="D18" i="9"/>
  <c r="D36" i="9"/>
  <c r="D11" i="9"/>
  <c r="D5" i="9"/>
  <c r="D35" i="9"/>
  <c r="D12" i="9"/>
  <c r="E68" i="9"/>
  <c r="D37" i="9"/>
  <c r="D3" i="9"/>
  <c r="E16" i="5"/>
  <c r="E14" i="5"/>
  <c r="E13" i="5"/>
  <c r="E12" i="5"/>
  <c r="E3" i="9"/>
  <c r="E67" i="9"/>
  <c r="E6" i="12"/>
  <c r="F8" i="9"/>
  <c r="E63" i="9"/>
  <c r="E81" i="9"/>
  <c r="E25" i="12"/>
  <c r="E65" i="9" s="1"/>
  <c r="R65" i="9" s="1"/>
  <c r="E26" i="12"/>
  <c r="E66" i="9" s="1"/>
  <c r="R66" i="9" s="1"/>
  <c r="E24" i="12"/>
  <c r="E67" i="12"/>
  <c r="E66" i="12"/>
  <c r="E19" i="12"/>
  <c r="E18" i="12"/>
  <c r="E17" i="12"/>
  <c r="E46" i="12"/>
  <c r="E13" i="12"/>
  <c r="E12" i="12"/>
  <c r="E47" i="5"/>
  <c r="E87" i="9"/>
  <c r="C92" i="12"/>
  <c r="C92" i="11"/>
  <c r="E63" i="12"/>
  <c r="E95" i="9" s="1"/>
  <c r="E45" i="12"/>
  <c r="E41" i="12"/>
  <c r="E79" i="9"/>
  <c r="F95" i="9" l="1"/>
  <c r="R95" i="9"/>
  <c r="F87" i="9"/>
  <c r="R87" i="9"/>
  <c r="F79" i="9"/>
  <c r="R79" i="9"/>
  <c r="F81" i="9"/>
  <c r="R81" i="9"/>
  <c r="F63" i="9"/>
  <c r="R63" i="9"/>
  <c r="F67" i="9"/>
  <c r="R67" i="9"/>
  <c r="R68" i="9"/>
  <c r="E57" i="9"/>
  <c r="E62" i="9"/>
  <c r="E82" i="9"/>
  <c r="E97" i="9"/>
  <c r="R97" i="9" s="1"/>
  <c r="E96" i="9"/>
  <c r="E58" i="9"/>
  <c r="E80" i="9"/>
  <c r="E88" i="9"/>
  <c r="E69" i="9"/>
  <c r="E98" i="9"/>
  <c r="R98" i="9" s="1"/>
  <c r="E74" i="9"/>
  <c r="F66" i="9"/>
  <c r="E75" i="9"/>
  <c r="E30" i="9"/>
  <c r="E84" i="9"/>
  <c r="E77" i="9"/>
  <c r="E85" i="9"/>
  <c r="E86" i="9"/>
  <c r="E60" i="9"/>
  <c r="E22" i="9"/>
  <c r="E53" i="9"/>
  <c r="E59" i="11"/>
  <c r="E91" i="9"/>
  <c r="E7" i="12"/>
  <c r="E11" i="5"/>
  <c r="E35" i="5" s="1"/>
  <c r="E8" i="12"/>
  <c r="E55" i="9" s="1"/>
  <c r="E36" i="9"/>
  <c r="E78" i="9"/>
  <c r="E89" i="9"/>
  <c r="E71" i="9"/>
  <c r="E56" i="9"/>
  <c r="E83" i="9"/>
  <c r="E92" i="9"/>
  <c r="E90" i="9"/>
  <c r="E61" i="9"/>
  <c r="E59" i="9"/>
  <c r="E99" i="9"/>
  <c r="R99" i="9" s="1"/>
  <c r="E73" i="9"/>
  <c r="E64" i="9"/>
  <c r="R64" i="9" s="1"/>
  <c r="E33" i="12"/>
  <c r="E70" i="9" s="1"/>
  <c r="E35" i="12"/>
  <c r="E72" i="9" s="1"/>
  <c r="E59" i="12"/>
  <c r="E60" i="12" s="1"/>
  <c r="E3" i="12"/>
  <c r="E41" i="5"/>
  <c r="E39" i="9" s="1"/>
  <c r="R39" i="9" s="1"/>
  <c r="E16" i="9"/>
  <c r="E9" i="9"/>
  <c r="E19" i="9"/>
  <c r="E33" i="9"/>
  <c r="E28" i="9"/>
  <c r="E20" i="9"/>
  <c r="E31" i="9"/>
  <c r="E14" i="9"/>
  <c r="E25" i="9"/>
  <c r="E34" i="9"/>
  <c r="E29" i="9"/>
  <c r="E26" i="9"/>
  <c r="E32" i="9"/>
  <c r="E15" i="9"/>
  <c r="E23" i="9"/>
  <c r="E12" i="9"/>
  <c r="R12" i="9" s="1"/>
  <c r="E40" i="9"/>
  <c r="E21" i="9"/>
  <c r="E11" i="9"/>
  <c r="E18" i="9"/>
  <c r="E43" i="9"/>
  <c r="E35" i="9"/>
  <c r="E24" i="9"/>
  <c r="E27" i="9"/>
  <c r="E42" i="9"/>
  <c r="E7" i="9"/>
  <c r="E41" i="9"/>
  <c r="E5" i="9"/>
  <c r="R5" i="9" s="1"/>
  <c r="E17" i="9"/>
  <c r="E10" i="9"/>
  <c r="E6" i="9"/>
  <c r="R6" i="9" s="1"/>
  <c r="R43" i="9" l="1"/>
  <c r="F43" i="9"/>
  <c r="R42" i="9"/>
  <c r="F42" i="9"/>
  <c r="R41" i="9"/>
  <c r="F41" i="9"/>
  <c r="R40" i="9"/>
  <c r="F40" i="9"/>
  <c r="F15" i="9"/>
  <c r="R15" i="9"/>
  <c r="F90" i="9"/>
  <c r="R90" i="9"/>
  <c r="F92" i="9"/>
  <c r="R92" i="9"/>
  <c r="F69" i="9"/>
  <c r="R69" i="9"/>
  <c r="R70" i="9"/>
  <c r="F77" i="9"/>
  <c r="R77" i="9"/>
  <c r="F11" i="9"/>
  <c r="R11" i="9"/>
  <c r="F56" i="9"/>
  <c r="R56" i="9"/>
  <c r="F80" i="9"/>
  <c r="R80" i="9"/>
  <c r="F10" i="9"/>
  <c r="R10" i="9"/>
  <c r="F55" i="9"/>
  <c r="R55" i="9"/>
  <c r="F32" i="9"/>
  <c r="R32" i="9"/>
  <c r="F33" i="9"/>
  <c r="R33" i="9"/>
  <c r="F83" i="9"/>
  <c r="R83" i="9"/>
  <c r="F88" i="9"/>
  <c r="R88" i="9"/>
  <c r="F84" i="9"/>
  <c r="R84" i="9"/>
  <c r="F34" i="9"/>
  <c r="R34" i="9"/>
  <c r="F73" i="9"/>
  <c r="R73" i="9"/>
  <c r="F30" i="9"/>
  <c r="R30" i="9"/>
  <c r="F25" i="9"/>
  <c r="R25" i="9"/>
  <c r="F16" i="9"/>
  <c r="R16" i="9"/>
  <c r="F89" i="9"/>
  <c r="R89" i="9"/>
  <c r="F53" i="9"/>
  <c r="R53" i="9"/>
  <c r="F75" i="9"/>
  <c r="R75" i="9"/>
  <c r="F96" i="9"/>
  <c r="R96" i="9"/>
  <c r="F35" i="9"/>
  <c r="R35" i="9"/>
  <c r="F86" i="9"/>
  <c r="R86" i="9"/>
  <c r="F62" i="9"/>
  <c r="R62" i="9"/>
  <c r="F17" i="9"/>
  <c r="R17" i="9"/>
  <c r="F28" i="9"/>
  <c r="R28" i="9"/>
  <c r="F26" i="9"/>
  <c r="R26" i="9"/>
  <c r="F19" i="9"/>
  <c r="R19" i="9"/>
  <c r="F7" i="9"/>
  <c r="R7" i="9"/>
  <c r="F78" i="9"/>
  <c r="R78" i="9"/>
  <c r="F20" i="9"/>
  <c r="R20" i="9"/>
  <c r="R72" i="9"/>
  <c r="F85" i="9"/>
  <c r="R85" i="9"/>
  <c r="F57" i="9"/>
  <c r="R57" i="9"/>
  <c r="F18" i="9"/>
  <c r="R18" i="9"/>
  <c r="F29" i="9"/>
  <c r="R29" i="9"/>
  <c r="F91" i="9"/>
  <c r="R91" i="9"/>
  <c r="F21" i="9"/>
  <c r="R21" i="9"/>
  <c r="F9" i="9"/>
  <c r="R9" i="9"/>
  <c r="F71" i="9"/>
  <c r="R71" i="9"/>
  <c r="F58" i="9"/>
  <c r="R58" i="9"/>
  <c r="F27" i="9"/>
  <c r="R27" i="9"/>
  <c r="F14" i="9"/>
  <c r="R14" i="9"/>
  <c r="F59" i="9"/>
  <c r="R59" i="9"/>
  <c r="F22" i="9"/>
  <c r="R22" i="9"/>
  <c r="F24" i="9"/>
  <c r="R24" i="9"/>
  <c r="F23" i="9"/>
  <c r="R23" i="9"/>
  <c r="F31" i="9"/>
  <c r="R31" i="9"/>
  <c r="F61" i="9"/>
  <c r="R61" i="9"/>
  <c r="F36" i="9"/>
  <c r="R36" i="9"/>
  <c r="F60" i="9"/>
  <c r="R60" i="9"/>
  <c r="F74" i="9"/>
  <c r="U5" i="9" s="1"/>
  <c r="V5" i="9" s="1"/>
  <c r="R74" i="9"/>
  <c r="F82" i="9"/>
  <c r="R82" i="9"/>
  <c r="U7" i="9"/>
  <c r="V7" i="9" s="1"/>
  <c r="F39" i="9"/>
  <c r="F12" i="9"/>
  <c r="E37" i="9"/>
  <c r="F5" i="9"/>
  <c r="E38" i="9"/>
  <c r="R38" i="9" s="1"/>
  <c r="F6" i="9"/>
  <c r="E60" i="11"/>
  <c r="E94" i="9" s="1"/>
  <c r="E50" i="9"/>
  <c r="E93" i="9"/>
  <c r="R93" i="9" s="1"/>
  <c r="E52" i="9"/>
  <c r="E76" i="9"/>
  <c r="E13" i="9"/>
  <c r="E54" i="9"/>
  <c r="E51" i="9"/>
  <c r="U9" i="9" l="1"/>
  <c r="V9" i="9" s="1"/>
  <c r="U8" i="9"/>
  <c r="V8" i="9" s="1"/>
  <c r="F52" i="9"/>
  <c r="R52" i="9"/>
  <c r="F50" i="9"/>
  <c r="R50" i="9"/>
  <c r="F94" i="9"/>
  <c r="R94" i="9"/>
  <c r="F54" i="9"/>
  <c r="R54" i="9"/>
  <c r="F13" i="9"/>
  <c r="R13" i="9"/>
  <c r="F51" i="9"/>
  <c r="R51" i="9"/>
  <c r="F76" i="9"/>
  <c r="R76" i="9"/>
  <c r="F37" i="9"/>
  <c r="R37" i="9"/>
  <c r="U4" i="9"/>
  <c r="V4" i="9" s="1"/>
  <c r="F38" i="9"/>
  <c r="E45" i="9"/>
  <c r="E46" i="9" l="1"/>
  <c r="R45" i="9"/>
  <c r="U3" i="9"/>
  <c r="V3" i="9" s="1"/>
  <c r="R46" i="9" l="1"/>
  <c r="E47" i="9"/>
  <c r="X3" i="9"/>
  <c r="X6" i="9"/>
  <c r="X7" i="9"/>
  <c r="X4" i="9"/>
  <c r="X9" i="9"/>
  <c r="AA6" i="9" l="1"/>
  <c r="X5" i="9"/>
  <c r="AA8" i="9"/>
  <c r="X8" i="9"/>
  <c r="AA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D9" authorId="0" shapeId="0" xr:uid="{7255FF68-9B86-4A1A-A053-169B2D68B930}">
      <text>
        <r>
          <rPr>
            <b/>
            <sz val="10"/>
            <color rgb="FF000000"/>
            <rFont val="Tahoma"/>
            <family val="2"/>
          </rPr>
          <t>Francesco Parigi:</t>
        </r>
        <r>
          <rPr>
            <sz val="10"/>
            <color rgb="FF000000"/>
            <rFont val="Tahoma"/>
            <family val="2"/>
          </rPr>
          <t xml:space="preserve">
</t>
        </r>
        <r>
          <rPr>
            <sz val="10"/>
            <color rgb="FF000000"/>
            <rFont val="Tahoma"/>
            <family val="2"/>
          </rPr>
          <t>Format dd/mm/yyyy</t>
        </r>
      </text>
    </comment>
    <comment ref="D10" authorId="0" shapeId="0" xr:uid="{6CA97FEE-920A-45CE-82A7-1B64AE7DBA4D}">
      <text>
        <r>
          <rPr>
            <b/>
            <sz val="10"/>
            <color rgb="FF000000"/>
            <rFont val="Tahoma"/>
            <family val="2"/>
          </rPr>
          <t>Francesco Parigi:</t>
        </r>
        <r>
          <rPr>
            <sz val="10"/>
            <color rgb="FF000000"/>
            <rFont val="Tahoma"/>
            <family val="2"/>
          </rPr>
          <t xml:space="preserve">
</t>
        </r>
        <r>
          <rPr>
            <sz val="10"/>
            <color rgb="FF000000"/>
            <rFont val="Tahoma"/>
            <family val="2"/>
          </rPr>
          <t>Format dd/mm/yyyy</t>
        </r>
      </text>
    </comment>
    <comment ref="D11" authorId="0" shapeId="0" xr:uid="{9CC25A7C-DDA2-4B52-9940-FEAAE5DDBE6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D12" authorId="0" shapeId="0" xr:uid="{00C3CC33-4D4D-4DF8-B860-2A41B3B376C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13" authorId="0" shapeId="0" xr:uid="{2FD1295E-9D51-4FED-A440-676BC0B0057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14" authorId="0" shapeId="0" xr:uid="{6026CE8C-7791-45B5-BF97-3E21A0D0A8C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15" authorId="0" shapeId="0" xr:uid="{EFF616FB-331B-4A33-A838-A839746EB09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16" authorId="0" shapeId="0" xr:uid="{FAC68CE3-D826-48FE-A906-EE2D3095C3F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20" authorId="0" shapeId="0" xr:uid="{301FAB30-1D1C-4497-9AF4-E5D572688A6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 authorId="0" shapeId="0" xr:uid="{D9142840-1A30-45DA-8CC7-D01266720FE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M20" authorId="0" shapeId="0" xr:uid="{F0DA8DB6-0D4C-4BAA-8CBE-0A02D615813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21" authorId="0" shapeId="0" xr:uid="{FF826D53-A5F8-4BC1-884B-CDEAB33AA56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1" authorId="0" shapeId="0" xr:uid="{DD261E6F-34D9-4F21-B56B-80EC36F4C67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M21" authorId="0" shapeId="0" xr:uid="{51C88BB3-9A85-451F-B0A6-DE7093401CC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22" authorId="0" shapeId="0" xr:uid="{8C2340E9-2C97-49FA-A4C1-429555CD56A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2" authorId="0" shapeId="0" xr:uid="{EFF8B873-53B4-4654-BA3F-D6A25C773DB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M22" authorId="0" shapeId="0" xr:uid="{14131A35-0746-489B-A7EB-6E5347F8703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23" authorId="0" shapeId="0" xr:uid="{9B3A4496-F014-4D5A-827F-CB24F067A8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3" authorId="0" shapeId="0" xr:uid="{B6296623-2A3B-44A0-B187-943CAFB66F5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M23" authorId="0" shapeId="0" xr:uid="{F69E98B0-EA3B-4EDD-84E5-DBEFEAAC65C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24" authorId="0" shapeId="0" xr:uid="{762E8668-DE89-4AEE-98F7-68D7907CC4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4" authorId="0" shapeId="0" xr:uid="{F92F9EE2-17BC-4CC9-8E7B-1AC5F82ADA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M24" authorId="0" shapeId="0" xr:uid="{3A8040E1-1A27-4862-816F-BFAA25230D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25" authorId="0" shapeId="0" xr:uid="{01924315-384C-4987-BC51-5F2FA18EC9DA}">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I25" authorId="0" shapeId="0" xr:uid="{96B43859-6BC9-4731-92C7-53E1F6947A03}">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M25" authorId="0" shapeId="0" xr:uid="{9147DBCC-00B9-45C0-AE26-6695DF354328}">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D26" authorId="0" shapeId="0" xr:uid="{2E4CD195-CA9B-4F67-8261-1B4CC4D43614}">
      <text>
        <r>
          <rPr>
            <b/>
            <sz val="10"/>
            <color rgb="FF000000"/>
            <rFont val="Tahoma"/>
            <family val="2"/>
          </rPr>
          <t>Francesco Parigi:</t>
        </r>
        <r>
          <rPr>
            <sz val="10"/>
            <color rgb="FF000000"/>
            <rFont val="Tahoma"/>
            <family val="2"/>
          </rPr>
          <t xml:space="preserve">
</t>
        </r>
        <r>
          <rPr>
            <sz val="10"/>
            <color rgb="FF000000"/>
            <rFont val="Tahoma"/>
            <family val="2"/>
          </rPr>
          <t xml:space="preserve"> Number </t>
        </r>
      </text>
    </comment>
    <comment ref="I26" authorId="0" shapeId="0" xr:uid="{EA7CD744-5479-46A0-B25C-0E3ACEF4E82F}">
      <text>
        <r>
          <rPr>
            <b/>
            <sz val="10"/>
            <color rgb="FF000000"/>
            <rFont val="Tahoma"/>
            <family val="2"/>
          </rPr>
          <t>Francesco Parigi:</t>
        </r>
        <r>
          <rPr>
            <sz val="10"/>
            <color rgb="FF000000"/>
            <rFont val="Tahoma"/>
            <family val="2"/>
          </rPr>
          <t xml:space="preserve">
</t>
        </r>
        <r>
          <rPr>
            <sz val="10"/>
            <color rgb="FF000000"/>
            <rFont val="Tahoma"/>
            <family val="2"/>
          </rPr>
          <t xml:space="preserve"> Number </t>
        </r>
      </text>
    </comment>
    <comment ref="M26" authorId="0" shapeId="0" xr:uid="{A5BFD599-E435-4094-BA71-1CB3C04B5DAA}">
      <text>
        <r>
          <rPr>
            <b/>
            <sz val="10"/>
            <color rgb="FF000000"/>
            <rFont val="Tahoma"/>
            <family val="2"/>
          </rPr>
          <t>Francesco Parigi:</t>
        </r>
        <r>
          <rPr>
            <sz val="10"/>
            <color rgb="FF000000"/>
            <rFont val="Tahoma"/>
            <family val="2"/>
          </rPr>
          <t xml:space="preserve">
</t>
        </r>
        <r>
          <rPr>
            <sz val="10"/>
            <color rgb="FF000000"/>
            <rFont val="Tahoma"/>
            <family val="2"/>
          </rPr>
          <t xml:space="preserve"> Number </t>
        </r>
      </text>
    </comment>
    <comment ref="D27" authorId="0" shapeId="0" xr:uid="{E1A2EB1B-E156-4651-AFA7-C04320E90E95}">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I27" authorId="0" shapeId="0" xr:uid="{99A41B73-842B-4306-B491-E063EDD32637}">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M27" authorId="0" shapeId="0" xr:uid="{CFAC9C6E-F56D-4D97-BE6B-82FB3496C496}">
      <text>
        <r>
          <rPr>
            <b/>
            <sz val="10"/>
            <color rgb="FF000000"/>
            <rFont val="Tahoma"/>
            <family val="2"/>
          </rPr>
          <t>Francesco Parigi:</t>
        </r>
        <r>
          <rPr>
            <sz val="10"/>
            <color rgb="FF000000"/>
            <rFont val="Tahoma"/>
            <family val="2"/>
          </rPr>
          <t xml:space="preserve">
</t>
        </r>
        <r>
          <rPr>
            <sz val="10"/>
            <color rgb="FF000000"/>
            <rFont val="Tahoma"/>
            <family val="2"/>
          </rPr>
          <t>Decimal number</t>
        </r>
      </text>
    </comment>
    <comment ref="D28" authorId="0" shapeId="0" xr:uid="{08CA27DB-80F3-4B42-94D2-E67C1C27B3A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28" authorId="0" shapeId="0" xr:uid="{F029D5EA-D5F3-42C3-BD2A-CE26F3E5A88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M28" authorId="0" shapeId="0" xr:uid="{7E356E59-E20E-4C99-8562-7EEC4B82C7C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D32" authorId="0" shapeId="0" xr:uid="{40F0290C-36AF-49AA-A303-C09E82F96C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2" authorId="0" shapeId="0" xr:uid="{0142707A-8500-42A9-AFB3-630D2E8FBD8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3" authorId="0" shapeId="0" xr:uid="{AE57A5B9-0BFB-4FD1-8F7D-11AC299E9F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3" authorId="0" shapeId="0" xr:uid="{D2BFEE7C-62DF-4983-A439-7A952374273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4" authorId="0" shapeId="0" xr:uid="{33953FF2-632F-457B-8275-F918C767088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34" authorId="0" shapeId="0" xr:uid="{645D69C2-9B52-49F7-B9B1-E0214B0D80E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D35" authorId="0" shapeId="0" xr:uid="{EB343EA0-32DE-4161-8DCC-49F2A0F320B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5" authorId="0" shapeId="0" xr:uid="{E81057BD-5C1D-4D81-9B23-277A041E307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6" authorId="0" shapeId="0" xr:uid="{63E50C77-4A08-4EF9-B92C-F2E937A5E2C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6" authorId="0" shapeId="0" xr:uid="{4526CCBD-7BA9-44D8-873B-AF685F7A8D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7" authorId="0" shapeId="0" xr:uid="{999AF7C8-FB17-42EF-A329-6C0739E5F29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7" authorId="0" shapeId="0" xr:uid="{1076B2FB-DDE8-4944-8BAD-6499E1DD1E8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8" authorId="0" shapeId="0" xr:uid="{22987A73-5B9C-48CD-9A2D-6251C7B18EC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8" authorId="0" shapeId="0" xr:uid="{2CD4FD32-B22B-416A-9892-F011038E7E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39" authorId="0" shapeId="0" xr:uid="{71DDFFEE-EFC9-4A68-A5EE-94D0E3506D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9" authorId="0" shapeId="0" xr:uid="{67F8B8FF-189E-477D-8660-EEFE7FD8DC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0" authorId="0" shapeId="0" xr:uid="{9C9B5298-BA58-43B9-AE22-D3EE83433B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0" authorId="0" shapeId="0" xr:uid="{4A404F0B-FE23-40AB-957F-B415CABE03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1" authorId="0" shapeId="0" xr:uid="{4940D75C-7A2B-4A5C-97DE-5BEAC0A1FB8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1" authorId="0" shapeId="0" xr:uid="{8D0776B5-DBB2-4F35-86A3-352580BBEF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2" authorId="0" shapeId="0" xr:uid="{956871FE-1608-4011-991F-72E61368F43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42" authorId="0" shapeId="0" xr:uid="{A790DD1D-5627-4A20-91D4-7FFFF87B970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43" authorId="0" shapeId="0" xr:uid="{8D69DCFC-376B-4072-A023-A1EE303240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4" authorId="0" shapeId="0" xr:uid="{8D894D3B-2C0F-4E0F-867D-B6775F5A16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4" authorId="0" shapeId="0" xr:uid="{251163F3-D1C8-4AAA-9668-704A9471BF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5" authorId="0" shapeId="0" xr:uid="{692A39F9-7AF6-42CD-9DA2-26235064B4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6" authorId="0" shapeId="0" xr:uid="{86EBBC72-698E-4654-98C4-5877AD323DA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47" authorId="0" shapeId="0" xr:uid="{A6FACBD3-CB01-40F2-A434-409547F9123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49" authorId="0" shapeId="0" xr:uid="{100E1ABC-76E1-4C2E-ACDF-D296C866C9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9" authorId="0" shapeId="0" xr:uid="{F23A5FC3-A76E-40B6-9C1A-B2B6C6A5A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3" authorId="0" shapeId="0" xr:uid="{AEB2F0BA-9859-466D-B2DA-5E6430C42D03}">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53" authorId="0" shapeId="0" xr:uid="{4B67F45D-6AAA-4A64-9D6B-6C377901FEE2}">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D54" authorId="0" shapeId="0" xr:uid="{CAB4E614-E114-466E-9A69-E327CC47EB4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4" authorId="0" shapeId="0" xr:uid="{A90924A8-0425-447B-BDEE-90C2CEEBE0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5" authorId="0" shapeId="0" xr:uid="{3DF8178C-52E7-4D59-89DE-8805140B16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5" authorId="0" shapeId="0" xr:uid="{22440C0C-6441-4D37-8746-D3E0C4016E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6" authorId="0" shapeId="0" xr:uid="{3E95C885-BC3B-4294-B1D3-477144D0DF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6" authorId="0" shapeId="0" xr:uid="{E8EF2E58-46B4-425F-9ECE-6E0EA4A407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59" authorId="0" shapeId="0" xr:uid="{6CF01167-F78F-44C6-B43B-067B7167DD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9" authorId="0" shapeId="0" xr:uid="{7D6F4D9B-A3C3-4827-B7E3-0CD1D15B47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64" authorId="0" shapeId="0" xr:uid="{E298344F-BE67-4F1E-BD30-D4D52FDB9F1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64" authorId="0" shapeId="0" xr:uid="{4E8FD988-ACC6-4E96-87F2-4CC0E9810F25}">
      <text>
        <r>
          <rPr>
            <b/>
            <sz val="10"/>
            <color rgb="FF000000"/>
            <rFont val="Tahoma"/>
            <family val="2"/>
          </rPr>
          <t>Francesco Parigi:</t>
        </r>
        <r>
          <rPr>
            <sz val="10"/>
            <color rgb="FF000000"/>
            <rFont val="Tahoma"/>
            <family val="2"/>
          </rPr>
          <t xml:space="preserve">
</t>
        </r>
        <r>
          <rPr>
            <sz val="10"/>
            <color rgb="FF000000"/>
            <rFont val="Tahoma"/>
            <family val="2"/>
          </rPr>
          <t xml:space="preserve"> Decimal number  </t>
        </r>
      </text>
    </comment>
    <comment ref="D65" authorId="0" shapeId="0" xr:uid="{A9AFE834-FB45-482A-9552-0956E2DEA7A5}">
      <text>
        <r>
          <rPr>
            <b/>
            <sz val="10"/>
            <color rgb="FF000000"/>
            <rFont val="Tahoma"/>
            <family val="2"/>
          </rPr>
          <t>Francesco Parigi:</t>
        </r>
        <r>
          <rPr>
            <sz val="10"/>
            <color rgb="FF000000"/>
            <rFont val="Tahoma"/>
            <family val="2"/>
          </rPr>
          <t xml:space="preserve">
</t>
        </r>
        <r>
          <rPr>
            <sz val="10"/>
            <color rgb="FF000000"/>
            <rFont val="Tahoma"/>
            <family val="2"/>
          </rPr>
          <t xml:space="preserve"> Decimal number  </t>
        </r>
      </text>
    </comment>
    <comment ref="I65" authorId="0" shapeId="0" xr:uid="{BB27DF7B-3F2C-43D9-B290-8A211D5AA2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66" authorId="0" shapeId="0" xr:uid="{5A92528D-CDF4-4828-B6AA-74785487FF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66" authorId="0" shapeId="0" xr:uid="{2C5D9057-8106-4805-8E57-80A54EC0E13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D69" authorId="0" shapeId="0" xr:uid="{CC9D26EC-6CE5-4D79-AA9E-FCD779820728}">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69" authorId="0" shapeId="0" xr:uid="{FF78D16D-405B-49C5-A620-EFA77F5E14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0" authorId="0" shapeId="0" xr:uid="{276E13BB-4A4F-4FD1-A2D1-52B9CE8823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70" authorId="0" shapeId="0" xr:uid="{B2F7D2D5-FDBC-49FD-BB11-DE57FDB9388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1" authorId="0" shapeId="0" xr:uid="{86DD9671-8690-4060-800B-4E860BCCBB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71" authorId="0" shapeId="0" xr:uid="{129EC92F-1265-4C2B-9B47-AB3BCE928C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2" authorId="0" shapeId="0" xr:uid="{CA83D503-E40E-41B7-809E-C9B29A31BB3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72" authorId="0" shapeId="0" xr:uid="{396AAB68-4D86-C04E-9319-81DEC7AF523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D73" authorId="0" shapeId="0" xr:uid="{1932B720-9638-C44A-ABDD-8A7D5E86F6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73" authorId="0" shapeId="0" xr:uid="{70E4101D-DE33-CA47-A4CF-5EF5728498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G10" authorId="0" shapeId="0" xr:uid="{0A1D9294-A66B-4FE7-9A6A-B1EE7FE5A5D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1" authorId="0" shapeId="0" xr:uid="{9658A692-EEAB-4D30-92AD-D38012BC1C58}">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G12" authorId="0" shapeId="0" xr:uid="{81C0ED03-57B8-4285-A993-9ED1DE09556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 authorId="0" shapeId="0" xr:uid="{8A56055B-27A1-41B3-B1CA-9E122046BEE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 authorId="0" shapeId="0" xr:uid="{FCA722D7-9FA7-4C6C-A1FF-1D91F5581D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5" authorId="0" shapeId="0" xr:uid="{8AC01A5B-803C-4225-9E94-E243FE8CE4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6" authorId="0" shapeId="0" xr:uid="{60464373-86C4-4A36-8CDA-528C606517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7" authorId="0" shapeId="0" xr:uid="{29426511-D865-4F2F-93DC-951E74A26C0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8" authorId="0" shapeId="0" xr:uid="{64CF699C-F300-4C14-A719-421FCADC91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9" authorId="0" shapeId="0" xr:uid="{51576C11-D42B-4D20-9FCB-447408909CE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20" authorId="0" shapeId="0" xr:uid="{EE963194-2B8B-4180-9CE2-548A56DC10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24" authorId="0" shapeId="0" xr:uid="{DA474C43-E677-4123-93F6-0E6C957C06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 authorId="0" shapeId="0" xr:uid="{094C8BA8-78EA-134C-809C-32F1FFFED4A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 authorId="0" shapeId="0" xr:uid="{BA1E5135-56B9-413B-AD2E-DFBB0AC16C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 authorId="0" shapeId="0" xr:uid="{C1392A29-E28C-5544-BE07-1ABAE451E0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6" authorId="0" shapeId="0" xr:uid="{4E189A41-E061-4D93-BD5A-0E56B306710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6" authorId="0" shapeId="0" xr:uid="{7A9C224C-66C6-B840-899E-E8EA0E4489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7" authorId="0" shapeId="0" xr:uid="{46F176E5-0BBF-42B4-9494-6F54A0D9B8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7" authorId="0" shapeId="0" xr:uid="{8136E2EE-0DC9-0448-92C1-762027E37F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8" authorId="0" shapeId="0" xr:uid="{B1819EA0-556C-49B4-AE95-2843B081AC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8" authorId="0" shapeId="0" xr:uid="{BFC90202-4B26-ED47-B594-1C519233B5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9" authorId="0" shapeId="0" xr:uid="{883A6C12-9038-4569-A7AE-DFEC54EFFB7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9" authorId="0" shapeId="0" xr:uid="{B5856DF2-0B27-C14D-B061-72B5BE07FD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3" authorId="0" shapeId="0" xr:uid="{69392723-2EE1-4BA2-9480-C0A22F76D48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3" authorId="0" shapeId="0" xr:uid="{966FBE2F-ED32-8144-B43E-7192679A0C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4" authorId="0" shapeId="0" xr:uid="{619B0605-9DD6-4C35-B003-7939653E57A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4" authorId="0" shapeId="0" xr:uid="{4A73D022-807C-5A42-8557-E134FACC63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5" authorId="0" shapeId="0" xr:uid="{D4708086-A182-4AAC-90BD-897787A40E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5" authorId="0" shapeId="0" xr:uid="{42447B8C-3485-D946-BB82-12907CBCED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6" authorId="0" shapeId="0" xr:uid="{D3F170DD-98F2-496E-A61D-9DA23C63F6D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6" authorId="0" shapeId="0" xr:uid="{DF40D4F3-3AB9-4A4A-A0E5-389AFF3EAA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7" authorId="0" shapeId="0" xr:uid="{5BD92837-9140-423B-B258-4203DFA54A4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7" authorId="0" shapeId="0" xr:uid="{2C40A876-0743-E143-B4C8-9D4DF4C8C18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8" authorId="0" shapeId="0" xr:uid="{A78089FA-BEA8-4F30-A2E9-9AF35685606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8" authorId="0" shapeId="0" xr:uid="{366179AF-B65F-8741-A833-F5B8BC12032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9" authorId="0" shapeId="0" xr:uid="{38322E38-C241-4A34-8DBA-CA0891FFAA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9" authorId="0" shapeId="0" xr:uid="{9874D52B-7034-3B44-907E-57D84E8D7F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0" authorId="0" shapeId="0" xr:uid="{7C31F889-8841-49C9-98AA-5FB6815815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0" authorId="0" shapeId="0" xr:uid="{9B9B74F9-7D9A-C647-9626-FBB7856876B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1" authorId="0" shapeId="0" xr:uid="{85441BE4-E290-4865-908B-CA8BD543A88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1" authorId="0" shapeId="0" xr:uid="{F235A21D-5E70-4445-9BD1-86B9D247016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2" authorId="0" shapeId="0" xr:uid="{310A59A0-7151-4720-B35A-C24E927FD4E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2" authorId="0" shapeId="0" xr:uid="{D34A7A3E-816D-E644-B78F-37F080D9FC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3" authorId="0" shapeId="0" xr:uid="{064B2A1F-D30C-4142-B195-56D7693355B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3" authorId="0" shapeId="0" xr:uid="{55D22D9B-6C9A-7240-BEE9-11AB07AB6F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7" authorId="0" shapeId="0" xr:uid="{E3F62B45-3175-7044-AEBA-13AB409361E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47" authorId="0" shapeId="0" xr:uid="{1603E91F-B833-0546-878D-98F3709035B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8" authorId="0" shapeId="0" xr:uid="{F54E6DB3-71BA-6743-93F5-13E2B33F0E1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8" authorId="0" shapeId="0" xr:uid="{91EEBF23-C7D2-224C-A2B6-4BD3C9728C9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9" authorId="0" shapeId="0" xr:uid="{639A5C36-3936-C544-84A7-1DFF4DED42A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49" authorId="0" shapeId="0" xr:uid="{BE78577C-7899-634A-8D88-1AC379A512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0" authorId="0" shapeId="0" xr:uid="{BCCD62CC-2A1B-2D4D-A117-127FE1413D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0" authorId="0" shapeId="0" xr:uid="{2CB64ECF-DBCE-8C47-BBCA-21ADAF8AB4F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1" authorId="0" shapeId="0" xr:uid="{1EA57820-9C8E-FC4F-BC08-BDC74DD1AAB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51" authorId="0" shapeId="0" xr:uid="{DEDA6FC3-D84D-444B-8465-41A0A57CC9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2" authorId="0" shapeId="0" xr:uid="{8D11BE52-5C99-7A49-A05D-3080148F01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2" authorId="0" shapeId="0" xr:uid="{0BE8C185-E307-EF4E-9CB1-6CCC06CF9F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6" authorId="0" shapeId="0" xr:uid="{625B0E8D-96EE-401C-98C1-009F1763B4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6" authorId="0" shapeId="0" xr:uid="{590FC7E6-0B5E-6C46-B569-0A4419EB06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7" authorId="0" shapeId="0" xr:uid="{8B5CD256-2CB6-431A-AC95-C71B083E35F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7" authorId="0" shapeId="0" xr:uid="{D284444D-70E1-B449-BE41-EE73A29E19F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8" authorId="0" shapeId="0" xr:uid="{0B8953B9-73C7-49AC-8AAD-9D4221DE52A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8" authorId="0" shapeId="0" xr:uid="{7C370E6B-7A3A-2447-9E2F-A41B5669516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9" authorId="0" shapeId="0" xr:uid="{1D58F734-09D4-4C02-90B3-183D92DC4B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9" authorId="0" shapeId="0" xr:uid="{976C7C93-87AF-9348-A3D9-23A8DBCAAA6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0" authorId="0" shapeId="0" xr:uid="{4AEE0C1F-8E42-4801-805F-8BB175E368B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0" authorId="0" shapeId="0" xr:uid="{544FC0F5-3BA5-A64B-967F-02BD3FE8F58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1" authorId="0" shapeId="0" xr:uid="{8513BB88-8992-47E4-83A3-43D1B768D92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1" authorId="0" shapeId="0" xr:uid="{F2C5F881-3653-664F-BB1C-C95B25EC0C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2" authorId="0" shapeId="0" xr:uid="{F812FD87-00A2-4AF9-A0AD-BBE2E249DE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2" authorId="0" shapeId="0" xr:uid="{B3A99640-09F6-AD44-BFA9-BA75B9AC36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6" authorId="0" shapeId="0" xr:uid="{2518F146-34B1-4CE2-8C6B-7FAFAE65DB2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66" authorId="0" shapeId="0" xr:uid="{DA2BC130-4974-BF48-8875-30C4B5BCBE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7" authorId="0" shapeId="0" xr:uid="{24B0DE1C-B466-4F5B-A6AC-0231BC6266E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67" authorId="0" shapeId="0" xr:uid="{E7A68466-476D-0846-934B-95B67A1D34F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8" authorId="0" shapeId="0" xr:uid="{4EDCE83C-2780-4DA5-9B00-ABE32095DA3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8" authorId="0" shapeId="0" xr:uid="{04EC1869-1E9B-D447-9075-8C1F930069D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9" authorId="0" shapeId="0" xr:uid="{20FFD42F-BAB2-4311-9C3E-EA75044AB59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69" authorId="0" shapeId="0" xr:uid="{82AF67A3-24BC-8D4B-B06F-19BCDE94BA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0" authorId="0" shapeId="0" xr:uid="{4B0F507D-00A9-4868-B0B4-8AEF2DA8E24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70" authorId="0" shapeId="0" xr:uid="{F40E3653-031F-2C40-BC5F-297CBC7DEA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1" authorId="0" shapeId="0" xr:uid="{5C0941C3-B0DF-4C3F-AC60-D67F022ED4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1" authorId="0" shapeId="0" xr:uid="{79DEF8DC-8CB7-BA41-8392-C7B2AE80BD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2" authorId="0" shapeId="0" xr:uid="{E8C9EA1C-E666-4286-A638-6E0B7B64499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72" authorId="0" shapeId="0" xr:uid="{A7F18F18-8B1E-3744-8385-9219E728B8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3" authorId="0" shapeId="0" xr:uid="{D2DD79A1-7DDC-4D9F-8508-D9A96004AA9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73" authorId="0" shapeId="0" xr:uid="{7D3B3726-9826-AA4B-974F-7C5EA6D5AC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4" authorId="0" shapeId="0" xr:uid="{9D9403D7-6F6B-4A4C-8550-790346AD6E5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4" authorId="0" shapeId="0" xr:uid="{B7F70AB4-534C-5F48-BF20-1CCF25068CE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4" authorId="0" shapeId="0" xr:uid="{C0FBA3C1-9C50-4401-AE6C-9316653BB60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85" authorId="0" shapeId="0" xr:uid="{F64368B9-D7D3-4948-890C-CCE4DC5A974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86" authorId="0" shapeId="0" xr:uid="{C2B4A0DA-CA5D-412F-A295-613E664612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87" authorId="0" shapeId="0" xr:uid="{D193E6DE-B932-443F-9842-AE5612B5837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88" authorId="0" shapeId="0" xr:uid="{5A7920D3-5EFC-4CC0-B8D6-84D8C4E82F6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89" authorId="0" shapeId="0" xr:uid="{7FAF0857-326B-4E4A-92CF-C8F5B57B7D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0" authorId="0" shapeId="0" xr:uid="{0D1F291C-C521-4E0E-9591-2CAAFDC78A0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91" authorId="0" shapeId="0" xr:uid="{9A9DD125-43D5-45C4-9676-716A1DBBB47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92" authorId="0" shapeId="0" xr:uid="{8834337C-B5D8-4A9E-92BC-51D4289DB36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3" authorId="0" shapeId="0" xr:uid="{453BC18E-B29D-4B87-A0A2-6BC5F4D2B6A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94" authorId="0" shapeId="0" xr:uid="{53D5F710-BB49-4A20-B29C-428D6E1FE4F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95" authorId="0" shapeId="0" xr:uid="{69D3A8BB-25F4-4416-BE8E-FD586EB699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9" authorId="0" shapeId="0" xr:uid="{D6AB8E80-8354-4282-925A-58A4B48A4A1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99" authorId="0" shapeId="0" xr:uid="{175C80A9-6EEB-8A42-8185-FCA40A30B24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0" authorId="0" shapeId="0" xr:uid="{AA7F49CC-0D8F-9646-9C4C-90D4140373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1" authorId="0" shapeId="0" xr:uid="{BEA32F00-9B83-4D64-B8FE-5B009A45BC6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01" authorId="0" shapeId="0" xr:uid="{55D791DF-3DBD-094E-8D78-54690B5197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2" authorId="0" shapeId="0" xr:uid="{07173F09-7924-4F8E-88DE-064AD3728D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2" authorId="0" shapeId="0" xr:uid="{58152A72-78BD-1B46-B964-9C352DD5EFC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3" authorId="0" shapeId="0" xr:uid="{0D4B6643-18FF-49F6-AE7D-D45EFCAD8F5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3" authorId="0" shapeId="0" xr:uid="{0F269E3E-3DD3-7E4C-A7C8-37C1AFBDF5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4" authorId="0" shapeId="0" xr:uid="{3E04625B-D99C-4CDB-80EB-3892058FE9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4" authorId="0" shapeId="0" xr:uid="{70EEF2BA-2193-6143-B5C5-EA56E26396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5" authorId="0" shapeId="0" xr:uid="{7FC7C349-8B10-43ED-96C0-B20437E832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5" authorId="0" shapeId="0" xr:uid="{1773835C-19EB-CF4A-B785-0B645EB58E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6" authorId="0" shapeId="0" xr:uid="{8AF1F319-4A14-435B-8581-3609538FF4F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06" authorId="0" shapeId="0" xr:uid="{EBC48379-E628-5143-AB7C-A7B81CE8C9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7" authorId="0" shapeId="0" xr:uid="{527615B7-2369-D541-A8F9-C63567EDA1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8" authorId="0" shapeId="0" xr:uid="{D98A1C0F-F299-42CF-BF72-3A6330671BF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08" authorId="0" shapeId="0" xr:uid="{E990086C-4EBF-0F42-A5A4-6E3D137F3F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9" authorId="0" shapeId="0" xr:uid="{A5013057-48C0-4731-B0A5-0C127CA53D1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9" authorId="0" shapeId="0" xr:uid="{2B516691-FC9F-C049-9B4C-17518916D8E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0" authorId="0" shapeId="0" xr:uid="{FECFFFFC-A792-4F58-9BCB-BA1717B862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0" authorId="0" shapeId="0" xr:uid="{812F582D-5314-784C-A372-094D3CC9A8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1" authorId="0" shapeId="0" xr:uid="{2D77E8A6-032C-46C1-BA76-4AFD05958E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1" authorId="0" shapeId="0" xr:uid="{DAE2D6D8-B50D-F045-A93A-B7B20C41C0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2" authorId="0" shapeId="0" xr:uid="{6ED0E078-F0DE-4B63-960F-6A2CF9BEDC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2" authorId="0" shapeId="0" xr:uid="{C8278A89-079D-5645-BB6D-2689904B0B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3" authorId="0" shapeId="0" xr:uid="{768B2EBE-534A-0642-A7DB-F392F803A7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4" authorId="0" shapeId="0" xr:uid="{D46B2834-2B90-C648-AA1C-D40059EB12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5" authorId="0" shapeId="0" xr:uid="{70192DB0-9AAE-0F41-841B-0FDBE6A0F8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6" authorId="0" shapeId="0" xr:uid="{01ACEB0E-3178-ED4D-8533-F12237D39D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7" authorId="0" shapeId="0" xr:uid="{285A49FA-B481-824E-AF2D-FA751125D4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8" authorId="0" shapeId="0" xr:uid="{036009CE-47E4-6F4E-BD7E-51236BAA11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9" authorId="0" shapeId="0" xr:uid="{BBF58566-639A-B248-AAE4-9340C4CB63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7" authorId="0" shapeId="0" xr:uid="{26D94CE5-79D0-4931-A1E6-7D11B1DA2DE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129" authorId="0" shapeId="0" xr:uid="{72251F1C-2E39-423D-BC66-82228E41F17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G130" authorId="0" shapeId="0" xr:uid="{B6AB3387-69D6-45F1-9810-DA153D26D1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1" authorId="0" shapeId="0" xr:uid="{A4DE0B3C-490E-4EEE-8FC5-92EEBF81C6E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2" authorId="0" shapeId="0" xr:uid="{BAC8F59C-65D3-4005-9278-D604DE4ED4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3" authorId="0" shapeId="0" xr:uid="{75BFEB00-0B96-4D6F-8D44-DD9B076A0BF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4" authorId="0" shapeId="0" xr:uid="{4C389072-2DD5-472F-9009-86ADC7EF035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G137" authorId="0" shapeId="0" xr:uid="{FC1C22D4-AEF5-407C-A212-1A5680A992E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8" authorId="0" shapeId="0" xr:uid="{57542F41-8393-4D63-B057-A81AA8D99F7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9" authorId="0" shapeId="0" xr:uid="{567AAECD-1AD3-4902-855F-1C1FDE5BC7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0" authorId="0" shapeId="0" xr:uid="{F666DF31-CB5D-4DB1-814B-C205A825E5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72" authorId="0" shapeId="0" xr:uid="{20034DF2-3D4B-8646-B687-627BC335A99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2" authorId="0" shapeId="0" xr:uid="{6C7E403C-F808-0C42-8960-6D921CD897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3" authorId="0" shapeId="0" xr:uid="{FB928A62-0BE3-4B46-B0C0-FDF0C162A3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3" authorId="0" shapeId="0" xr:uid="{2884AA05-FFE9-F545-9D53-27A99F146C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4" authorId="0" shapeId="0" xr:uid="{4D88E99F-3911-604F-9CFF-F49AE3772C5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4" authorId="0" shapeId="0" xr:uid="{9F18187B-FDD2-FD4A-8E07-5C65BEFD2B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5" authorId="0" shapeId="0" xr:uid="{9A33DC73-21BB-1843-A3E1-8F2436ED49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5" authorId="0" shapeId="0" xr:uid="{4C256BAF-40A6-6748-AF8F-4F3CA589F8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6" authorId="0" shapeId="0" xr:uid="{E6934CFB-015C-1448-806F-4F79EEFED39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76" authorId="0" shapeId="0" xr:uid="{2271A629-864F-C04C-BF93-CD2793B839A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7" authorId="0" shapeId="0" xr:uid="{55A2D1FC-4EC4-C343-BBC2-54BD5E4DBC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7" authorId="0" shapeId="0" xr:uid="{1E1F2205-ECB4-2A42-97FF-8721C6D703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5" authorId="0" shapeId="0" xr:uid="{44C9D849-C42D-624D-961C-5D4961740E8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5" authorId="0" shapeId="0" xr:uid="{1A1A18F7-B107-3949-BF48-3BB126F7D9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6" authorId="0" shapeId="0" xr:uid="{B74A1A43-24FA-C04D-B39C-6DB516644B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6" authorId="0" shapeId="0" xr:uid="{B5615621-5373-604E-8C76-95057AB934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7" authorId="0" shapeId="0" xr:uid="{551DB136-1494-43EA-97F1-0F8D3FCB9BA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7" authorId="0" shapeId="0" xr:uid="{C890ED85-BF12-4232-93F9-F911893D7B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8" authorId="0" shapeId="0" xr:uid="{E67DB094-C6C7-4EDD-9AB1-16B8010747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8" authorId="0" shapeId="0" xr:uid="{3CE15515-5802-4CCE-891C-6FC2D51AC4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9" authorId="0" shapeId="0" xr:uid="{37D6C4B5-246D-4127-A1DF-B6B5F10BC23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H189" authorId="0" shapeId="0" xr:uid="{4E393455-A21E-432F-80DF-6B57998314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0" authorId="0" shapeId="0" xr:uid="{56AF8052-979E-4C3B-BB3F-9D32A191F65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0" authorId="0" shapeId="0" xr:uid="{88A8F135-BF96-406C-B559-B697DA907A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4" authorId="0" shapeId="0" xr:uid="{DA0AFD3E-E9A1-4DB6-BE35-F2734C754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4" authorId="0" shapeId="0" xr:uid="{5F85E83D-D62F-E349-93EE-7CF1643931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5" authorId="0" shapeId="0" xr:uid="{BC04476E-925A-417B-B2DE-CABB4FAFBE2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5" authorId="0" shapeId="0" xr:uid="{5BCC42B2-684B-FB42-AB8E-46A55326E0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6" authorId="0" shapeId="0" xr:uid="{5A4A375C-33F0-423A-B61B-E159F2C1D2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6" authorId="0" shapeId="0" xr:uid="{DEE4A524-1CB2-C64F-94FA-529CEBC60C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7" authorId="0" shapeId="0" xr:uid="{3BAFD57B-62A4-4B5B-96C2-5DF363BB266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7" authorId="0" shapeId="0" xr:uid="{B72EDF88-1B15-644D-B5F0-84EDD40E73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8" authorId="0" shapeId="0" xr:uid="{94B14A17-22D0-4A12-8DB6-7705939D80B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8" authorId="0" shapeId="0" xr:uid="{8F1440F2-B244-6043-8899-A646C28900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9" authorId="0" shapeId="0" xr:uid="{FAC975E2-48D0-468E-B923-737C242868C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9" authorId="0" shapeId="0" xr:uid="{3F461B98-C98D-FE47-97D2-A36C514BD7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C200" authorId="0" shapeId="0" xr:uid="{80234BFE-AE23-CF42-88B6-1AF2DE5A14D3}">
      <text>
        <r>
          <rPr>
            <b/>
            <sz val="10"/>
            <color rgb="FF000000"/>
            <rFont val="Tahoma"/>
            <family val="2"/>
          </rPr>
          <t>Francesco Parigi:</t>
        </r>
        <r>
          <rPr>
            <sz val="10"/>
            <color rgb="FF000000"/>
            <rFont val="Tahoma"/>
            <family val="2"/>
          </rPr>
          <t xml:space="preserve">
</t>
        </r>
        <r>
          <rPr>
            <sz val="10"/>
            <color rgb="FF000000"/>
            <rFont val="Calibri"/>
            <family val="2"/>
          </rPr>
          <t xml:space="preserve">e.g. Soil and Substrate Preparation, Temperature and Humidity Control, Greenhouse Maintenance
</t>
        </r>
      </text>
    </comment>
    <comment ref="G200" authorId="0" shapeId="0" xr:uid="{D1EE427C-501B-4DAC-BCCA-4A8DC04338C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0" authorId="0" shapeId="0" xr:uid="{C954E18A-0014-4643-8B1D-68D61D82AC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1" authorId="0" shapeId="0" xr:uid="{045E6193-A2DD-4731-BFA5-F495F57165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1" authorId="0" shapeId="0" xr:uid="{2655573C-F442-474A-B4D0-47F1C28E27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2" authorId="0" shapeId="0" xr:uid="{C595C446-585E-4BB1-AB87-FB916BD3137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2" authorId="0" shapeId="0" xr:uid="{9E9069B1-9E14-B744-B8FA-7A03D8F8C91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3" authorId="0" shapeId="0" xr:uid="{4EC87859-A1B6-454B-A817-A797B48EE09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3" authorId="0" shapeId="0" xr:uid="{14D06D35-ADEF-6D45-8832-C2B3CC8642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4" authorId="0" shapeId="0" xr:uid="{4869650F-256C-47C2-BCE1-D9DC32DE23F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4" authorId="0" shapeId="0" xr:uid="{8F90CC2D-B840-CC44-AEB8-F5331AD642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5" authorId="0" shapeId="0" xr:uid="{C79FD16A-BE8F-4C11-A87D-3679E59974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5" authorId="0" shapeId="0" xr:uid="{30BF7B65-2F95-4640-9688-D75301FEB1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6" authorId="0" shapeId="0" xr:uid="{C9F5E28E-FEEF-4B10-96EB-7E0C7E1A38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6" authorId="0" shapeId="0" xr:uid="{B1A797D4-F7A6-2F44-BDC2-AF49C7B0C2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7" authorId="0" shapeId="0" xr:uid="{559D6FB9-3FF6-4A7E-B0EC-EA2A5D1D7A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7" authorId="0" shapeId="0" xr:uid="{E5E56697-DABF-B346-B03C-947864C325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8" authorId="0" shapeId="0" xr:uid="{7301D282-D417-4643-9379-793D3AFAEF5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8" authorId="0" shapeId="0" xr:uid="{93747EE6-931B-A248-BE2E-68D48F38D26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9" authorId="0" shapeId="0" xr:uid="{FF3341BB-9B58-4E1F-BAA0-1D76C63D00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9" authorId="0" shapeId="0" xr:uid="{6F7C8D54-2D48-0344-9EDA-3CC93BC00C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0" authorId="0" shapeId="0" xr:uid="{47AFDB65-CAB5-40BB-8A41-2FFE6253CE0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0" authorId="0" shapeId="0" xr:uid="{634EB6F3-5526-394F-B69A-858FC75C5B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1" authorId="0" shapeId="0" xr:uid="{0A899B33-2DE2-4506-B339-090EB366D4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1" authorId="0" shapeId="0" xr:uid="{A0CB6816-A43B-AD4C-8CA8-8CCF22C6F8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2" authorId="0" shapeId="0" xr:uid="{8567E6B5-7941-43A8-94D4-B3E979F5C7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2" authorId="0" shapeId="0" xr:uid="{17712217-E8E6-4D48-94B3-C52B968EA9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3" authorId="0" shapeId="0" xr:uid="{65B6AECF-39A7-484D-A7DE-B9EA1E7917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3" authorId="0" shapeId="0" xr:uid="{4255C466-82DF-B84B-8165-2C219294326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4" authorId="0" shapeId="0" xr:uid="{B56F9DDA-290E-4D06-A7C9-0A0E21BB3C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4" authorId="0" shapeId="0" xr:uid="{2318F628-C4BB-9241-B1E7-754EDF9E9E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5" authorId="0" shapeId="0" xr:uid="{666CA860-3C6A-49DB-B1B6-10AA2A563A7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5" authorId="0" shapeId="0" xr:uid="{3EE3335F-2600-2B47-828F-77E0B55195D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6" authorId="0" shapeId="0" xr:uid="{C1239013-1680-475F-85B2-377D7D61A3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6" authorId="0" shapeId="0" xr:uid="{F78202A1-6187-5D46-8A0E-51ACE70144C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7" authorId="0" shapeId="0" xr:uid="{9CF858A1-D88E-4142-A9A3-C1103DF78C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7" authorId="0" shapeId="0" xr:uid="{48BD798E-9A0C-7E46-9ECB-8F11E29930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8" authorId="0" shapeId="0" xr:uid="{E884071D-8756-41BD-8B6B-9C7AF6CAC0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8" authorId="0" shapeId="0" xr:uid="{C3D30778-31AD-A84F-BB80-1093E5466B7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20" authorId="0" shapeId="0" xr:uid="{75918C94-75C6-9C4E-8AE1-E90CE3DCE062}">
      <text>
        <r>
          <rPr>
            <b/>
            <sz val="10"/>
            <color rgb="FF000000"/>
            <rFont val="Tahoma"/>
            <family val="2"/>
          </rPr>
          <t>Francesco Parigi:</t>
        </r>
        <r>
          <rPr>
            <sz val="10"/>
            <color rgb="FF000000"/>
            <rFont val="Tahoma"/>
            <family val="2"/>
          </rPr>
          <t xml:space="preserve">
</t>
        </r>
        <r>
          <rPr>
            <sz val="10"/>
            <color rgb="FF000000"/>
            <rFont val="Tahoma"/>
            <family val="2"/>
          </rPr>
          <t>necessary to calculate economic KPIs</t>
        </r>
      </text>
    </comment>
    <comment ref="G222" authorId="0" shapeId="0" xr:uid="{28FD0514-9C96-4725-A9A8-9685979A843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2" authorId="0" shapeId="0" xr:uid="{85976922-CE66-0044-8312-72F7184D22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3" authorId="0" shapeId="0" xr:uid="{E084BC57-39ED-413B-8ECB-ECFEE6B203C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23" authorId="0" shapeId="0" xr:uid="{85614BCD-0476-EF4A-B698-02203C635C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4" authorId="0" shapeId="0" xr:uid="{F3987856-0740-4F95-B29E-9AC2A5CFB41D}">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24" authorId="0" shapeId="0" xr:uid="{49A64215-A915-0549-8EBE-FA43C350ACA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5" authorId="0" shapeId="0" xr:uid="{84A8A573-1929-4F3A-A01E-F5FB258C18D6}">
      <text>
        <r>
          <rPr>
            <b/>
            <sz val="10"/>
            <color rgb="FF000000"/>
            <rFont val="Tahoma"/>
            <family val="2"/>
          </rPr>
          <t xml:space="preserve">Francesco Parigi:
</t>
        </r>
        <r>
          <rPr>
            <sz val="10"/>
            <color rgb="FF000000"/>
            <rFont val="Tahoma"/>
            <family val="2"/>
          </rPr>
          <t xml:space="preserve">Decimal number 
</t>
        </r>
      </text>
    </comment>
    <comment ref="H225" authorId="0" shapeId="0" xr:uid="{45EDDF26-BD86-9C4B-B4B0-B0758740F6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6" authorId="0" shapeId="0" xr:uid="{18010AD5-F93E-4D6C-B726-A08521DB2D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6" authorId="0" shapeId="0" xr:uid="{9EBABC74-8EE6-FD41-A05B-D760BF7B5B2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7" authorId="0" shapeId="0" xr:uid="{36992120-2138-4D40-A446-DB8A72F001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7" authorId="0" shapeId="0" xr:uid="{690FAB5D-3C67-E040-BE09-38521CA10D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8" authorId="0" shapeId="0" xr:uid="{81C7221B-CD5F-4CB0-BE8A-2E2BE207AFF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8" authorId="0" shapeId="0" xr:uid="{FFA849B8-D655-8443-A1C9-AF7A2FF4C8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0" authorId="0" shapeId="0" xr:uid="{520E04ED-07B2-4640-A1F7-F440908D70A5}">
      <text>
        <r>
          <rPr>
            <b/>
            <sz val="10"/>
            <color rgb="FF000000"/>
            <rFont val="Tahoma"/>
            <family val="2"/>
          </rPr>
          <t>Francesco Parigi:</t>
        </r>
        <r>
          <rPr>
            <sz val="10"/>
            <color rgb="FF000000"/>
            <rFont val="Tahoma"/>
            <family val="2"/>
          </rPr>
          <t xml:space="preserve">
</t>
        </r>
        <r>
          <rPr>
            <sz val="10"/>
            <color rgb="FF000000"/>
            <rFont val="Tahoma"/>
            <family val="2"/>
          </rPr>
          <t>necessary to calculate environmental KPIs</t>
        </r>
      </text>
    </comment>
    <comment ref="G232" authorId="0" shapeId="0" xr:uid="{6D21F339-AFB8-6448-BB8B-888AC37C1EE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2" authorId="0" shapeId="0" xr:uid="{3DFFCD61-4037-E242-8C79-CEAB1467F7B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3" authorId="0" shapeId="0" xr:uid="{8E6939BF-FA6C-2142-B4A3-5500609E3A3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3" authorId="0" shapeId="0" xr:uid="{570FA0F2-93CD-BB49-BB2C-01CCB231773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4" authorId="0" shapeId="0" xr:uid="{F1ECE794-7880-5241-A5DB-1F008E45894D}">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34" authorId="0" shapeId="0" xr:uid="{DAB33543-A5E7-044E-838A-821EA62CA90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5" authorId="0" shapeId="0" xr:uid="{98B59A51-6451-9947-960E-963D1E32D9B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235" authorId="0" shapeId="0" xr:uid="{80576766-265F-E04E-B664-CC239FAF9E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6" authorId="0" shapeId="0" xr:uid="{75D8017D-3C3D-3F4B-B5AD-8E14247DAE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6" authorId="0" shapeId="0" xr:uid="{54D1C2FD-539B-654E-8C60-F18D96CDE8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7" authorId="0" shapeId="0" xr:uid="{13419855-ADB2-E446-9A5A-78718A32E16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37" authorId="0" shapeId="0" xr:uid="{CAB0B518-C1BC-9844-8DBF-44F47541EB2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9" authorId="0" shapeId="0" xr:uid="{E932B84C-D419-5F43-8885-2E179A1A6522}">
      <text>
        <r>
          <rPr>
            <b/>
            <sz val="10"/>
            <color rgb="FF000000"/>
            <rFont val="Tahoma"/>
            <family val="2"/>
          </rPr>
          <t>Francesco Parigi:</t>
        </r>
        <r>
          <rPr>
            <sz val="10"/>
            <color rgb="FF000000"/>
            <rFont val="Tahoma"/>
            <family val="2"/>
          </rPr>
          <t xml:space="preserve">
</t>
        </r>
        <r>
          <rPr>
            <sz val="10"/>
            <color rgb="FF000000"/>
            <rFont val="Tahoma"/>
            <family val="2"/>
          </rPr>
          <t>Necessary to calculate social KPIs</t>
        </r>
      </text>
    </comment>
    <comment ref="G241" authorId="0" shapeId="0" xr:uid="{C8E8FA45-06F8-489E-A4E5-1A3D560FFC9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1" authorId="0" shapeId="0" xr:uid="{63A29083-8A06-BF4B-AFDB-A1C1152BC0E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2" authorId="0" shapeId="0" xr:uid="{7817EA7F-C785-44DE-9E93-3D9D3A5CBED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2" authorId="0" shapeId="0" xr:uid="{9642B7F6-D830-194F-BDCA-4D23B3FA1C0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3" authorId="0" shapeId="0" xr:uid="{64909109-8235-4B5D-9AF0-90B5056A5A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3" authorId="0" shapeId="0" xr:uid="{BB5ECAF9-DE11-594A-846E-EE1F5E01E77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4" authorId="0" shapeId="0" xr:uid="{39F051EE-6F33-4D4F-B7B7-AD2A7EA5E24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4" authorId="0" shapeId="0" xr:uid="{37F96103-14AC-FF45-B1B9-9A6971C230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5" authorId="0" shapeId="0" xr:uid="{DA7B1BC9-1842-4BEE-A601-27659929CC7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5" authorId="0" shapeId="0" xr:uid="{A2383462-854A-C044-947F-41D12B9003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6" authorId="0" shapeId="0" xr:uid="{0DF3509A-C75A-406B-AF62-3630B2861A9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46" authorId="0" shapeId="0" xr:uid="{625D52CE-A8DA-3448-9B0B-4A4B481729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0" authorId="0" shapeId="0" xr:uid="{42E6B0DE-8FC0-41DA-94E5-EFD8C061A35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0" authorId="0" shapeId="0" xr:uid="{BD9783E6-6AB1-A047-986B-6C8C276E3B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1" authorId="0" shapeId="0" xr:uid="{1D0390F8-6A0D-3A4A-8AB8-9BAD3EA60B3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1" authorId="0" shapeId="0" xr:uid="{E1519560-AB58-1E49-B347-6CB6255B240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2" authorId="0" shapeId="0" xr:uid="{D4AA88D7-FA36-BB44-9460-012566B4D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2" authorId="0" shapeId="0" xr:uid="{CB8920BB-DB79-704C-94EC-57E64B67CBA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3" authorId="0" shapeId="0" xr:uid="{737A18C0-3FA1-5A47-9246-F124323431CA}">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H253" authorId="0" shapeId="0" xr:uid="{3B1A3088-E4DE-884F-854D-1257CD4996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4" authorId="0" shapeId="0" xr:uid="{23C61F45-BC1F-4044-A41B-265D984D632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4" authorId="0" shapeId="0" xr:uid="{0C8EFD0B-0B23-FA43-93B9-A072D0D63B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5" authorId="0" shapeId="0" xr:uid="{20B17807-EB43-5446-B7DD-04C760D9F5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5" authorId="0" shapeId="0" xr:uid="{E90051AC-5483-EC4B-8593-556F5CD460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6" authorId="0" shapeId="0" xr:uid="{B2B611FD-1C4B-224F-B0C9-630F6212C7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6" authorId="0" shapeId="0" xr:uid="{A37189AF-05BB-4F4C-A669-FFC3EFB482D5}">
      <text>
        <r>
          <rPr>
            <b/>
            <sz val="10"/>
            <color rgb="FF000000"/>
            <rFont val="Tahoma"/>
            <family val="2"/>
          </rPr>
          <t>Francesco Parigi:</t>
        </r>
        <r>
          <rPr>
            <sz val="10"/>
            <color rgb="FF000000"/>
            <rFont val="Tahoma"/>
            <family val="2"/>
          </rPr>
          <t xml:space="preserve">
</t>
        </r>
        <r>
          <rPr>
            <sz val="10"/>
            <color rgb="FF000000"/>
            <rFont val="Tahoma"/>
            <family val="2"/>
          </rPr>
          <t>Text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H10" authorId="0" shapeId="0" xr:uid="{1ECA3BFB-4B17-4BF4-8540-7C8F422402E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H11" authorId="0" shapeId="0" xr:uid="{40A1BE5D-6017-4F71-8999-B45C58E810DE}">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H12" authorId="0" shapeId="0" xr:uid="{ED5A6A22-662C-4BF1-AB2A-AC1EC422C19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 authorId="0" shapeId="0" xr:uid="{F33E0458-38AE-4406-A148-A089BA2CC7D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 authorId="0" shapeId="0" xr:uid="{0C206C63-8124-4591-A90C-2631CA1982E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 authorId="0" shapeId="0" xr:uid="{B76D3783-DECC-4859-A8CC-3AA7F53591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 authorId="0" shapeId="0" xr:uid="{8DB3A005-FF22-4C91-A288-B25AB84CBE3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 authorId="0" shapeId="0" xr:uid="{A87A10F2-A32F-43F9-8D96-A3E215C75AF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18" authorId="0" shapeId="0" xr:uid="{5B38EE41-D858-4B93-815C-44D084F8A1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 authorId="0" shapeId="0" xr:uid="{50F74F5F-8D91-476C-ACFC-003CAEAE657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20" authorId="0" shapeId="0" xr:uid="{1A5B9439-EFE4-43CC-9D2C-8585C49C217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 authorId="0" shapeId="0" xr:uid="{7344DF9D-6CB1-46A6-B54B-ADF24116EE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4" authorId="0" shapeId="0" xr:uid="{227C3320-7EB0-C24C-A6A3-E191E80775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 authorId="0" shapeId="0" xr:uid="{B529D6CC-FFE5-4B6C-8883-78A1B6A84E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 authorId="0" shapeId="0" xr:uid="{9F297F8C-82D6-B141-B65C-79512A1F665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6" authorId="0" shapeId="0" xr:uid="{06153FBC-C441-4019-AE22-07388E97487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6" authorId="0" shapeId="0" xr:uid="{07E78EBD-C8C5-ED45-9DED-ECC9CA5EF61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7" authorId="0" shapeId="0" xr:uid="{9F4992A8-DDFB-44C9-BCA4-30F8A115163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7" authorId="0" shapeId="0" xr:uid="{C3A15E4F-57FD-5A46-8D24-91BA24C2EA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8" authorId="0" shapeId="0" xr:uid="{F6A253B7-6080-4D79-9E3A-AEB1F881917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8" authorId="0" shapeId="0" xr:uid="{EB6E37D3-EAE4-CB42-AC66-2C772FA3C1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9" authorId="0" shapeId="0" xr:uid="{E54174B4-23E2-49BD-9550-8124E52687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9" authorId="0" shapeId="0" xr:uid="{EC86C377-DA53-C34A-B388-2D5BBE8E5A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3" authorId="0" shapeId="0" xr:uid="{DAF34286-46B3-4B17-A6B1-9C4ADF69C54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3" authorId="0" shapeId="0" xr:uid="{156D4B1D-10E3-C247-A5A1-6800448E82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4" authorId="0" shapeId="0" xr:uid="{40369F9A-0C05-4CA4-864F-92EA896D1A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4" authorId="0" shapeId="0" xr:uid="{CCD7AECB-1AFA-4046-A3FE-80A12FB6B9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5" authorId="0" shapeId="0" xr:uid="{E4253169-6834-4F92-B929-71675FEBD8F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5" authorId="0" shapeId="0" xr:uid="{215C34BF-807D-9046-B52A-AAD4D23EC1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6" authorId="0" shapeId="0" xr:uid="{66307622-EA34-4B75-917B-607F4516C37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6" authorId="0" shapeId="0" xr:uid="{B7251A26-F946-6B46-864B-0DDCD999C8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7" authorId="0" shapeId="0" xr:uid="{6FABE178-4820-4DC7-B524-37F1015D05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7" authorId="0" shapeId="0" xr:uid="{0FEFFE95-EE3A-8D4F-8BD3-F023AA9569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8" authorId="0" shapeId="0" xr:uid="{65A76596-1A3D-4AC0-8DAE-D89987B333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8" authorId="0" shapeId="0" xr:uid="{73020E6E-8AB1-CB47-A8B4-38B76D8ED30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39" authorId="0" shapeId="0" xr:uid="{3B5077B2-5802-4DFF-9DE1-34FF768156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39" authorId="0" shapeId="0" xr:uid="{EE528D53-A8C7-934F-99E8-714256EF1F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0" authorId="0" shapeId="0" xr:uid="{06A41B1F-6CBF-49F1-BDA3-F3FDD8C63B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0" authorId="0" shapeId="0" xr:uid="{78E88E73-BB56-5F40-9092-DAEF36DD5F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1" authorId="0" shapeId="0" xr:uid="{76B1407B-AED0-4DB3-978E-BA8B2EE42F1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1" authorId="0" shapeId="0" xr:uid="{EC9AAE3D-7323-5B4D-A584-DC92A2302F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2" authorId="0" shapeId="0" xr:uid="{1E6B52D9-8186-432F-B460-CF5E2622194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2" authorId="0" shapeId="0" xr:uid="{C2BBEECD-3A90-AD48-9D93-94F3D22F647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3" authorId="0" shapeId="0" xr:uid="{146D011B-C921-4F90-AC09-036EC1DD559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3" authorId="0" shapeId="0" xr:uid="{F1AFA9A8-36D5-2A4D-8651-48194FA0CF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7" authorId="0" shapeId="0" xr:uid="{0DF21845-2865-40BD-A1FA-7B2B4EBECD1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47" authorId="0" shapeId="0" xr:uid="{0F1FE692-568C-EA4B-AAF9-13B2AD76AC7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8" authorId="0" shapeId="0" xr:uid="{1BB01772-6C46-4624-9669-C3AB88776A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48" authorId="0" shapeId="0" xr:uid="{AFB9F2B1-0673-4B4B-A5D4-40B82A3EA3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49" authorId="0" shapeId="0" xr:uid="{F78C846C-C66E-46F2-ABDD-7B2CF7E619C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49" authorId="0" shapeId="0" xr:uid="{E86A2669-A0AD-6546-B3F8-FECC4E1467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0" authorId="0" shapeId="0" xr:uid="{4D85C11A-575E-4624-8DA0-4FD8D5731A2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0" authorId="0" shapeId="0" xr:uid="{819A1ADB-E47E-BD40-A2F7-215888C19C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1" authorId="0" shapeId="0" xr:uid="{F7F65BF5-E3CD-4ED8-8BA2-644ABE561EF4}">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51" authorId="0" shapeId="0" xr:uid="{1B7CECF9-2C97-4A4D-9591-5246736DBE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2" authorId="0" shapeId="0" xr:uid="{543E4000-C040-4727-804E-94BF8E9FA6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2" authorId="0" shapeId="0" xr:uid="{4322933C-B335-3E48-9254-5B485E6460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6" authorId="0" shapeId="0" xr:uid="{98033C73-CE85-45DD-9BBF-54E24100B9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6" authorId="0" shapeId="0" xr:uid="{C2316EC3-6709-1A4D-8F71-43564A6396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7" authorId="0" shapeId="0" xr:uid="{E269FC3B-3A9E-458A-A132-693D67D2AE5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7" authorId="0" shapeId="0" xr:uid="{D313F46D-FF5D-6A45-8DDB-FFC012B1AD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8" authorId="0" shapeId="0" xr:uid="{09E0D1E5-9CAE-45B7-992D-CBAAE9AD2E6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8" authorId="0" shapeId="0" xr:uid="{4B252C74-7250-C547-86F2-B5F1EFEAB6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59" authorId="0" shapeId="0" xr:uid="{C671AEAD-ED26-49A1-A000-9F012831B1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59" authorId="0" shapeId="0" xr:uid="{40614713-E42D-DF4C-825A-8DB2C4D55C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0" authorId="0" shapeId="0" xr:uid="{5CB15862-B063-4995-ADC2-63FF35DFDCF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60" authorId="0" shapeId="0" xr:uid="{A34C8B08-60FA-5247-A2F2-94A750F3D08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1" authorId="0" shapeId="0" xr:uid="{A0454BE7-3DD1-4845-A287-680FC039B4B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61" authorId="0" shapeId="0" xr:uid="{1F50AEEA-D9F4-FA42-98E0-A6484C1A6F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2" authorId="0" shapeId="0" xr:uid="{D12A2008-8684-4ADA-9775-4264A1B919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62" authorId="0" shapeId="0" xr:uid="{28C004A9-671F-3542-AD44-DE7DF06BD9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6" authorId="0" shapeId="0" xr:uid="{9EBC31E0-AE58-4282-A7D7-1B364839D12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66" authorId="0" shapeId="0" xr:uid="{64CD16FD-E9D3-D14F-B5F4-E952FD0E464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7" authorId="0" shapeId="0" xr:uid="{50E6BE00-BEEE-4A8C-BCF5-A0C8E4BB58C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67" authorId="0" shapeId="0" xr:uid="{CD3AAB21-DF3D-724C-B0C3-15680D5C88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8" authorId="0" shapeId="0" xr:uid="{B7233F3B-C980-4329-A50C-9B57723CA30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68" authorId="0" shapeId="0" xr:uid="{211DC2DA-4560-AA4A-A8B5-BB0C5F466A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69" authorId="0" shapeId="0" xr:uid="{28851734-EF66-4F73-8E6E-3BC8AB9DEA4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69" authorId="0" shapeId="0" xr:uid="{C27401C1-403C-E341-A0E5-584047558CB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70" authorId="0" shapeId="0" xr:uid="{75691F32-D765-4CB9-99D9-A4E6E801F6D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70" authorId="0" shapeId="0" xr:uid="{2DE724DD-6F14-2349-B2CC-5D7A57B974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71" authorId="0" shapeId="0" xr:uid="{09CFF6C5-5805-48AE-A500-17DE0BD972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71" authorId="0" shapeId="0" xr:uid="{7CC10F38-F3A3-624D-9E44-37BD0F2C51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72" authorId="0" shapeId="0" xr:uid="{A6E53075-2E05-4A9F-9546-D425C1DAAE4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72" authorId="0" shapeId="0" xr:uid="{5812311D-D3E5-9B4F-A4F7-E24F2E0720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73" authorId="0" shapeId="0" xr:uid="{B2EDBC33-4A0C-454E-925C-D6DEBFACED9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73" authorId="0" shapeId="0" xr:uid="{83B41646-98DA-8449-9C86-8AA6299DB6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74" authorId="0" shapeId="0" xr:uid="{E82A34D7-5BF5-4B98-BEE0-A6E116E31A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74" authorId="0" shapeId="0" xr:uid="{970781F9-F463-384F-9C92-75584341EC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82" authorId="0" shapeId="0" xr:uid="{03749C38-2537-4DFE-89DB-0D6DC2265B5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H83" authorId="0" shapeId="0" xr:uid="{5FBFB162-5A62-4979-A37D-A96482C259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9" authorId="0" shapeId="0" xr:uid="{7C600135-FA17-47A0-A7D6-E0E3D5A4BB4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99" authorId="0" shapeId="0" xr:uid="{9D40387B-86ED-9043-AE6F-40BDEC7A05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00" authorId="0" shapeId="0" xr:uid="{5E63E95E-8D22-544D-8C66-E2D5D308FC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1" authorId="0" shapeId="0" xr:uid="{25DE8BD4-5E25-4AE7-8365-8285B2C5EF1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101" authorId="0" shapeId="0" xr:uid="{9C74370F-4F0E-3C4A-8DA9-B70C0F58D84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2" authorId="0" shapeId="0" xr:uid="{4ED82112-3FC6-4E1B-9810-9621A8C3BD7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02" authorId="0" shapeId="0" xr:uid="{D6C07592-D04E-CF4F-AAE1-A2A0AB77B50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3" authorId="0" shapeId="0" xr:uid="{C5E84BD3-D24B-49BD-98AC-4035ED13DAA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03" authorId="0" shapeId="0" xr:uid="{64B45A1A-8B09-614C-A16B-90B306BF34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4" authorId="0" shapeId="0" xr:uid="{AA55B03E-0406-4D6A-96BC-A6A2E517EE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04" authorId="0" shapeId="0" xr:uid="{A11B20E9-2F0A-374B-9C6F-C4EB3C7F5E6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5" authorId="0" shapeId="0" xr:uid="{1EA5E046-717D-4E34-86C0-146F868AB9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05" authorId="0" shapeId="0" xr:uid="{146E053A-08AE-A248-A1FA-C12DA86E5B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6" authorId="0" shapeId="0" xr:uid="{08FC1A5B-1E1D-4986-934C-91F7FB8EBE64}">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06" authorId="0" shapeId="0" xr:uid="{E13DFF12-E0A9-DF46-8FC7-4A300AC509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07" authorId="0" shapeId="0" xr:uid="{1D748873-8603-F04A-AD57-6D7042F14B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8" authorId="0" shapeId="0" xr:uid="{60C71340-B7CB-48DA-9BD9-4851228A83F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108" authorId="0" shapeId="0" xr:uid="{A9C1C040-DBF6-AC42-9775-EDFDB61862C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09" authorId="0" shapeId="0" xr:uid="{049FB951-D8A8-427B-9EE1-478270F28C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09" authorId="0" shapeId="0" xr:uid="{35EEF6A0-ED8D-2F49-9DC4-EE1AD70016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0" authorId="0" shapeId="0" xr:uid="{A8300881-F649-449E-BD78-82B1120EAF3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10" authorId="0" shapeId="0" xr:uid="{91B76071-C65D-DB4B-AD22-05E3B9ECAB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1" authorId="0" shapeId="0" xr:uid="{FC7A022D-10AB-4D78-852D-0BFA06A801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11" authorId="0" shapeId="0" xr:uid="{987C191E-8467-734B-962F-A43C8F65E8C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12" authorId="0" shapeId="0" xr:uid="{281A683C-2164-44FC-83C1-11DD26A512E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12" authorId="0" shapeId="0" xr:uid="{BE17FA01-E3A2-9F41-B2E4-86B8EBBDCD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3" authorId="0" shapeId="0" xr:uid="{3CF70C1B-088C-EA4A-9FFD-A20C022DFD1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4" authorId="0" shapeId="0" xr:uid="{CD20D737-F101-DD40-A859-3C9BCCA6995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5" authorId="0" shapeId="0" xr:uid="{838EE3A2-5A5B-BF45-A13D-ED0DD24BF7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6" authorId="0" shapeId="0" xr:uid="{6197D4DC-6522-4235-86FD-9B3D2FB7928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7" authorId="0" shapeId="0" xr:uid="{DE92CA16-973F-C44E-B5FD-9795C3C0B0A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8" authorId="0" shapeId="0" xr:uid="{A565A979-B563-3E4B-ADCF-EDA8F0AB38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19" authorId="0" shapeId="0" xr:uid="{36CB1122-F649-9A41-BE71-DF8A214660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0" authorId="0" shapeId="0" xr:uid="{395E0C14-28E0-4BFB-BFB8-357FD703671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1" authorId="0" shapeId="0" xr:uid="{CD580E54-3097-4BB6-8143-9CD479DC26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2" authorId="0" shapeId="0" xr:uid="{ED3C556C-D579-48FA-B264-23A1D3F3F8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3" authorId="0" shapeId="0" xr:uid="{ED49F129-C4E8-49EA-A7FE-23AF7A99BD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4" authorId="0" shapeId="0" xr:uid="{8D708C1D-9BD1-4ECD-99A1-F75238EBB2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5" authorId="0" shapeId="0" xr:uid="{5654F76C-34FE-4DD0-9752-5E57AB6D3C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6" authorId="0" shapeId="0" xr:uid="{894E43F0-081D-420B-9901-C555E16C18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7" authorId="0" shapeId="0" xr:uid="{6DFAF99C-09C2-4B95-9460-6C7F0EA87D4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27" authorId="0" shapeId="0" xr:uid="{D7E22201-00D6-43F3-89AE-8CD6CA33CD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I128" authorId="0" shapeId="0" xr:uid="{29DC1092-5BB0-4A2E-A6BE-63EEDDD3767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29" authorId="0" shapeId="0" xr:uid="{557279ED-44E0-4BA5-B0E1-80CAD303038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129" authorId="0" shapeId="0" xr:uid="{24211751-C564-489A-AF26-3E06335754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30" authorId="0" shapeId="0" xr:uid="{F4BD5E3B-9EC0-4295-BE6D-F4EBADB3E4E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30" authorId="0" shapeId="0" xr:uid="{F1EB67CE-36FD-4DDC-9FBF-EA16CF4552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31" authorId="0" shapeId="0" xr:uid="{95812747-635F-44B2-A017-A1651B9DF79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31" authorId="0" shapeId="0" xr:uid="{BA3CBC1E-388E-4E68-8686-24D95198BF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32" authorId="0" shapeId="0" xr:uid="{4C2EC610-D985-4F45-BF55-1572F75063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32" authorId="0" shapeId="0" xr:uid="{7FB94D78-4F57-46B3-90BC-8D128E1993E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33" authorId="0" shapeId="0" xr:uid="{8463540E-E574-446F-83D8-4F281F044DE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33" authorId="0" shapeId="0" xr:uid="{417665E2-6738-48C1-B41C-F3D19ED956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37" authorId="0" shapeId="0" xr:uid="{9E7F4738-490F-4B8E-B4D5-8C0706482E9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8" authorId="0" shapeId="0" xr:uid="{6238E7B3-B359-4389-9B96-8AE497006F0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9" authorId="0" shapeId="0" xr:uid="{D89B6637-52B9-46C9-BA29-07ADB336FE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0" authorId="0" shapeId="0" xr:uid="{BD8E6F23-24D0-4685-8CDD-95653FD848A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2" authorId="0" shapeId="0" xr:uid="{3D433C53-9B1D-4F47-9CDF-7DAD825EC08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72" authorId="0" shapeId="0" xr:uid="{FD871C70-D8FC-BC48-B265-688E334A28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3" authorId="0" shapeId="0" xr:uid="{3507B52D-EBA1-3344-BD52-E59F432D07A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73" authorId="0" shapeId="0" xr:uid="{012BA942-230E-1D4A-8242-05113DEF9E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4" authorId="0" shapeId="0" xr:uid="{4631C57F-CDCE-2B4D-B70A-79CF9FC001E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74" authorId="0" shapeId="0" xr:uid="{F569A2CC-5AE7-4F4A-83C3-D1CFC0096E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5" authorId="0" shapeId="0" xr:uid="{93D0A209-1003-5140-B7BD-E3783E363A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75" authorId="0" shapeId="0" xr:uid="{A690C2B2-8770-D741-9CE4-00F32A7AAD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6" authorId="0" shapeId="0" xr:uid="{D6785440-AA4C-AB49-94BB-44406C9F82E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76" authorId="0" shapeId="0" xr:uid="{6793CD2C-14B8-C542-8BF8-3C6D3175735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7" authorId="0" shapeId="0" xr:uid="{4FACF7CF-5D81-8344-80A1-CCBEA047EA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77" authorId="0" shapeId="0" xr:uid="{92C9550F-3744-0348-A863-5DDA1966AA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8" authorId="0" shapeId="0" xr:uid="{41EFCD00-6490-4135-8278-DA488F3317D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78" authorId="0" shapeId="0" xr:uid="{95ED583B-6EE8-4997-AA3D-89E1ABE286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79" authorId="0" shapeId="0" xr:uid="{F2D9A3A6-6094-425E-B009-F5A0AEE4667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79" authorId="0" shapeId="0" xr:uid="{296D50AE-1DC9-47A2-B97C-C83B127DD46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0" authorId="0" shapeId="0" xr:uid="{243EAE72-C7F9-4BBF-A720-A93CCEC2289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80" authorId="0" shapeId="0" xr:uid="{160E75B6-C68F-4577-B381-25DC002159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1" authorId="0" shapeId="0" xr:uid="{E534B4BB-68CB-45E7-A899-2F6DC1935C8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81" authorId="0" shapeId="0" xr:uid="{D5CE4367-B3BB-4CB8-B76F-212F7E08D6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5" authorId="0" shapeId="0" xr:uid="{AD1B3F45-00F7-B441-8E80-0BF6C9943824}">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85" authorId="0" shapeId="0" xr:uid="{78B0A924-4450-204E-AAC2-AAA4BF122A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6" authorId="0" shapeId="0" xr:uid="{F22C6A29-56E1-AC44-8469-80183CDD1A7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86" authorId="0" shapeId="0" xr:uid="{85C0A30D-7B0B-F64A-A639-9A7AA1B6B3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7" authorId="0" shapeId="0" xr:uid="{E56EAE65-D8DE-4DC6-AB9A-74BF132E3EA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87" authorId="0" shapeId="0" xr:uid="{164D2245-A8B4-4B39-A314-D69EC843B11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8" authorId="0" shapeId="0" xr:uid="{08B3867F-8CB2-4D02-85E2-AD8A0EF968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88" authorId="0" shapeId="0" xr:uid="{31CF94DB-217F-4B4B-9F7C-896768689C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89" authorId="0" shapeId="0" xr:uid="{82734694-001D-4704-9FE3-EBB0AAE6972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I189" authorId="0" shapeId="0" xr:uid="{9C0F386D-AE0C-4826-A184-9F504F7676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0" authorId="0" shapeId="0" xr:uid="{894E221B-09D0-4494-88E8-B3CBE0F125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0" authorId="0" shapeId="0" xr:uid="{9B283626-507C-415B-B791-769444A3C5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4" authorId="0" shapeId="0" xr:uid="{9F01E33C-A456-4C8E-AB2B-56FC42961E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4" authorId="0" shapeId="0" xr:uid="{4E70CE44-D434-1241-A686-499444F715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5" authorId="0" shapeId="0" xr:uid="{757490F7-DC47-4555-ACC8-BC4CDB7D0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5" authorId="0" shapeId="0" xr:uid="{E407E1C2-D4F5-E043-A4C9-E085062F10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6" authorId="0" shapeId="0" xr:uid="{FA985C86-A203-477D-9579-9C520AF0AEB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6" authorId="0" shapeId="0" xr:uid="{05225858-4D02-F449-89CB-D3C6502BE4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7" authorId="0" shapeId="0" xr:uid="{94087831-FAC4-4EA4-A6CF-7589374706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7" authorId="0" shapeId="0" xr:uid="{B12E904B-F1A8-B649-976F-F71593F310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8" authorId="0" shapeId="0" xr:uid="{9878A6DD-4A71-4E40-93F1-CE12CB3744B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8" authorId="0" shapeId="0" xr:uid="{C75A0DA2-43C5-754C-A21B-448DEEB420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199" authorId="0" shapeId="0" xr:uid="{F835631A-8267-40CD-97F0-AFA1D6DCA62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199" authorId="0" shapeId="0" xr:uid="{6D883316-C99A-C34E-8B9E-9EAB8C22909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C200" authorId="0" shapeId="0" xr:uid="{590A9B73-2F44-5645-B246-7CBD1C78367B}">
      <text>
        <r>
          <rPr>
            <b/>
            <sz val="10"/>
            <color rgb="FF000000"/>
            <rFont val="Tahoma"/>
            <family val="2"/>
          </rPr>
          <t>Francesco Parigi:</t>
        </r>
        <r>
          <rPr>
            <sz val="10"/>
            <color rgb="FF000000"/>
            <rFont val="Tahoma"/>
            <family val="2"/>
          </rPr>
          <t xml:space="preserve">
</t>
        </r>
        <r>
          <rPr>
            <sz val="10"/>
            <color rgb="FF000000"/>
            <rFont val="Calibri"/>
            <family val="2"/>
          </rPr>
          <t xml:space="preserve">e.g. Soil and Substrate Preparation, Temperature and Humidity Control, Greenhouse Maintenance
</t>
        </r>
      </text>
    </comment>
    <comment ref="H200" authorId="0" shapeId="0" xr:uid="{6AB81863-D4F3-4CDC-8EBD-6DE772FCED6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0" authorId="0" shapeId="0" xr:uid="{A47B2362-32E0-004A-8590-600C93DDAA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1" authorId="0" shapeId="0" xr:uid="{6E8FCEF6-9DF8-46A6-8F7B-3BAF932A558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1" authorId="0" shapeId="0" xr:uid="{0EFC09F5-29F8-5346-B9D1-E5447B7BDD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2" authorId="0" shapeId="0" xr:uid="{F4BF8DC6-B63B-48FF-A35E-0FAE73DB08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2" authorId="0" shapeId="0" xr:uid="{8F868B04-7996-624E-8FED-C2F73A1333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3" authorId="0" shapeId="0" xr:uid="{90A68ACF-BB04-46CE-8881-83E76726FC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3" authorId="0" shapeId="0" xr:uid="{27017F8F-D7BA-E047-B087-410341AAA1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4" authorId="0" shapeId="0" xr:uid="{B3F59002-61EA-4177-B9E8-4ED467A477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4" authorId="0" shapeId="0" xr:uid="{4C88C332-3828-7848-8F94-88CBEDE4D9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5" authorId="0" shapeId="0" xr:uid="{7084D2EC-B5D0-4043-90A4-62EA0CA951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5" authorId="0" shapeId="0" xr:uid="{78A2C1BC-4EDC-5C49-9016-8099980F66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6" authorId="0" shapeId="0" xr:uid="{490C77BA-6B66-4C78-8A70-B118593A48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6" authorId="0" shapeId="0" xr:uid="{11E30DEF-8490-A040-8391-4762394D512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7" authorId="0" shapeId="0" xr:uid="{6DB53C1D-9543-4D70-BBD5-F9995CC3BD1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7" authorId="0" shapeId="0" xr:uid="{184B4367-863E-F94F-99AF-EF12A4AC1A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8" authorId="0" shapeId="0" xr:uid="{5F3A7249-C90F-41D7-932A-7DF6303463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8" authorId="0" shapeId="0" xr:uid="{D0510CCF-CE3E-6A44-9E13-4E4899126B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09" authorId="0" shapeId="0" xr:uid="{10160BFB-0026-4F52-8813-FF67A98B41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09" authorId="0" shapeId="0" xr:uid="{B7DC4D42-BCE9-C545-B3CD-AC3DF8EE7C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0" authorId="0" shapeId="0" xr:uid="{C9CDFC7C-93D8-4259-BC18-6450017EC5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0" authorId="0" shapeId="0" xr:uid="{9EB72E04-D6EB-574C-9ED1-7227308CCF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1" authorId="0" shapeId="0" xr:uid="{80361614-B2D9-42A4-9C70-9BC65988A13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1" authorId="0" shapeId="0" xr:uid="{A429DFE3-1B79-D640-B654-D648F8A513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2" authorId="0" shapeId="0" xr:uid="{45651D75-0D96-4000-BA8F-E91E9290596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2" authorId="0" shapeId="0" xr:uid="{6371F627-95CC-4448-9F58-2912E83414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3" authorId="0" shapeId="0" xr:uid="{E576F717-3D94-4B53-A259-199052A329B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3" authorId="0" shapeId="0" xr:uid="{241AF93E-81F5-B349-9735-966DA78D04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4" authorId="0" shapeId="0" xr:uid="{108BB0BD-C311-4D2A-9407-6D88A7C4F8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4" authorId="0" shapeId="0" xr:uid="{935F17E4-6200-1A4B-A925-E6CA6EA150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5" authorId="0" shapeId="0" xr:uid="{B59CE297-9AAB-4EEA-9318-CDEA4EA9EF5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5" authorId="0" shapeId="0" xr:uid="{597976FA-C921-2D46-AB25-A68EE7B733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6" authorId="0" shapeId="0" xr:uid="{821EA7F7-99A9-4CF3-AAB1-0428145FB4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6" authorId="0" shapeId="0" xr:uid="{808DBCC6-FD5B-5645-815D-E5E2D7888D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7" authorId="0" shapeId="0" xr:uid="{1833D43D-717C-4167-8F15-642B4F103A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7" authorId="0" shapeId="0" xr:uid="{3C480CCF-7B98-A24E-A4F1-6CFE3F270B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18" authorId="0" shapeId="0" xr:uid="{219BC148-4C58-4158-893F-F2F5FB5949B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18" authorId="0" shapeId="0" xr:uid="{2E805A84-2E42-A848-8EE9-579A9964894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20" authorId="0" shapeId="0" xr:uid="{C0593E05-CE44-324E-9E0F-D5842CA221B1}">
      <text>
        <r>
          <rPr>
            <b/>
            <sz val="10"/>
            <color rgb="FF000000"/>
            <rFont val="Tahoma"/>
            <family val="2"/>
          </rPr>
          <t>Francesco Parigi:</t>
        </r>
        <r>
          <rPr>
            <sz val="10"/>
            <color rgb="FF000000"/>
            <rFont val="Tahoma"/>
            <family val="2"/>
          </rPr>
          <t xml:space="preserve">
</t>
        </r>
        <r>
          <rPr>
            <sz val="10"/>
            <color rgb="FF000000"/>
            <rFont val="Tahoma"/>
            <family val="2"/>
          </rPr>
          <t>necessary to calculate economic KPIs</t>
        </r>
      </text>
    </comment>
    <comment ref="H222" authorId="0" shapeId="0" xr:uid="{10EFFB92-5000-49DB-97D8-303C109248D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22" authorId="0" shapeId="0" xr:uid="{A5B5E515-D249-D742-964A-F14612B283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23" authorId="0" shapeId="0" xr:uid="{FFDAE40F-8E8A-4D74-9841-AB88D04DD8B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23" authorId="0" shapeId="0" xr:uid="{A8B407F1-86F8-7842-AD1E-2E3AF7F59C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24" authorId="0" shapeId="0" xr:uid="{482E34AD-C3C6-4380-856E-6E9B59281D50}">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224" authorId="0" shapeId="0" xr:uid="{368F7A92-185A-314A-8000-FC1EF45EAC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25" authorId="0" shapeId="0" xr:uid="{0489D9C7-BBB2-499D-BB73-F27ACF83C480}">
      <text>
        <r>
          <rPr>
            <b/>
            <sz val="10"/>
            <color rgb="FF000000"/>
            <rFont val="Tahoma"/>
            <family val="2"/>
          </rPr>
          <t xml:space="preserve">Francesco Parigi:
</t>
        </r>
        <r>
          <rPr>
            <sz val="10"/>
            <color rgb="FF000000"/>
            <rFont val="Tahoma"/>
            <family val="2"/>
          </rPr>
          <t xml:space="preserve">Decimal number 
</t>
        </r>
      </text>
    </comment>
    <comment ref="I225" authorId="0" shapeId="0" xr:uid="{657DB7A3-153C-7D46-A14D-8D52EC0A93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26" authorId="0" shapeId="0" xr:uid="{382201B9-1C78-46F0-93CC-592E187C58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26" authorId="0" shapeId="0" xr:uid="{22DE7EE0-106D-A041-8F93-37908C50CF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27" authorId="0" shapeId="0" xr:uid="{AB4F2B23-4DCD-4647-9401-1969A15DED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27" authorId="0" shapeId="0" xr:uid="{FADBB22A-11DD-E347-8968-953F086F37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28" authorId="0" shapeId="0" xr:uid="{BB529694-54D8-4F1D-BCB5-60320C8D57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28" authorId="0" shapeId="0" xr:uid="{43C920FB-AE2E-E845-B504-0B735A41CD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0" authorId="0" shapeId="0" xr:uid="{1898B63A-C3EE-FF4C-ABBE-2A8BBB04D857}">
      <text>
        <r>
          <rPr>
            <b/>
            <sz val="10"/>
            <color rgb="FF000000"/>
            <rFont val="Tahoma"/>
            <family val="2"/>
          </rPr>
          <t>Francesco Parigi:</t>
        </r>
        <r>
          <rPr>
            <sz val="10"/>
            <color rgb="FF000000"/>
            <rFont val="Tahoma"/>
            <family val="2"/>
          </rPr>
          <t xml:space="preserve">
</t>
        </r>
        <r>
          <rPr>
            <sz val="10"/>
            <color rgb="FF000000"/>
            <rFont val="Tahoma"/>
            <family val="2"/>
          </rPr>
          <t>necessary to calculate environmental KPIs</t>
        </r>
      </text>
    </comment>
    <comment ref="H232" authorId="0" shapeId="0" xr:uid="{8FFA8C26-66AD-B44B-9746-A70D86BAB76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32" authorId="0" shapeId="0" xr:uid="{610724AD-BC3C-8445-9557-81C884ACCD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33" authorId="0" shapeId="0" xr:uid="{52CEB887-B923-824A-9563-287096C6897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33" authorId="0" shapeId="0" xr:uid="{FC82539F-E22A-314D-856D-F433288969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34" authorId="0" shapeId="0" xr:uid="{66D58F2D-DD02-7B4C-9AD7-288B4B26F1FC}">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234" authorId="0" shapeId="0" xr:uid="{60CDC51F-44C7-5E44-92FD-29492BDF78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35" authorId="0" shapeId="0" xr:uid="{20BC2BED-975D-ED4D-8227-13C25AB54975}">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I235" authorId="0" shapeId="0" xr:uid="{9E044D6F-9A0B-9A44-B47D-18D87D0F79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36" authorId="0" shapeId="0" xr:uid="{0DED5210-5191-7F46-AC3B-FEAE8B52C6E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36" authorId="0" shapeId="0" xr:uid="{A5D829BB-3A97-4C4B-B302-E272E70C17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37" authorId="0" shapeId="0" xr:uid="{3333A093-81EE-E945-8D10-E781D18D4BE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37" authorId="0" shapeId="0" xr:uid="{96BEE78B-07C7-2544-BE29-C06385D687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39" authorId="0" shapeId="0" xr:uid="{CEBA2151-2542-444D-8FD2-7C3809F44332}">
      <text>
        <r>
          <rPr>
            <b/>
            <sz val="10"/>
            <color rgb="FF000000"/>
            <rFont val="Tahoma"/>
            <family val="2"/>
          </rPr>
          <t>Francesco Parigi:</t>
        </r>
        <r>
          <rPr>
            <sz val="10"/>
            <color rgb="FF000000"/>
            <rFont val="Tahoma"/>
            <family val="2"/>
          </rPr>
          <t xml:space="preserve">
</t>
        </r>
        <r>
          <rPr>
            <sz val="10"/>
            <color rgb="FF000000"/>
            <rFont val="Tahoma"/>
            <family val="2"/>
          </rPr>
          <t>Necessary to calculate social KPIs</t>
        </r>
      </text>
    </comment>
    <comment ref="H241" authorId="0" shapeId="0" xr:uid="{934C1D85-5D9F-4780-AFB1-A07BC4B9678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41" authorId="0" shapeId="0" xr:uid="{55068EC9-51E1-2C42-ADEB-DE9FF04409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42" authorId="0" shapeId="0" xr:uid="{FA6DECD5-F355-454E-B162-C4D62BF4911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42" authorId="0" shapeId="0" xr:uid="{15FDF8EC-F9F2-7443-95E4-542EC992BE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43" authorId="0" shapeId="0" xr:uid="{1B72A235-187D-4EE9-B924-2FFE9721468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43" authorId="0" shapeId="0" xr:uid="{1BB355DE-B3C2-604F-B511-D03DDD853D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44" authorId="0" shapeId="0" xr:uid="{26FAB8BE-F940-46BE-9579-5A68EA4F0E6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44" authorId="0" shapeId="0" xr:uid="{1769DD2B-7DBF-3848-801F-351D33826A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45" authorId="0" shapeId="0" xr:uid="{21B6714A-299F-45AA-A26E-9DE525061F5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45" authorId="0" shapeId="0" xr:uid="{7442A9C6-5AA0-7640-964B-DD5660CBDA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46" authorId="0" shapeId="0" xr:uid="{EB08BC06-D157-46FC-A8A6-1539E72B1B3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I246" authorId="0" shapeId="0" xr:uid="{9CE85EFD-B1D1-2C47-B486-31C712C5A2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0" authorId="0" shapeId="0" xr:uid="{25BA6767-88CE-4C30-ADF0-65E072699FD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0" authorId="0" shapeId="0" xr:uid="{21DDB90E-6BCB-2B4F-AB4F-7237CC715B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1" authorId="0" shapeId="0" xr:uid="{014ECC5E-A864-8E48-9B5D-A9FEAF4EE15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1" authorId="0" shapeId="0" xr:uid="{722D2302-DD84-9546-A2E3-030C53236AC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2" authorId="0" shapeId="0" xr:uid="{7F0E0B8F-7861-6141-BED7-2164017632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2" authorId="0" shapeId="0" xr:uid="{CC4A294A-77C0-B94D-BAB6-75D529B027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3" authorId="0" shapeId="0" xr:uid="{1F224885-B0D5-8440-9250-9980A7374D33}">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I253" authorId="0" shapeId="0" xr:uid="{D008B937-7006-A04B-ABEB-123E1021BE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4" authorId="0" shapeId="0" xr:uid="{D0BEE8B7-91A5-8F45-AEEA-FDD757B9DF8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4" authorId="0" shapeId="0" xr:uid="{1DA89F08-98DA-074E-A751-13AA8D7F5C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5" authorId="0" shapeId="0" xr:uid="{11FF616C-9392-1D41-9B35-76A2AD00963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5" authorId="0" shapeId="0" xr:uid="{705E6117-A486-604F-9F9E-75AFCAAEA1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H256" authorId="0" shapeId="0" xr:uid="{A3AAAA58-CC6D-7B40-8CF7-57F9C685015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I256" authorId="0" shapeId="0" xr:uid="{181F0B71-28E5-9C49-A583-642790C0CB98}">
      <text>
        <r>
          <rPr>
            <b/>
            <sz val="10"/>
            <color rgb="FF000000"/>
            <rFont val="Tahoma"/>
            <family val="2"/>
          </rPr>
          <t>Francesco Parigi:</t>
        </r>
        <r>
          <rPr>
            <sz val="10"/>
            <color rgb="FF000000"/>
            <rFont val="Tahoma"/>
            <family val="2"/>
          </rPr>
          <t xml:space="preserve">
</t>
        </r>
        <r>
          <rPr>
            <sz val="10"/>
            <color rgb="FF000000"/>
            <rFont val="Tahoma"/>
            <family val="2"/>
          </rPr>
          <t>Text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chiara corbo</author>
  </authors>
  <commentList>
    <comment ref="B10" authorId="0" shapeId="0" xr:uid="{FC31F11A-442D-ED4F-9640-783178D8EBB1}">
      <text>
        <r>
          <rPr>
            <b/>
            <sz val="10"/>
            <color rgb="FF000000"/>
            <rFont val="Tahoma"/>
            <family val="2"/>
          </rPr>
          <t>chiara corbo:</t>
        </r>
        <r>
          <rPr>
            <sz val="10"/>
            <color rgb="FF000000"/>
            <rFont val="Tahoma"/>
            <family val="2"/>
          </rPr>
          <t xml:space="preserve">
</t>
        </r>
        <r>
          <rPr>
            <sz val="10"/>
            <color rgb="FF000000"/>
            <rFont val="Tahoma"/>
            <family val="2"/>
          </rPr>
          <t xml:space="preserve">cost of labour diventa singola voce, che si calcola o sommando le voci singole sulle attività oppure come complessivo come per input acqua ecc.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chiara corbo</author>
  </authors>
  <commentList>
    <comment ref="D78" authorId="0" shapeId="0" xr:uid="{3AC906AC-0694-B348-8427-4CA6BAE984F4}">
      <text>
        <r>
          <rPr>
            <b/>
            <sz val="10"/>
            <color rgb="FF000000"/>
            <rFont val="Tahoma"/>
            <family val="2"/>
          </rPr>
          <t>chiara corbo:</t>
        </r>
        <r>
          <rPr>
            <sz val="10"/>
            <color rgb="FF000000"/>
            <rFont val="Tahoma"/>
            <family val="2"/>
          </rPr>
          <t xml:space="preserve">
</t>
        </r>
        <r>
          <rPr>
            <sz val="10"/>
            <color rgb="FF000000"/>
            <rFont val="Tahoma"/>
            <family val="2"/>
          </rPr>
          <t>serve tenere tutto questo??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tc={5CABB8A1-27E3-4CCD-8C29-336106BFBE26}</author>
    <author>tc={F2A9B87B-9258-4ECA-8B00-DCD3EFB7E510}</author>
    <author>tc={24F6536B-4FD9-4FB3-B328-CD753519AD77}</author>
    <author>tc={A7C8F337-41E4-4713-99B5-9B279ED58791}</author>
    <author>tc={9F8E3BB3-D55C-42EA-83B9-022F9F604EF3}</author>
    <author>tc={75050D1E-618C-4FD8-BFC9-725302ECF610}</author>
    <author>tc={F37966A8-31DE-410A-9C9D-3F1996E32E50}</author>
    <author>tc={7C699CE0-B76B-4B4A-BF07-FB0115D00DBB}</author>
    <author>tc={F721C37E-BD6B-4E79-87FE-5AC67F217008}</author>
    <author>tc={2489065C-AEA7-463C-94CB-D00D17B1DE14}</author>
    <author>tc={98808325-C713-43D4-8DE6-A87C480C8D1E}</author>
    <author>tc={06EEA1BD-3D0C-4BFD-8D54-586BA8E036EE}</author>
    <author>tc={FBB86499-2158-477E-B0F8-28A1C735181B}</author>
  </authors>
  <commentList>
    <comment ref="G2" authorId="0" shapeId="0" xr:uid="{5CABB8A1-27E3-4CCD-8C29-336106BFBE26}">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 this column the % variation of each KPI is adjusted in order to have positive values for positive impacts and negative values for negative impacts</t>
        </r>
      </text>
    </comment>
    <comment ref="I2" authorId="1" shapeId="0" xr:uid="{F2A9B87B-9258-4ECA-8B00-DCD3EFB7E510}">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column is used to assign 1 to KPIs where an increase represents something positive, and 0 where an increase represents something negative </t>
        </r>
      </text>
    </comment>
    <comment ref="N2" authorId="2" shapeId="0" xr:uid="{24F6536B-4FD9-4FB3-B328-CD753519AD77}">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based on our TC reports</t>
        </r>
      </text>
    </comment>
    <comment ref="O2" authorId="3" shapeId="0" xr:uid="{A7C8F337-41E4-4713-99B5-9B279ED58791}">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based on our TC reports</t>
        </r>
      </text>
    </comment>
    <comment ref="P2" authorId="4" shapeId="0" xr:uid="{9F8E3BB3-D55C-42EA-83B9-022F9F604EF3}">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based on our TC reports</t>
        </r>
      </text>
    </comment>
    <comment ref="Q2" authorId="5" shapeId="0" xr:uid="{75050D1E-618C-4FD8-BFC9-725302ECF610}">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field must be filled manually
</t>
        </r>
      </text>
    </comment>
    <comment ref="T2" authorId="6" shapeId="0" xr:uid="{F37966A8-31DE-410A-9C9D-3F1996E32E50}">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7 categories used to aggregate the KPIs in the spider chart: always shown and displayed</t>
        </r>
      </text>
    </comment>
    <comment ref="V2" authorId="7" shapeId="0" xr:uid="{7C699CE0-B76B-4B4A-BF07-FB0115D00DBB}">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 some cases, the variation between the two scenarios, with DATSs and NO DATSs, exceeds 100%. This makes it difficult to standardize the visualization of the results, and such a large difference is not always justifiable solely based on the adoption of DATSs. For this reason, I have set a maximum range for these values so that they can be better visualized in the charts. </t>
        </r>
      </text>
    </comment>
    <comment ref="E47" authorId="8" shapeId="0" xr:uid="{F721C37E-BD6B-4E79-87FE-5AC67F217008}">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completed</t>
        </r>
      </text>
    </comment>
    <comment ref="D48" authorId="9" shapeId="0" xr:uid="{2489065C-AEA7-463C-94CB-D00D17B1DE14}">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calculated next year
</t>
        </r>
      </text>
    </comment>
    <comment ref="E48" authorId="10" shapeId="0" xr:uid="{98808325-C713-43D4-8DE6-A87C480C8D1E}">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completed</t>
        </r>
      </text>
    </comment>
    <comment ref="D49" authorId="11" shapeId="0" xr:uid="{06EEA1BD-3D0C-4BFD-8D54-586BA8E036EE}">
      <text>
        <r>
          <rPr>
            <sz val="12"/>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calculated next year
</t>
        </r>
      </text>
    </comment>
    <comment ref="E49" authorId="12" shapeId="0" xr:uid="{FBB86499-2158-477E-B0F8-28A1C735181B}">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be completed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tc={63F3B7A5-78F5-445A-8E26-6E073F21DF63}</author>
  </authors>
  <commentList>
    <comment ref="B1" authorId="0" shapeId="0" xr:uid="{63F3B7A5-78F5-445A-8E26-6E073F21DF63}">
      <text>
        <r>
          <rPr>
            <sz val="12"/>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All the icons for the KPIs impacted by the DATs for this calculator are here. This list will be completed with the icons for the other KPIs</t>
        </r>
      </text>
    </comment>
  </commentList>
</comment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3">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<sst xmlns="http://schemas.openxmlformats.org/spreadsheetml/2006/main" count="4810" uniqueCount="1696">
  <si>
    <t xml:space="preserve">WATER </t>
  </si>
  <si>
    <t>Irrigation</t>
  </si>
  <si>
    <t>Fertigation</t>
  </si>
  <si>
    <t xml:space="preserve">Cleaning </t>
  </si>
  <si>
    <t>Fertilisation</t>
  </si>
  <si>
    <t>FUEL</t>
  </si>
  <si>
    <t xml:space="preserve">LABOUR </t>
  </si>
  <si>
    <t xml:space="preserve">N. of treatements </t>
  </si>
  <si>
    <t xml:space="preserve">FERTILISER </t>
  </si>
  <si>
    <t>FEED</t>
  </si>
  <si>
    <t>Product 1</t>
  </si>
  <si>
    <t>Product 2</t>
  </si>
  <si>
    <t xml:space="preserve">DRUGS </t>
  </si>
  <si>
    <t xml:space="preserve">ELECTRICITY </t>
  </si>
  <si>
    <t xml:space="preserve">Irrigation </t>
  </si>
  <si>
    <t xml:space="preserve">Milking </t>
  </si>
  <si>
    <t xml:space="preserve">Pesticides </t>
  </si>
  <si>
    <t>Nitrogen applied</t>
  </si>
  <si>
    <t>Nitrogen use efficiency</t>
  </si>
  <si>
    <t>Phosphorus applied</t>
  </si>
  <si>
    <t>Phosphorus use efficiency</t>
  </si>
  <si>
    <t>Irrigation water productivity</t>
  </si>
  <si>
    <t>Electricity consumption</t>
  </si>
  <si>
    <t xml:space="preserve">Fuel GHG emission </t>
  </si>
  <si>
    <t xml:space="preserve">N2O GHG emission </t>
  </si>
  <si>
    <t>Training hours (for the use of DATs)</t>
  </si>
  <si>
    <t>Working time</t>
  </si>
  <si>
    <t xml:space="preserve">Frequency rate of occupational injuries </t>
  </si>
  <si>
    <t xml:space="preserve">Incidence of occupational injuries </t>
  </si>
  <si>
    <t>Contribution to local employment</t>
  </si>
  <si>
    <t xml:space="preserve">Pest dilution </t>
  </si>
  <si>
    <t xml:space="preserve">Pruning </t>
  </si>
  <si>
    <t>Temperature and Humidity Control</t>
  </si>
  <si>
    <t xml:space="preserve">Heat detection </t>
  </si>
  <si>
    <t xml:space="preserve">Calving detection </t>
  </si>
  <si>
    <t xml:space="preserve">Ease of movement </t>
  </si>
  <si>
    <t>Mortality rate at birth</t>
  </si>
  <si>
    <t xml:space="preserve">Beehives visits </t>
  </si>
  <si>
    <t xml:space="preserve">Transporting oysters to the laboratory  </t>
  </si>
  <si>
    <t xml:space="preserve">Feeding </t>
  </si>
  <si>
    <t>Question</t>
  </si>
  <si>
    <t>TC Number</t>
  </si>
  <si>
    <t>TC Leader</t>
  </si>
  <si>
    <t>Biogeographical region</t>
  </si>
  <si>
    <t xml:space="preserve">Value </t>
  </si>
  <si>
    <t>€</t>
  </si>
  <si>
    <t>y</t>
  </si>
  <si>
    <t>DATs maintenance costs</t>
  </si>
  <si>
    <t>€/y</t>
  </si>
  <si>
    <t xml:space="preserve">Instructions to be followed to complete the Data Collection Template </t>
  </si>
  <si>
    <t>Table of abbreviations</t>
  </si>
  <si>
    <t>-</t>
  </si>
  <si>
    <t>number (1, 2, 3, …)</t>
  </si>
  <si>
    <t>euro</t>
  </si>
  <si>
    <r>
      <rPr>
        <sz val="12"/>
        <color theme="1"/>
        <rFont val="Calibri"/>
        <family val="2"/>
        <scheme val="minor"/>
      </rPr>
      <t>cm</t>
    </r>
    <r>
      <rPr>
        <vertAlign val="superscript"/>
        <sz val="12"/>
        <color theme="1"/>
        <rFont val="Calibri"/>
        <family val="2"/>
        <scheme val="minor"/>
      </rPr>
      <t>3</t>
    </r>
  </si>
  <si>
    <t>cubic centimetre</t>
  </si>
  <si>
    <r>
      <t>dm</t>
    </r>
    <r>
      <rPr>
        <vertAlign val="superscript"/>
        <sz val="12"/>
        <color theme="1"/>
        <rFont val="Calibri"/>
        <family val="2"/>
        <scheme val="minor"/>
      </rPr>
      <t>3</t>
    </r>
  </si>
  <si>
    <t>cubic decimetre</t>
  </si>
  <si>
    <t>g</t>
  </si>
  <si>
    <t xml:space="preserve">grams </t>
  </si>
  <si>
    <t>h</t>
  </si>
  <si>
    <t>hour</t>
  </si>
  <si>
    <t>ha</t>
  </si>
  <si>
    <t>hectare</t>
  </si>
  <si>
    <t>K</t>
  </si>
  <si>
    <t>potassium</t>
  </si>
  <si>
    <t>k€</t>
  </si>
  <si>
    <t>kiloeuro (€ 1,000)</t>
  </si>
  <si>
    <t>kg</t>
  </si>
  <si>
    <t>kilograms</t>
  </si>
  <si>
    <t>kWh</t>
  </si>
  <si>
    <t>kilowatt-hour</t>
  </si>
  <si>
    <t>l</t>
  </si>
  <si>
    <t>litre</t>
  </si>
  <si>
    <t>mg</t>
  </si>
  <si>
    <t>micrograms</t>
  </si>
  <si>
    <t>mo</t>
  </si>
  <si>
    <t>month</t>
  </si>
  <si>
    <r>
      <t>m</t>
    </r>
    <r>
      <rPr>
        <vertAlign val="superscript"/>
        <sz val="12"/>
        <rFont val="Calibri"/>
        <family val="2"/>
        <scheme val="minor"/>
      </rPr>
      <t>2</t>
    </r>
  </si>
  <si>
    <t xml:space="preserve">square metre </t>
  </si>
  <si>
    <r>
      <t>m</t>
    </r>
    <r>
      <rPr>
        <vertAlign val="superscript"/>
        <sz val="12"/>
        <color theme="1"/>
        <rFont val="Cambria"/>
        <family val="1"/>
      </rPr>
      <t>3</t>
    </r>
  </si>
  <si>
    <t>cubic metre</t>
  </si>
  <si>
    <t>N</t>
  </si>
  <si>
    <t>nitrogen</t>
  </si>
  <si>
    <t>P</t>
  </si>
  <si>
    <t>phosphorus</t>
  </si>
  <si>
    <t>ppm</t>
  </si>
  <si>
    <t>parts per million</t>
  </si>
  <si>
    <t>t</t>
  </si>
  <si>
    <t>tonnes</t>
  </si>
  <si>
    <t>w</t>
  </si>
  <si>
    <t>week</t>
  </si>
  <si>
    <t>year</t>
  </si>
  <si>
    <t>Identification</t>
  </si>
  <si>
    <t>Parcel Name</t>
  </si>
  <si>
    <t xml:space="preserve"> </t>
  </si>
  <si>
    <t>yes</t>
  </si>
  <si>
    <t>no</t>
  </si>
  <si>
    <t xml:space="preserve">u.m. </t>
  </si>
  <si>
    <t>value</t>
  </si>
  <si>
    <t>Notes</t>
  </si>
  <si>
    <t>Parcel dimension</t>
  </si>
  <si>
    <t>Number of animals</t>
  </si>
  <si>
    <t>Livestock units per hectare</t>
  </si>
  <si>
    <t>LSU/ha</t>
  </si>
  <si>
    <t>%</t>
  </si>
  <si>
    <t>Soil Organic Carbon</t>
  </si>
  <si>
    <t>Year 1</t>
  </si>
  <si>
    <t>data</t>
  </si>
  <si>
    <t xml:space="preserve">Drinking </t>
  </si>
  <si>
    <t>#</t>
  </si>
  <si>
    <t>n</t>
  </si>
  <si>
    <t>Calves died in the first 24h</t>
  </si>
  <si>
    <t>Total number of lost working hours due to occupational injuries</t>
  </si>
  <si>
    <t>OUTPUT</t>
  </si>
  <si>
    <t xml:space="preserve">Milk </t>
  </si>
  <si>
    <t xml:space="preserve">Meat </t>
  </si>
  <si>
    <t xml:space="preserve">Oyster </t>
  </si>
  <si>
    <t xml:space="preserve">Honey </t>
  </si>
  <si>
    <t>Water price</t>
  </si>
  <si>
    <t>Fuel price</t>
  </si>
  <si>
    <t>Electricity price</t>
  </si>
  <si>
    <t>Tot. number  of calves born</t>
  </si>
  <si>
    <t>Unit of measure</t>
  </si>
  <si>
    <t>Number of beehives</t>
  </si>
  <si>
    <t>Sowing / Planting</t>
  </si>
  <si>
    <t xml:space="preserve">or Total water used </t>
  </si>
  <si>
    <t>number of days per year with access to pasture and outdoor loafing area</t>
  </si>
  <si>
    <t>Outdoor loafing area</t>
  </si>
  <si>
    <t xml:space="preserve">Number of days per year with access to pasture </t>
  </si>
  <si>
    <t>New injury cases</t>
  </si>
  <si>
    <t>Working hours</t>
  </si>
  <si>
    <t>Number of new local employees hired</t>
  </si>
  <si>
    <t>Number of new employees hired</t>
  </si>
  <si>
    <t xml:space="preserve">or Total fuel used </t>
  </si>
  <si>
    <t xml:space="preserve">or Total electricity used </t>
  </si>
  <si>
    <t xml:space="preserve">INDICATOR </t>
  </si>
  <si>
    <t>SCENARIO</t>
  </si>
  <si>
    <t>UoM</t>
  </si>
  <si>
    <t>Cost of water</t>
  </si>
  <si>
    <t>Without DATs</t>
  </si>
  <si>
    <t>€/ha</t>
  </si>
  <si>
    <t>Cost of  fuel</t>
  </si>
  <si>
    <t>INDICATOR</t>
  </si>
  <si>
    <t>Formula</t>
  </si>
  <si>
    <t>kg/ha</t>
  </si>
  <si>
    <t>kWh/ha</t>
  </si>
  <si>
    <t>kg Co2e/ha</t>
  </si>
  <si>
    <t>direct + indirect N2O emissions</t>
  </si>
  <si>
    <t>direct</t>
  </si>
  <si>
    <t>indirect volatilisation</t>
  </si>
  <si>
    <t>n./hours</t>
  </si>
  <si>
    <t xml:space="preserve">Number of new injury cases/Total number of working hours </t>
  </si>
  <si>
    <t xml:space="preserve">Total number of lost working hours due to occupational injuries/Total number of working hours </t>
  </si>
  <si>
    <t xml:space="preserve">Number of new local employees/Total new employees hired </t>
  </si>
  <si>
    <t>With DATs</t>
  </si>
  <si>
    <t>h/employee</t>
  </si>
  <si>
    <t>Time spent for training hours for all the employee/number of employees</t>
  </si>
  <si>
    <t>Cost of electricity</t>
  </si>
  <si>
    <t>d/y</t>
  </si>
  <si>
    <t>(Number of deaths in a year/Average herd size)</t>
  </si>
  <si>
    <t>(Calves died in the first 24 h / Total number of calves born)</t>
  </si>
  <si>
    <t>FARM DATA</t>
  </si>
  <si>
    <t>INPUT</t>
  </si>
  <si>
    <t xml:space="preserve">FUEL </t>
  </si>
  <si>
    <t>ELECTRICITY</t>
  </si>
  <si>
    <t>Cost of labour for fertilisation</t>
  </si>
  <si>
    <t>Name product 2</t>
  </si>
  <si>
    <t>u.m.</t>
  </si>
  <si>
    <t>Cost of labour for irrigation</t>
  </si>
  <si>
    <t>Cost of labour for pesticide</t>
  </si>
  <si>
    <t xml:space="preserve">Cost of labour for sowing_planting </t>
  </si>
  <si>
    <t>Cost of labour for pruning</t>
  </si>
  <si>
    <t xml:space="preserve">Cost of labour for field visits </t>
  </si>
  <si>
    <t xml:space="preserve">PESTICIDE </t>
  </si>
  <si>
    <t xml:space="preserve">Cost for pesticide </t>
  </si>
  <si>
    <t>FERTILISER</t>
  </si>
  <si>
    <t xml:space="preserve">Cost of fertiliser </t>
  </si>
  <si>
    <t>COST ANALYSIS</t>
  </si>
  <si>
    <t>REVENUES ANALYSIS</t>
  </si>
  <si>
    <t xml:space="preserve">Yield*Product market price </t>
  </si>
  <si>
    <t>(yield *Average N content (%))/(Amount of N fertilizer used /total area)*100</t>
  </si>
  <si>
    <t>Amount of N fertilizer used/total area</t>
  </si>
  <si>
    <t>Amount of P fertilizer used/total area</t>
  </si>
  <si>
    <t>(yield*Average P content (%))/(Amount of P fertilizer used/total area)*100</t>
  </si>
  <si>
    <t>Amount of water used/total area</t>
  </si>
  <si>
    <t>Yield/Amount of water used for irrigation</t>
  </si>
  <si>
    <t>Tot. amount of electricity used/tot area</t>
  </si>
  <si>
    <t>Tot. amount of fuel used *Lower heating value*Emission factor</t>
  </si>
  <si>
    <t>LABOUR</t>
  </si>
  <si>
    <t xml:space="preserve">FORMULAS </t>
  </si>
  <si>
    <t xml:space="preserve">TOTAL </t>
  </si>
  <si>
    <t>Cost of labour for greenhouse maintenance</t>
  </si>
  <si>
    <t xml:space="preserve">Cost of labour for tracking the quantity of grain available in the silo </t>
  </si>
  <si>
    <t>Cost of labour for controlling purchase and sale prices and quantities</t>
  </si>
  <si>
    <t xml:space="preserve">Cost of labour for organise logistics </t>
  </si>
  <si>
    <t>Cost of labour for cleaning</t>
  </si>
  <si>
    <t xml:space="preserve">Cost of labour for stable visits </t>
  </si>
  <si>
    <t xml:space="preserve">Cost of labour for heat detection </t>
  </si>
  <si>
    <t xml:space="preserve">Cost of labour for calving detection </t>
  </si>
  <si>
    <t xml:space="preserve">Cost of labour for pigsty management </t>
  </si>
  <si>
    <t>Cost of labour for (milk) quality assessment</t>
  </si>
  <si>
    <t xml:space="preserve">Cost of labour for feeding </t>
  </si>
  <si>
    <t xml:space="preserve">Cost of labour for beehives visits </t>
  </si>
  <si>
    <t xml:space="preserve">Cost of labour for sampling of oysters </t>
  </si>
  <si>
    <t xml:space="preserve">Cost of labour for transporting oysters to the laboratory  </t>
  </si>
  <si>
    <t xml:space="preserve">Pesticide 1 price </t>
  </si>
  <si>
    <t xml:space="preserve">Pesticide 2 price </t>
  </si>
  <si>
    <t>Fertiliser 1 price</t>
  </si>
  <si>
    <t>Fertiliser 2 price</t>
  </si>
  <si>
    <t>Feed 1 price</t>
  </si>
  <si>
    <t>Feed 2 price</t>
  </si>
  <si>
    <t>Drug 1 price</t>
  </si>
  <si>
    <t>Drug 2 price</t>
  </si>
  <si>
    <t>Cost of feed</t>
  </si>
  <si>
    <t xml:space="preserve"> Cost of drugs</t>
  </si>
  <si>
    <t xml:space="preserve">Milk *Product market price </t>
  </si>
  <si>
    <t xml:space="preserve">Meat*Product market price </t>
  </si>
  <si>
    <t xml:space="preserve">Oyster*Product market price </t>
  </si>
  <si>
    <t xml:space="preserve">Honey*Product market price </t>
  </si>
  <si>
    <t xml:space="preserve">ENVIRONMENTAL ANALYSIS </t>
  </si>
  <si>
    <t xml:space="preserve">INPUT </t>
  </si>
  <si>
    <t>l/ha</t>
  </si>
  <si>
    <t>IPCC 2006 methodology (2019 refinement) - Tier 1</t>
  </si>
  <si>
    <t xml:space="preserve">N2O EMISSIONS </t>
  </si>
  <si>
    <t>description</t>
  </si>
  <si>
    <t>direct emissions</t>
  </si>
  <si>
    <t>EF1</t>
  </si>
  <si>
    <t>(Kg N2O-N)/(kg N input)</t>
  </si>
  <si>
    <t>Emission Factor default value for direct emissions</t>
  </si>
  <si>
    <t>EF1 SW</t>
  </si>
  <si>
    <t>Emission Factor for Synthetic fertilizers in Wet climates (optional)</t>
  </si>
  <si>
    <t>EF1 OW</t>
  </si>
  <si>
    <t>Other N inputs in Wet climates (optional)</t>
  </si>
  <si>
    <t>EF1 AD</t>
  </si>
  <si>
    <t>All N inputs in Dry climates (optional)</t>
  </si>
  <si>
    <t>indirect emissions</t>
  </si>
  <si>
    <t>EF4</t>
  </si>
  <si>
    <t>(Kg N2O-N)/(kg N volatilised)</t>
  </si>
  <si>
    <t>Emission Factor default value for volatilization of N</t>
  </si>
  <si>
    <t>EF4 W</t>
  </si>
  <si>
    <t>Emission Factor default value for volatilization of N in wet cliamtes</t>
  </si>
  <si>
    <t>EF4 D</t>
  </si>
  <si>
    <t>Emission Factor default value for volatilization of N in dry climates</t>
  </si>
  <si>
    <t>Frac GASF</t>
  </si>
  <si>
    <t>(kg N volatilised)/(Kg of N input)</t>
  </si>
  <si>
    <t>Fraction of synthetic fertiliser N that volatilises</t>
  </si>
  <si>
    <t>Frac GASM</t>
  </si>
  <si>
    <t>Fraction of organic fertiliser N that volatilies</t>
  </si>
  <si>
    <t>FracLEACH</t>
  </si>
  <si>
    <t>(kg Nleaching&amp;runoff)/(Kg N input)</t>
  </si>
  <si>
    <t>For all N inputs</t>
  </si>
  <si>
    <t>FracLEACH D</t>
  </si>
  <si>
    <t>0 if leaching &amp; runoff process assumed to be absent or in dry climates</t>
  </si>
  <si>
    <t>EF5</t>
  </si>
  <si>
    <t>(kg N2O–N)/(kg N leached and runoff)</t>
  </si>
  <si>
    <t>Emission factor for N2O emissions from N leaching and runoff</t>
  </si>
  <si>
    <t>CF1</t>
  </si>
  <si>
    <t>Kg/kg</t>
  </si>
  <si>
    <t>Coversion factor from N to N2O</t>
  </si>
  <si>
    <t>GWP-N2O</t>
  </si>
  <si>
    <t>CO2 EMISSIONS FUEL</t>
  </si>
  <si>
    <t>Lower Heating Value Diesel</t>
  </si>
  <si>
    <t>MJ/l</t>
  </si>
  <si>
    <t>Castoldi &amp; Bechini, 2006</t>
  </si>
  <si>
    <t>EF diesel agri</t>
  </si>
  <si>
    <t>kg Co2e/Mj</t>
  </si>
  <si>
    <t xml:space="preserve"> IPCC 2006</t>
  </si>
  <si>
    <t xml:space="preserve">Number of employees </t>
  </si>
  <si>
    <t xml:space="preserve">Drugs use in apiculture </t>
  </si>
  <si>
    <t xml:space="preserve">Drugs use in aquaculture </t>
  </si>
  <si>
    <t>Amount of drugs used/ output</t>
  </si>
  <si>
    <t>Number of working weeks in a year</t>
  </si>
  <si>
    <t>OTHER DATA</t>
  </si>
  <si>
    <t>OTHER LABOUR DATA</t>
  </si>
  <si>
    <t xml:space="preserve">Cost of labour for organising logistics </t>
  </si>
  <si>
    <t xml:space="preserve">Additional revenues </t>
  </si>
  <si>
    <t xml:space="preserve">PRODUCTIVITY </t>
  </si>
  <si>
    <t xml:space="preserve">Drugs use in dairy livestock </t>
  </si>
  <si>
    <t xml:space="preserve">Drugs use in meat livestock   </t>
  </si>
  <si>
    <t>Amount of water used/production</t>
  </si>
  <si>
    <t xml:space="preserve"> Potassium applied</t>
  </si>
  <si>
    <t>Potassium use efficiency</t>
  </si>
  <si>
    <t>Amount of K fertilizer used/total area</t>
  </si>
  <si>
    <t>(yield*Average K content (%))/(Amount of K fertilizer used/total area)*100</t>
  </si>
  <si>
    <t xml:space="preserve">Cost of labour for greenhouse management </t>
  </si>
  <si>
    <t xml:space="preserve">Number of full-time employees </t>
  </si>
  <si>
    <t xml:space="preserve">Number of seasonal employees </t>
  </si>
  <si>
    <t>Area under aquaculture</t>
  </si>
  <si>
    <r>
      <t>m</t>
    </r>
    <r>
      <rPr>
        <vertAlign val="superscript"/>
        <sz val="12"/>
        <color theme="1"/>
        <rFont val="Calibri"/>
        <family val="2"/>
        <scheme val="minor"/>
      </rPr>
      <t>2</t>
    </r>
  </si>
  <si>
    <t>(Fixed values)</t>
  </si>
  <si>
    <t>DAT</t>
  </si>
  <si>
    <t>Cost of DAT</t>
  </si>
  <si>
    <t>Potassium applied</t>
  </si>
  <si>
    <t>pesticides, herbicides and fungicides use</t>
  </si>
  <si>
    <t>Amount of pesticides, herbicides and fungicide used/total area</t>
  </si>
  <si>
    <t>Amount of pesticides, herbicides and fungicides used/total area</t>
  </si>
  <si>
    <t xml:space="preserve">Arable and horticulture fuel consumption </t>
  </si>
  <si>
    <t xml:space="preserve">Livestock fuel consumption </t>
  </si>
  <si>
    <t xml:space="preserve">Aquaculture fuel consumption </t>
  </si>
  <si>
    <t xml:space="preserve">Apiculture fuel consumption </t>
  </si>
  <si>
    <t>t/m2</t>
  </si>
  <si>
    <t>Land Productivity</t>
  </si>
  <si>
    <t>total production / hours of labour employed</t>
  </si>
  <si>
    <t>Milk productivity</t>
  </si>
  <si>
    <t>total milk production / total number of cows</t>
  </si>
  <si>
    <t>Bees productivity</t>
  </si>
  <si>
    <t>Oyster productivity</t>
  </si>
  <si>
    <t>production / area used</t>
  </si>
  <si>
    <t xml:space="preserve">Meat productivity </t>
  </si>
  <si>
    <t>t / h</t>
  </si>
  <si>
    <t>t / ha</t>
  </si>
  <si>
    <t xml:space="preserve">EFFICIENCY </t>
  </si>
  <si>
    <t>Rate of time for quality analysis</t>
  </si>
  <si>
    <t>(hours spent for quality analysis / total number of working hours) *100</t>
  </si>
  <si>
    <t>Rate of on-time fulfilled orders</t>
  </si>
  <si>
    <t>(number of on-time fulfilled orders / number of orders received) * 100</t>
  </si>
  <si>
    <t>Number of wrong orders</t>
  </si>
  <si>
    <t xml:space="preserve">PRODUCT QUALITY  </t>
  </si>
  <si>
    <t xml:space="preserve">Intrinsic product quality </t>
  </si>
  <si>
    <t>Cows with high SCC</t>
  </si>
  <si>
    <t>number of cows producing high SCC milk / Total number of cows * 100</t>
  </si>
  <si>
    <t>Number of cows producing high SCC milk</t>
  </si>
  <si>
    <t>Tot. amount of fuel used/tot area</t>
  </si>
  <si>
    <t>Tot. amount of fuel used/LSU</t>
  </si>
  <si>
    <t xml:space="preserve">Tot. amount of fuel used/ area under aquaculture </t>
  </si>
  <si>
    <t>l/m2</t>
  </si>
  <si>
    <t xml:space="preserve">kg/beehives </t>
  </si>
  <si>
    <t>Tot. amount of fuel used/Number of beehives</t>
  </si>
  <si>
    <t xml:space="preserve">Tot. amount of fuel used/number of animals </t>
  </si>
  <si>
    <t>(hours assessing grain quality / total number of working hours) *100</t>
  </si>
  <si>
    <t>OTHER ECONOMIC DATA</t>
  </si>
  <si>
    <t xml:space="preserve">Economic - PRODUCTIVITY </t>
  </si>
  <si>
    <t xml:space="preserve">Economic - EFFICIENCY </t>
  </si>
  <si>
    <t>ENVIRONMENTAL KPIs</t>
  </si>
  <si>
    <t>SOCIAL KPIs</t>
  </si>
  <si>
    <t>€/l</t>
  </si>
  <si>
    <t>€/kWh</t>
  </si>
  <si>
    <t>€/h</t>
  </si>
  <si>
    <t xml:space="preserve">ANIMAL </t>
  </si>
  <si>
    <t xml:space="preserve">Number of people involved in the training </t>
  </si>
  <si>
    <t xml:space="preserve">Cost of labour for storage </t>
  </si>
  <si>
    <t>€/animal</t>
  </si>
  <si>
    <t xml:space="preserve">€/beehive </t>
  </si>
  <si>
    <t xml:space="preserve">€/piece </t>
  </si>
  <si>
    <t>number of hours for tracking the quantity of grain available in the silo *Average salary</t>
  </si>
  <si>
    <t>number of hours for assessing grain quality *Average salary</t>
  </si>
  <si>
    <t>number of hours for controlling purchase and sale prices and quantities *Average salary</t>
  </si>
  <si>
    <t>number of hours for  organise logistics *Average salary</t>
  </si>
  <si>
    <t xml:space="preserve">Cost of Training </t>
  </si>
  <si>
    <t>pieces</t>
  </si>
  <si>
    <t>Name fertiliser 3</t>
  </si>
  <si>
    <t>ADDITIONAL REVENUES</t>
  </si>
  <si>
    <t>CATEGORY</t>
  </si>
  <si>
    <t>Number of on-time fulfilled orders in a year</t>
  </si>
  <si>
    <t xml:space="preserve">Number of orders received in a year </t>
  </si>
  <si>
    <t xml:space="preserve">Number of wrong orders in a year </t>
  </si>
  <si>
    <t>Protein % DRY MATTER</t>
  </si>
  <si>
    <t>Humidity</t>
  </si>
  <si>
    <t xml:space="preserve">Test Weight </t>
  </si>
  <si>
    <t>kg/hl</t>
  </si>
  <si>
    <t>number of hours for pesticide activities *Average salary /Parcel dimension</t>
  </si>
  <si>
    <t>number of hours for field visits activities * Average professional salary /Parcel dimension</t>
  </si>
  <si>
    <t>(Amount of feed 1 * Feed 1 price) + (Amount of feed 2 * Feed 2 price) + … /animal</t>
  </si>
  <si>
    <t>number of hours for irrigation activities*Average salary /Parcel dimension</t>
  </si>
  <si>
    <t>number of hours for fertilisation activities * Average salary /Parcel dimension</t>
  </si>
  <si>
    <t>number of hours for sowing_planting activities * Average salary /Parcel dimension</t>
  </si>
  <si>
    <t>number of hours for pruning activities *Average salary /Parcel dimension</t>
  </si>
  <si>
    <t>number of hours for greenhouse management *Average salary /Parcel dimension</t>
  </si>
  <si>
    <t>number of hours for cleaning *Average salary /animal</t>
  </si>
  <si>
    <t>number of hours for stable visits*Average professional salary /animal</t>
  </si>
  <si>
    <t>number of hours for heat detection *Average salary /animal</t>
  </si>
  <si>
    <t>number of hours for calving detection *Average salary /animal</t>
  </si>
  <si>
    <t>number of hours for  pigsty management*Average salary /animal</t>
  </si>
  <si>
    <t>number of hours for (milk) quality assessment*Average salary /animal</t>
  </si>
  <si>
    <t>number of hours for feeding *Average salary /animal</t>
  </si>
  <si>
    <t>number of hours for beehives visits *Average salary / beehive</t>
  </si>
  <si>
    <t xml:space="preserve">number of hours for sampling of oysters* Average salary /piece </t>
  </si>
  <si>
    <t xml:space="preserve">number of hours for transporting oysters to the laboratory*Average salary /piece </t>
  </si>
  <si>
    <t xml:space="preserve">number of hours for harvesting oyster*Average salary /piece </t>
  </si>
  <si>
    <t xml:space="preserve">number of hours for storage *Average salary /piece </t>
  </si>
  <si>
    <t xml:space="preserve">(Amount of drugs 1 * Feed 1 price) + (Amount of drugs 2 * Feed 2 price) + … /animal or beehives  or pieces </t>
  </si>
  <si>
    <t xml:space="preserve">number of hours foradministrative activities *Average salary /parcel dimension or animal or beehives  or pieces </t>
  </si>
  <si>
    <t xml:space="preserve">Sum(Cost of labour for irrigation + Cost of labour for fertilisation + … /parcel dimension or animal or beehives  or pieces </t>
  </si>
  <si>
    <t xml:space="preserve">DAT maintenance + (Training hours*salary) /parcel dimension or animal or beehives  or pieces  </t>
  </si>
  <si>
    <t xml:space="preserve">Costs of external persons being paid to train employees on the use of DAT /parcel dimension or animal or beehives  or pieces </t>
  </si>
  <si>
    <t xml:space="preserve">kg / beehives </t>
  </si>
  <si>
    <t xml:space="preserve">total production / beehives </t>
  </si>
  <si>
    <t xml:space="preserve">total production / animals </t>
  </si>
  <si>
    <t>kg / animals / day</t>
  </si>
  <si>
    <t xml:space="preserve">total production / parcel area </t>
  </si>
  <si>
    <t>Pesticides, herbicides and fungicides use</t>
  </si>
  <si>
    <t xml:space="preserve">Aquaculture water productivity </t>
  </si>
  <si>
    <t xml:space="preserve">l/pieces </t>
  </si>
  <si>
    <t>Labour productivity (arable and horticulture)</t>
  </si>
  <si>
    <t>Labour productivity (dairy livestock)</t>
  </si>
  <si>
    <t>Labour productivity  (meat livestock)</t>
  </si>
  <si>
    <t>Labour productivity  (aquaculture)</t>
  </si>
  <si>
    <t>Labour productivity  (apiculture)</t>
  </si>
  <si>
    <t>l/h</t>
  </si>
  <si>
    <t>kg/h</t>
  </si>
  <si>
    <t xml:space="preserve">Tot. amount of electricity used/tot area or m2 or animal  </t>
  </si>
  <si>
    <t>Mortality rate (livestock)</t>
  </si>
  <si>
    <t>Mortality rate (aquaculture)</t>
  </si>
  <si>
    <t>Mortality rate (apiculture)</t>
  </si>
  <si>
    <t>(Number of deaths in a year/total animals)</t>
  </si>
  <si>
    <t xml:space="preserve">Mortality rate (livestock) </t>
  </si>
  <si>
    <t>indirect leaching/runoff</t>
  </si>
  <si>
    <t>Amount of N fertilizer used (kg-N) * fraction of leaching or runoff * emission factor 5</t>
  </si>
  <si>
    <t>[(Amount of synthetic N fertilizer used (kg-N) * fraction volatilized) + (Amount of organic N fertilizer used (kg-N) *fraction volatilized)] * Emission factor 4</t>
  </si>
  <si>
    <t>Amount of N fertilizer used (kg-N) * Emission factor 1</t>
  </si>
  <si>
    <t>Global Warming Potential of N2O compared to CO2 (IPCC AR6)</t>
  </si>
  <si>
    <t>Crop production</t>
  </si>
  <si>
    <t xml:space="preserve">Cost of milking </t>
  </si>
  <si>
    <t>number of hours for milking *Average salary /animal</t>
  </si>
  <si>
    <t>[(N. of treatements of pesticide 1*Amount of pesticide 1*pesticide 1 price)+(N. of treatements of pesticide 2 *Amount of pesticide 2 used *pesticide 2 price) + (N. of treatements of pesticide 3 *Amount of pesticide 3 used *pesticide 3 price (€/kg)]</t>
  </si>
  <si>
    <t>((Amount of fertilisers 1 used *Number of fertilizer 1 applications *Fertilisers 1 price) + (Amount of fertilisers 2 used *Number of fertilizer 2 applications *Fertilisers 2 price) + (Amount of fertilisers 3 used *Number of fertilizer 3 applications *Fertilisers 3 price)</t>
  </si>
  <si>
    <t>Cost of labour for harvesting</t>
  </si>
  <si>
    <t xml:space="preserve">Cost of labour for harvesting </t>
  </si>
  <si>
    <t>Average N content</t>
  </si>
  <si>
    <t>Average P content</t>
  </si>
  <si>
    <t>Average K content</t>
  </si>
  <si>
    <t>kg/m3</t>
  </si>
  <si>
    <t>IF(Total water used&gt;0; (Total water used * water price)/Parcel dimension; Sum(water Irrigation+ water Fertigation + water Pest dilution + …) * water price)</t>
  </si>
  <si>
    <t>IF(Total fuel used&gt;0; (Total fuel used*fuel price)/Parcel dimension; sum(Fertilisation+Pesticides +Irrigation+Sowing_Planting+Pruning+…) * fuel price)</t>
  </si>
  <si>
    <t>IF(Total electricity used &gt; 0; (Total electricity used* electricity price)/Parcel dimension; Sum(irrigation,…) *electricity price)</t>
  </si>
  <si>
    <t xml:space="preserve">TOT Cost </t>
  </si>
  <si>
    <t>Average nutrient content kg/kg</t>
  </si>
  <si>
    <t>BENEFIT</t>
  </si>
  <si>
    <t>Sum of costs</t>
  </si>
  <si>
    <t>COSTS</t>
  </si>
  <si>
    <t>NET BENEFIT</t>
  </si>
  <si>
    <t>PAYBACK PERIOD</t>
  </si>
  <si>
    <t>NPV</t>
  </si>
  <si>
    <t>ROI</t>
  </si>
  <si>
    <t xml:space="preserve">Total farm size </t>
  </si>
  <si>
    <t>DATS annual fees</t>
  </si>
  <si>
    <t>Cost of training service by external people (advisor, DATS providers, ...)</t>
  </si>
  <si>
    <t>Average professional salary (agronomist, veterinary, ...)</t>
  </si>
  <si>
    <t xml:space="preserve">Sold product market price </t>
  </si>
  <si>
    <t>Number of pesticide used (herbicides, fungicides, insecticides)</t>
  </si>
  <si>
    <t xml:space="preserve">Number of fertilizers used </t>
  </si>
  <si>
    <t>Number of feed used</t>
  </si>
  <si>
    <t>Number of drugs used</t>
  </si>
  <si>
    <t>Average salary (farmer and emloyees)</t>
  </si>
  <si>
    <t>Information about the TC</t>
  </si>
  <si>
    <t>Number of plants/trees</t>
  </si>
  <si>
    <r>
      <t>€/m</t>
    </r>
    <r>
      <rPr>
        <vertAlign val="superscript"/>
        <sz val="12"/>
        <color rgb="FF000000"/>
        <rFont val="Calibri"/>
        <family val="2"/>
        <scheme val="minor"/>
      </rPr>
      <t>3</t>
    </r>
  </si>
  <si>
    <r>
      <t>m</t>
    </r>
    <r>
      <rPr>
        <vertAlign val="superscript"/>
        <sz val="12"/>
        <color theme="1"/>
        <rFont val="Calibri"/>
        <family val="2"/>
        <scheme val="minor"/>
      </rPr>
      <t>3</t>
    </r>
    <r>
      <rPr>
        <sz val="12"/>
        <color theme="1"/>
        <rFont val="Calibri"/>
        <family val="2"/>
        <scheme val="minor"/>
      </rPr>
      <t>/ha</t>
    </r>
  </si>
  <si>
    <r>
      <t>m</t>
    </r>
    <r>
      <rPr>
        <vertAlign val="superscript"/>
        <sz val="12"/>
        <color theme="1"/>
        <rFont val="Calibri"/>
        <family val="2"/>
        <scheme val="minor"/>
      </rPr>
      <t>3</t>
    </r>
    <r>
      <rPr>
        <sz val="12"/>
        <color theme="1"/>
        <rFont val="Calibri"/>
        <family val="2"/>
        <scheme val="minor"/>
      </rPr>
      <t>/animal</t>
    </r>
  </si>
  <si>
    <t>l/beehive</t>
  </si>
  <si>
    <t>l/piece</t>
  </si>
  <si>
    <t>PESTICIDES (HERBICIDES, FUNGICIDES, INSECTICIDES)</t>
  </si>
  <si>
    <t>Average quantity per application</t>
  </si>
  <si>
    <t xml:space="preserve">N concentration </t>
  </si>
  <si>
    <t xml:space="preserve">P concentration </t>
  </si>
  <si>
    <t xml:space="preserve">K concentration </t>
  </si>
  <si>
    <t>€/t</t>
  </si>
  <si>
    <t>€/g</t>
  </si>
  <si>
    <t>Fuel 1</t>
  </si>
  <si>
    <t>Fuel 2</t>
  </si>
  <si>
    <t>Fuel n</t>
  </si>
  <si>
    <t>Name fuel 1</t>
  </si>
  <si>
    <t>Name fuel 2</t>
  </si>
  <si>
    <t>Quantity</t>
  </si>
  <si>
    <t>MARKET DATA</t>
  </si>
  <si>
    <t>€/kg</t>
  </si>
  <si>
    <t>€/piece</t>
  </si>
  <si>
    <r>
      <t>g/cm</t>
    </r>
    <r>
      <rPr>
        <vertAlign val="superscript"/>
        <sz val="12"/>
        <color theme="1"/>
        <rFont val="Calibri"/>
        <family val="2"/>
        <scheme val="minor"/>
      </rPr>
      <t>3</t>
    </r>
  </si>
  <si>
    <t>WATER</t>
  </si>
  <si>
    <t>l/animal</t>
  </si>
  <si>
    <t>FUEL FOR GREENHOUSE TEMPERATURE CONTROL</t>
  </si>
  <si>
    <t>kWh/animal</t>
  </si>
  <si>
    <t>kWh/beehive</t>
  </si>
  <si>
    <t>kWh/piece</t>
  </si>
  <si>
    <t>PESTICIDES</t>
  </si>
  <si>
    <t>kg/animal</t>
  </si>
  <si>
    <t>FERTILIZERS</t>
  </si>
  <si>
    <t>t/ha</t>
  </si>
  <si>
    <t>DRUGS</t>
  </si>
  <si>
    <t>g/animal</t>
  </si>
  <si>
    <t>g/beehive</t>
  </si>
  <si>
    <t>g/piece</t>
  </si>
  <si>
    <t>h (tot. for the activity)</t>
  </si>
  <si>
    <t>Expected life span of each DATSs</t>
  </si>
  <si>
    <t>Time to install and make DATSs operational</t>
  </si>
  <si>
    <t>Training hours for the use of the DATSs in a year</t>
  </si>
  <si>
    <t>DATSs name</t>
  </si>
  <si>
    <t xml:space="preserve">MARKET DATA FOR DATSs USER </t>
  </si>
  <si>
    <t xml:space="preserve">MARKET DATA FOR NON-DATSs USER </t>
  </si>
  <si>
    <t>PARCEL WITH DATSs</t>
  </si>
  <si>
    <t>With DATSs</t>
  </si>
  <si>
    <t>PARCEL WITHOUT DATSs</t>
  </si>
  <si>
    <t>Without DATSs</t>
  </si>
  <si>
    <t xml:space="preserve">Total water used </t>
  </si>
  <si>
    <t xml:space="preserve">Total fuel used </t>
  </si>
  <si>
    <t xml:space="preserve">Total electricity used </t>
  </si>
  <si>
    <t>Fuel 1 for greehnouse temperature control price</t>
  </si>
  <si>
    <t>COST</t>
  </si>
  <si>
    <t>Cost of DATSs</t>
  </si>
  <si>
    <t>DATSs</t>
  </si>
  <si>
    <r>
      <t>m</t>
    </r>
    <r>
      <rPr>
        <vertAlign val="superscript"/>
        <sz val="12"/>
        <color theme="1"/>
        <rFont val="Calibri"/>
        <family val="2"/>
        <scheme val="minor"/>
      </rPr>
      <t>3</t>
    </r>
  </si>
  <si>
    <t>Type of output/product</t>
  </si>
  <si>
    <t>crop</t>
  </si>
  <si>
    <t>meat</t>
  </si>
  <si>
    <t>milk</t>
  </si>
  <si>
    <t>honey</t>
  </si>
  <si>
    <t>oyster</t>
  </si>
  <si>
    <r>
      <t>m</t>
    </r>
    <r>
      <rPr>
        <vertAlign val="superscript"/>
        <sz val="12"/>
        <color theme="1"/>
        <rFont val="Calibri"/>
        <family val="2"/>
        <scheme val="minor"/>
      </rPr>
      <t>3</t>
    </r>
    <r>
      <rPr>
        <sz val="12"/>
        <color theme="1"/>
        <rFont val="Calibri"/>
        <family val="2"/>
        <scheme val="minor"/>
      </rPr>
      <t>/kg honey</t>
    </r>
  </si>
  <si>
    <r>
      <t>m</t>
    </r>
    <r>
      <rPr>
        <vertAlign val="superscript"/>
        <sz val="12"/>
        <color theme="1"/>
        <rFont val="Calibri"/>
        <family val="2"/>
        <scheme val="minor"/>
      </rPr>
      <t>3</t>
    </r>
    <r>
      <rPr>
        <sz val="12"/>
        <color theme="1"/>
        <rFont val="Calibri"/>
        <family val="2"/>
        <scheme val="minor"/>
      </rPr>
      <t>/piece</t>
    </r>
  </si>
  <si>
    <t>€/kg honey</t>
  </si>
  <si>
    <t>water</t>
  </si>
  <si>
    <t>Production type</t>
  </si>
  <si>
    <t>costs</t>
  </si>
  <si>
    <t>animal</t>
  </si>
  <si>
    <t>Animal</t>
  </si>
  <si>
    <t>Cost of labour for pesticide application</t>
  </si>
  <si>
    <t>Cost of labour for assessing product quality</t>
  </si>
  <si>
    <t>Silos product management</t>
  </si>
  <si>
    <t>grain (silos)</t>
  </si>
  <si>
    <t>Crop</t>
  </si>
  <si>
    <t>Grain (silos)</t>
  </si>
  <si>
    <t>Yield</t>
  </si>
  <si>
    <t>kg honey/beehive</t>
  </si>
  <si>
    <t>number of oysters/m2</t>
  </si>
  <si>
    <t>kg meat/h</t>
  </si>
  <si>
    <t>l milk/h</t>
  </si>
  <si>
    <t>pieces/h</t>
  </si>
  <si>
    <t>kg honey/h</t>
  </si>
  <si>
    <t>(yield *Average N content (%))/(Amount of N fertilizer applied/ha)*100</t>
  </si>
  <si>
    <t>(yield*Average P content (%))/(Amount of P fertilizer used/ha)*100</t>
  </si>
  <si>
    <t>(yield*Average K content (%))/(Amount of K fertilizer used/ha)*100</t>
  </si>
  <si>
    <t>Apple</t>
  </si>
  <si>
    <t>Grape</t>
  </si>
  <si>
    <t>Olives</t>
  </si>
  <si>
    <t>Tomato</t>
  </si>
  <si>
    <t>Potatoes</t>
  </si>
  <si>
    <t>Blueberries</t>
  </si>
  <si>
    <t>Corn</t>
  </si>
  <si>
    <t>Strawberries</t>
  </si>
  <si>
    <t>Bananas</t>
  </si>
  <si>
    <t>Wheat (T. aestivum)</t>
  </si>
  <si>
    <t>Wheat (T. durum)</t>
  </si>
  <si>
    <t>Barley</t>
  </si>
  <si>
    <t>Cotton</t>
  </si>
  <si>
    <t xml:space="preserve">Onion </t>
  </si>
  <si>
    <t>Corn (silage)</t>
  </si>
  <si>
    <t>Rye</t>
  </si>
  <si>
    <t>Rapeseed</t>
  </si>
  <si>
    <t>N content (avg.)</t>
  </si>
  <si>
    <t>P content (avg.)</t>
  </si>
  <si>
    <t>K content (avg.)</t>
  </si>
  <si>
    <t>kWh/kg honey</t>
  </si>
  <si>
    <t>kWh/t</t>
  </si>
  <si>
    <t>Number of death of animals/oyster/beehives</t>
  </si>
  <si>
    <r>
      <t>Oysters/m</t>
    </r>
    <r>
      <rPr>
        <vertAlign val="superscript"/>
        <sz val="11"/>
        <rFont val="Calibri"/>
        <family val="2"/>
        <scheme val="minor"/>
      </rPr>
      <t>2</t>
    </r>
  </si>
  <si>
    <t>g/m2</t>
  </si>
  <si>
    <t>€/m2</t>
  </si>
  <si>
    <t>€/beehive</t>
  </si>
  <si>
    <t>Name fuel n</t>
  </si>
  <si>
    <t>Name product n</t>
  </si>
  <si>
    <t>Number of fuel for greehnouse temperature control price</t>
  </si>
  <si>
    <t>greenhouse</t>
  </si>
  <si>
    <t>This form is intended to be filled out by each farmer involved in the Test Case (TC) and aims at collecting information that will be used for assessing the impacts of Digital agriculture technology solutions (DATSs). 
Please read carefully the following instructions.
- We kindly ask you to be as accurate as possible in providing the data and monitor them periodically as these will be the input for performance assessment. 
- Please ensure you keep track of the data requested and regularly check its availability. It's crucial that these values align for both user and non-user parcels. If they differ, kindly notify us promptly via email at the provided contact details.
- The data included in the template have been carefully chosen based on their link with the DATSs used in your TC and they were further customised following your feedback. If some of the data cannot be applicable/available to your TC, please enter ‘n.a.’ in the corresponding cell and provide a comment explaining why they are not applicable.
Additionally, in case some of the data cannot be collected due to some problems you may encounter during the season, please inform us promptly by writing an e-mail to the contact details provided below.
- In order to obtain the assessment of the impacts of DATS, it is necessary to provide data for the farm(s) using DATS and for the one without. According to the QuantiFarm project proposal, each parcel using DATSs is associated with a comparable non-DATs parcel (in terms of size, geographical area, production, etc.).
- Recall that:
            - the term DATS refers to the combinations or set of technological solutions implemented within the TC;
For any doubts or clarifications, please do not hesitate to contact us at the following email address: francesco.parigi@polimi.it and andrea.bianchi@polimi.it (cc: dmoniz@consulai.com)
This form is intended to be filled out by each farmer involved in the Test Case (TC) and aims at collecting information that will be used for assessing the impacts of Digital agriculture technology solutions (DATSs).</t>
  </si>
  <si>
    <t>(gg/mm/yyyy)</t>
  </si>
  <si>
    <t>Product name</t>
  </si>
  <si>
    <t>Cow</t>
  </si>
  <si>
    <t>Pig</t>
  </si>
  <si>
    <t xml:space="preserve">Poultry </t>
  </si>
  <si>
    <t>Milk</t>
  </si>
  <si>
    <t>Meat</t>
  </si>
  <si>
    <t>Oyster</t>
  </si>
  <si>
    <t>Honey</t>
  </si>
  <si>
    <t>Fuel 2 for greehnouse temperature control price</t>
  </si>
  <si>
    <t>Fuel 3 for greehnouse temperature control price</t>
  </si>
  <si>
    <r>
      <t>€/m</t>
    </r>
    <r>
      <rPr>
        <vertAlign val="superscript"/>
        <sz val="12"/>
        <color rgb="FF000000"/>
        <rFont val="Calibri"/>
        <family val="2"/>
        <scheme val="minor"/>
      </rPr>
      <t>4</t>
    </r>
    <r>
      <rPr>
        <sz val="11"/>
        <color theme="1"/>
        <rFont val="Calibri"/>
        <family val="2"/>
        <scheme val="minor"/>
      </rPr>
      <t/>
    </r>
  </si>
  <si>
    <t>Name product 1</t>
  </si>
  <si>
    <t xml:space="preserve">Name fertiliser 2 </t>
  </si>
  <si>
    <t>FERTILIZER TYPE</t>
  </si>
  <si>
    <t>Organic</t>
  </si>
  <si>
    <t>Mineral</t>
  </si>
  <si>
    <t>Mineral/Organic</t>
  </si>
  <si>
    <t>Feed 1</t>
  </si>
  <si>
    <t>Feed 2</t>
  </si>
  <si>
    <t>Name feed 1</t>
  </si>
  <si>
    <t>Quantity feed 1</t>
  </si>
  <si>
    <t>Name feed 2</t>
  </si>
  <si>
    <t>Quantity feed 2</t>
  </si>
  <si>
    <t>Name fertiliser 1</t>
  </si>
  <si>
    <t>Drug 1</t>
  </si>
  <si>
    <t>Drug 2</t>
  </si>
  <si>
    <t xml:space="preserve">Cost of administrative activities, data collection, etc. </t>
  </si>
  <si>
    <t>Crop revenue</t>
  </si>
  <si>
    <t>Milk revenue</t>
  </si>
  <si>
    <t>Meat revenue</t>
  </si>
  <si>
    <t>Oyster revenue</t>
  </si>
  <si>
    <t>Honey revenue</t>
  </si>
  <si>
    <t>Grain (silos) revenue</t>
  </si>
  <si>
    <t>Labour productivity (silos)</t>
  </si>
  <si>
    <t>t/h</t>
  </si>
  <si>
    <t>l milk/cow/day</t>
  </si>
  <si>
    <t xml:space="preserve">Start of the growing/production season </t>
  </si>
  <si>
    <t xml:space="preserve">End of the growing/production season </t>
  </si>
  <si>
    <t>kg meat/animal/day</t>
  </si>
  <si>
    <t>Protein % on dry matter</t>
  </si>
  <si>
    <t>Mj/l</t>
  </si>
  <si>
    <t>Number of comparison(s)</t>
  </si>
  <si>
    <t>Soil Bulk Density</t>
  </si>
  <si>
    <t>Sand content in the soil</t>
  </si>
  <si>
    <t>Clay content in the soil</t>
  </si>
  <si>
    <t>Silt content in the soil</t>
  </si>
  <si>
    <t>h/ha</t>
  </si>
  <si>
    <t>GHG</t>
  </si>
  <si>
    <t>GHG emissions</t>
  </si>
  <si>
    <t>total ghg emissions</t>
  </si>
  <si>
    <t xml:space="preserve">Pesticide 3 price </t>
  </si>
  <si>
    <t xml:space="preserve">Pesticide 4 price </t>
  </si>
  <si>
    <t xml:space="preserve">Pesticide 5 price </t>
  </si>
  <si>
    <t xml:space="preserve">Pesticide 6 price </t>
  </si>
  <si>
    <t xml:space="preserve">Pesticide 7 price </t>
  </si>
  <si>
    <t xml:space="preserve">Pesticide 8 price </t>
  </si>
  <si>
    <t xml:space="preserve">Pesticide 9 price </t>
  </si>
  <si>
    <t xml:space="preserve">Pesticide 10 price </t>
  </si>
  <si>
    <t>Fertiliser 4 price</t>
  </si>
  <si>
    <t>Fertiliser 5 price</t>
  </si>
  <si>
    <t>Fertiliser 6 price</t>
  </si>
  <si>
    <t>Fertiliser 7 price</t>
  </si>
  <si>
    <t>Fertiliser 8 price</t>
  </si>
  <si>
    <t>Fertiliser 9 price</t>
  </si>
  <si>
    <t>Fertiliser 10 price</t>
  </si>
  <si>
    <t>Fertiliser 3 price</t>
  </si>
  <si>
    <t>Feed 3 price</t>
  </si>
  <si>
    <t>Feed 4 price</t>
  </si>
  <si>
    <t>Feed 5 price</t>
  </si>
  <si>
    <t>Drug 3 price</t>
  </si>
  <si>
    <t>Product 3</t>
  </si>
  <si>
    <t>Product 4</t>
  </si>
  <si>
    <t>Product 5</t>
  </si>
  <si>
    <t>Product 6</t>
  </si>
  <si>
    <t>Product 7</t>
  </si>
  <si>
    <t>Product 8</t>
  </si>
  <si>
    <t>Product 9</t>
  </si>
  <si>
    <t>Product 10</t>
  </si>
  <si>
    <t>Fertilizer 1</t>
  </si>
  <si>
    <t>Fertilizer 2</t>
  </si>
  <si>
    <t>Fertilizer 3</t>
  </si>
  <si>
    <t>Fertilizer 4</t>
  </si>
  <si>
    <t>Fertilizer 5</t>
  </si>
  <si>
    <t>Fertilizer 6</t>
  </si>
  <si>
    <t>Fertilizer 7</t>
  </si>
  <si>
    <t>Fertilizer 8</t>
  </si>
  <si>
    <t>Fertilizer 9</t>
  </si>
  <si>
    <t>Fertilizer 10</t>
  </si>
  <si>
    <t>Name fertiliser 4</t>
  </si>
  <si>
    <t>Name fertiliser 5</t>
  </si>
  <si>
    <t>Name fertiliser 6</t>
  </si>
  <si>
    <t>Name fertiliser 7</t>
  </si>
  <si>
    <t>Name fertiliser 8</t>
  </si>
  <si>
    <t>Name fertiliser 9</t>
  </si>
  <si>
    <t>Name fertiliser 10</t>
  </si>
  <si>
    <t>Feed 3</t>
  </si>
  <si>
    <t>Feed 4</t>
  </si>
  <si>
    <t>Feed 5</t>
  </si>
  <si>
    <t>Name feed 3</t>
  </si>
  <si>
    <t>Quantity feed 3</t>
  </si>
  <si>
    <t>Name feed 4</t>
  </si>
  <si>
    <t>Quantity feed 4</t>
  </si>
  <si>
    <t>Name feed 5</t>
  </si>
  <si>
    <t>Quantity feed 5</t>
  </si>
  <si>
    <t>Drug 3</t>
  </si>
  <si>
    <t>Quantity pruduct 1</t>
  </si>
  <si>
    <t>Quantity pruduct 2</t>
  </si>
  <si>
    <t>Quantity pruduct 3</t>
  </si>
  <si>
    <t>Economic</t>
  </si>
  <si>
    <t>Sustainability category</t>
  </si>
  <si>
    <t>Environmental</t>
  </si>
  <si>
    <t>Social</t>
  </si>
  <si>
    <t>DATSs COSTS</t>
  </si>
  <si>
    <t>Sum of costs of labour</t>
  </si>
  <si>
    <t>KPI</t>
  </si>
  <si>
    <t>UNIT</t>
  </si>
  <si>
    <t>CBA</t>
  </si>
  <si>
    <t>INPUTS</t>
  </si>
  <si>
    <t>ENERGY</t>
  </si>
  <si>
    <t>GHG EMISSIONS</t>
  </si>
  <si>
    <t>QUALITY</t>
  </si>
  <si>
    <t>working time</t>
  </si>
  <si>
    <t>h/animal</t>
  </si>
  <si>
    <t>h/piece</t>
  </si>
  <si>
    <t>h/kg honey</t>
  </si>
  <si>
    <t>h/t</t>
  </si>
  <si>
    <t>Labour for irrigation</t>
  </si>
  <si>
    <t>Labour for pesticide</t>
  </si>
  <si>
    <t>Labour for fertilisation</t>
  </si>
  <si>
    <t xml:space="preserve">Labour for sowing_planting </t>
  </si>
  <si>
    <t>Labour for pruning</t>
  </si>
  <si>
    <t xml:space="preserve">Labour for field visits </t>
  </si>
  <si>
    <t>Labour for greenhouse management</t>
  </si>
  <si>
    <t xml:space="preserve">Labour for tracking the quantity of grain available in the silo </t>
  </si>
  <si>
    <t>Labour for assessing grain quality</t>
  </si>
  <si>
    <t>Labour for controlling purchase and sale prices and quantities</t>
  </si>
  <si>
    <t xml:space="preserve">Labour for organise logistics </t>
  </si>
  <si>
    <t>Labour for cleaning</t>
  </si>
  <si>
    <t xml:space="preserve">Labour for stable visits </t>
  </si>
  <si>
    <t xml:space="preserve">Labour for heat detection </t>
  </si>
  <si>
    <t xml:space="preserve">Labour for calving detection </t>
  </si>
  <si>
    <t xml:space="preserve">Labour for storage </t>
  </si>
  <si>
    <t xml:space="preserve">Labour for harvesting </t>
  </si>
  <si>
    <t xml:space="preserve">Labour for transporting oysters to the laboratory  </t>
  </si>
  <si>
    <t xml:space="preserve">Labour for pigsty management </t>
  </si>
  <si>
    <t>Labour for (milk) quality assessment</t>
  </si>
  <si>
    <t xml:space="preserve">Labour for feeding </t>
  </si>
  <si>
    <t xml:space="preserve">Labour for beehives visits </t>
  </si>
  <si>
    <t xml:space="preserve">Labour for sampling of oysters </t>
  </si>
  <si>
    <t>Labour for milking</t>
  </si>
  <si>
    <t xml:space="preserve">Labour for administrative activities, data collection, etc. </t>
  </si>
  <si>
    <t>Hours worked for the specific activities impacted by DATSs</t>
  </si>
  <si>
    <t>Hours worked for the specific activities that could be impacted by DATSs</t>
  </si>
  <si>
    <t>Main Impacts</t>
  </si>
  <si>
    <t>Icon</t>
  </si>
  <si>
    <t>overall score (%)</t>
  </si>
  <si>
    <t>REDUCED WATER CONSUMPTION</t>
  </si>
  <si>
    <t>INCREASED REVENUES</t>
  </si>
  <si>
    <t>due to higher yields</t>
  </si>
  <si>
    <t>Percentage of first class tomatoes of mass</t>
  </si>
  <si>
    <r>
      <t>m</t>
    </r>
    <r>
      <rPr>
        <vertAlign val="superscript"/>
        <sz val="12"/>
        <color theme="1"/>
        <rFont val="Calibri"/>
        <family val="2"/>
        <scheme val="minor"/>
      </rPr>
      <t>3</t>
    </r>
    <r>
      <rPr>
        <sz val="12"/>
        <color theme="1"/>
        <rFont val="Calibri"/>
        <family val="2"/>
        <scheme val="minor"/>
      </rPr>
      <t>/1000 l milk</t>
    </r>
  </si>
  <si>
    <t>l/1000 l milk</t>
  </si>
  <si>
    <t>kWh/100 kg meat</t>
  </si>
  <si>
    <t>kWh/1000 l milk</t>
  </si>
  <si>
    <t>kg/100 kg meat</t>
  </si>
  <si>
    <t>kg/1000 l milk</t>
  </si>
  <si>
    <t>g/100 kg meat</t>
  </si>
  <si>
    <t>g/1000 l milk</t>
  </si>
  <si>
    <r>
      <t>m</t>
    </r>
    <r>
      <rPr>
        <vertAlign val="superscript"/>
        <sz val="12"/>
        <color theme="1"/>
        <rFont val="Calibri"/>
        <family val="2"/>
        <scheme val="minor"/>
      </rPr>
      <t>3</t>
    </r>
    <r>
      <rPr>
        <sz val="12"/>
        <color theme="1"/>
        <rFont val="Calibri"/>
        <family val="2"/>
        <scheme val="minor"/>
      </rPr>
      <t>/100 kg meat</t>
    </r>
  </si>
  <si>
    <t>€/1000 l milk</t>
  </si>
  <si>
    <t>€/100 kg meat</t>
  </si>
  <si>
    <t>h/1000 l milk</t>
  </si>
  <si>
    <t>h/100 kg meat</t>
  </si>
  <si>
    <t xml:space="preserve">DATSs 1 DATA </t>
  </si>
  <si>
    <t xml:space="preserve">DATSs 2 DATA </t>
  </si>
  <si>
    <t xml:space="preserve">DATSs n DATA </t>
  </si>
  <si>
    <t xml:space="preserve">Initial investment for DATSs </t>
  </si>
  <si>
    <t xml:space="preserve">Cost of pesticide </t>
  </si>
  <si>
    <t>Icon number</t>
  </si>
  <si>
    <t>Initial investment for the DATSs</t>
  </si>
  <si>
    <t>Cost of DATSs (maintenance + annual fees)</t>
  </si>
  <si>
    <t>KPI category</t>
  </si>
  <si>
    <t>% aggregated</t>
  </si>
  <si>
    <t>SUSTAINABILITY CATEGORY AGGREGATION</t>
  </si>
  <si>
    <t>POSITIVE IMPACT</t>
  </si>
  <si>
    <t>NEGATIVE IMPACT</t>
  </si>
  <si>
    <t>NEUTRAL</t>
  </si>
  <si>
    <t>if &gt; is good = 1</t>
  </si>
  <si>
    <t>Impacted KPIs</t>
  </si>
  <si>
    <t>Abs. Value</t>
  </si>
  <si>
    <t>code</t>
  </si>
  <si>
    <t>meaning</t>
  </si>
  <si>
    <t>colour</t>
  </si>
  <si>
    <t>green</t>
  </si>
  <si>
    <t>red</t>
  </si>
  <si>
    <t>grey</t>
  </si>
  <si>
    <t xml:space="preserve">DATS </t>
  </si>
  <si>
    <t>blu</t>
  </si>
  <si>
    <t>Silos revenue</t>
  </si>
  <si>
    <t xml:space="preserve">Water consumption </t>
  </si>
  <si>
    <r>
      <t>m</t>
    </r>
    <r>
      <rPr>
        <vertAlign val="superscript"/>
        <sz val="12"/>
        <color theme="1"/>
        <rFont val="Calibri"/>
        <family val="2"/>
        <scheme val="minor"/>
      </rPr>
      <t>3</t>
    </r>
    <r>
      <rPr>
        <sz val="12"/>
        <color theme="1"/>
        <rFont val="Calibri"/>
        <family val="2"/>
        <scheme val="minor"/>
      </rPr>
      <t>/ animal</t>
    </r>
  </si>
  <si>
    <t>kg CO2 eq/ha</t>
  </si>
  <si>
    <t>kg CO2 eq/1000 l milk</t>
  </si>
  <si>
    <t>kg CO2 eq/100 kg meat</t>
  </si>
  <si>
    <t>kg CO2 eq/animal</t>
  </si>
  <si>
    <t>kg CO2 eq/kg honey</t>
  </si>
  <si>
    <t>kg CO2 eq/t</t>
  </si>
  <si>
    <t>kg CO2 eq/piece</t>
  </si>
  <si>
    <t>l/t</t>
  </si>
  <si>
    <t>l/100 kg meat</t>
  </si>
  <si>
    <t>years (n)</t>
  </si>
  <si>
    <t>Short description (for column K)</t>
  </si>
  <si>
    <t>Subtitle (for column J)</t>
  </si>
  <si>
    <t>Title  (for column J)</t>
  </si>
  <si>
    <t>Aquaculture water productivity</t>
  </si>
  <si>
    <t>metric quintal (100 kg)</t>
  </si>
  <si>
    <r>
      <t>m</t>
    </r>
    <r>
      <rPr>
        <vertAlign val="superscript"/>
        <sz val="12"/>
        <color theme="1"/>
        <rFont val="Calibri"/>
        <family val="2"/>
        <scheme val="minor"/>
      </rPr>
      <t>3</t>
    </r>
    <r>
      <rPr>
        <sz val="12"/>
        <color theme="1"/>
        <rFont val="Calibri"/>
        <family val="2"/>
        <scheme val="minor"/>
      </rPr>
      <t xml:space="preserve"> (1000 l)</t>
    </r>
  </si>
  <si>
    <t>l/cow/day</t>
  </si>
  <si>
    <t>kg/cow/day</t>
  </si>
  <si>
    <t>kg/beehives</t>
  </si>
  <si>
    <t xml:space="preserve">l/beehives </t>
  </si>
  <si>
    <t>Aggregated Impacts</t>
  </si>
  <si>
    <t>% aggregated (max range)</t>
  </si>
  <si>
    <t xml:space="preserve">IMPACT CATEGORY AGGREGATION </t>
  </si>
  <si>
    <t>Impact category</t>
  </si>
  <si>
    <t>Colour</t>
  </si>
  <si>
    <t xml:space="preserve">QMS Water Software </t>
  </si>
  <si>
    <t>Onions - DAT</t>
  </si>
  <si>
    <t>26-14-0</t>
  </si>
  <si>
    <t>Superstart</t>
  </si>
  <si>
    <t>Kaliumsulfaat (English potassium sulfate)</t>
  </si>
  <si>
    <t>Urean (mixture of ammonium nitrate and urea)</t>
  </si>
  <si>
    <t>Teon B</t>
  </si>
  <si>
    <t>Onions - NO DAT</t>
  </si>
  <si>
    <t>INCREASED COST OF LABOUR FOR IRRIGATION</t>
  </si>
  <si>
    <t>Cost of labour for irrigation:  may be due to the time needed to set up and fine-tune the DATSs correctly and to check their correct functioning</t>
  </si>
  <si>
    <t>more time needed to setup and check the DATSs</t>
  </si>
  <si>
    <t>The increase in revenue is driven by higher yields achieved through DATSs implementation</t>
  </si>
  <si>
    <t>The DATSs have overall allowed for a positive benefit due to the increase in yields</t>
  </si>
  <si>
    <t>HIGHER YIELDS</t>
  </si>
  <si>
    <t>Monetary Impacts</t>
  </si>
  <si>
    <t>due to better water management</t>
  </si>
  <si>
    <t>thanks to a better estimation of the crop's irrigation needs</t>
  </si>
  <si>
    <t>PAYBACK PERIOD NOT CALCULATED</t>
  </si>
  <si>
    <t>the initial investment for the DATSs is zero</t>
  </si>
  <si>
    <t>testcaseNumber</t>
  </si>
  <si>
    <t>testcaseLeader</t>
  </si>
  <si>
    <t>cultivationType</t>
  </si>
  <si>
    <t>productType</t>
  </si>
  <si>
    <t>startMonth</t>
  </si>
  <si>
    <t>endMonth</t>
  </si>
  <si>
    <t>biogeographicalRegion</t>
  </si>
  <si>
    <t>totalFarmSize</t>
  </si>
  <si>
    <t>numberOfComparisons</t>
  </si>
  <si>
    <t>numberOfEmployees</t>
  </si>
  <si>
    <t>numberofFullTimeEmployees</t>
  </si>
  <si>
    <t>numberOfSeasonalEmployees</t>
  </si>
  <si>
    <t>datsInitialInvestmentCosts</t>
  </si>
  <si>
    <t>datsExpectedLifespan</t>
  </si>
  <si>
    <t>datsInstallationTime</t>
  </si>
  <si>
    <t>datsMaintenanceCosts</t>
  </si>
  <si>
    <t>datsAnnualFees</t>
  </si>
  <si>
    <t>datsTrainingTime</t>
  </si>
  <si>
    <t>datsTrainers</t>
  </si>
  <si>
    <t>datsTrainingCosts</t>
  </si>
  <si>
    <t>datsName</t>
  </si>
  <si>
    <t>waterPrice</t>
  </si>
  <si>
    <t>fuelPrice</t>
  </si>
  <si>
    <t>n_fuel_for_greenhouse</t>
  </si>
  <si>
    <t>electricityPrice</t>
  </si>
  <si>
    <t>averageSalary</t>
  </si>
  <si>
    <t>averageProfessionalSalary</t>
  </si>
  <si>
    <t>productMarketPrice</t>
  </si>
  <si>
    <t>n_of_pesticide_used</t>
  </si>
  <si>
    <t>n_of_fertilizers_used</t>
  </si>
  <si>
    <t>n_of_feed_used</t>
  </si>
  <si>
    <t>n_of_drugs_used</t>
  </si>
  <si>
    <t>parcelInformation</t>
  </si>
  <si>
    <t>datsInformation</t>
  </si>
  <si>
    <t>marketinformation</t>
  </si>
  <si>
    <t>pesticidesusageinformation</t>
  </si>
  <si>
    <t>fertilizersusageinformation</t>
  </si>
  <si>
    <t>feedusageinformation</t>
  </si>
  <si>
    <t>drugsusageinformation</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</si>
  <si>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</si>
  <si>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</si>
  <si>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</si>
  <si>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</si>
  <si>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</si>
  <si>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</si>
  <si>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</si>
  <si>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</si>
  <si>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</si>
  <si>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</si>
  <si>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</si>
  <si>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</si>
  <si>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</si>
  <si>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</si>
  <si>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</si>
  <si>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</si>
  <si>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</si>
  <si>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</si>
  <si>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</si>
  <si>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</si>
  <si>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</si>
  <si>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</si>
  <si>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</si>
  <si>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</si>
  <si>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</si>
  <si>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</si>
  <si>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</si>
  <si>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</si>
  <si>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</si>
  <si>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</si>
  <si>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</si>
  <si>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</si>
  <si>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</si>
  <si>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</si>
  <si>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</si>
  <si>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</si>
  <si>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</si>
  <si>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</si>
  <si>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</si>
  <si>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</si>
  <si>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</si>
  <si>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</si>
  <si>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</si>
  <si>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</si>
  <si>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</si>
  <si>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</si>
  <si>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</si>
  <si>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</si>
  <si>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</si>
  <si>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</si>
  <si>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</si>
  <si>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</si>
  <si>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</si>
  <si>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</si>
  <si>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</si>
  <si>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</si>
  <si>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</si>
  <si>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</si>
  <si>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</si>
  <si>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</si>
  <si>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</si>
  <si>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</si>
  <si>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</si>
  <si>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</si>
  <si>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</si>
  <si>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</si>
  <si>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</si>
  <si>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</si>
  <si>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</si>
  <si>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</si>
  <si>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</si>
  <si>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waterUsageInformation</t>
  </si>
  <si>
    <t>fuelUsageInformation</t>
  </si>
  <si>
    <t>fuelForTemperatureControlInformation</t>
  </si>
  <si>
    <t>electricityUsageInformation</t>
  </si>
  <si>
    <t>pesticidesUsageInformation</t>
  </si>
  <si>
    <t>fertilizersUsageInformation</t>
  </si>
  <si>
    <t>feedUsageInformation</t>
  </si>
  <si>
    <t>drugsUsageInformation</t>
  </si>
  <si>
    <t>labourInformation</t>
  </si>
  <si>
    <t>economicInformation</t>
  </si>
  <si>
    <t>additionalAnimalInformation</t>
  </si>
  <si>
    <t>additionalLabourInformation</t>
  </si>
  <si>
    <t>outputInformation</t>
  </si>
  <si>
    <t>parcelDimension</t>
  </si>
  <si>
    <t>numberOfPlants</t>
  </si>
  <si>
    <t>soilFractionSand</t>
  </si>
  <si>
    <t>soilFractionClay</t>
  </si>
  <si>
    <t>soilFractionSilt</t>
  </si>
  <si>
    <t>bulkDensity</t>
  </si>
  <si>
    <t>soilOrganicCarbon</t>
  </si>
  <si>
    <t>numberOfAnimals</t>
  </si>
  <si>
    <t>livestockUnits</t>
  </si>
  <si>
    <t>numberOfBeehives</t>
  </si>
  <si>
    <t>aquacultureArea</t>
  </si>
  <si>
    <t>waterUsageForIrrigation</t>
  </si>
  <si>
    <t>waterUsageForFertigation</t>
  </si>
  <si>
    <t>waterUsageForPestDilution</t>
  </si>
  <si>
    <t>waterUsageForCleaning</t>
  </si>
  <si>
    <t>waterUsageForDrinking</t>
  </si>
  <si>
    <t>totalWaterUsage</t>
  </si>
  <si>
    <t>fuelUsageForFertilisation</t>
  </si>
  <si>
    <t>fuelUsageForPesticides</t>
  </si>
  <si>
    <t>fuelUsageForIrrigation</t>
  </si>
  <si>
    <t>fuelUsageForSowing</t>
  </si>
  <si>
    <t>fuelUsageForPruning</t>
  </si>
  <si>
    <t>fuelUsageForTemperatureHumidityControl</t>
  </si>
  <si>
    <t>fuelUsageForBeehivesVisits</t>
  </si>
  <si>
    <t>fuelUsageForTransportingOysters</t>
  </si>
  <si>
    <t>fuelUsageForMilking</t>
  </si>
  <si>
    <t>fuelUsageForFeeding</t>
  </si>
  <si>
    <t>totalFuelUsage</t>
  </si>
  <si>
    <t>productName_0</t>
  </si>
  <si>
    <t>quantity_0</t>
  </si>
  <si>
    <t>productName_1</t>
  </si>
  <si>
    <t>quantity_1</t>
  </si>
  <si>
    <t>productName_2</t>
  </si>
  <si>
    <t>quantity_2</t>
  </si>
  <si>
    <t>productName_3</t>
  </si>
  <si>
    <t>quantity_3</t>
  </si>
  <si>
    <t>productName_4</t>
  </si>
  <si>
    <t>quantity_4</t>
  </si>
  <si>
    <t>productName_5</t>
  </si>
  <si>
    <t>electricityUsageForTemperatureHumidityControl</t>
  </si>
  <si>
    <t>electricityUsageForIrrigation</t>
  </si>
  <si>
    <t>electricityUsageForMilking</t>
  </si>
  <si>
    <t>electricityUsageForHeatDetection</t>
  </si>
  <si>
    <t>electricityUsageForCalvingDetection</t>
  </si>
  <si>
    <t>electricityUsageForFeeding</t>
  </si>
  <si>
    <t>totalElectricityUsage</t>
  </si>
  <si>
    <t>numberOfTreatments_0</t>
  </si>
  <si>
    <t>averageQuantity_0</t>
  </si>
  <si>
    <t>numberOfTreatments_1</t>
  </si>
  <si>
    <t>averageQuantity_1</t>
  </si>
  <si>
    <t>numberOfTreatments_2</t>
  </si>
  <si>
    <t>averageQuantity_2</t>
  </si>
  <si>
    <t>numberOfTreatments_3</t>
  </si>
  <si>
    <t>averageQuantity_3</t>
  </si>
  <si>
    <t>numberOfTreatments_4</t>
  </si>
  <si>
    <t>averageQuantity_4</t>
  </si>
  <si>
    <t>numberOfTreatments_5</t>
  </si>
  <si>
    <t>averageQuantity_5</t>
  </si>
  <si>
    <t>productName_6</t>
  </si>
  <si>
    <t>numberOfTreatments_6</t>
  </si>
  <si>
    <t>averageQuantity_6</t>
  </si>
  <si>
    <t>productName_7</t>
  </si>
  <si>
    <t>numberOfTreatments_7</t>
  </si>
  <si>
    <t>averageQuantity_7</t>
  </si>
  <si>
    <t>productName_8</t>
  </si>
  <si>
    <t>numberOfTreatments_8</t>
  </si>
  <si>
    <t>averageQuantity_8</t>
  </si>
  <si>
    <t>productName_9</t>
  </si>
  <si>
    <t>numberOfTreatments_9</t>
  </si>
  <si>
    <t>averageQuantity_9</t>
  </si>
  <si>
    <t>productType_0</t>
  </si>
  <si>
    <t>averageNitrogenQuantity_0</t>
  </si>
  <si>
    <t>averagePhosphorusQuantity_0</t>
  </si>
  <si>
    <t>averagePotassiumQuantity_0</t>
  </si>
  <si>
    <t>productType_1</t>
  </si>
  <si>
    <t>averageNitrogenQuantity_1</t>
  </si>
  <si>
    <t>averagePhosphorusQuantity_1</t>
  </si>
  <si>
    <t>averagePotassiumQuantity_1</t>
  </si>
  <si>
    <t>productType_2</t>
  </si>
  <si>
    <t>averageNitrogenQuantity_2</t>
  </si>
  <si>
    <t>averagePhosphorusQuantity_2</t>
  </si>
  <si>
    <t>averagePotassiumQuantity_2</t>
  </si>
  <si>
    <t>productType_3</t>
  </si>
  <si>
    <t>averageNitrogenQuantity_3</t>
  </si>
  <si>
    <t>averagePhosphorusQuantity_3</t>
  </si>
  <si>
    <t>averagePotassiumQuantity_3</t>
  </si>
  <si>
    <t>productType_4</t>
  </si>
  <si>
    <t>averageNitrogenQuantity_4</t>
  </si>
  <si>
    <t>averagePhosphorusQuantity_4</t>
  </si>
  <si>
    <t>averagePotassiumQuantity_4</t>
  </si>
  <si>
    <t>productType_5</t>
  </si>
  <si>
    <t>averageNitrogenQuantity_5</t>
  </si>
  <si>
    <t>averagePhosphorusQuantity_5</t>
  </si>
  <si>
    <t>averagePotassiumQuantity_5</t>
  </si>
  <si>
    <t>productType_6</t>
  </si>
  <si>
    <t>averageNitrogenQuantity_6</t>
  </si>
  <si>
    <t>averagePhosphorusQuantity_6</t>
  </si>
  <si>
    <t>averagePotassiumQuantity_6</t>
  </si>
  <si>
    <t>productType_7</t>
  </si>
  <si>
    <t>averageNitrogenQuantity_7</t>
  </si>
  <si>
    <t>averagePhosphorusQuantity_7</t>
  </si>
  <si>
    <t>averagePotassiumQuantity_7</t>
  </si>
  <si>
    <t>productType_8</t>
  </si>
  <si>
    <t>averageNitrogenQuantity_8</t>
  </si>
  <si>
    <t>averagePhosphorusQuantity_8</t>
  </si>
  <si>
    <t>averagePotassiumQuantity_8</t>
  </si>
  <si>
    <t>productType_9</t>
  </si>
  <si>
    <t>averageNitrogenQuantity_9</t>
  </si>
  <si>
    <t>averagePhosphorusQuantity_9</t>
  </si>
  <si>
    <t>averagePotassiumQuantity_9</t>
  </si>
  <si>
    <t>labourForIrrigation</t>
  </si>
  <si>
    <t>labourForPesticides</t>
  </si>
  <si>
    <t>labourForFertilisation</t>
  </si>
  <si>
    <t>labourForSowingOrPlanting</t>
  </si>
  <si>
    <t>labourForPruning</t>
  </si>
  <si>
    <t>labourForFieldVisits</t>
  </si>
  <si>
    <t>labourForGreenhouseManagement</t>
  </si>
  <si>
    <t>labourForQuantityTracking</t>
  </si>
  <si>
    <t>labourForGrainQualityAssessment</t>
  </si>
  <si>
    <t>labourForControllingPricesAndQuantities</t>
  </si>
  <si>
    <t>labourForOrganisingLogistics</t>
  </si>
  <si>
    <t>labourForCleaning</t>
  </si>
  <si>
    <t>labourForStableVisits</t>
  </si>
  <si>
    <t>labourForHeatDetection</t>
  </si>
  <si>
    <t>labourForCalvingDetection</t>
  </si>
  <si>
    <t>labourForPigstyManagement</t>
  </si>
  <si>
    <t>labourForMilking</t>
  </si>
  <si>
    <t>labourForMilkQualityAssessment</t>
  </si>
  <si>
    <t>labourForFeeding</t>
  </si>
  <si>
    <t>labourForBeehiveVisits</t>
  </si>
  <si>
    <t>labourForOysterSampling</t>
  </si>
  <si>
    <t>labourForOysterTransportation</t>
  </si>
  <si>
    <t>labourForHarvesting</t>
  </si>
  <si>
    <t>labourForStorage</t>
  </si>
  <si>
    <t>labourForAdministration</t>
  </si>
  <si>
    <t>numberOfFulfilledOrders</t>
  </si>
  <si>
    <t>numberOfOrdersReceived</t>
  </si>
  <si>
    <t>numberOfWrongOrders</t>
  </si>
  <si>
    <t>additionalRevenues</t>
  </si>
  <si>
    <t>percentageProteinInDryMatter</t>
  </si>
  <si>
    <t>humidity</t>
  </si>
  <si>
    <t>testWeight</t>
  </si>
  <si>
    <t>numberOfDeathAnimals</t>
  </si>
  <si>
    <t>calvesDiedInFirst24Hours</t>
  </si>
  <si>
    <t>totalNumberOfCalvesBorn</t>
  </si>
  <si>
    <t>numberOfDaysWithPastureAccess</t>
  </si>
  <si>
    <t>outdoorLoafingArea</t>
  </si>
  <si>
    <t>numberOfCowsWithHighSCCMilk</t>
  </si>
  <si>
    <t>numberOfNewInjuryCases</t>
  </si>
  <si>
    <t>totalNumberOfLostWorkingHours</t>
  </si>
  <si>
    <t>totalNumberOfWorkingHours</t>
  </si>
  <si>
    <t>numberOfWorkingWeeks</t>
  </si>
  <si>
    <t>numberOfNewLocalEmployeesHired</t>
  </si>
  <si>
    <t>numberOfNewEmployeesHired</t>
  </si>
  <si>
    <t>cropProduction</t>
  </si>
  <si>
    <t>milkProduction</t>
  </si>
  <si>
    <t>meatProduction</t>
  </si>
  <si>
    <t>oysterProduction</t>
  </si>
  <si>
    <t>honeyProduction</t>
  </si>
  <si>
    <t>silosProduction</t>
  </si>
  <si>
    <t>animal_number</t>
  </si>
  <si>
    <t>G10</t>
  </si>
  <si>
    <t>G20</t>
  </si>
  <si>
    <t>G30</t>
  </si>
  <si>
    <t>G40</t>
  </si>
  <si>
    <t>G50</t>
  </si>
  <si>
    <t>G60</t>
  </si>
  <si>
    <t>G70</t>
  </si>
  <si>
    <t>G80</t>
  </si>
  <si>
    <t>G90</t>
  </si>
  <si>
    <t>G100</t>
  </si>
  <si>
    <t>G110</t>
  </si>
  <si>
    <t>G11</t>
  </si>
  <si>
    <t>G12</t>
  </si>
  <si>
    <t>G13</t>
  </si>
  <si>
    <t>G14</t>
  </si>
  <si>
    <t>G15</t>
  </si>
  <si>
    <t>G16</t>
  </si>
  <si>
    <t>G17</t>
  </si>
  <si>
    <t>G18</t>
  </si>
  <si>
    <t>G19</t>
  </si>
  <si>
    <t>G21</t>
  </si>
  <si>
    <t>G22</t>
  </si>
  <si>
    <t>G23</t>
  </si>
  <si>
    <t>G24</t>
  </si>
  <si>
    <t>G25</t>
  </si>
  <si>
    <t>G26</t>
  </si>
  <si>
    <t>G27</t>
  </si>
  <si>
    <t>G28</t>
  </si>
  <si>
    <t>G29</t>
  </si>
  <si>
    <t>G31</t>
  </si>
  <si>
    <t>G32</t>
  </si>
  <si>
    <t>G33</t>
  </si>
  <si>
    <t>G34</t>
  </si>
  <si>
    <t>G35</t>
  </si>
  <si>
    <t>G36</t>
  </si>
  <si>
    <t>G37</t>
  </si>
  <si>
    <t>G38</t>
  </si>
  <si>
    <t>G39</t>
  </si>
  <si>
    <t>G41</t>
  </si>
  <si>
    <t>G42</t>
  </si>
  <si>
    <t>G43</t>
  </si>
  <si>
    <t>G44</t>
  </si>
  <si>
    <t>G45</t>
  </si>
  <si>
    <t>G46</t>
  </si>
  <si>
    <t>G47</t>
  </si>
  <si>
    <t>G48</t>
  </si>
  <si>
    <t>G49</t>
  </si>
  <si>
    <t>G51</t>
  </si>
  <si>
    <t>G52</t>
  </si>
  <si>
    <t>G53</t>
  </si>
  <si>
    <t>G54</t>
  </si>
  <si>
    <t>G55</t>
  </si>
  <si>
    <t>G56</t>
  </si>
  <si>
    <t>G57</t>
  </si>
  <si>
    <t>G58</t>
  </si>
  <si>
    <t>G59</t>
  </si>
  <si>
    <t>G61</t>
  </si>
  <si>
    <t>G62</t>
  </si>
  <si>
    <t>G63</t>
  </si>
  <si>
    <t>G64</t>
  </si>
  <si>
    <t>G65</t>
  </si>
  <si>
    <t>G66</t>
  </si>
  <si>
    <t>G67</t>
  </si>
  <si>
    <t>G68</t>
  </si>
  <si>
    <t>G69</t>
  </si>
  <si>
    <t>G71</t>
  </si>
  <si>
    <t>G72</t>
  </si>
  <si>
    <t>G73</t>
  </si>
  <si>
    <t>G74</t>
  </si>
  <si>
    <t>G75</t>
  </si>
  <si>
    <t>G76</t>
  </si>
  <si>
    <t>G77</t>
  </si>
  <si>
    <t>G78</t>
  </si>
  <si>
    <t>G79</t>
  </si>
  <si>
    <t>G81</t>
  </si>
  <si>
    <t>G82</t>
  </si>
  <si>
    <t>G83</t>
  </si>
  <si>
    <t>G84</t>
  </si>
  <si>
    <t>G85</t>
  </si>
  <si>
    <t>G86</t>
  </si>
  <si>
    <t>G87</t>
  </si>
  <si>
    <t>G88</t>
  </si>
  <si>
    <t>G89</t>
  </si>
  <si>
    <t>G91</t>
  </si>
  <si>
    <t>G92</t>
  </si>
  <si>
    <t>G93</t>
  </si>
  <si>
    <t>G94</t>
  </si>
  <si>
    <t>G95</t>
  </si>
  <si>
    <t>G96</t>
  </si>
  <si>
    <t>G97</t>
  </si>
  <si>
    <t>G98</t>
  </si>
  <si>
    <t>G99</t>
  </si>
  <si>
    <t>G101</t>
  </si>
  <si>
    <t>G102</t>
  </si>
  <si>
    <t>G103</t>
  </si>
  <si>
    <t>G104</t>
  </si>
  <si>
    <t>G105</t>
  </si>
  <si>
    <t>G106</t>
  </si>
  <si>
    <t>G107</t>
  </si>
  <si>
    <t>G108</t>
  </si>
  <si>
    <t>G109</t>
  </si>
  <si>
    <t>G111</t>
  </si>
  <si>
    <t>G112</t>
  </si>
  <si>
    <t>G113</t>
  </si>
  <si>
    <t>G114</t>
  </si>
  <si>
    <t>G115</t>
  </si>
  <si>
    <t>G116</t>
  </si>
  <si>
    <t>G117</t>
  </si>
  <si>
    <t>G118</t>
  </si>
  <si>
    <t>G119</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</si>
  <si>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</si>
  <si>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</si>
  <si>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</si>
  <si>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</si>
  <si>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</si>
  <si>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</si>
  <si>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</si>
  <si>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</si>
  <si>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</si>
  <si>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</si>
  <si>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</si>
  <si>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</si>
  <si>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</si>
  <si>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</si>
  <si>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</si>
  <si>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</si>
  <si>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</si>
  <si>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</si>
  <si>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</si>
  <si>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</si>
  <si>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</si>
  <si>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</si>
  <si>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</si>
  <si>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</si>
  <si>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</si>
  <si>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</si>
  <si>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</si>
  <si>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G147</t>
  </si>
  <si>
    <t>G148</t>
  </si>
  <si>
    <t>G149</t>
  </si>
  <si>
    <t>G150</t>
  </si>
  <si>
    <t>G151</t>
  </si>
  <si>
    <t>G152</t>
  </si>
  <si>
    <t>G153</t>
  </si>
  <si>
    <t>G154</t>
  </si>
  <si>
    <t>G155</t>
  </si>
  <si>
    <t>G156</t>
  </si>
  <si>
    <t>G157</t>
  </si>
  <si>
    <t>G158</t>
  </si>
  <si>
    <t>G159</t>
  </si>
  <si>
    <t>G160</t>
  </si>
  <si>
    <t>G161</t>
  </si>
  <si>
    <t>G162</t>
  </si>
  <si>
    <t>G163</t>
  </si>
  <si>
    <t>G164</t>
  </si>
  <si>
    <t>G165</t>
  </si>
  <si>
    <t>G166</t>
  </si>
  <si>
    <t>G167</t>
  </si>
  <si>
    <t>G168</t>
  </si>
  <si>
    <t>G169</t>
  </si>
  <si>
    <t>G170</t>
  </si>
  <si>
    <t>G171</t>
  </si>
  <si>
    <t>G172</t>
  </si>
  <si>
    <t>G173</t>
  </si>
  <si>
    <t>G174</t>
  </si>
  <si>
    <t>G175</t>
  </si>
  <si>
    <t>G176</t>
  </si>
  <si>
    <t>G177</t>
  </si>
  <si>
    <t>G178</t>
  </si>
  <si>
    <t>G179</t>
  </si>
  <si>
    <t>G180</t>
  </si>
  <si>
    <t>G181</t>
  </si>
  <si>
    <t>G182</t>
  </si>
  <si>
    <t>G183</t>
  </si>
  <si>
    <t>G184</t>
  </si>
  <si>
    <t>G185</t>
  </si>
  <si>
    <t>G186</t>
  </si>
  <si>
    <t>G187</t>
  </si>
  <si>
    <t>G188</t>
  </si>
  <si>
    <t>G189</t>
  </si>
  <si>
    <t>G190</t>
  </si>
  <si>
    <t>G191</t>
  </si>
  <si>
    <t>G192</t>
  </si>
  <si>
    <t>G193</t>
  </si>
  <si>
    <t>G194</t>
  </si>
  <si>
    <t>G195</t>
  </si>
  <si>
    <t>G196</t>
  </si>
  <si>
    <t>G197</t>
  </si>
  <si>
    <t>G198</t>
  </si>
  <si>
    <t>G199</t>
  </si>
  <si>
    <t>G200</t>
  </si>
  <si>
    <t>G201</t>
  </si>
  <si>
    <t>G202</t>
  </si>
  <si>
    <t>G203</t>
  </si>
  <si>
    <t>G204</t>
  </si>
  <si>
    <t>G205</t>
  </si>
  <si>
    <t>G206</t>
  </si>
  <si>
    <t>G207</t>
  </si>
  <si>
    <t>G208</t>
  </si>
  <si>
    <t>G209</t>
  </si>
  <si>
    <t>G210</t>
  </si>
  <si>
    <t>G211</t>
  </si>
  <si>
    <t>G212</t>
  </si>
  <si>
    <t>G213</t>
  </si>
  <si>
    <t>G214</t>
  </si>
  <si>
    <t>G215</t>
  </si>
  <si>
    <t>G216</t>
  </si>
  <si>
    <t>G217</t>
  </si>
  <si>
    <t>G218</t>
  </si>
  <si>
    <t>G219</t>
  </si>
  <si>
    <t>G220</t>
  </si>
  <si>
    <t>G221</t>
  </si>
  <si>
    <t>G222</t>
  </si>
  <si>
    <t>G223</t>
  </si>
  <si>
    <t>G224</t>
  </si>
  <si>
    <t>G225</t>
  </si>
  <si>
    <t>G226</t>
  </si>
  <si>
    <t>G227</t>
  </si>
  <si>
    <t>G228</t>
  </si>
  <si>
    <t>G229</t>
  </si>
  <si>
    <t>G230</t>
  </si>
  <si>
    <t>G231</t>
  </si>
  <si>
    <t>G232</t>
  </si>
  <si>
    <t>G233</t>
  </si>
  <si>
    <t>G234</t>
  </si>
  <si>
    <t>G235</t>
  </si>
  <si>
    <t>G236</t>
  </si>
  <si>
    <t>G237</t>
  </si>
  <si>
    <t>G238</t>
  </si>
  <si>
    <t>G239</t>
  </si>
  <si>
    <t>G240</t>
  </si>
  <si>
    <t>G241</t>
  </si>
  <si>
    <t>G242</t>
  </si>
  <si>
    <t>G243</t>
  </si>
  <si>
    <t>G244</t>
  </si>
  <si>
    <t>G245</t>
  </si>
  <si>
    <t>G246</t>
  </si>
  <si>
    <t>G247</t>
  </si>
  <si>
    <t>G248</t>
  </si>
  <si>
    <t>G249</t>
  </si>
  <si>
    <t>G250</t>
  </si>
  <si>
    <t>G251</t>
  </si>
  <si>
    <t>G252</t>
  </si>
  <si>
    <t>G253</t>
  </si>
  <si>
    <t>G254</t>
  </si>
  <si>
    <t>G255</t>
  </si>
  <si>
    <t>G256</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</si>
  <si>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</si>
  <si>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</si>
  <si>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</si>
  <si>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</si>
  <si>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</si>
  <si>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</si>
  <si>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</si>
  <si>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</si>
  <si>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</si>
  <si>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</si>
  <si>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</si>
  <si>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</si>
  <si>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</si>
  <si>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</si>
  <si>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</si>
  <si>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</si>
  <si>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</si>
  <si>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</si>
  <si>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</si>
  <si>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</si>
  <si>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</si>
  <si>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</si>
  <si>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</si>
  <si>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</si>
  <si>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</si>
  <si>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</si>
  <si>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</si>
  <si>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</si>
  <si>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</si>
  <si>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</si>
  <si>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</si>
  <si>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</si>
  <si>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</si>
  <si>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</si>
  <si>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</si>
  <si>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</si>
  <si>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</si>
  <si>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</si>
  <si>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</si>
  <si>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</si>
  <si>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</si>
  <si>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</si>
  <si>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</si>
  <si>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</si>
  <si>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</si>
  <si>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</si>
  <si>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</si>
  <si>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</si>
  <si>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</si>
  <si>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</si>
  <si>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</si>
  <si>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</si>
  <si>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</si>
  <si>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</si>
  <si>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H64</t>
  </si>
  <si>
    <t>H65</t>
  </si>
  <si>
    <t>H66</t>
  </si>
  <si>
    <t>H67</t>
  </si>
  <si>
    <t>H68</t>
  </si>
  <si>
    <t>H69</t>
  </si>
  <si>
    <t>H70</t>
  </si>
  <si>
    <t>H71</t>
  </si>
  <si>
    <t>H72</t>
  </si>
  <si>
    <t>H73</t>
  </si>
  <si>
    <t>H74</t>
  </si>
  <si>
    <t>H75</t>
  </si>
  <si>
    <t>H76</t>
  </si>
  <si>
    <t>H77</t>
  </si>
  <si>
    <t>H78</t>
  </si>
  <si>
    <t>H79</t>
  </si>
  <si>
    <t>H80</t>
  </si>
  <si>
    <t>H81</t>
  </si>
  <si>
    <t>H82</t>
  </si>
  <si>
    <t>H83</t>
  </si>
  <si>
    <t>H84</t>
  </si>
  <si>
    <t>H85</t>
  </si>
  <si>
    <t>H86</t>
  </si>
  <si>
    <t>H87</t>
  </si>
  <si>
    <t>H88</t>
  </si>
  <si>
    <t>H89</t>
  </si>
  <si>
    <t>H90</t>
  </si>
  <si>
    <t>H91</t>
  </si>
  <si>
    <t>H92</t>
  </si>
  <si>
    <t>H93</t>
  </si>
  <si>
    <t>H94</t>
  </si>
  <si>
    <t>H95</t>
  </si>
  <si>
    <t>H96</t>
  </si>
  <si>
    <t>H97</t>
  </si>
  <si>
    <t>H98</t>
  </si>
  <si>
    <t>H99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</si>
  <si>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</si>
  <si>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</si>
  <si>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</si>
  <si>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</si>
  <si>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</si>
  <si>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</si>
  <si>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</si>
  <si>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</si>
  <si>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</si>
  <si>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</si>
  <si>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</si>
  <si>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</si>
  <si>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</si>
  <si>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</si>
  <si>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</si>
  <si>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</si>
  <si>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</si>
  <si>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</si>
  <si>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</si>
  <si>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</si>
  <si>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</si>
  <si>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</si>
  <si>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</si>
  <si>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</si>
  <si>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</si>
  <si>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</si>
  <si>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</si>
  <si>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</si>
  <si>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</si>
  <si>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</si>
  <si>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</si>
  <si>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</si>
  <si>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</si>
  <si>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</si>
  <si>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</si>
  <si>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</si>
  <si>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</si>
  <si>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</si>
  <si>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</si>
  <si>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</si>
  <si>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</si>
  <si>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</si>
  <si>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</si>
  <si>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</si>
  <si>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</si>
  <si>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</si>
  <si>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</si>
  <si>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</si>
  <si>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</si>
  <si>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</si>
  <si>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</si>
  <si>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</si>
  <si>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</si>
  <si>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</si>
  <si>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</si>
  <si>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</si>
  <si>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</si>
  <si>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</si>
  <si>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</si>
  <si>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</si>
  <si>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H160</t>
  </si>
  <si>
    <t>H161</t>
  </si>
  <si>
    <t>H162</t>
  </si>
  <si>
    <t>H163</t>
  </si>
  <si>
    <t>H164</t>
  </si>
  <si>
    <t>H165</t>
  </si>
  <si>
    <t>H166</t>
  </si>
  <si>
    <t>H167</t>
  </si>
  <si>
    <t>H168</t>
  </si>
  <si>
    <t>H169</t>
  </si>
  <si>
    <t>H170</t>
  </si>
  <si>
    <t>H171</t>
  </si>
  <si>
    <t>H172</t>
  </si>
  <si>
    <t>H173</t>
  </si>
  <si>
    <t>H174</t>
  </si>
  <si>
    <t>H175</t>
  </si>
  <si>
    <t>H176</t>
  </si>
  <si>
    <t>H177</t>
  </si>
  <si>
    <t>H178</t>
  </si>
  <si>
    <t>H179</t>
  </si>
  <si>
    <t>H180</t>
  </si>
  <si>
    <t>H181</t>
  </si>
  <si>
    <t>H182</t>
  </si>
  <si>
    <t>H183</t>
  </si>
  <si>
    <t>H184</t>
  </si>
  <si>
    <t>H185</t>
  </si>
  <si>
    <t>H186</t>
  </si>
  <si>
    <t>H187</t>
  </si>
  <si>
    <t>H188</t>
  </si>
  <si>
    <t>H189</t>
  </si>
  <si>
    <t>H190</t>
  </si>
  <si>
    <t>H191</t>
  </si>
  <si>
    <t>H192</t>
  </si>
  <si>
    <t>H193</t>
  </si>
  <si>
    <t>H194</t>
  </si>
  <si>
    <t>H195</t>
  </si>
  <si>
    <t>H196</t>
  </si>
  <si>
    <t>H197</t>
  </si>
  <si>
    <t>H198</t>
  </si>
  <si>
    <t>H199</t>
  </si>
  <si>
    <t>H200</t>
  </si>
  <si>
    <t>H201</t>
  </si>
  <si>
    <t>H202</t>
  </si>
  <si>
    <t>H203</t>
  </si>
  <si>
    <t>H204</t>
  </si>
  <si>
    <t>H205</t>
  </si>
  <si>
    <t>H206</t>
  </si>
  <si>
    <t>H207</t>
  </si>
  <si>
    <t>H208</t>
  </si>
  <si>
    <t>H209</t>
  </si>
  <si>
    <t>H210</t>
  </si>
  <si>
    <t>H211</t>
  </si>
  <si>
    <t>H212</t>
  </si>
  <si>
    <t>H213</t>
  </si>
  <si>
    <t>H214</t>
  </si>
  <si>
    <t>H215</t>
  </si>
  <si>
    <t>H216</t>
  </si>
  <si>
    <t>H217</t>
  </si>
  <si>
    <t>H218</t>
  </si>
  <si>
    <t>H219</t>
  </si>
  <si>
    <t>H220</t>
  </si>
  <si>
    <t>H221</t>
  </si>
  <si>
    <t>H222</t>
  </si>
  <si>
    <t>H223</t>
  </si>
  <si>
    <t>H224</t>
  </si>
  <si>
    <t>H225</t>
  </si>
  <si>
    <t>H226</t>
  </si>
  <si>
    <t>H227</t>
  </si>
  <si>
    <t>H228</t>
  </si>
  <si>
    <t>H229</t>
  </si>
  <si>
    <t>H230</t>
  </si>
  <si>
    <t>H231</t>
  </si>
  <si>
    <t>H232</t>
  </si>
  <si>
    <t>H233</t>
  </si>
  <si>
    <t>H234</t>
  </si>
  <si>
    <t>H235</t>
  </si>
  <si>
    <t>H236</t>
  </si>
  <si>
    <t>H237</t>
  </si>
  <si>
    <t>H238</t>
  </si>
  <si>
    <t>H239</t>
  </si>
  <si>
    <t>H240</t>
  </si>
  <si>
    <t>H241</t>
  </si>
  <si>
    <t>H242</t>
  </si>
  <si>
    <t>H243</t>
  </si>
  <si>
    <t>H244</t>
  </si>
  <si>
    <t>H245</t>
  </si>
  <si>
    <t>H246</t>
  </si>
  <si>
    <t>H247</t>
  </si>
  <si>
    <t>H248</t>
  </si>
  <si>
    <t>H249</t>
  </si>
  <si>
    <t>H250</t>
  </si>
  <si>
    <t>H251</t>
  </si>
  <si>
    <t>H252</t>
  </si>
  <si>
    <t>H253</t>
  </si>
  <si>
    <t>H254</t>
  </si>
  <si>
    <t>H255</t>
  </si>
  <si>
    <t>H256</t>
  </si>
  <si>
    <t>productPrice_0</t>
  </si>
  <si>
    <t>productPrice_1</t>
  </si>
  <si>
    <t>productPrice_2</t>
  </si>
  <si>
    <t>productPrice_3</t>
  </si>
  <si>
    <t>productPrice_4</t>
  </si>
  <si>
    <t>productPrice_5</t>
  </si>
  <si>
    <t>productPrice_6</t>
  </si>
  <si>
    <t>productPrice_7</t>
  </si>
  <si>
    <t>productPrice_8</t>
  </si>
  <si>
    <t>productPrice_9</t>
  </si>
  <si>
    <t>fuelfortemperaturecontrolinformation</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</si>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</sst>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0000"/>
    <numFmt numFmtId="165" formatCode="&quot;€&quot;\ #,##0.00"/>
    <numFmt numFmtId="166" formatCode="0.0"/>
  </numFmts>
  <fonts count="45">
    <font>
      <sz val="12"/>
      <color theme="1"/>
      <name val="Calibri"/>
      <family val="2"/>
      <scheme val="minor"/>
    </font>
    <font>
      <sz val="11"/>
      <color theme="1"/>
      <name val="Calibri"/>
      <family val="2"/>
      <scheme val="minor"/>
    </font>
    <font>
      <sz val="8"/>
      <name val="Calibri"/>
      <family val="2"/>
      <scheme val="minor"/>
    </font>
    <font>
      <sz val="11"/>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rgb="FF000000"/>
      <name val="Calibri"/>
      <family val="2"/>
      <scheme val="minor"/>
    </font>
    <font>
      <sz val="12"/>
      <color rgb="FF000000"/>
      <name val="Cambria"/>
      <family val="1"/>
    </font>
    <font>
      <b/>
      <sz val="12"/>
      <color theme="0"/>
      <name val="Cambria"/>
      <family val="1"/>
    </font>
    <font>
      <sz val="12"/>
      <color theme="1"/>
      <name val="Cambria"/>
      <family val="1"/>
    </font>
    <font>
      <sz val="12"/>
      <color theme="1"/>
      <name val="Calibri"/>
      <family val="2"/>
    </font>
    <font>
      <vertAlign val="superscript"/>
      <sz val="12"/>
      <color theme="1"/>
      <name val="Calibri"/>
      <family val="2"/>
      <scheme val="minor"/>
    </font>
    <font>
      <vertAlign val="superscript"/>
      <sz val="12"/>
      <name val="Calibri"/>
      <family val="2"/>
      <scheme val="minor"/>
    </font>
    <font>
      <vertAlign val="superscript"/>
      <sz val="12"/>
      <color theme="1"/>
      <name val="Cambria"/>
      <family val="1"/>
    </font>
    <font>
      <b/>
      <sz val="20"/>
      <color theme="1"/>
      <name val="Calibri"/>
      <family val="2"/>
      <scheme val="minor"/>
    </font>
    <font>
      <b/>
      <sz val="12"/>
      <name val="Calibri"/>
      <family val="2"/>
      <scheme val="minor"/>
    </font>
    <font>
      <b/>
      <sz val="12"/>
      <color theme="0"/>
      <name val="Calibri"/>
      <family val="2"/>
    </font>
    <font>
      <sz val="12"/>
      <color rgb="FFFFFFFF"/>
      <name val="Calibri"/>
      <family val="2"/>
      <scheme val="minor"/>
    </font>
    <font>
      <b/>
      <sz val="12"/>
      <color theme="1"/>
      <name val="Calibri"/>
      <family val="2"/>
    </font>
    <font>
      <sz val="12"/>
      <name val="Calibri"/>
      <family val="2"/>
      <scheme val="minor"/>
    </font>
    <font>
      <sz val="14"/>
      <color rgb="FF000000"/>
      <name val="-webkit-standard"/>
    </font>
    <font>
      <sz val="12"/>
      <color theme="1"/>
      <name val="Calibri"/>
      <family val="2"/>
      <scheme val="minor"/>
    </font>
    <font>
      <sz val="11"/>
      <name val="TrebuchetMS"/>
    </font>
    <font>
      <b/>
      <sz val="11"/>
      <color theme="0"/>
      <name val="TrebuchetMS"/>
      <family val="2"/>
    </font>
    <font>
      <sz val="11"/>
      <color theme="1"/>
      <name val="Calibri"/>
      <family val="2"/>
      <scheme val="minor"/>
    </font>
    <font>
      <i/>
      <sz val="11"/>
      <color theme="0" tint="-0.34998626667073579"/>
      <name val="Calibri"/>
      <family val="2"/>
      <scheme val="minor"/>
    </font>
    <font>
      <i/>
      <sz val="11"/>
      <color theme="0" tint="-0.34998626667073579"/>
      <name val="TrebuchetMS"/>
    </font>
    <font>
      <sz val="11"/>
      <color rgb="FFFF0000"/>
      <name val="Calibri"/>
      <family val="2"/>
      <scheme val="minor"/>
    </font>
    <font>
      <b/>
      <i/>
      <sz val="11"/>
      <color theme="0"/>
      <name val="TrebuchetMS"/>
    </font>
    <font>
      <b/>
      <sz val="11"/>
      <name val="Calibri"/>
      <family val="2"/>
      <scheme val="minor"/>
    </font>
    <font>
      <sz val="10"/>
      <color rgb="FF000000"/>
      <name val="Tahoma"/>
      <family val="2"/>
    </font>
    <font>
      <b/>
      <sz val="10"/>
      <color rgb="FF000000"/>
      <name val="Tahoma"/>
      <family val="2"/>
    </font>
    <font>
      <i/>
      <sz val="12"/>
      <color rgb="FF000000"/>
      <name val="Calibri"/>
      <family val="2"/>
      <scheme val="minor"/>
    </font>
    <font>
      <b/>
      <sz val="11"/>
      <color theme="4"/>
      <name val="TrebuchetMS"/>
      <family val="2"/>
    </font>
    <font>
      <b/>
      <sz val="12"/>
      <color theme="0"/>
      <name val="Calibri"/>
      <family val="2"/>
      <scheme val="minor"/>
    </font>
    <font>
      <sz val="10"/>
      <color rgb="FF000000"/>
      <name val="Calibri"/>
      <family val="2"/>
    </font>
    <font>
      <sz val="12"/>
      <color rgb="FFFF0000"/>
      <name val="Calibri"/>
      <family val="2"/>
      <scheme val="minor"/>
    </font>
    <font>
      <vertAlign val="superscript"/>
      <sz val="12"/>
      <color rgb="FF000000"/>
      <name val="Calibri"/>
      <family val="2"/>
      <scheme val="minor"/>
    </font>
    <font>
      <vertAlign val="superscript"/>
      <sz val="11"/>
      <name val="Calibri"/>
      <family val="2"/>
      <scheme val="minor"/>
    </font>
    <font>
      <i/>
      <sz val="11"/>
      <name val="Calibri"/>
      <family val="2"/>
      <scheme val="minor"/>
    </font>
    <font>
      <b/>
      <sz val="11"/>
      <color theme="0"/>
      <name val="TrebuchetMS"/>
    </font>
    <font>
      <b/>
      <sz val="12"/>
      <color rgb="FF00B0F0"/>
      <name val="Calibri"/>
      <family val="2"/>
      <scheme val="minor"/>
    </font>
    <font>
      <b/>
      <i/>
      <sz val="12"/>
      <color theme="1"/>
      <name val="Calibri"/>
      <family val="2"/>
      <scheme val="minor"/>
    </font>
    <font>
      <b/>
      <sz val="11"/>
      <color theme="9" tint="-0.499984740745262"/>
      <name val="TrebuchetMS"/>
    </font>
  </fonts>
  <fills count="35">
    <fill>
      <patternFill patternType="none"/>
    </fill>
    <fill>
      <patternFill patternType="gray125"/>
    </fill>
    <fill>
      <patternFill patternType="solid">
        <fgColor rgb="FF44546A"/>
        <bgColor rgb="FF000000"/>
      </patternFill>
    </fill>
    <fill>
      <patternFill patternType="solid">
        <fgColor rgb="FFD6DCE4"/>
        <bgColor rgb="FF000000"/>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FFFAEB"/>
        <bgColor indexed="64"/>
      </patternFill>
    </fill>
    <fill>
      <patternFill patternType="solid">
        <fgColor rgb="FF44546A"/>
        <bgColor rgb="FF44546A"/>
      </patternFill>
    </fill>
    <fill>
      <patternFill patternType="solid">
        <fgColor rgb="FFD6DCE4"/>
        <bgColor rgb="FFD6DCE4"/>
      </patternFill>
    </fill>
    <fill>
      <patternFill patternType="solid">
        <fgColor rgb="FFD6DCE4"/>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FFC000"/>
        <bgColor indexed="64"/>
      </patternFill>
    </fill>
    <fill>
      <patternFill patternType="solid">
        <fgColor rgb="FF0070C0"/>
        <bgColor indexed="64"/>
      </patternFill>
    </fill>
    <fill>
      <patternFill patternType="solid">
        <fgColor rgb="FF002060"/>
        <bgColor indexed="64"/>
      </patternFill>
    </fill>
    <fill>
      <patternFill patternType="solid">
        <fgColor rgb="FF00B0F0"/>
        <bgColor indexed="64"/>
      </patternFill>
    </fill>
    <fill>
      <patternFill patternType="solid">
        <fgColor theme="7"/>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4" fontId="22" fillId="0" borderId="0" applyFont="0" applyFill="0" applyBorder="0" applyAlignment="0" applyProtection="0"/>
  </cellStyleXfs>
  <cellXfs count="233">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0" fillId="0" borderId="0" xfId="0" applyAlignment="1">
      <alignment wrapText="1"/>
    </xf>
    <xf numFmtId="0" fontId="4" fillId="5" borderId="5" xfId="0" applyFont="1" applyFill="1" applyBorder="1" applyAlignment="1">
      <alignment horizontal="center" vertical="center"/>
    </xf>
    <xf numFmtId="0" fontId="15"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xf numFmtId="0" fontId="11" fillId="0" borderId="0" xfId="0" applyFont="1" applyAlignment="1">
      <alignment vertical="center"/>
    </xf>
    <xf numFmtId="0" fontId="0" fillId="0" borderId="0" xfId="0" applyAlignment="1">
      <alignment vertical="center"/>
    </xf>
    <xf numFmtId="0" fontId="19" fillId="0" borderId="0" xfId="0" applyFont="1" applyAlignment="1">
      <alignment vertical="center"/>
    </xf>
    <xf numFmtId="0" fontId="4" fillId="0" borderId="0" xfId="0" applyFont="1" applyAlignment="1">
      <alignment vertical="center"/>
    </xf>
    <xf numFmtId="49" fontId="11" fillId="0" borderId="0" xfId="0" applyNumberFormat="1" applyFont="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horizontal="left" vertical="center"/>
    </xf>
    <xf numFmtId="0" fontId="7" fillId="0" borderId="0" xfId="0" applyFont="1" applyAlignment="1">
      <alignment horizontal="center" vertical="center"/>
    </xf>
    <xf numFmtId="0" fontId="4" fillId="0" borderId="0" xfId="0" applyFont="1" applyAlignment="1">
      <alignment horizontal="center" vertical="center"/>
    </xf>
    <xf numFmtId="0" fontId="4" fillId="0" borderId="0" xfId="0" quotePrefix="1" applyFont="1"/>
    <xf numFmtId="0" fontId="10" fillId="0" borderId="0" xfId="0" applyFont="1" applyAlignment="1">
      <alignment horizontal="center" vertical="center" wrapText="1"/>
    </xf>
    <xf numFmtId="44" fontId="0" fillId="0" borderId="0" xfId="0" applyNumberFormat="1" applyAlignment="1">
      <alignment horizontal="center"/>
    </xf>
    <xf numFmtId="0" fontId="0" fillId="0" borderId="0" xfId="0" applyAlignment="1">
      <alignment horizontal="center"/>
    </xf>
    <xf numFmtId="0" fontId="27" fillId="0" borderId="0" xfId="0" applyFont="1" applyAlignment="1">
      <alignment horizontal="center" vertical="center"/>
    </xf>
    <xf numFmtId="0" fontId="0" fillId="0" borderId="0" xfId="0" applyAlignment="1">
      <alignment horizontal="center" wrapText="1"/>
    </xf>
    <xf numFmtId="0" fontId="28" fillId="0" borderId="0" xfId="0" applyFont="1" applyAlignment="1">
      <alignment vertical="center"/>
    </xf>
    <xf numFmtId="0" fontId="25" fillId="0" borderId="0" xfId="0" applyFont="1" applyAlignment="1">
      <alignment horizontal="center" vertical="center"/>
    </xf>
    <xf numFmtId="0" fontId="29" fillId="25" borderId="0" xfId="0" applyFont="1" applyFill="1" applyAlignment="1">
      <alignment horizontal="center" vertical="center"/>
    </xf>
    <xf numFmtId="0" fontId="24" fillId="18" borderId="14" xfId="0" applyFont="1" applyFill="1" applyBorder="1" applyAlignment="1">
      <alignment horizontal="center" vertical="center"/>
    </xf>
    <xf numFmtId="0" fontId="27" fillId="0" borderId="15" xfId="0" applyFont="1" applyBorder="1" applyAlignment="1">
      <alignment horizontal="center" vertical="center"/>
    </xf>
    <xf numFmtId="0" fontId="24" fillId="0" borderId="0" xfId="0" applyFont="1" applyAlignment="1">
      <alignment horizontal="center" vertical="center"/>
    </xf>
    <xf numFmtId="0" fontId="0" fillId="0" borderId="0" xfId="0" applyAlignment="1">
      <alignment vertical="center" wrapText="1"/>
    </xf>
    <xf numFmtId="0" fontId="26" fillId="0" borderId="0" xfId="0" applyFont="1" applyAlignment="1">
      <alignment horizontal="center" vertical="center" wrapText="1"/>
    </xf>
    <xf numFmtId="0" fontId="0" fillId="12" borderId="5" xfId="0" applyFill="1" applyBorder="1" applyAlignment="1">
      <alignment horizontal="center" vertical="center" wrapText="1"/>
    </xf>
    <xf numFmtId="0" fontId="3" fillId="12" borderId="5" xfId="0" applyFont="1" applyFill="1" applyBorder="1" applyAlignment="1">
      <alignment horizontal="left" vertical="center" wrapText="1"/>
    </xf>
    <xf numFmtId="0" fontId="26" fillId="0" borderId="5" xfId="0" applyFont="1" applyBorder="1" applyAlignment="1">
      <alignment horizontal="center" vertical="center" wrapText="1"/>
    </xf>
    <xf numFmtId="0" fontId="3" fillId="12" borderId="5" xfId="0" applyFont="1" applyFill="1" applyBorder="1" applyAlignment="1">
      <alignment horizontal="center" vertical="center" wrapText="1"/>
    </xf>
    <xf numFmtId="0" fontId="0" fillId="12" borderId="5" xfId="0" applyFill="1" applyBorder="1" applyAlignment="1">
      <alignment vertical="center" wrapText="1"/>
    </xf>
    <xf numFmtId="44" fontId="0" fillId="0" borderId="0" xfId="0" applyNumberFormat="1" applyAlignment="1">
      <alignment horizontal="center" wrapText="1"/>
    </xf>
    <xf numFmtId="44" fontId="23" fillId="0" borderId="0" xfId="1" applyFont="1" applyFill="1" applyAlignment="1">
      <alignment vertical="center" wrapText="1"/>
    </xf>
    <xf numFmtId="0" fontId="0" fillId="12" borderId="5" xfId="0" applyFill="1" applyBorder="1" applyAlignment="1">
      <alignment horizontal="center" vertical="center"/>
    </xf>
    <xf numFmtId="0" fontId="3" fillId="12" borderId="5" xfId="0" applyFont="1" applyFill="1" applyBorder="1" applyAlignment="1">
      <alignment vertical="center"/>
    </xf>
    <xf numFmtId="0" fontId="26" fillId="0" borderId="5" xfId="0" applyFont="1" applyBorder="1" applyAlignment="1">
      <alignment horizontal="center" vertical="center"/>
    </xf>
    <xf numFmtId="0" fontId="3" fillId="12" borderId="5" xfId="0" applyFont="1" applyFill="1" applyBorder="1" applyAlignment="1">
      <alignment horizontal="center" vertical="center"/>
    </xf>
    <xf numFmtId="0" fontId="3" fillId="12" borderId="5" xfId="0" applyFont="1" applyFill="1" applyBorder="1" applyAlignment="1">
      <alignment vertical="center" wrapText="1"/>
    </xf>
    <xf numFmtId="0" fontId="30" fillId="12" borderId="5" xfId="0" applyFont="1" applyFill="1" applyBorder="1" applyAlignment="1">
      <alignment vertical="center" wrapText="1"/>
    </xf>
    <xf numFmtId="0" fontId="4" fillId="26" borderId="0" xfId="0" applyFont="1" applyFill="1" applyAlignment="1">
      <alignment wrapText="1"/>
    </xf>
    <xf numFmtId="0" fontId="24" fillId="27" borderId="0" xfId="0" applyFont="1" applyFill="1" applyAlignment="1">
      <alignment horizontal="center" vertical="center" wrapText="1"/>
    </xf>
    <xf numFmtId="0" fontId="27" fillId="0" borderId="0" xfId="0" applyFont="1" applyAlignment="1">
      <alignment horizontal="center" vertical="center" wrapText="1"/>
    </xf>
    <xf numFmtId="0" fontId="24" fillId="25" borderId="14" xfId="0" applyFont="1" applyFill="1" applyBorder="1" applyAlignment="1">
      <alignment horizontal="center" vertical="center" wrapText="1"/>
    </xf>
    <xf numFmtId="0" fontId="24" fillId="0" borderId="0" xfId="0" applyFont="1" applyAlignment="1">
      <alignment horizontal="center" vertical="center" wrapText="1"/>
    </xf>
    <xf numFmtId="0" fontId="0" fillId="0" borderId="0" xfId="0" applyAlignment="1">
      <alignment horizontal="center" vertical="center"/>
    </xf>
    <xf numFmtId="0" fontId="26" fillId="0" borderId="0" xfId="0" applyFont="1" applyAlignment="1">
      <alignment horizontal="center" vertical="center"/>
    </xf>
    <xf numFmtId="0" fontId="29" fillId="25" borderId="0" xfId="0" applyFont="1" applyFill="1" applyAlignment="1">
      <alignment horizontal="center" vertical="center" wrapText="1"/>
    </xf>
    <xf numFmtId="0" fontId="25" fillId="0" borderId="0" xfId="0" applyFont="1" applyAlignment="1">
      <alignment horizontal="center" vertical="center" wrapText="1"/>
    </xf>
    <xf numFmtId="0" fontId="27" fillId="0" borderId="5" xfId="0" applyFont="1" applyBorder="1" applyAlignment="1">
      <alignment horizontal="center" vertical="center"/>
    </xf>
    <xf numFmtId="44" fontId="23" fillId="0" borderId="0" xfId="1" applyFont="1" applyFill="1" applyBorder="1" applyAlignment="1">
      <alignment vertical="center" wrapText="1"/>
    </xf>
    <xf numFmtId="0" fontId="0" fillId="28" borderId="0" xfId="0" applyFill="1"/>
    <xf numFmtId="0" fontId="34" fillId="28" borderId="0" xfId="0" applyFont="1" applyFill="1" applyAlignment="1">
      <alignment vertical="center"/>
    </xf>
    <xf numFmtId="0" fontId="0" fillId="28" borderId="0" xfId="0" applyFill="1" applyAlignment="1">
      <alignment horizontal="center"/>
    </xf>
    <xf numFmtId="0" fontId="20" fillId="28" borderId="0" xfId="0" applyFont="1" applyFill="1" applyAlignment="1">
      <alignment vertical="center"/>
    </xf>
    <xf numFmtId="0" fontId="0" fillId="28" borderId="0" xfId="0" applyFill="1" applyAlignment="1">
      <alignment wrapText="1"/>
    </xf>
    <xf numFmtId="0" fontId="0" fillId="24" borderId="0" xfId="0" applyFill="1"/>
    <xf numFmtId="0" fontId="35" fillId="29" borderId="0" xfId="0" applyFont="1" applyFill="1"/>
    <xf numFmtId="0" fontId="5" fillId="29" borderId="0" xfId="0" applyFont="1" applyFill="1"/>
    <xf numFmtId="0" fontId="24" fillId="24" borderId="0" xfId="0" applyFont="1" applyFill="1" applyAlignment="1">
      <alignment vertical="center"/>
    </xf>
    <xf numFmtId="0" fontId="24" fillId="24" borderId="0" xfId="0" applyFont="1" applyFill="1" applyAlignment="1">
      <alignment horizontal="center" vertical="center"/>
    </xf>
    <xf numFmtId="0" fontId="26" fillId="30" borderId="5" xfId="0" applyFont="1" applyFill="1" applyBorder="1" applyAlignment="1">
      <alignment horizontal="center" vertical="center" wrapText="1"/>
    </xf>
    <xf numFmtId="0" fontId="35" fillId="26" borderId="0" xfId="0" applyFont="1" applyFill="1" applyAlignment="1">
      <alignment wrapText="1"/>
    </xf>
    <xf numFmtId="0" fontId="6" fillId="0" borderId="0" xfId="0" applyFont="1" applyAlignment="1">
      <alignment horizontal="left" vertical="center"/>
    </xf>
    <xf numFmtId="0" fontId="33" fillId="0" borderId="0" xfId="0" applyFont="1" applyAlignment="1">
      <alignment vertical="center"/>
    </xf>
    <xf numFmtId="0" fontId="20" fillId="28" borderId="0" xfId="0" applyFont="1" applyFill="1" applyAlignment="1">
      <alignment horizontal="center" vertical="center"/>
    </xf>
    <xf numFmtId="0" fontId="0" fillId="28" borderId="0" xfId="0" applyFill="1" applyAlignment="1">
      <alignment horizontal="center" wrapText="1"/>
    </xf>
    <xf numFmtId="0" fontId="37" fillId="0" borderId="0" xfId="0" applyFont="1"/>
    <xf numFmtId="0" fontId="0" fillId="0" borderId="17" xfId="0" applyBorder="1"/>
    <xf numFmtId="0" fontId="0" fillId="0" borderId="0" xfId="0" applyAlignment="1">
      <alignment horizontal="center" vertical="center" wrapText="1"/>
    </xf>
    <xf numFmtId="0" fontId="0" fillId="6" borderId="0" xfId="0" applyFill="1" applyAlignment="1">
      <alignment horizontal="left" vertical="center"/>
    </xf>
    <xf numFmtId="0" fontId="4" fillId="6" borderId="0" xfId="0" applyFont="1" applyFill="1" applyAlignment="1">
      <alignment horizontal="left" vertical="center"/>
    </xf>
    <xf numFmtId="0" fontId="20" fillId="0" borderId="0" xfId="0" applyFont="1" applyAlignment="1">
      <alignment vertical="center" wrapText="1"/>
    </xf>
    <xf numFmtId="2" fontId="20" fillId="0" borderId="0" xfId="0" applyNumberFormat="1" applyFont="1" applyAlignment="1">
      <alignment vertical="center" wrapText="1"/>
    </xf>
    <xf numFmtId="0" fontId="10" fillId="0" borderId="5" xfId="0" applyFont="1" applyBorder="1" applyAlignment="1" applyProtection="1">
      <alignment horizontal="center" vertical="center" wrapText="1"/>
      <protection locked="0"/>
    </xf>
    <xf numFmtId="0" fontId="0" fillId="0" borderId="0" xfId="0" applyProtection="1">
      <protection locked="0"/>
    </xf>
    <xf numFmtId="0" fontId="4" fillId="5" borderId="5" xfId="0" applyFont="1" applyFill="1" applyBorder="1" applyAlignment="1" applyProtection="1">
      <alignment horizontal="center" vertical="center"/>
      <protection locked="0"/>
    </xf>
    <xf numFmtId="0" fontId="4" fillId="0" borderId="5" xfId="0" applyFont="1" applyBorder="1" applyProtection="1">
      <protection locked="0"/>
    </xf>
    <xf numFmtId="0" fontId="0" fillId="0" borderId="5" xfId="0" applyBorder="1" applyAlignment="1" applyProtection="1">
      <alignment horizontal="left" vertical="center"/>
      <protection locked="0"/>
    </xf>
    <xf numFmtId="0" fontId="6" fillId="0" borderId="6" xfId="0" applyFont="1" applyBorder="1" applyAlignment="1" applyProtection="1">
      <alignment horizontal="left" vertical="center"/>
      <protection locked="0"/>
    </xf>
    <xf numFmtId="0" fontId="0" fillId="0" borderId="5" xfId="0" applyBorder="1"/>
    <xf numFmtId="0" fontId="0" fillId="0" borderId="5" xfId="0" quotePrefix="1" applyBorder="1"/>
    <xf numFmtId="0" fontId="4" fillId="0" borderId="5" xfId="0" applyFont="1" applyBorder="1"/>
    <xf numFmtId="0" fontId="0" fillId="0" borderId="5" xfId="0" applyBorder="1" applyAlignment="1">
      <alignment horizontal="left" vertical="center"/>
    </xf>
    <xf numFmtId="0" fontId="6" fillId="0" borderId="5" xfId="0" applyFont="1" applyBorder="1" applyAlignment="1">
      <alignment vertical="center"/>
    </xf>
    <xf numFmtId="0" fontId="6" fillId="0" borderId="6" xfId="0" applyFont="1" applyBorder="1" applyAlignment="1">
      <alignment horizontal="left" vertical="center"/>
    </xf>
    <xf numFmtId="0" fontId="6" fillId="0" borderId="3" xfId="0" applyFont="1" applyBorder="1" applyAlignment="1">
      <alignment vertical="center"/>
    </xf>
    <xf numFmtId="0" fontId="6" fillId="0" borderId="4" xfId="0" applyFont="1" applyBorder="1" applyAlignment="1">
      <alignment horizontal="left" vertical="center"/>
    </xf>
    <xf numFmtId="0" fontId="4" fillId="0" borderId="5" xfId="0" quotePrefix="1" applyFont="1" applyBorder="1"/>
    <xf numFmtId="0" fontId="33" fillId="0" borderId="5" xfId="0" applyFont="1" applyBorder="1" applyAlignment="1">
      <alignment vertical="center"/>
    </xf>
    <xf numFmtId="14" fontId="4" fillId="0" borderId="5" xfId="0" applyNumberFormat="1" applyFont="1" applyBorder="1" applyProtection="1">
      <protection locked="0"/>
    </xf>
    <xf numFmtId="0" fontId="37" fillId="0" borderId="5" xfId="0" applyFont="1" applyBorder="1" applyProtection="1">
      <protection locked="0"/>
    </xf>
    <xf numFmtId="0" fontId="16" fillId="7" borderId="5" xfId="0" applyFont="1" applyFill="1" applyBorder="1" applyAlignment="1" applyProtection="1">
      <alignment horizontal="center" vertical="center"/>
      <protection locked="0"/>
    </xf>
    <xf numFmtId="0" fontId="16" fillId="7" borderId="5" xfId="0" applyFont="1" applyFill="1" applyBorder="1" applyAlignment="1" applyProtection="1">
      <alignment vertical="center"/>
      <protection locked="0"/>
    </xf>
    <xf numFmtId="0" fontId="0" fillId="6" borderId="5" xfId="0" applyFill="1" applyBorder="1" applyAlignment="1">
      <alignment horizontal="left" vertical="center"/>
    </xf>
    <xf numFmtId="0" fontId="4" fillId="13" borderId="1" xfId="0" applyFont="1" applyFill="1" applyBorder="1" applyAlignment="1">
      <alignment vertical="center"/>
    </xf>
    <xf numFmtId="0" fontId="4" fillId="13" borderId="2" xfId="0" applyFont="1" applyFill="1" applyBorder="1" applyAlignment="1">
      <alignment vertical="center"/>
    </xf>
    <xf numFmtId="0" fontId="4" fillId="14" borderId="5" xfId="0" applyFont="1" applyFill="1" applyBorder="1" applyAlignment="1">
      <alignment vertical="center"/>
    </xf>
    <xf numFmtId="0" fontId="4" fillId="6" borderId="5" xfId="0" applyFont="1" applyFill="1" applyBorder="1" applyAlignment="1">
      <alignment horizontal="left" vertical="center"/>
    </xf>
    <xf numFmtId="0" fontId="4" fillId="15" borderId="1" xfId="0" applyFont="1" applyFill="1" applyBorder="1" applyAlignment="1">
      <alignment vertical="center"/>
    </xf>
    <xf numFmtId="0" fontId="4" fillId="15" borderId="2" xfId="0" applyFont="1" applyFill="1" applyBorder="1" applyAlignment="1">
      <alignment vertical="center"/>
    </xf>
    <xf numFmtId="0" fontId="4" fillId="15" borderId="6" xfId="0" applyFont="1" applyFill="1" applyBorder="1" applyAlignment="1">
      <alignment vertical="center"/>
    </xf>
    <xf numFmtId="0" fontId="4" fillId="5" borderId="5" xfId="0" applyFont="1" applyFill="1" applyBorder="1" applyAlignment="1">
      <alignment vertical="center"/>
    </xf>
    <xf numFmtId="0" fontId="16" fillId="0" borderId="0" xfId="0" applyFont="1" applyAlignment="1" applyProtection="1">
      <alignment vertical="center"/>
      <protection locked="0"/>
    </xf>
    <xf numFmtId="0" fontId="4" fillId="16" borderId="1" xfId="0" applyFont="1" applyFill="1" applyBorder="1" applyAlignment="1">
      <alignment vertical="center"/>
    </xf>
    <xf numFmtId="0" fontId="4" fillId="16" borderId="2" xfId="0" applyFont="1" applyFill="1" applyBorder="1" applyAlignment="1">
      <alignment vertical="center"/>
    </xf>
    <xf numFmtId="0" fontId="4" fillId="16" borderId="6" xfId="0" applyFont="1" applyFill="1" applyBorder="1" applyAlignment="1">
      <alignment vertical="center"/>
    </xf>
    <xf numFmtId="0" fontId="4" fillId="17" borderId="5" xfId="0" applyFont="1" applyFill="1" applyBorder="1" applyAlignment="1">
      <alignment vertical="center"/>
    </xf>
    <xf numFmtId="0" fontId="4" fillId="20" borderId="1" xfId="0" applyFont="1" applyFill="1" applyBorder="1" applyAlignment="1">
      <alignment vertical="center"/>
    </xf>
    <xf numFmtId="0" fontId="4" fillId="20" borderId="2" xfId="0" applyFont="1" applyFill="1" applyBorder="1" applyAlignment="1">
      <alignment vertical="center"/>
    </xf>
    <xf numFmtId="0" fontId="4" fillId="21" borderId="5" xfId="0" applyFont="1" applyFill="1" applyBorder="1" applyAlignment="1">
      <alignment vertical="center"/>
    </xf>
    <xf numFmtId="0" fontId="4" fillId="11" borderId="1" xfId="0" applyFont="1" applyFill="1" applyBorder="1" applyAlignment="1">
      <alignment vertical="center"/>
    </xf>
    <xf numFmtId="0" fontId="4" fillId="11" borderId="2" xfId="0" applyFont="1" applyFill="1" applyBorder="1" applyAlignment="1">
      <alignment vertical="center"/>
    </xf>
    <xf numFmtId="0" fontId="4" fillId="12" borderId="5" xfId="0" applyFont="1" applyFill="1" applyBorder="1" applyAlignment="1">
      <alignment vertical="center"/>
    </xf>
    <xf numFmtId="0" fontId="4" fillId="22" borderId="1" xfId="0" applyFont="1" applyFill="1" applyBorder="1" applyAlignment="1">
      <alignment vertical="center"/>
    </xf>
    <xf numFmtId="0" fontId="4" fillId="22" borderId="2" xfId="0" applyFont="1" applyFill="1" applyBorder="1" applyAlignment="1">
      <alignment vertical="center"/>
    </xf>
    <xf numFmtId="0" fontId="4" fillId="22" borderId="6" xfId="0" applyFont="1" applyFill="1" applyBorder="1" applyAlignment="1">
      <alignment vertical="center"/>
    </xf>
    <xf numFmtId="0" fontId="4" fillId="23" borderId="5" xfId="0" applyFont="1" applyFill="1" applyBorder="1" applyAlignment="1">
      <alignment vertical="center"/>
    </xf>
    <xf numFmtId="0" fontId="4" fillId="24" borderId="1" xfId="0" applyFont="1" applyFill="1" applyBorder="1" applyAlignment="1">
      <alignment vertical="center"/>
    </xf>
    <xf numFmtId="0" fontId="4" fillId="24" borderId="2" xfId="0" applyFont="1" applyFill="1" applyBorder="1" applyAlignment="1">
      <alignment vertical="center"/>
    </xf>
    <xf numFmtId="0" fontId="4" fillId="18" borderId="1" xfId="0" applyFont="1" applyFill="1" applyBorder="1" applyAlignment="1">
      <alignment vertical="center"/>
    </xf>
    <xf numFmtId="0" fontId="4" fillId="18" borderId="2" xfId="0" applyFont="1" applyFill="1" applyBorder="1" applyAlignment="1">
      <alignment vertical="center"/>
    </xf>
    <xf numFmtId="0" fontId="4" fillId="18" borderId="6" xfId="0" applyFont="1" applyFill="1" applyBorder="1" applyAlignment="1">
      <alignment vertical="center"/>
    </xf>
    <xf numFmtId="0" fontId="4" fillId="19" borderId="5" xfId="0" applyFont="1" applyFill="1" applyBorder="1" applyAlignment="1">
      <alignment vertical="center"/>
    </xf>
    <xf numFmtId="0" fontId="21" fillId="0" borderId="0" xfId="0" applyFont="1"/>
    <xf numFmtId="0" fontId="20" fillId="0" borderId="5" xfId="0" applyFont="1" applyBorder="1"/>
    <xf numFmtId="0" fontId="0" fillId="0" borderId="0" xfId="0" applyAlignment="1" applyProtection="1">
      <alignment vertical="center"/>
      <protection locked="0"/>
    </xf>
    <xf numFmtId="0" fontId="20" fillId="0" borderId="0" xfId="0" applyFont="1" applyAlignment="1" applyProtection="1">
      <alignment horizontal="center" vertical="center"/>
      <protection locked="0"/>
    </xf>
    <xf numFmtId="2" fontId="16" fillId="7" borderId="5" xfId="0" applyNumberFormat="1" applyFont="1" applyFill="1" applyBorder="1" applyAlignment="1" applyProtection="1">
      <alignment vertical="center"/>
      <protection locked="0"/>
    </xf>
    <xf numFmtId="0" fontId="4" fillId="23" borderId="3" xfId="0" applyFont="1" applyFill="1" applyBorder="1" applyAlignment="1">
      <alignment vertical="center"/>
    </xf>
    <xf numFmtId="0" fontId="4" fillId="14" borderId="3" xfId="0" applyFont="1" applyFill="1" applyBorder="1" applyAlignment="1">
      <alignment vertical="center"/>
    </xf>
    <xf numFmtId="0" fontId="4" fillId="28" borderId="0" xfId="0" applyFont="1" applyFill="1"/>
    <xf numFmtId="0" fontId="4" fillId="28" borderId="0" xfId="0" applyFont="1" applyFill="1" applyAlignment="1">
      <alignment horizontal="center"/>
    </xf>
    <xf numFmtId="0" fontId="4" fillId="28" borderId="0" xfId="0" applyFont="1" applyFill="1" applyAlignment="1">
      <alignment wrapText="1"/>
    </xf>
    <xf numFmtId="0" fontId="4" fillId="28" borderId="0" xfId="0" applyFont="1" applyFill="1" applyAlignment="1">
      <alignment horizontal="center" wrapText="1"/>
    </xf>
    <xf numFmtId="0" fontId="16" fillId="28" borderId="0" xfId="0" applyFont="1" applyFill="1" applyAlignment="1">
      <alignment horizontal="center" vertical="center"/>
    </xf>
    <xf numFmtId="0" fontId="4" fillId="28" borderId="0" xfId="0" applyFont="1" applyFill="1" applyAlignment="1">
      <alignment horizontal="right" wrapText="1"/>
    </xf>
    <xf numFmtId="0" fontId="16" fillId="28" borderId="0" xfId="0" applyFont="1" applyFill="1" applyAlignment="1">
      <alignment vertical="center"/>
    </xf>
    <xf numFmtId="0" fontId="16" fillId="28" borderId="0" xfId="0" applyFont="1" applyFill="1" applyAlignment="1">
      <alignment horizontal="center"/>
    </xf>
    <xf numFmtId="0" fontId="11"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9" fillId="9" borderId="13" xfId="0" applyFont="1" applyFill="1" applyBorder="1" applyAlignment="1">
      <alignment horizontal="left" vertical="center"/>
    </xf>
    <xf numFmtId="0" fontId="7" fillId="3" borderId="3" xfId="0" applyFont="1" applyFill="1" applyBorder="1" applyAlignment="1">
      <alignment horizontal="left" vertical="center"/>
    </xf>
    <xf numFmtId="0" fontId="0" fillId="0" borderId="5" xfId="0" applyBorder="1" applyAlignment="1">
      <alignment horizontal="left"/>
    </xf>
    <xf numFmtId="0" fontId="16" fillId="7" borderId="0" xfId="0" applyFont="1" applyFill="1" applyAlignment="1" applyProtection="1">
      <alignment vertical="center"/>
      <protection locked="0"/>
    </xf>
    <xf numFmtId="0" fontId="10" fillId="0" borderId="6" xfId="0" applyFont="1" applyBorder="1" applyAlignment="1" applyProtection="1">
      <alignment horizontal="center" vertical="center" wrapText="1"/>
      <protection locked="0"/>
    </xf>
    <xf numFmtId="0" fontId="0" fillId="0" borderId="0" xfId="0" applyAlignment="1">
      <alignment horizontal="left"/>
    </xf>
    <xf numFmtId="0" fontId="40" fillId="0" borderId="5" xfId="0" applyFont="1" applyBorder="1" applyAlignment="1">
      <alignment horizontal="center" vertical="center" wrapText="1"/>
    </xf>
    <xf numFmtId="0" fontId="20" fillId="0" borderId="0" xfId="0" applyFont="1" applyAlignment="1">
      <alignment horizontal="center" wrapText="1"/>
    </xf>
    <xf numFmtId="0" fontId="40" fillId="0" borderId="5" xfId="0" applyFont="1" applyBorder="1" applyAlignment="1">
      <alignment horizontal="center" vertical="center"/>
    </xf>
    <xf numFmtId="0" fontId="24" fillId="27" borderId="0" xfId="0" applyFont="1" applyFill="1" applyAlignment="1">
      <alignment horizontal="center" vertical="center"/>
    </xf>
    <xf numFmtId="0" fontId="41" fillId="27" borderId="0" xfId="0" applyFont="1" applyFill="1" applyAlignment="1">
      <alignment horizontal="center" vertical="center"/>
    </xf>
    <xf numFmtId="1" fontId="0" fillId="0" borderId="0" xfId="0" applyNumberFormat="1" applyAlignment="1">
      <alignment horizontal="center"/>
    </xf>
    <xf numFmtId="165" fontId="0" fillId="0" borderId="0" xfId="0" applyNumberFormat="1"/>
    <xf numFmtId="166" fontId="0" fillId="0" borderId="0" xfId="0" applyNumberFormat="1" applyAlignment="1">
      <alignment horizontal="center"/>
    </xf>
    <xf numFmtId="0" fontId="4" fillId="12" borderId="5" xfId="0" applyFont="1" applyFill="1" applyBorder="1" applyAlignment="1">
      <alignment horizontal="center" vertical="center"/>
    </xf>
    <xf numFmtId="0" fontId="30" fillId="12" borderId="5" xfId="0" applyFont="1" applyFill="1" applyBorder="1" applyAlignment="1">
      <alignment vertical="center"/>
    </xf>
    <xf numFmtId="0" fontId="24" fillId="28" borderId="5" xfId="0" applyFont="1" applyFill="1" applyBorder="1" applyAlignment="1">
      <alignment horizontal="center" vertical="center"/>
    </xf>
    <xf numFmtId="0" fontId="20" fillId="12" borderId="5" xfId="0" applyFont="1" applyFill="1" applyBorder="1" applyAlignment="1">
      <alignment horizontal="center" vertical="center"/>
    </xf>
    <xf numFmtId="166" fontId="20" fillId="0" borderId="0" xfId="0" applyNumberFormat="1" applyFont="1" applyAlignment="1">
      <alignment horizontal="center"/>
    </xf>
    <xf numFmtId="1" fontId="20" fillId="0" borderId="0" xfId="0" applyNumberFormat="1" applyFont="1" applyAlignment="1">
      <alignment horizontal="center"/>
    </xf>
    <xf numFmtId="0" fontId="30" fillId="12" borderId="5" xfId="0" applyFont="1" applyFill="1" applyBorder="1" applyAlignment="1">
      <alignment horizontal="center" vertical="center"/>
    </xf>
    <xf numFmtId="1" fontId="4" fillId="0" borderId="0" xfId="0" applyNumberFormat="1" applyFont="1" applyAlignment="1">
      <alignment horizontal="center"/>
    </xf>
    <xf numFmtId="164" fontId="0" fillId="0" borderId="0" xfId="0" applyNumberFormat="1" applyAlignment="1">
      <alignment wrapText="1"/>
    </xf>
    <xf numFmtId="4" fontId="0" fillId="0" borderId="0" xfId="0" applyNumberFormat="1"/>
    <xf numFmtId="166" fontId="0" fillId="0" borderId="0" xfId="0" applyNumberFormat="1"/>
    <xf numFmtId="0" fontId="24" fillId="33" borderId="0" xfId="0" applyFont="1" applyFill="1" applyAlignment="1">
      <alignment horizontal="center" vertical="center"/>
    </xf>
    <xf numFmtId="0" fontId="41" fillId="33" borderId="0" xfId="0" applyFont="1" applyFill="1" applyAlignment="1">
      <alignment horizontal="center" vertical="center"/>
    </xf>
    <xf numFmtId="0" fontId="6" fillId="0" borderId="17" xfId="0" applyFont="1" applyBorder="1" applyAlignment="1" applyProtection="1">
      <alignment horizontal="left" vertical="center"/>
      <protection locked="0"/>
    </xf>
    <xf numFmtId="0" fontId="0" fillId="34" borderId="0" xfId="0" applyFill="1"/>
    <xf numFmtId="166" fontId="35" fillId="31" borderId="0" xfId="0" applyNumberFormat="1" applyFont="1" applyFill="1" applyAlignment="1">
      <alignment horizontal="center" vertical="center"/>
    </xf>
    <xf numFmtId="166" fontId="35" fillId="31" borderId="0" xfId="0" applyNumberFormat="1" applyFont="1" applyFill="1" applyAlignment="1">
      <alignment horizontal="left" vertical="center"/>
    </xf>
    <xf numFmtId="166" fontId="35" fillId="32" borderId="0" xfId="0" applyNumberFormat="1" applyFont="1" applyFill="1" applyAlignment="1">
      <alignment horizontal="center" vertical="center"/>
    </xf>
    <xf numFmtId="0" fontId="24" fillId="25" borderId="0" xfId="0" applyFont="1" applyFill="1" applyAlignment="1">
      <alignment horizontal="left" vertical="center"/>
    </xf>
    <xf numFmtId="166" fontId="35" fillId="32" borderId="0" xfId="0" applyNumberFormat="1" applyFont="1" applyFill="1" applyAlignment="1">
      <alignment horizontal="left" vertical="center"/>
    </xf>
    <xf numFmtId="0" fontId="0" fillId="0" borderId="5" xfId="0" applyBorder="1" applyAlignment="1">
      <alignment horizontal="center"/>
    </xf>
    <xf numFmtId="0" fontId="44" fillId="0" borderId="0" xfId="0" applyFont="1" applyAlignment="1">
      <alignment horizontal="center" vertical="center"/>
    </xf>
    <xf numFmtId="1" fontId="4" fillId="0" borderId="21" xfId="0" applyNumberFormat="1" applyFont="1" applyBorder="1" applyAlignment="1">
      <alignment horizontal="center"/>
    </xf>
    <xf numFmtId="1" fontId="4" fillId="0" borderId="22" xfId="0" applyNumberFormat="1" applyFont="1" applyBorder="1" applyAlignment="1">
      <alignment horizontal="center"/>
    </xf>
    <xf numFmtId="1" fontId="4" fillId="0" borderId="3" xfId="0" applyNumberFormat="1" applyFon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3" xfId="0" applyBorder="1" applyAlignment="1">
      <alignment horizontal="center"/>
    </xf>
    <xf numFmtId="0" fontId="4" fillId="0" borderId="0" xfId="0" applyFont="1" applyAlignment="1">
      <alignment horizontal="center"/>
    </xf>
    <xf numFmtId="3" fontId="4" fillId="0" borderId="0" xfId="0" applyNumberFormat="1" applyFont="1" applyAlignment="1">
      <alignment horizontal="center"/>
    </xf>
    <xf numFmtId="1" fontId="4" fillId="25" borderId="6" xfId="0" applyNumberFormat="1" applyFont="1" applyFill="1" applyBorder="1" applyAlignment="1">
      <alignment horizontal="center"/>
    </xf>
    <xf numFmtId="0" fontId="4" fillId="0" borderId="21" xfId="0" applyFont="1" applyBorder="1"/>
    <xf numFmtId="0" fontId="4" fillId="0" borderId="22" xfId="0" applyFont="1" applyBorder="1"/>
    <xf numFmtId="0" fontId="4" fillId="0" borderId="3" xfId="0" applyFont="1" applyBorder="1"/>
    <xf numFmtId="3" fontId="43" fillId="0" borderId="2" xfId="0" applyNumberFormat="1" applyFont="1" applyBorder="1" applyAlignment="1">
      <alignment horizontal="center"/>
    </xf>
    <xf numFmtId="0" fontId="43" fillId="0" borderId="2" xfId="0" applyFont="1" applyBorder="1" applyAlignment="1">
      <alignment horizontal="center"/>
    </xf>
    <xf numFmtId="3" fontId="43" fillId="0" borderId="21" xfId="0" applyNumberFormat="1" applyFont="1" applyBorder="1" applyAlignment="1">
      <alignment horizontal="center"/>
    </xf>
    <xf numFmtId="3" fontId="43" fillId="0" borderId="22" xfId="0" applyNumberFormat="1" applyFont="1" applyBorder="1" applyAlignment="1">
      <alignment horizontal="center"/>
    </xf>
    <xf numFmtId="0" fontId="43" fillId="0" borderId="22" xfId="0" applyFont="1" applyBorder="1" applyAlignment="1">
      <alignment horizontal="center"/>
    </xf>
    <xf numFmtId="3" fontId="43" fillId="0" borderId="3" xfId="0" applyNumberFormat="1" applyFont="1" applyBorder="1" applyAlignment="1">
      <alignment horizontal="center"/>
    </xf>
    <xf numFmtId="166" fontId="4" fillId="0" borderId="0" xfId="0" applyNumberFormat="1" applyFont="1" applyAlignment="1">
      <alignment horizontal="center"/>
    </xf>
    <xf numFmtId="0" fontId="9" fillId="4" borderId="1"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4" xfId="0" applyFont="1" applyBorder="1" applyAlignment="1">
      <alignment horizontal="left" vertical="top" wrapText="1"/>
    </xf>
    <xf numFmtId="0" fontId="9" fillId="4" borderId="5"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8" fillId="2" borderId="1" xfId="0" applyFont="1" applyFill="1" applyBorder="1" applyAlignment="1" applyProtection="1">
      <alignment horizontal="center" vertical="center"/>
      <protection locked="0"/>
    </xf>
    <xf numFmtId="0" fontId="18" fillId="2" borderId="12" xfId="0" applyFont="1" applyFill="1" applyBorder="1" applyAlignment="1" applyProtection="1">
      <alignment horizontal="center" vertical="center"/>
      <protection locked="0"/>
    </xf>
    <xf numFmtId="0" fontId="5" fillId="4" borderId="9" xfId="0" applyFont="1" applyFill="1" applyBorder="1" applyAlignment="1" applyProtection="1">
      <alignment horizontal="center" vertical="center"/>
      <protection locked="0"/>
    </xf>
    <xf numFmtId="0" fontId="5" fillId="4" borderId="4" xfId="0" applyFont="1" applyFill="1" applyBorder="1" applyAlignment="1" applyProtection="1">
      <alignment horizontal="center" vertical="center"/>
      <protection locked="0"/>
    </xf>
    <xf numFmtId="0" fontId="17" fillId="8" borderId="10" xfId="0" applyFont="1" applyFill="1" applyBorder="1" applyAlignment="1">
      <alignment horizontal="left" vertical="center"/>
    </xf>
    <xf numFmtId="0" fontId="17" fillId="8" borderId="11" xfId="0" applyFont="1" applyFill="1" applyBorder="1" applyAlignment="1">
      <alignment horizontal="left" vertical="center"/>
    </xf>
    <xf numFmtId="0" fontId="15" fillId="0" borderId="5" xfId="0" applyFont="1" applyBorder="1" applyAlignment="1" applyProtection="1">
      <alignment horizontal="center" vertical="center"/>
      <protection locked="0"/>
    </xf>
    <xf numFmtId="0" fontId="16" fillId="10" borderId="1" xfId="0" applyFont="1" applyFill="1" applyBorder="1" applyAlignment="1" applyProtection="1">
      <alignment horizontal="center" vertical="center"/>
      <protection locked="0"/>
    </xf>
    <xf numFmtId="0" fontId="16" fillId="10" borderId="6" xfId="0" applyFont="1" applyFill="1" applyBorder="1" applyAlignment="1" applyProtection="1">
      <alignment horizontal="center" vertical="center"/>
      <protection locked="0"/>
    </xf>
    <xf numFmtId="0" fontId="15" fillId="0" borderId="5" xfId="0" applyFont="1" applyBorder="1" applyAlignment="1">
      <alignment horizontal="center" vertical="center"/>
    </xf>
    <xf numFmtId="0" fontId="42" fillId="0" borderId="18" xfId="0" applyFont="1" applyBorder="1" applyAlignment="1">
      <alignment horizontal="center"/>
    </xf>
    <xf numFmtId="0" fontId="42" fillId="0" borderId="20" xfId="0" applyFont="1" applyBorder="1" applyAlignment="1">
      <alignment horizontal="center"/>
    </xf>
    <xf numFmtId="0" fontId="42" fillId="0" borderId="19" xfId="0" applyFont="1" applyBorder="1" applyAlignment="1">
      <alignment horizontal="center"/>
    </xf>
    <xf numFmtId="0" fontId="20" fillId="7" borderId="6" xfId="0" applyFont="1" applyFill="1" applyBorder="1" applyAlignment="1" applyProtection="1">
      <alignment vertical="center"/>
      <protection locked="0"/>
    </xf>
    <xf numFmtId="0" fontId="20" fillId="0" borderId="0" xfId="0" applyFont="1" applyAlignment="1">
      <alignment vertical="center"/>
    </xf>
    <xf numFmtId="0" fontId="20" fillId="0" borderId="0" xfId="0" applyFont="1"/>
    <xf numFmtId="0" fontId="4" fillId="15" borderId="9" xfId="0" applyFont="1" applyFill="1" applyBorder="1" applyAlignment="1">
      <alignment vertical="center"/>
    </xf>
    <xf numFmtId="0" fontId="4" fillId="15" borderId="16" xfId="0" applyFont="1" applyFill="1" applyBorder="1" applyAlignment="1">
      <alignment vertical="center"/>
    </xf>
    <xf numFmtId="0" fontId="0" fillId="0" borderId="17" xfId="0" applyFill="1" applyBorder="1"/>
    <xf numFmtId="0" fontId="17" fillId="8" borderId="10" xfId="0" applyFont="1" applyFill="1" applyBorder="1" applyAlignment="1">
      <alignment vertical="center"/>
    </xf>
    <xf numFmtId="0" fontId="17" fillId="8" borderId="11" xfId="0" applyFont="1" applyFill="1" applyBorder="1" applyAlignment="1">
      <alignment vertical="center"/>
    </xf>
    <xf numFmtId="0" fontId="3" fillId="12" borderId="0" xfId="0" applyFont="1" applyFill="1" applyBorder="1" applyAlignment="1">
      <alignment horizontal="center" vertical="center"/>
    </xf>
    <xf numFmtId="0" fontId="0" fillId="0" borderId="0" xfId="0" applyBorder="1"/>
  </cellXfs>
  <cellStyles count="2">
    <cellStyle name="Currency" xfId="1" builtinId="4"/>
    <cellStyle name="Normal" xfId="0" builtinId="0"/>
  </cellStyles>
  <dxfs count="174">
    <dxf>
      <fill>
        <patternFill>
          <bgColor theme="0" tint="-0.24994659260841701"/>
        </patternFill>
      </fill>
    </dxf>
    <dxf>
      <fill>
        <patternFill>
          <bgColor rgb="FFA8D08D"/>
        </patternFill>
      </fill>
    </dxf>
    <dxf>
      <fill>
        <patternFill>
          <bgColor rgb="FFF4B083"/>
        </patternFill>
      </fill>
    </dxf>
    <dxf>
      <fill>
        <patternFill>
          <bgColor theme="4"/>
        </patternFill>
      </fill>
    </dxf>
    <dxf>
      <font>
        <color theme="1"/>
      </font>
      <fill>
        <patternFill>
          <bgColor theme="9" tint="0.39994506668294322"/>
        </patternFill>
      </fill>
    </dxf>
    <dxf>
      <font>
        <color theme="1"/>
      </font>
      <fill>
        <patternFill>
          <bgColor theme="5" tint="0.39994506668294322"/>
        </patternFill>
      </fill>
    </dxf>
    <dxf>
      <font>
        <color theme="1"/>
      </font>
      <fill>
        <patternFill>
          <bgColor theme="0" tint="-0.24994659260841701"/>
        </patternFill>
      </fill>
    </dxf>
    <dxf>
      <font>
        <color theme="1"/>
      </font>
      <fill>
        <patternFill>
          <bgColor theme="9" tint="0.39994506668294322"/>
        </patternFill>
      </fill>
    </dxf>
    <dxf>
      <font>
        <color theme="1"/>
      </font>
      <fill>
        <patternFill>
          <bgColor theme="5" tint="0.39994506668294322"/>
        </patternFill>
      </fill>
    </dxf>
    <dxf>
      <font>
        <color theme="1"/>
      </font>
      <fill>
        <patternFill>
          <bgColor theme="0" tint="-0.24994659260841701"/>
        </patternFill>
      </fill>
    </dxf>
    <dxf>
      <font>
        <color theme="1"/>
      </font>
      <fill>
        <patternFill>
          <bgColor theme="9" tint="0.39994506668294322"/>
        </patternFill>
      </fill>
    </dxf>
    <dxf>
      <font>
        <color theme="1"/>
      </font>
      <fill>
        <patternFill>
          <bgColor theme="5" tint="0.39994506668294322"/>
        </patternFill>
      </fill>
    </dxf>
    <dxf>
      <font>
        <color theme="1"/>
      </font>
      <fill>
        <patternFill>
          <bgColor theme="0" tint="-0.24994659260841701"/>
        </patternFill>
      </fill>
    </dxf>
    <dxf>
      <fill>
        <patternFill>
          <bgColor theme="0" tint="-0.24994659260841701"/>
        </patternFill>
      </fill>
    </dxf>
    <dxf>
      <fill>
        <patternFill>
          <bgColor theme="9" tint="0.39994506668294322"/>
        </patternFill>
      </fill>
    </dxf>
    <dxf>
      <fill>
        <patternFill>
          <bgColor theme="5" tint="0.39994506668294322"/>
        </patternFill>
      </fill>
    </dxf>
    <dxf>
      <fill>
        <patternFill>
          <bgColor theme="0" tint="-0.24994659260841701"/>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theme="4"/>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rgb="FF00B0F0"/>
        </patternFill>
      </fill>
    </dxf>
    <dxf>
      <font>
        <color rgb="FF9C5700"/>
      </font>
      <fill>
        <patternFill>
          <bgColor rgb="FFFFEB9C"/>
        </patternFill>
      </fill>
    </dxf>
    <dxf>
      <font>
        <color theme="0"/>
      </font>
      <fill>
        <patternFill>
          <bgColor rgb="FF0070C0"/>
        </patternFill>
      </fill>
    </dxf>
    <dxf>
      <font>
        <color theme="0"/>
      </font>
      <fill>
        <patternFill>
          <bgColor rgb="FF92D050"/>
        </patternFill>
      </fill>
    </dxf>
    <dxf>
      <font>
        <color theme="0"/>
      </font>
      <fill>
        <patternFill>
          <bgColor rgb="FF002060"/>
        </patternFill>
      </fill>
    </dxf>
    <dxf>
      <fill>
        <patternFill>
          <bgColor theme="8"/>
        </patternFill>
      </fill>
    </dxf>
    <dxf>
      <font>
        <color theme="0"/>
      </font>
      <fill>
        <patternFill>
          <bgColor rgb="FF92D05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646234</xdr:colOff>
      <xdr:row>0</xdr:row>
      <xdr:rowOff>0</xdr:rowOff>
    </xdr:from>
    <xdr:ext cx="65" cy="172227"/>
    <xdr:sp macro="" textlink="">
      <xdr:nvSpPr>
        <xdr:cNvPr id="3" name="CasellaDiTesto 2">
          <a:extLst>
            <a:ext uri="{FF2B5EF4-FFF2-40B4-BE49-F238E27FC236}">
              <a16:creationId xmlns:a16="http://schemas.microsoft.com/office/drawing/2014/main" id="{FB06C884-F87D-724A-A84B-55557E7F0A33}"/>
            </a:ext>
          </a:extLst>
        </xdr:cNvPr>
        <xdr:cNvSpPr txBox="1"/>
      </xdr:nvSpPr>
      <xdr:spPr>
        <a:xfrm>
          <a:off x="12101634" y="1485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0</xdr:row>
      <xdr:rowOff>0</xdr:rowOff>
    </xdr:from>
    <xdr:ext cx="65" cy="172227"/>
    <xdr:sp macro="" textlink="">
      <xdr:nvSpPr>
        <xdr:cNvPr id="4" name="CasellaDiTesto 3">
          <a:extLst>
            <a:ext uri="{FF2B5EF4-FFF2-40B4-BE49-F238E27FC236}">
              <a16:creationId xmlns:a16="http://schemas.microsoft.com/office/drawing/2014/main" id="{0F897454-AB24-DE41-B8B4-1C4AC279864F}"/>
            </a:ext>
          </a:extLst>
        </xdr:cNvPr>
        <xdr:cNvSpPr txBox="1"/>
      </xdr:nvSpPr>
      <xdr:spPr>
        <a:xfrm>
          <a:off x="22909334" y="1056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0</xdr:row>
      <xdr:rowOff>0</xdr:rowOff>
    </xdr:from>
    <xdr:ext cx="65" cy="172227"/>
    <xdr:sp macro="" textlink="">
      <xdr:nvSpPr>
        <xdr:cNvPr id="6" name="CasellaDiTesto 5">
          <a:extLst>
            <a:ext uri="{FF2B5EF4-FFF2-40B4-BE49-F238E27FC236}">
              <a16:creationId xmlns:a16="http://schemas.microsoft.com/office/drawing/2014/main" id="{5D858BFB-E40D-E642-A773-5E654BF00019}"/>
            </a:ext>
          </a:extLst>
        </xdr:cNvPr>
        <xdr:cNvSpPr txBox="1"/>
      </xdr:nvSpPr>
      <xdr:spPr>
        <a:xfrm>
          <a:off x="12101634" y="25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646234</xdr:colOff>
      <xdr:row>49</xdr:row>
      <xdr:rowOff>0</xdr:rowOff>
    </xdr:from>
    <xdr:ext cx="65" cy="172227"/>
    <xdr:sp macro="" textlink="">
      <xdr:nvSpPr>
        <xdr:cNvPr id="2" name="CasellaDiTesto 1">
          <a:extLst>
            <a:ext uri="{FF2B5EF4-FFF2-40B4-BE49-F238E27FC236}">
              <a16:creationId xmlns:a16="http://schemas.microsoft.com/office/drawing/2014/main" id="{A24352EE-E47D-C540-A0B5-C24FF3F2AF4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49</xdr:row>
      <xdr:rowOff>0</xdr:rowOff>
    </xdr:from>
    <xdr:ext cx="65" cy="172227"/>
    <xdr:sp macro="" textlink="">
      <xdr:nvSpPr>
        <xdr:cNvPr id="3" name="CasellaDiTesto 2">
          <a:extLst>
            <a:ext uri="{FF2B5EF4-FFF2-40B4-BE49-F238E27FC236}">
              <a16:creationId xmlns:a16="http://schemas.microsoft.com/office/drawing/2014/main" id="{53C98242-1EEB-1F41-8FF8-A199EDFA5D44}"/>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49</xdr:row>
      <xdr:rowOff>0</xdr:rowOff>
    </xdr:from>
    <xdr:ext cx="65" cy="172227"/>
    <xdr:sp macro="" textlink="">
      <xdr:nvSpPr>
        <xdr:cNvPr id="4" name="CasellaDiTesto 3">
          <a:extLst>
            <a:ext uri="{FF2B5EF4-FFF2-40B4-BE49-F238E27FC236}">
              <a16:creationId xmlns:a16="http://schemas.microsoft.com/office/drawing/2014/main" id="{7C1E56A9-6250-F84B-8899-9CEFAFB39AE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646234</xdr:colOff>
      <xdr:row>27</xdr:row>
      <xdr:rowOff>0</xdr:rowOff>
    </xdr:from>
    <xdr:ext cx="65" cy="172227"/>
    <xdr:sp macro="" textlink="">
      <xdr:nvSpPr>
        <xdr:cNvPr id="2" name="CasellaDiTesto 1">
          <a:extLst>
            <a:ext uri="{FF2B5EF4-FFF2-40B4-BE49-F238E27FC236}">
              <a16:creationId xmlns:a16="http://schemas.microsoft.com/office/drawing/2014/main" id="{2CA2E9E3-76BE-3445-8F0D-FE6991139BF0}"/>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27</xdr:row>
      <xdr:rowOff>0</xdr:rowOff>
    </xdr:from>
    <xdr:ext cx="65" cy="172227"/>
    <xdr:sp macro="" textlink="">
      <xdr:nvSpPr>
        <xdr:cNvPr id="3" name="CasellaDiTesto 2">
          <a:extLst>
            <a:ext uri="{FF2B5EF4-FFF2-40B4-BE49-F238E27FC236}">
              <a16:creationId xmlns:a16="http://schemas.microsoft.com/office/drawing/2014/main" id="{635BA367-A770-7D49-941B-5044EBE6AA8B}"/>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27</xdr:row>
      <xdr:rowOff>0</xdr:rowOff>
    </xdr:from>
    <xdr:ext cx="65" cy="172227"/>
    <xdr:sp macro="" textlink="">
      <xdr:nvSpPr>
        <xdr:cNvPr id="4" name="CasellaDiTesto 3">
          <a:extLst>
            <a:ext uri="{FF2B5EF4-FFF2-40B4-BE49-F238E27FC236}">
              <a16:creationId xmlns:a16="http://schemas.microsoft.com/office/drawing/2014/main" id="{71E51610-1403-3D45-8EB5-4E0D059948C0}"/>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646234</xdr:colOff>
      <xdr:row>67</xdr:row>
      <xdr:rowOff>0</xdr:rowOff>
    </xdr:from>
    <xdr:ext cx="65" cy="172227"/>
    <xdr:sp macro="" textlink="">
      <xdr:nvSpPr>
        <xdr:cNvPr id="2" name="CasellaDiTesto 1">
          <a:extLst>
            <a:ext uri="{FF2B5EF4-FFF2-40B4-BE49-F238E27FC236}">
              <a16:creationId xmlns:a16="http://schemas.microsoft.com/office/drawing/2014/main" id="{F8A5BB21-D545-3243-A59E-C5A642B9C208}"/>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67</xdr:row>
      <xdr:rowOff>0</xdr:rowOff>
    </xdr:from>
    <xdr:ext cx="65" cy="172227"/>
    <xdr:sp macro="" textlink="">
      <xdr:nvSpPr>
        <xdr:cNvPr id="3" name="CasellaDiTesto 2">
          <a:extLst>
            <a:ext uri="{FF2B5EF4-FFF2-40B4-BE49-F238E27FC236}">
              <a16:creationId xmlns:a16="http://schemas.microsoft.com/office/drawing/2014/main" id="{006149BE-FD6E-8241-A9DC-A0554F6E0630}"/>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67</xdr:row>
      <xdr:rowOff>0</xdr:rowOff>
    </xdr:from>
    <xdr:ext cx="65" cy="172227"/>
    <xdr:sp macro="" textlink="">
      <xdr:nvSpPr>
        <xdr:cNvPr id="4" name="CasellaDiTesto 3">
          <a:extLst>
            <a:ext uri="{FF2B5EF4-FFF2-40B4-BE49-F238E27FC236}">
              <a16:creationId xmlns:a16="http://schemas.microsoft.com/office/drawing/2014/main" id="{5EDF543B-A34C-0F43-9BA1-DF1E4858206E}"/>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15</xdr:col>
      <xdr:colOff>0</xdr:colOff>
      <xdr:row>1</xdr:row>
      <xdr:rowOff>0</xdr:rowOff>
    </xdr:from>
    <xdr:ext cx="65" cy="172227"/>
    <xdr:sp macro="" textlink="">
      <xdr:nvSpPr>
        <xdr:cNvPr id="2" name="CasellaDiTesto 1">
          <a:extLst>
            <a:ext uri="{FF2B5EF4-FFF2-40B4-BE49-F238E27FC236}">
              <a16:creationId xmlns:a16="http://schemas.microsoft.com/office/drawing/2014/main" id="{4FF86B18-0B85-714A-B8F1-51BEEBE6A7B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15</xdr:col>
      <xdr:colOff>0</xdr:colOff>
      <xdr:row>1</xdr:row>
      <xdr:rowOff>0</xdr:rowOff>
    </xdr:from>
    <xdr:ext cx="65" cy="172227"/>
    <xdr:sp macro="" textlink="">
      <xdr:nvSpPr>
        <xdr:cNvPr id="3" name="CasellaDiTesto 2">
          <a:extLst>
            <a:ext uri="{FF2B5EF4-FFF2-40B4-BE49-F238E27FC236}">
              <a16:creationId xmlns:a16="http://schemas.microsoft.com/office/drawing/2014/main" id="{E08F0D6D-CD94-6F4D-9699-A6182762C16E}"/>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15</xdr:col>
      <xdr:colOff>0</xdr:colOff>
      <xdr:row>1</xdr:row>
      <xdr:rowOff>0</xdr:rowOff>
    </xdr:from>
    <xdr:ext cx="65" cy="172227"/>
    <xdr:sp macro="" textlink="">
      <xdr:nvSpPr>
        <xdr:cNvPr id="4" name="CasellaDiTesto 3">
          <a:extLst>
            <a:ext uri="{FF2B5EF4-FFF2-40B4-BE49-F238E27FC236}">
              <a16:creationId xmlns:a16="http://schemas.microsoft.com/office/drawing/2014/main" id="{CB172537-BCC0-BA4B-A452-6D33E9691646}"/>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persons/person.xml><?xml version="1.0" encoding="utf-8"?>
<personList xmlns="http://schemas.microsoft.com/office/spreadsheetml/2018/threadedcomments" xmlns:x="http://schemas.openxmlformats.org/spreadsheetml/2006/main">
  <person displayName="Andrea Bianchi" id="{FF92EE16-6B03-4EF3-9883-2018917D3056}" userId="S::10331450@polimi.it::a4e85576-6ff4-4d29-a510-ce9409f519a1"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v>Internet delle cose con riempimento a tinta unita</v>
  </rv>
  <rv s="0">
    <v>1</v>
    <v>5</v>
    <v>Acqua con riempimento a tinta unita</v>
  </rv>
  <rv s="0">
    <v>2</v>
    <v>5</v>
    <v>Carburante con riempimento a tinta unita</v>
  </rv>
  <rv s="0">
    <v>3</v>
    <v>5</v>
    <v>Alta tensione con riempimento a tinta unita</v>
  </rv>
  <rv s="0">
    <v>4</v>
    <v>5</v>
    <v>Insetticida spray con riempimento a tinta unita</v>
  </rv>
  <rv s="0">
    <v>5</v>
    <v>5</v>
    <v>Semi con riempimento a tinta unita</v>
  </rv>
  <rv s="0">
    <v>6</v>
    <v>5</v>
    <v>Frumento con riempimento a tinta unita</v>
  </rv>
  <rv s="0">
    <v>7</v>
    <v>5</v>
    <v>Medico con riempimento a tinta unita</v>
  </rv>
  <rv s="0">
    <v>8</v>
    <v>5</v>
    <v>Contadina con riempimento a tinta unita</v>
  </rv>
  <rv s="0">
    <v>9</v>
    <v>5</v>
    <v>Monete con riempimento a tinta unita</v>
  </rv>
  <rv s="0">
    <v>10</v>
    <v>5</v>
    <v>Calendario mensile con riempimento a tinta unita</v>
  </rv>
  <rv s="0">
    <v>11</v>
    <v>5</v>
    <v>Grafico a barre con andamento ascendente con riempimento a tinta unita</v>
  </rv>
  <rv s="0">
    <v>12</v>
    <v>5</v>
    <v>Carica con riempimento a tinta unita</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5-02-21T21:46:28.99" personId="{FF92EE16-6B03-4EF3-9883-2018917D3056}" id="{5CABB8A1-27E3-4CCD-8C29-336106BFBE26}">
    <text>in this column the % variation of each KPI is adjusted in order to have positive values for positive impacts and negative values for negative impacts</text>
  </threadedComment>
  <threadedComment ref="H2" dT="2025-02-21T21:47:41.14" personId="{FF92EE16-6B03-4EF3-9883-2018917D3056}" id="{F2A9B87B-9258-4ECA-8B00-DCD3EFB7E510}">
    <text xml:space="preserve">This column is used to assign 1 to KPIs where an increase represents something positive, and 0 where an increase represents something negative </text>
  </threadedComment>
  <threadedComment ref="M2" dT="2025-02-21T15:15:31.98" personId="{FF92EE16-6B03-4EF3-9883-2018917D3056}" id="{24F6536B-4FD9-4FB3-B328-CD753519AD77}">
    <text>This field must be filled manually, based on our TC reports</text>
  </threadedComment>
  <threadedComment ref="N2" dT="2025-02-21T15:15:42.58" personId="{FF92EE16-6B03-4EF3-9883-2018917D3056}" id="{A7C8F337-41E4-4713-99B5-9B279ED58791}">
    <text>This field must be filled manually, based on our TC reports</text>
  </threadedComment>
  <threadedComment ref="O2" dT="2025-02-21T16:00:57.69" personId="{FF92EE16-6B03-4EF3-9883-2018917D3056}" id="{9F8E3BB3-D55C-42EA-83B9-022F9F604EF3}">
    <text>This field must be filled manually, based on our TC reports</text>
  </threadedComment>
  <threadedComment ref="P2" dT="2025-03-11T15:13:40.30" personId="{FF92EE16-6B03-4EF3-9883-2018917D3056}" id="{75050D1E-618C-4FD8-BFC9-725302ECF610}">
    <text xml:space="preserve">This field must be filled manually
</text>
  </threadedComment>
  <threadedComment ref="S2" dT="2025-02-21T17:02:41.29" personId="{FF92EE16-6B03-4EF3-9883-2018917D3056}" id="{F37966A8-31DE-410A-9C9D-3F1996E32E50}">
    <text>The 7 categories used to aggregate the KPIs in the spider chart: always shown and displayed</text>
  </threadedComment>
  <threadedComment ref="U2" dT="2025-03-12T16:30:42.68" personId="{FF92EE16-6B03-4EF3-9883-2018917D3056}" id="{7C699CE0-B76B-4B4A-BF07-FB0115D00DBB}">
    <text xml:space="preserve">In some cases, the variation between the two scenarios, with DATSs and NO DATSs, exceeds 100%. This makes it difficult to standardize the visualization of the results, and such a large difference is not always justifiable solely based on the adoption of DATSs. For this reason, I have set a maximum range for these values so that they can be better visualized in the charts. </text>
  </threadedComment>
  <threadedComment ref="E47" dT="2025-02-21T14:48:37.95" personId="{FF92EE16-6B03-4EF3-9883-2018917D3056}" id="{F721C37E-BD6B-4E79-87FE-5AC67F217008}">
    <text>to be completed</text>
  </threadedComment>
  <threadedComment ref="D48" dT="2025-03-11T15:02:11.20" personId="{FF92EE16-6B03-4EF3-9883-2018917D3056}" id="{2489065C-AEA7-463C-94CB-D00D17B1DE14}">
    <text xml:space="preserve">to be calculated next year
</text>
  </threadedComment>
  <threadedComment ref="E48" dT="2025-02-21T14:49:18.25" personId="{FF92EE16-6B03-4EF3-9883-2018917D3056}" id="{98808325-C713-43D4-8DE6-A87C480C8D1E}">
    <text>to be completed</text>
  </threadedComment>
  <threadedComment ref="D49" dT="2025-03-11T15:02:24.56" personId="{FF92EE16-6B03-4EF3-9883-2018917D3056}" id="{06EEA1BD-3D0C-4BFD-8D54-586BA8E036EE}">
    <text xml:space="preserve">to be calculated next year
</text>
  </threadedComment>
  <threadedComment ref="E49" dT="2025-02-21T14:49:25.61" personId="{FF92EE16-6B03-4EF3-9883-2018917D3056}" id="{FBB86499-2158-477E-B0F8-28A1C735181B}">
    <text>to be completed</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03-12T16:58:40.53" personId="{FF92EE16-6B03-4EF3-9883-2018917D3056}" id="{63F3B7A5-78F5-445A-8E26-6E073F21DF63}">
    <text>All the icons for the KPIs impacted by the DATs for this calculator are here. This list will be completed with the icons for the other KPIs</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34C6-CD51-2B44-A0A0-0FAD4E609A56}">
  <sheetPr codeName="Sheet1"/>
  <dimension ref="B2:C27"/>
  <sheetViews>
    <sheetView zoomScale="57" workbookViewId="0">
      <selection activeCell="I4" sqref="I4"/>
    </sheetView>
  </sheetViews>
  <sheetFormatPr defaultColWidth="11.25" defaultRowHeight="15.75"/>
  <cols>
    <col min="1" max="1" width="3.75" customWidth="1"/>
    <col min="2" max="2" width="40.25" customWidth="1"/>
    <col min="3" max="3" width="98.25" customWidth="1"/>
  </cols>
  <sheetData>
    <row r="2" spans="2:3">
      <c r="B2" s="202" t="s">
        <v>49</v>
      </c>
      <c r="C2" s="203"/>
    </row>
    <row r="3" spans="2:3" ht="259.89999999999998" customHeight="1">
      <c r="B3" s="204" t="s">
        <v>563</v>
      </c>
      <c r="C3" s="205"/>
    </row>
    <row r="4" spans="2:3" ht="184.9" customHeight="1">
      <c r="B4" s="206"/>
      <c r="C4" s="207"/>
    </row>
    <row r="5" spans="2:3" ht="16.149999999999999" customHeight="1">
      <c r="B5" s="202" t="s">
        <v>50</v>
      </c>
      <c r="C5" s="203"/>
    </row>
    <row r="6" spans="2:3">
      <c r="B6" s="145" t="s">
        <v>51</v>
      </c>
      <c r="C6" s="146" t="s">
        <v>52</v>
      </c>
    </row>
    <row r="7" spans="2:3">
      <c r="B7" s="146" t="s">
        <v>45</v>
      </c>
      <c r="C7" s="146" t="s">
        <v>53</v>
      </c>
    </row>
    <row r="8" spans="2:3" ht="18">
      <c r="B8" s="146" t="s">
        <v>54</v>
      </c>
      <c r="C8" s="146" t="s">
        <v>55</v>
      </c>
    </row>
    <row r="9" spans="2:3" ht="18">
      <c r="B9" s="146" t="s">
        <v>56</v>
      </c>
      <c r="C9" s="146" t="s">
        <v>57</v>
      </c>
    </row>
    <row r="10" spans="2:3">
      <c r="B10" s="146" t="s">
        <v>58</v>
      </c>
      <c r="C10" s="146" t="s">
        <v>59</v>
      </c>
    </row>
    <row r="11" spans="2:3">
      <c r="B11" s="146" t="s">
        <v>60</v>
      </c>
      <c r="C11" s="146" t="s">
        <v>61</v>
      </c>
    </row>
    <row r="12" spans="2:3">
      <c r="B12" s="146" t="s">
        <v>62</v>
      </c>
      <c r="C12" s="146" t="s">
        <v>63</v>
      </c>
    </row>
    <row r="13" spans="2:3">
      <c r="B13" s="146" t="s">
        <v>64</v>
      </c>
      <c r="C13" s="146" t="s">
        <v>65</v>
      </c>
    </row>
    <row r="14" spans="2:3">
      <c r="B14" s="146" t="s">
        <v>66</v>
      </c>
      <c r="C14" s="146" t="s">
        <v>67</v>
      </c>
    </row>
    <row r="15" spans="2:3">
      <c r="B15" s="146" t="s">
        <v>68</v>
      </c>
      <c r="C15" s="146" t="s">
        <v>69</v>
      </c>
    </row>
    <row r="16" spans="2:3">
      <c r="B16" s="146" t="s">
        <v>70</v>
      </c>
      <c r="C16" s="146" t="s">
        <v>71</v>
      </c>
    </row>
    <row r="17" spans="2:3">
      <c r="B17" s="146" t="s">
        <v>72</v>
      </c>
      <c r="C17" s="146" t="s">
        <v>73</v>
      </c>
    </row>
    <row r="18" spans="2:3">
      <c r="B18" s="146" t="s">
        <v>74</v>
      </c>
      <c r="C18" s="146" t="s">
        <v>75</v>
      </c>
    </row>
    <row r="19" spans="2:3">
      <c r="B19" s="146" t="s">
        <v>76</v>
      </c>
      <c r="C19" s="146" t="s">
        <v>77</v>
      </c>
    </row>
    <row r="20" spans="2:3" ht="18">
      <c r="B20" s="146" t="s">
        <v>78</v>
      </c>
      <c r="C20" s="146" t="s">
        <v>79</v>
      </c>
    </row>
    <row r="21" spans="2:3" ht="18">
      <c r="B21" s="146" t="s">
        <v>80</v>
      </c>
      <c r="C21" s="146" t="s">
        <v>81</v>
      </c>
    </row>
    <row r="22" spans="2:3">
      <c r="B22" s="146" t="s">
        <v>82</v>
      </c>
      <c r="C22" s="146" t="s">
        <v>83</v>
      </c>
    </row>
    <row r="23" spans="2:3">
      <c r="B23" s="146" t="s">
        <v>84</v>
      </c>
      <c r="C23" s="146" t="s">
        <v>85</v>
      </c>
    </row>
    <row r="24" spans="2:3">
      <c r="B24" s="146" t="s">
        <v>86</v>
      </c>
      <c r="C24" s="146" t="s">
        <v>87</v>
      </c>
    </row>
    <row r="25" spans="2:3">
      <c r="B25" s="146" t="s">
        <v>88</v>
      </c>
      <c r="C25" s="146" t="s">
        <v>89</v>
      </c>
    </row>
    <row r="26" spans="2:3">
      <c r="B26" s="146" t="s">
        <v>90</v>
      </c>
      <c r="C26" s="146" t="s">
        <v>91</v>
      </c>
    </row>
    <row r="27" spans="2:3">
      <c r="B27" s="146" t="s">
        <v>46</v>
      </c>
      <c r="C27" s="146" t="s">
        <v>92</v>
      </c>
    </row>
  </sheetData>
  <sheetProtection selectLockedCells="1"/>
  <mergeCells count="3">
    <mergeCell ref="B2:C2"/>
    <mergeCell ref="B3:C4"/>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CF82-C2C2-5142-A475-956F27F74C35}">
  <sheetPr codeName="Sheet2"/>
  <dimension ref="A2:O74"/>
  <sheetViews>
    <sheetView topLeftCell="A13" zoomScale="70" zoomScaleNormal="70" workbookViewId="0">
      <selection activeCell="B24" sqref="B24"/>
    </sheetView>
  </sheetViews>
  <sheetFormatPr defaultColWidth="12.625" defaultRowHeight="15.75"/>
  <cols>
    <col min="1" max="1" width="31.875" bestFit="1" customWidth="1"/>
    <col min="2" max="2" width="60" bestFit="1" customWidth="1"/>
    <col min="5" max="6" width="23.25" customWidth="1"/>
    <col min="11" max="13" width="0" hidden="1" customWidth="1"/>
    <col min="15" max="15" width="52.375" bestFit="1" customWidth="1"/>
  </cols>
  <sheetData>
    <row r="2" spans="1:15">
      <c r="B2" s="5" t="s">
        <v>40</v>
      </c>
      <c r="C2" s="5" t="s">
        <v>123</v>
      </c>
      <c r="D2" s="5" t="s">
        <v>44</v>
      </c>
    </row>
    <row r="3" spans="1:15" ht="16.149999999999999" customHeight="1">
      <c r="A3" t="s">
        <v>842</v>
      </c>
      <c r="B3" s="86" t="s">
        <v>41</v>
      </c>
      <c r="C3" s="86" t="s">
        <v>111</v>
      </c>
      <c r="D3" s="83">
        <v>6</v>
      </c>
      <c r="E3" s="74" t="s">
        <v>810</v>
      </c>
      <c r="F3" s="232"/>
      <c r="N3" t="s">
        <v>849</v>
      </c>
      <c r="O3" t="str">
        <f>CONCATENATE("""",N3,"""",":","""",LOWER(A3),"_",LOWER(E3),"""")</f>
        <v>"D3":"parcelinformation_testcasenumber"</v>
      </c>
    </row>
    <row r="4" spans="1:15" ht="16.149999999999999" customHeight="1">
      <c r="A4" t="s">
        <v>842</v>
      </c>
      <c r="B4" s="86" t="s">
        <v>42</v>
      </c>
      <c r="C4" s="87" t="s">
        <v>51</v>
      </c>
      <c r="D4" s="83"/>
      <c r="E4" t="s">
        <v>811</v>
      </c>
      <c r="N4" t="s">
        <v>850</v>
      </c>
      <c r="O4" t="str">
        <f>CONCATENATE("""",N4,"""",":","""",LOWER(A4),"_",LOWER(E4),"""")</f>
        <v>"D4":"parcelinformation_testcaseleader"</v>
      </c>
    </row>
    <row r="5" spans="1:15" ht="16.149999999999999" customHeight="1">
      <c r="B5" s="208" t="s">
        <v>162</v>
      </c>
      <c r="C5" s="208"/>
      <c r="D5" s="208"/>
      <c r="N5" t="s">
        <v>851</v>
      </c>
      <c r="O5" t="str">
        <f>CONCATENATE("""",N5,"""",":","""",LOWER(A5),"_",LOWER(E5),"""")</f>
        <v>"D5":"_"</v>
      </c>
    </row>
    <row r="6" spans="1:15" ht="18.399999999999999" customHeight="1">
      <c r="A6" t="s">
        <v>842</v>
      </c>
      <c r="B6" s="88" t="s">
        <v>502</v>
      </c>
      <c r="C6" s="88" t="s">
        <v>51</v>
      </c>
      <c r="D6" s="83" t="s">
        <v>520</v>
      </c>
      <c r="E6" t="s">
        <v>812</v>
      </c>
      <c r="N6" t="s">
        <v>852</v>
      </c>
      <c r="O6" t="str">
        <f>CONCATENATE("""",N6,"""",":","""",LOWER(A6),"_",LOWER(E6),"""")</f>
        <v>"D6":"parcelinformation_cultivationtype"</v>
      </c>
    </row>
    <row r="7" spans="1:15" ht="16.149999999999999" customHeight="1">
      <c r="A7" t="s">
        <v>842</v>
      </c>
      <c r="B7" s="88" t="s">
        <v>520</v>
      </c>
      <c r="C7" s="87" t="s">
        <v>51</v>
      </c>
      <c r="D7" s="83" t="s">
        <v>545</v>
      </c>
      <c r="E7" t="s">
        <v>813</v>
      </c>
      <c r="N7" t="s">
        <v>853</v>
      </c>
      <c r="O7" t="str">
        <f>CONCATENATE("""",N7,"""",":","""",LOWER(A7),"_",LOWER(E7),"""")</f>
        <v>"D7":"parcelinformation_producttype"</v>
      </c>
    </row>
    <row r="8" spans="1:15" ht="16.149999999999999" customHeight="1">
      <c r="A8" t="s">
        <v>842</v>
      </c>
      <c r="B8" s="88" t="s">
        <v>515</v>
      </c>
      <c r="C8" s="87"/>
      <c r="D8" s="83"/>
      <c r="E8" t="s">
        <v>813</v>
      </c>
      <c r="N8" t="s">
        <v>854</v>
      </c>
      <c r="O8" t="str">
        <f>CONCATENATE("""",N8,"""",":","""",LOWER(A8),"_",LOWER(E8),"""")</f>
        <v>"D8":"parcelinformation_producttype"</v>
      </c>
    </row>
    <row r="9" spans="1:15" ht="16.149999999999999" customHeight="1">
      <c r="A9" t="s">
        <v>842</v>
      </c>
      <c r="B9" s="86" t="s">
        <v>601</v>
      </c>
      <c r="C9" s="86" t="s">
        <v>564</v>
      </c>
      <c r="D9" s="96"/>
      <c r="E9" t="s">
        <v>814</v>
      </c>
      <c r="N9" t="s">
        <v>855</v>
      </c>
      <c r="O9" t="str">
        <f>CONCATENATE("""",N9,"""",":","""",LOWER(A9),"_",LOWER(E9),"""")</f>
        <v>"D9":"parcelinformation_startmonth"</v>
      </c>
    </row>
    <row r="10" spans="1:15" ht="16.149999999999999" customHeight="1">
      <c r="A10" t="s">
        <v>842</v>
      </c>
      <c r="B10" s="86" t="s">
        <v>602</v>
      </c>
      <c r="C10" s="86" t="s">
        <v>564</v>
      </c>
      <c r="D10" s="96"/>
      <c r="E10" t="s">
        <v>815</v>
      </c>
      <c r="N10" t="s">
        <v>856</v>
      </c>
      <c r="O10" t="str">
        <f>CONCATENATE("""",N10,"""",":","""",LOWER(A10),"_",LOWER(E10),"""")</f>
        <v>"D10":"parcelinformation_endmonth"</v>
      </c>
    </row>
    <row r="11" spans="1:15" ht="16.149999999999999" customHeight="1">
      <c r="A11" t="s">
        <v>842</v>
      </c>
      <c r="B11" s="86" t="s">
        <v>43</v>
      </c>
      <c r="C11" s="87" t="s">
        <v>51</v>
      </c>
      <c r="D11" s="83"/>
      <c r="E11" t="s">
        <v>816</v>
      </c>
      <c r="N11" t="s">
        <v>857</v>
      </c>
      <c r="O11" t="str">
        <f>CONCATENATE("""",N11,"""",":","""",LOWER(A11),"_",LOWER(E11),"""")</f>
        <v>"D11":"parcelinformation_biogeographicalregion"</v>
      </c>
    </row>
    <row r="12" spans="1:15" ht="16.149999999999999" customHeight="1">
      <c r="A12" t="s">
        <v>842</v>
      </c>
      <c r="B12" s="86" t="s">
        <v>435</v>
      </c>
      <c r="C12" s="89" t="s">
        <v>62</v>
      </c>
      <c r="D12" s="84"/>
      <c r="E12" t="s">
        <v>817</v>
      </c>
      <c r="N12" t="s">
        <v>858</v>
      </c>
      <c r="O12" t="str">
        <f>CONCATENATE("""",N12,"""",":","""",LOWER(A12),"_",LOWER(E12),"""")</f>
        <v>"D12":"parcelinformation_totalfarmsize"</v>
      </c>
    </row>
    <row r="13" spans="1:15" ht="16.149999999999999" customHeight="1">
      <c r="A13" t="s">
        <v>842</v>
      </c>
      <c r="B13" s="86" t="s">
        <v>606</v>
      </c>
      <c r="C13" s="86" t="s">
        <v>111</v>
      </c>
      <c r="D13" s="97"/>
      <c r="E13" t="s">
        <v>818</v>
      </c>
      <c r="N13" t="s">
        <v>859</v>
      </c>
      <c r="O13" t="str">
        <f>CONCATENATE("""",N13,"""",":","""",LOWER(A13),"_",LOWER(E13),"""")</f>
        <v>"D13":"parcelinformation_numberofcomparisons"</v>
      </c>
    </row>
    <row r="14" spans="1:15" ht="16.149999999999999" customHeight="1">
      <c r="A14" t="s">
        <v>842</v>
      </c>
      <c r="B14" s="88" t="s">
        <v>268</v>
      </c>
      <c r="C14" s="88" t="s">
        <v>111</v>
      </c>
      <c r="D14" s="97"/>
      <c r="E14" t="s">
        <v>819</v>
      </c>
      <c r="N14" t="s">
        <v>860</v>
      </c>
      <c r="O14" t="str">
        <f>CONCATENATE("""",N14,"""",":","""",LOWER(A14),"_",LOWER(E14),"""")</f>
        <v>"D14":"parcelinformation_numberofemployees"</v>
      </c>
    </row>
    <row r="15" spans="1:15" ht="16.149999999999999" customHeight="1">
      <c r="A15" t="s">
        <v>842</v>
      </c>
      <c r="B15" s="89" t="s">
        <v>286</v>
      </c>
      <c r="C15" s="89" t="s">
        <v>111</v>
      </c>
      <c r="D15" s="97"/>
      <c r="E15" t="s">
        <v>820</v>
      </c>
      <c r="N15" t="s">
        <v>861</v>
      </c>
      <c r="O15" t="str">
        <f>CONCATENATE("""",N15,"""",":","""",LOWER(A15),"_",LOWER(E15),"""")</f>
        <v>"D15":"parcelinformation_numberoffulltimeemployees"</v>
      </c>
    </row>
    <row r="16" spans="1:15" ht="16.149999999999999" customHeight="1">
      <c r="A16" t="s">
        <v>842</v>
      </c>
      <c r="B16" s="86" t="s">
        <v>287</v>
      </c>
      <c r="C16" s="86" t="s">
        <v>111</v>
      </c>
      <c r="D16" s="97"/>
      <c r="E16" t="s">
        <v>821</v>
      </c>
      <c r="N16" t="s">
        <v>862</v>
      </c>
      <c r="O16" t="str">
        <f>CONCATENATE("""",N16,"""",":","""",LOWER(A16),"_",LOWER(E16),"""")</f>
        <v>"D16":"parcelinformation_numberofseasonalemployees"</v>
      </c>
    </row>
    <row r="17" spans="1:15" ht="16.149999999999999" customHeight="1">
      <c r="C17" s="19"/>
      <c r="D17" s="20"/>
      <c r="N17" t="s">
        <v>863</v>
      </c>
      <c r="O17" t="str">
        <f>CONCATENATE("""",N17,"""",":","""",LOWER(A17),"_",LOWER(E17),"""")</f>
        <v>"D17":"_"</v>
      </c>
    </row>
    <row r="18" spans="1:15">
      <c r="B18" s="208" t="s">
        <v>738</v>
      </c>
      <c r="C18" s="208"/>
      <c r="D18" s="208"/>
      <c r="G18" s="208" t="s">
        <v>739</v>
      </c>
      <c r="H18" s="208"/>
      <c r="I18" s="208"/>
      <c r="K18" s="208" t="s">
        <v>740</v>
      </c>
      <c r="L18" s="208"/>
      <c r="M18" s="208"/>
      <c r="N18" t="s">
        <v>864</v>
      </c>
      <c r="O18" t="str">
        <f>CONCATENATE("""",N18,"""",":","""",LOWER(A18),"_",LOWER(E18),"""")</f>
        <v>"D18":"_"</v>
      </c>
    </row>
    <row r="19" spans="1:15">
      <c r="B19" s="5" t="s">
        <v>40</v>
      </c>
      <c r="C19" s="5" t="s">
        <v>123</v>
      </c>
      <c r="D19" s="5" t="s">
        <v>44</v>
      </c>
      <c r="G19" s="5" t="s">
        <v>40</v>
      </c>
      <c r="H19" s="5" t="s">
        <v>123</v>
      </c>
      <c r="I19" s="5" t="s">
        <v>44</v>
      </c>
      <c r="K19" s="5" t="s">
        <v>40</v>
      </c>
      <c r="L19" s="5" t="s">
        <v>123</v>
      </c>
      <c r="M19" s="5" t="s">
        <v>44</v>
      </c>
      <c r="N19" t="s">
        <v>865</v>
      </c>
      <c r="O19" t="str">
        <f>CONCATENATE("""",N19,"""",":","""",LOWER(A19),"_",LOWER(E19),"""")</f>
        <v>"D19":"_"</v>
      </c>
    </row>
    <row r="20" spans="1:15">
      <c r="A20" t="s">
        <v>843</v>
      </c>
      <c r="B20" s="90" t="s">
        <v>741</v>
      </c>
      <c r="C20" s="91" t="s">
        <v>45</v>
      </c>
      <c r="D20" s="80">
        <v>0</v>
      </c>
      <c r="E20" t="s">
        <v>822</v>
      </c>
      <c r="G20" s="90" t="s">
        <v>741</v>
      </c>
      <c r="H20" s="91" t="s">
        <v>45</v>
      </c>
      <c r="I20" s="80"/>
      <c r="K20" s="90" t="s">
        <v>741</v>
      </c>
      <c r="L20" s="91" t="s">
        <v>45</v>
      </c>
      <c r="M20" s="80"/>
      <c r="N20" t="s">
        <v>866</v>
      </c>
      <c r="O20" t="str">
        <f>CONCATENATE("""",N20,"""",":","""",LOWER(A20),"_",LOWER(E20),"""")</f>
        <v>"D20":"datsinformation_datsinitialinvestmentcosts"</v>
      </c>
    </row>
    <row r="21" spans="1:15">
      <c r="A21" t="s">
        <v>843</v>
      </c>
      <c r="B21" s="92" t="s">
        <v>484</v>
      </c>
      <c r="C21" s="93" t="s">
        <v>46</v>
      </c>
      <c r="D21" s="80">
        <v>1</v>
      </c>
      <c r="E21" t="s">
        <v>823</v>
      </c>
      <c r="G21" s="92" t="s">
        <v>484</v>
      </c>
      <c r="H21" s="93" t="s">
        <v>46</v>
      </c>
      <c r="I21" s="80"/>
      <c r="K21" s="92" t="s">
        <v>484</v>
      </c>
      <c r="L21" s="93" t="s">
        <v>46</v>
      </c>
      <c r="M21" s="80"/>
      <c r="N21" t="s">
        <v>867</v>
      </c>
      <c r="O21" t="str">
        <f>CONCATENATE("""",N21,"""",":","""",LOWER(A21),"_",LOWER(E21),"""")</f>
        <v>"D21":"datsinformation_datsexpectedlifespan"</v>
      </c>
    </row>
    <row r="22" spans="1:15">
      <c r="A22" t="s">
        <v>843</v>
      </c>
      <c r="B22" s="92" t="s">
        <v>485</v>
      </c>
      <c r="C22" s="93" t="s">
        <v>60</v>
      </c>
      <c r="D22" s="80">
        <v>1</v>
      </c>
      <c r="E22" t="s">
        <v>824</v>
      </c>
      <c r="G22" s="92" t="s">
        <v>485</v>
      </c>
      <c r="H22" s="93" t="s">
        <v>60</v>
      </c>
      <c r="I22" s="80"/>
      <c r="K22" s="92" t="s">
        <v>485</v>
      </c>
      <c r="L22" s="93" t="s">
        <v>60</v>
      </c>
      <c r="M22" s="80"/>
      <c r="N22" t="s">
        <v>868</v>
      </c>
      <c r="O22" t="str">
        <f>CONCATENATE("""",N22,"""",":","""",LOWER(A22),"_",LOWER(E22),"""")</f>
        <v>"D22":"datsinformation_datsinstallationtime"</v>
      </c>
    </row>
    <row r="23" spans="1:15">
      <c r="A23" t="s">
        <v>843</v>
      </c>
      <c r="B23" s="92" t="s">
        <v>47</v>
      </c>
      <c r="C23" s="93" t="s">
        <v>48</v>
      </c>
      <c r="D23" s="80">
        <v>0</v>
      </c>
      <c r="E23" t="s">
        <v>825</v>
      </c>
      <c r="G23" s="92" t="s">
        <v>47</v>
      </c>
      <c r="H23" s="93" t="s">
        <v>48</v>
      </c>
      <c r="I23" s="80"/>
      <c r="K23" s="92" t="s">
        <v>47</v>
      </c>
      <c r="L23" s="93" t="s">
        <v>48</v>
      </c>
      <c r="M23" s="80"/>
      <c r="N23" t="s">
        <v>869</v>
      </c>
      <c r="O23" t="str">
        <f>CONCATENATE("""",N23,"""",":","""",LOWER(A23),"_",LOWER(E23),"""")</f>
        <v>"D23":"datsinformation_datsmaintenancecosts"</v>
      </c>
    </row>
    <row r="24" spans="1:15">
      <c r="A24" t="s">
        <v>843</v>
      </c>
      <c r="B24" s="92" t="s">
        <v>436</v>
      </c>
      <c r="C24" s="93" t="s">
        <v>48</v>
      </c>
      <c r="D24" s="80">
        <v>300</v>
      </c>
      <c r="E24" t="s">
        <v>826</v>
      </c>
      <c r="G24" s="92" t="s">
        <v>436</v>
      </c>
      <c r="H24" s="93" t="s">
        <v>48</v>
      </c>
      <c r="I24" s="80"/>
      <c r="K24" s="92" t="s">
        <v>436</v>
      </c>
      <c r="L24" s="93" t="s">
        <v>48</v>
      </c>
      <c r="M24" s="80"/>
      <c r="N24" t="s">
        <v>870</v>
      </c>
      <c r="O24" t="str">
        <f>CONCATENATE("""",N24,"""",":","""",LOWER(A24),"_",LOWER(E24),"""")</f>
        <v>"D24":"datsinformation_datsannualfees"</v>
      </c>
    </row>
    <row r="25" spans="1:15">
      <c r="A25" t="s">
        <v>843</v>
      </c>
      <c r="B25" s="92" t="s">
        <v>486</v>
      </c>
      <c r="C25" s="93" t="s">
        <v>60</v>
      </c>
      <c r="D25" s="80">
        <v>2</v>
      </c>
      <c r="E25" t="s">
        <v>827</v>
      </c>
      <c r="G25" s="92" t="s">
        <v>486</v>
      </c>
      <c r="H25" s="93" t="s">
        <v>60</v>
      </c>
      <c r="I25" s="80"/>
      <c r="K25" s="92" t="s">
        <v>486</v>
      </c>
      <c r="L25" s="93" t="s">
        <v>60</v>
      </c>
      <c r="M25" s="80"/>
      <c r="N25" t="s">
        <v>871</v>
      </c>
      <c r="O25" t="str">
        <f>CONCATENATE("""",N25,"""",":","""",LOWER(A25),"_",LOWER(E25),"""")</f>
        <v>"D25":"datsinformation_datstrainingtime"</v>
      </c>
    </row>
    <row r="26" spans="1:15">
      <c r="A26" t="s">
        <v>843</v>
      </c>
      <c r="B26" s="92" t="s">
        <v>340</v>
      </c>
      <c r="C26" s="93" t="s">
        <v>111</v>
      </c>
      <c r="D26" s="80">
        <v>2</v>
      </c>
      <c r="E26" t="s">
        <v>828</v>
      </c>
      <c r="G26" s="92" t="s">
        <v>340</v>
      </c>
      <c r="H26" s="93" t="s">
        <v>111</v>
      </c>
      <c r="I26" s="80"/>
      <c r="K26" s="92" t="s">
        <v>340</v>
      </c>
      <c r="L26" s="93" t="s">
        <v>111</v>
      </c>
      <c r="M26" s="80"/>
      <c r="N26" t="s">
        <v>872</v>
      </c>
      <c r="O26" t="str">
        <f>CONCATENATE("""",N26,"""",":","""",LOWER(A26),"_",LOWER(E26),"""")</f>
        <v>"D26":"datsinformation_datstrainers"</v>
      </c>
    </row>
    <row r="27" spans="1:15">
      <c r="A27" t="s">
        <v>843</v>
      </c>
      <c r="B27" s="92" t="s">
        <v>437</v>
      </c>
      <c r="C27" s="93" t="s">
        <v>48</v>
      </c>
      <c r="D27" s="80">
        <v>0</v>
      </c>
      <c r="E27" t="s">
        <v>829</v>
      </c>
      <c r="G27" s="92" t="s">
        <v>437</v>
      </c>
      <c r="H27" s="93" t="s">
        <v>48</v>
      </c>
      <c r="I27" s="80"/>
      <c r="K27" s="92" t="s">
        <v>437</v>
      </c>
      <c r="L27" s="93" t="s">
        <v>48</v>
      </c>
      <c r="M27" s="80"/>
      <c r="N27" t="s">
        <v>873</v>
      </c>
      <c r="O27" t="str">
        <f>CONCATENATE("""",N27,"""",":","""",LOWER(A27),"_",LOWER(E27),"""")</f>
        <v>"D27":"datsinformation_datstrainingcosts"</v>
      </c>
    </row>
    <row r="28" spans="1:15" ht="16.149999999999999" customHeight="1">
      <c r="A28" t="s">
        <v>843</v>
      </c>
      <c r="B28" s="86" t="s">
        <v>487</v>
      </c>
      <c r="C28" s="94" t="s">
        <v>51</v>
      </c>
      <c r="D28" s="83" t="s">
        <v>791</v>
      </c>
      <c r="E28" t="s">
        <v>830</v>
      </c>
      <c r="G28" s="86" t="s">
        <v>487</v>
      </c>
      <c r="H28" s="94" t="s">
        <v>51</v>
      </c>
      <c r="I28" s="83"/>
      <c r="K28" s="86" t="s">
        <v>487</v>
      </c>
      <c r="L28" s="94" t="s">
        <v>51</v>
      </c>
      <c r="M28" s="83"/>
      <c r="N28" t="s">
        <v>874</v>
      </c>
      <c r="O28" t="str">
        <f>CONCATENATE("""",N28,"""",":","""",LOWER(A28),"_",LOWER(E28),"""")</f>
        <v>"D28":"datsinformation_datsname"</v>
      </c>
    </row>
    <row r="29" spans="1:15" ht="16.149999999999999" customHeight="1">
      <c r="C29" s="19"/>
      <c r="D29" s="20"/>
      <c r="N29" t="s">
        <v>875</v>
      </c>
      <c r="O29" t="str">
        <f>CONCATENATE("""",N29,"""",":","""",LOWER(A29),"_",LOWER(E29),"""")</f>
        <v>"D29":"_"</v>
      </c>
    </row>
    <row r="30" spans="1:15">
      <c r="B30" s="209" t="s">
        <v>488</v>
      </c>
      <c r="C30" s="209"/>
      <c r="D30" s="209"/>
      <c r="G30" s="209" t="s">
        <v>489</v>
      </c>
      <c r="H30" s="209"/>
      <c r="I30" s="209"/>
      <c r="N30" t="s">
        <v>876</v>
      </c>
      <c r="O30" t="str">
        <f>CONCATENATE("""",N30,"""",":","""",LOWER(A30),"_",LOWER(E30),"""")</f>
        <v>"D30":"_"</v>
      </c>
    </row>
    <row r="31" spans="1:15" ht="16.149999999999999" customHeight="1">
      <c r="B31" s="5" t="s">
        <v>40</v>
      </c>
      <c r="C31" s="5" t="s">
        <v>123</v>
      </c>
      <c r="D31" s="5" t="s">
        <v>44</v>
      </c>
      <c r="G31" s="5" t="s">
        <v>40</v>
      </c>
      <c r="H31" s="5" t="s">
        <v>123</v>
      </c>
      <c r="I31" s="5" t="s">
        <v>44</v>
      </c>
      <c r="N31" t="s">
        <v>877</v>
      </c>
      <c r="O31" t="str">
        <f>CONCATENATE("""",N31,"""",":","""",LOWER(A31),"_",LOWER(E31),"""")</f>
        <v>"D31":"_"</v>
      </c>
    </row>
    <row r="32" spans="1:15" ht="18">
      <c r="A32" t="s">
        <v>844</v>
      </c>
      <c r="B32" s="90" t="s">
        <v>119</v>
      </c>
      <c r="C32" s="91" t="s">
        <v>447</v>
      </c>
      <c r="D32" s="85">
        <v>0</v>
      </c>
      <c r="E32" t="s">
        <v>831</v>
      </c>
      <c r="G32" s="90" t="s">
        <v>119</v>
      </c>
      <c r="H32" s="91" t="s">
        <v>447</v>
      </c>
      <c r="I32" s="85">
        <v>0</v>
      </c>
      <c r="N32" t="s">
        <v>878</v>
      </c>
      <c r="O32" t="str">
        <f>CONCATENATE("""",N32,"""",":","""",LOWER(A32),"_",LOWER(E32),"""")</f>
        <v>"D32":"marketinformation_waterprice"</v>
      </c>
    </row>
    <row r="33" spans="1:15">
      <c r="A33" t="s">
        <v>844</v>
      </c>
      <c r="B33" s="90" t="s">
        <v>120</v>
      </c>
      <c r="C33" s="91" t="s">
        <v>336</v>
      </c>
      <c r="D33" s="85">
        <v>1.18</v>
      </c>
      <c r="E33" t="s">
        <v>832</v>
      </c>
      <c r="G33" s="90" t="s">
        <v>120</v>
      </c>
      <c r="H33" s="91" t="s">
        <v>336</v>
      </c>
      <c r="I33" s="85">
        <v>1.18</v>
      </c>
      <c r="N33" t="s">
        <v>879</v>
      </c>
      <c r="O33" t="str">
        <f>CONCATENATE("""",N33,"""",":","""",LOWER(A33),"_",LOWER(E33),"""")</f>
        <v>"D33":"marketinformation_fuelprice"</v>
      </c>
    </row>
    <row r="34" spans="1:15">
      <c r="A34" t="s">
        <v>844</v>
      </c>
      <c r="B34" s="90" t="s">
        <v>561</v>
      </c>
      <c r="C34" s="91" t="s">
        <v>111</v>
      </c>
      <c r="D34" s="85"/>
      <c r="E34" t="s">
        <v>833</v>
      </c>
      <c r="G34" s="90" t="s">
        <v>561</v>
      </c>
      <c r="H34" s="91" t="s">
        <v>111</v>
      </c>
      <c r="I34" s="85"/>
      <c r="N34" t="s">
        <v>880</v>
      </c>
      <c r="O34" t="str">
        <f>CONCATENATE("""",N34,"""",":","""",LOWER(A34),"_",LOWER(E34),"""")</f>
        <v>"D34":"marketinformation_n_fuel_for_greenhouse"</v>
      </c>
    </row>
    <row r="35" spans="1:15" ht="18">
      <c r="A35" t="s">
        <v>1598</v>
      </c>
      <c r="B35" s="90" t="s">
        <v>497</v>
      </c>
      <c r="C35" s="91" t="s">
        <v>447</v>
      </c>
      <c r="D35" s="85"/>
      <c r="E35" t="s">
        <v>1588</v>
      </c>
      <c r="G35" s="90" t="s">
        <v>497</v>
      </c>
      <c r="H35" s="91" t="s">
        <v>447</v>
      </c>
      <c r="I35" s="85"/>
      <c r="N35" t="s">
        <v>881</v>
      </c>
      <c r="O35" t="str">
        <f>CONCATENATE("""",N35,"""",":","""",LOWER(A35),"_",LOWER(E35),"""")</f>
        <v>"D35":"fuelfortemperaturecontrolinformation_productprice_0"</v>
      </c>
    </row>
    <row r="36" spans="1:15" ht="18">
      <c r="A36" t="s">
        <v>1598</v>
      </c>
      <c r="B36" s="90" t="s">
        <v>573</v>
      </c>
      <c r="C36" s="91" t="s">
        <v>447</v>
      </c>
      <c r="D36" s="85"/>
      <c r="E36" t="s">
        <v>1589</v>
      </c>
      <c r="G36" s="90" t="s">
        <v>573</v>
      </c>
      <c r="H36" s="91" t="s">
        <v>447</v>
      </c>
      <c r="I36" s="85"/>
      <c r="N36" t="s">
        <v>882</v>
      </c>
      <c r="O36" t="str">
        <f>CONCATENATE("""",N36,"""",":","""",LOWER(A36),"_",LOWER(E36),"""")</f>
        <v>"D36":"fuelfortemperaturecontrolinformation_productprice_1"</v>
      </c>
    </row>
    <row r="37" spans="1:15" ht="18">
      <c r="A37" t="s">
        <v>1598</v>
      </c>
      <c r="B37" s="90" t="s">
        <v>574</v>
      </c>
      <c r="C37" s="91" t="s">
        <v>447</v>
      </c>
      <c r="D37" s="85"/>
      <c r="E37" t="s">
        <v>1590</v>
      </c>
      <c r="G37" s="90" t="s">
        <v>574</v>
      </c>
      <c r="H37" s="91" t="s">
        <v>575</v>
      </c>
      <c r="I37" s="85"/>
      <c r="N37" t="s">
        <v>883</v>
      </c>
      <c r="O37" t="str">
        <f>CONCATENATE("""",N37,"""",":","""",LOWER(A37),"_",LOWER(E37),"""")</f>
        <v>"D37":"fuelfortemperaturecontrolinformation_productprice_2"</v>
      </c>
    </row>
    <row r="38" spans="1:15">
      <c r="A38" t="s">
        <v>844</v>
      </c>
      <c r="B38" s="90" t="s">
        <v>121</v>
      </c>
      <c r="C38" s="91" t="s">
        <v>337</v>
      </c>
      <c r="D38" s="85">
        <v>0.15</v>
      </c>
      <c r="E38" t="s">
        <v>834</v>
      </c>
      <c r="G38" s="90" t="s">
        <v>121</v>
      </c>
      <c r="H38" s="91" t="s">
        <v>337</v>
      </c>
      <c r="I38" s="85">
        <v>0.15</v>
      </c>
      <c r="N38" t="s">
        <v>884</v>
      </c>
      <c r="O38" t="str">
        <f>CONCATENATE("""",N38,"""",":","""",LOWER(A38),"_",LOWER(E38),"""")</f>
        <v>"D38":"marketinformation_electricityprice"</v>
      </c>
    </row>
    <row r="39" spans="1:15">
      <c r="A39" t="s">
        <v>844</v>
      </c>
      <c r="B39" s="90" t="s">
        <v>444</v>
      </c>
      <c r="C39" s="91" t="s">
        <v>338</v>
      </c>
      <c r="D39" s="85">
        <v>50</v>
      </c>
      <c r="E39" s="73" t="s">
        <v>835</v>
      </c>
      <c r="F39" s="73"/>
      <c r="G39" s="90" t="s">
        <v>444</v>
      </c>
      <c r="H39" s="91" t="s">
        <v>338</v>
      </c>
      <c r="I39" s="85">
        <v>50</v>
      </c>
      <c r="N39" t="s">
        <v>885</v>
      </c>
      <c r="O39" t="str">
        <f>CONCATENATE("""",N39,"""",":","""",LOWER(A39),"_",LOWER(E39),"""")</f>
        <v>"D39":"marketinformation_averagesalary"</v>
      </c>
    </row>
    <row r="40" spans="1:15">
      <c r="A40" t="s">
        <v>844</v>
      </c>
      <c r="B40" s="90" t="s">
        <v>438</v>
      </c>
      <c r="C40" s="91" t="s">
        <v>338</v>
      </c>
      <c r="D40" s="85">
        <v>100</v>
      </c>
      <c r="E40" s="73" t="s">
        <v>836</v>
      </c>
      <c r="F40" s="73"/>
      <c r="G40" s="90" t="s">
        <v>438</v>
      </c>
      <c r="H40" s="91" t="s">
        <v>338</v>
      </c>
      <c r="I40" s="85">
        <v>100</v>
      </c>
      <c r="N40" t="s">
        <v>886</v>
      </c>
      <c r="O40" t="str">
        <f>CONCATENATE("""",N40,"""",":","""",LOWER(A40),"_",LOWER(E40),"""")</f>
        <v>"D40":"marketinformation_averageprofessionalsalary"</v>
      </c>
    </row>
    <row r="41" spans="1:15">
      <c r="A41" t="s">
        <v>844</v>
      </c>
      <c r="B41" s="90" t="s">
        <v>439</v>
      </c>
      <c r="C41" s="91" t="s">
        <v>457</v>
      </c>
      <c r="D41" s="85">
        <v>170</v>
      </c>
      <c r="E41" t="s">
        <v>837</v>
      </c>
      <c r="G41" s="90" t="s">
        <v>439</v>
      </c>
      <c r="H41" s="91" t="s">
        <v>457</v>
      </c>
      <c r="I41" s="85">
        <v>170</v>
      </c>
      <c r="N41" t="s">
        <v>887</v>
      </c>
      <c r="O41" t="str">
        <f>CONCATENATE("""",N41,"""",":","""",LOWER(A41),"_",LOWER(E41),"""")</f>
        <v>"D41":"marketinformation_productmarketprice"</v>
      </c>
    </row>
    <row r="42" spans="1:15">
      <c r="A42" t="s">
        <v>844</v>
      </c>
      <c r="B42" s="90" t="s">
        <v>440</v>
      </c>
      <c r="C42" s="91" t="s">
        <v>111</v>
      </c>
      <c r="D42" s="80"/>
      <c r="E42" t="s">
        <v>838</v>
      </c>
      <c r="G42" s="90" t="s">
        <v>440</v>
      </c>
      <c r="H42" s="91" t="s">
        <v>111</v>
      </c>
      <c r="I42" s="80"/>
      <c r="N42" t="s">
        <v>888</v>
      </c>
      <c r="O42" t="str">
        <f>CONCATENATE("""",N42,"""",":","""",LOWER(A42),"_",LOWER(E42),"""")</f>
        <v>"D42":"marketinformation_n_of_pesticide_used"</v>
      </c>
    </row>
    <row r="43" spans="1:15">
      <c r="A43" t="s">
        <v>845</v>
      </c>
      <c r="B43" s="90" t="s">
        <v>206</v>
      </c>
      <c r="C43" s="91" t="s">
        <v>466</v>
      </c>
      <c r="D43" s="174"/>
      <c r="E43" t="s">
        <v>1588</v>
      </c>
      <c r="G43" s="90" t="s">
        <v>206</v>
      </c>
      <c r="H43" s="91" t="s">
        <v>466</v>
      </c>
      <c r="I43" s="85"/>
      <c r="K43" s="10"/>
      <c r="N43" t="s">
        <v>889</v>
      </c>
      <c r="O43" t="str">
        <f>CONCATENATE("""",N43,"""",":","""",LOWER(A43),"_",LOWER(E43),"""")</f>
        <v>"D43":"pesticidesusageinformation_productprice_0"</v>
      </c>
    </row>
    <row r="44" spans="1:15">
      <c r="A44" t="s">
        <v>845</v>
      </c>
      <c r="B44" s="90" t="s">
        <v>207</v>
      </c>
      <c r="C44" s="91" t="s">
        <v>466</v>
      </c>
      <c r="D44" s="85"/>
      <c r="E44" t="s">
        <v>1589</v>
      </c>
      <c r="G44" s="90" t="s">
        <v>207</v>
      </c>
      <c r="H44" s="91" t="s">
        <v>466</v>
      </c>
      <c r="I44" s="85"/>
      <c r="N44" t="s">
        <v>890</v>
      </c>
      <c r="O44" t="str">
        <f>CONCATENATE("""",N44,"""",":","""",LOWER(A44),"_",LOWER(E44),"""")</f>
        <v>"D44":"pesticidesusageinformation_productprice_1"</v>
      </c>
    </row>
    <row r="45" spans="1:15">
      <c r="A45" t="s">
        <v>845</v>
      </c>
      <c r="B45" s="90" t="s">
        <v>615</v>
      </c>
      <c r="C45" s="91" t="s">
        <v>466</v>
      </c>
      <c r="D45" s="85"/>
      <c r="E45" t="s">
        <v>1590</v>
      </c>
      <c r="G45" s="90" t="s">
        <v>615</v>
      </c>
      <c r="H45" s="91" t="s">
        <v>466</v>
      </c>
      <c r="I45" s="85"/>
      <c r="N45" t="s">
        <v>891</v>
      </c>
      <c r="O45" t="str">
        <f>CONCATENATE("""",N45,"""",":","""",LOWER(A45),"_",LOWER(E45),"""")</f>
        <v>"D45":"pesticidesusageinformation_productprice_2"</v>
      </c>
    </row>
    <row r="46" spans="1:15">
      <c r="A46" t="s">
        <v>845</v>
      </c>
      <c r="B46" s="90" t="s">
        <v>616</v>
      </c>
      <c r="C46" s="91" t="s">
        <v>466</v>
      </c>
      <c r="D46" s="85"/>
      <c r="E46" t="s">
        <v>1591</v>
      </c>
      <c r="G46" s="90" t="s">
        <v>616</v>
      </c>
      <c r="H46" s="91" t="s">
        <v>466</v>
      </c>
      <c r="I46" s="80"/>
      <c r="N46" t="s">
        <v>892</v>
      </c>
      <c r="O46" t="str">
        <f>CONCATENATE("""",N46,"""",":","""",LOWER(A46),"_",LOWER(E46),"""")</f>
        <v>"D46":"pesticidesusageinformation_productprice_3"</v>
      </c>
    </row>
    <row r="47" spans="1:15">
      <c r="A47" t="s">
        <v>845</v>
      </c>
      <c r="B47" s="90" t="s">
        <v>617</v>
      </c>
      <c r="C47" s="91" t="s">
        <v>466</v>
      </c>
      <c r="D47" s="85"/>
      <c r="E47" t="s">
        <v>1592</v>
      </c>
      <c r="G47" s="90" t="s">
        <v>617</v>
      </c>
      <c r="H47" s="91" t="s">
        <v>466</v>
      </c>
      <c r="I47" s="85"/>
      <c r="N47" t="s">
        <v>893</v>
      </c>
      <c r="O47" t="str">
        <f>CONCATENATE("""",N47,"""",":","""",LOWER(A47),"_",LOWER(E47),"""")</f>
        <v>"D47":"pesticidesusageinformation_productprice_4"</v>
      </c>
    </row>
    <row r="48" spans="1:15">
      <c r="A48" t="s">
        <v>845</v>
      </c>
      <c r="B48" s="90" t="s">
        <v>618</v>
      </c>
      <c r="C48" s="91" t="s">
        <v>466</v>
      </c>
      <c r="D48" s="85"/>
      <c r="E48" t="s">
        <v>1593</v>
      </c>
      <c r="G48" s="90" t="s">
        <v>618</v>
      </c>
      <c r="H48" s="91" t="s">
        <v>466</v>
      </c>
      <c r="I48" s="85"/>
      <c r="N48" t="s">
        <v>894</v>
      </c>
      <c r="O48" t="str">
        <f>CONCATENATE("""",N48,"""",":","""",LOWER(A48),"_",LOWER(E48),"""")</f>
        <v>"D48":"pesticidesusageinformation_productprice_5"</v>
      </c>
    </row>
    <row r="49" spans="1:15">
      <c r="A49" t="s">
        <v>845</v>
      </c>
      <c r="B49" s="90" t="s">
        <v>619</v>
      </c>
      <c r="C49" s="91" t="s">
        <v>466</v>
      </c>
      <c r="D49" s="85"/>
      <c r="E49" t="s">
        <v>1594</v>
      </c>
      <c r="G49" s="90" t="s">
        <v>619</v>
      </c>
      <c r="H49" s="91" t="s">
        <v>466</v>
      </c>
      <c r="I49" s="85"/>
      <c r="N49" t="s">
        <v>895</v>
      </c>
      <c r="O49" t="str">
        <f>CONCATENATE("""",N49,"""",":","""",LOWER(A49),"_",LOWER(E49),"""")</f>
        <v>"D49":"pesticidesusageinformation_productprice_6"</v>
      </c>
    </row>
    <row r="50" spans="1:15">
      <c r="A50" t="s">
        <v>845</v>
      </c>
      <c r="B50" s="90" t="s">
        <v>620</v>
      </c>
      <c r="C50" s="91" t="s">
        <v>466</v>
      </c>
      <c r="D50" s="85"/>
      <c r="E50" t="s">
        <v>1595</v>
      </c>
      <c r="G50" s="90" t="s">
        <v>620</v>
      </c>
      <c r="H50" s="91"/>
      <c r="I50" s="85"/>
      <c r="N50" t="s">
        <v>896</v>
      </c>
      <c r="O50" t="str">
        <f>CONCATENATE("""",N50,"""",":","""",LOWER(A50),"_",LOWER(E50),"""")</f>
        <v>"D50":"pesticidesusageinformation_productprice_7"</v>
      </c>
    </row>
    <row r="51" spans="1:15">
      <c r="A51" t="s">
        <v>845</v>
      </c>
      <c r="B51" s="90" t="s">
        <v>621</v>
      </c>
      <c r="C51" s="91" t="s">
        <v>466</v>
      </c>
      <c r="D51" s="85"/>
      <c r="E51" t="s">
        <v>1596</v>
      </c>
      <c r="G51" s="90" t="s">
        <v>621</v>
      </c>
      <c r="H51" s="91"/>
      <c r="I51" s="85"/>
      <c r="N51" t="s">
        <v>897</v>
      </c>
      <c r="O51" t="str">
        <f>CONCATENATE("""",N51,"""",":","""",LOWER(A51),"_",LOWER(E51),"""")</f>
        <v>"D51":"pesticidesusageinformation_productprice_8"</v>
      </c>
    </row>
    <row r="52" spans="1:15">
      <c r="A52" t="s">
        <v>845</v>
      </c>
      <c r="B52" s="90" t="s">
        <v>622</v>
      </c>
      <c r="C52" s="91" t="s">
        <v>466</v>
      </c>
      <c r="D52" s="85"/>
      <c r="E52" t="s">
        <v>1597</v>
      </c>
      <c r="G52" s="90" t="s">
        <v>622</v>
      </c>
      <c r="H52" s="91"/>
      <c r="I52" s="85"/>
      <c r="N52" t="s">
        <v>898</v>
      </c>
      <c r="O52" t="str">
        <f>CONCATENATE("""",N52,"""",":","""",LOWER(A52),"_",LOWER(E52),"""")</f>
        <v>"D52":"pesticidesusageinformation_productprice_9"</v>
      </c>
    </row>
    <row r="53" spans="1:15">
      <c r="A53" t="s">
        <v>844</v>
      </c>
      <c r="B53" s="90" t="s">
        <v>441</v>
      </c>
      <c r="C53" s="91" t="s">
        <v>111</v>
      </c>
      <c r="D53" s="80">
        <v>5</v>
      </c>
      <c r="E53" t="s">
        <v>839</v>
      </c>
      <c r="G53" s="90" t="s">
        <v>441</v>
      </c>
      <c r="H53" s="91" t="s">
        <v>111</v>
      </c>
      <c r="I53" s="80">
        <v>5</v>
      </c>
      <c r="N53" t="s">
        <v>899</v>
      </c>
      <c r="O53" t="str">
        <f>CONCATENATE("""",N53,"""",":","""",LOWER(A53),"_",LOWER(E53),"""")</f>
        <v>"D53":"marketinformation_n_of_fertilizers_used"</v>
      </c>
    </row>
    <row r="54" spans="1:15">
      <c r="A54" t="s">
        <v>846</v>
      </c>
      <c r="B54" s="90" t="s">
        <v>208</v>
      </c>
      <c r="C54" s="91" t="s">
        <v>466</v>
      </c>
      <c r="D54" s="85">
        <v>0.35</v>
      </c>
      <c r="E54" t="s">
        <v>1588</v>
      </c>
      <c r="G54" s="90" t="s">
        <v>208</v>
      </c>
      <c r="H54" s="91" t="s">
        <v>466</v>
      </c>
      <c r="I54" s="85">
        <v>0.35</v>
      </c>
      <c r="K54" s="10"/>
      <c r="N54" t="s">
        <v>900</v>
      </c>
      <c r="O54" t="str">
        <f>CONCATENATE("""",N54,"""",":","""",LOWER(A54),"_",LOWER(E54),"""")</f>
        <v>"D54":"fertilizersusageinformation_productprice_0"</v>
      </c>
    </row>
    <row r="55" spans="1:15">
      <c r="A55" t="s">
        <v>846</v>
      </c>
      <c r="B55" s="90" t="s">
        <v>209</v>
      </c>
      <c r="C55" s="91" t="s">
        <v>466</v>
      </c>
      <c r="D55" s="85">
        <v>2.2000000000000002</v>
      </c>
      <c r="E55" t="s">
        <v>1589</v>
      </c>
      <c r="G55" s="90" t="s">
        <v>209</v>
      </c>
      <c r="H55" s="91" t="s">
        <v>466</v>
      </c>
      <c r="I55" s="85">
        <v>2.2000000000000002</v>
      </c>
      <c r="N55" t="s">
        <v>901</v>
      </c>
      <c r="O55" t="str">
        <f>CONCATENATE("""",N55,"""",":","""",LOWER(A55),"_",LOWER(E55),"""")</f>
        <v>"D55":"fertilizersusageinformation_productprice_1"</v>
      </c>
    </row>
    <row r="56" spans="1:15">
      <c r="A56" t="s">
        <v>846</v>
      </c>
      <c r="B56" s="90" t="s">
        <v>630</v>
      </c>
      <c r="C56" s="91" t="s">
        <v>466</v>
      </c>
      <c r="D56" s="85">
        <v>0.68</v>
      </c>
      <c r="E56" t="s">
        <v>1590</v>
      </c>
      <c r="G56" s="90" t="s">
        <v>630</v>
      </c>
      <c r="H56" s="91" t="s">
        <v>466</v>
      </c>
      <c r="I56" s="85">
        <v>0.68</v>
      </c>
      <c r="N56" t="s">
        <v>902</v>
      </c>
      <c r="O56" t="str">
        <f>CONCATENATE("""",N56,"""",":","""",LOWER(A56),"_",LOWER(E56),"""")</f>
        <v>"D56":"fertilizersusageinformation_productprice_2"</v>
      </c>
    </row>
    <row r="57" spans="1:15">
      <c r="A57" t="s">
        <v>846</v>
      </c>
      <c r="B57" s="90" t="s">
        <v>623</v>
      </c>
      <c r="C57" s="91" t="s">
        <v>466</v>
      </c>
      <c r="D57" s="85">
        <v>0.3</v>
      </c>
      <c r="E57" t="s">
        <v>1591</v>
      </c>
      <c r="G57" s="90" t="s">
        <v>623</v>
      </c>
      <c r="H57" s="91" t="s">
        <v>466</v>
      </c>
      <c r="I57" s="85">
        <v>0.3</v>
      </c>
      <c r="N57" t="s">
        <v>903</v>
      </c>
      <c r="O57" t="str">
        <f>CONCATENATE("""",N57,"""",":","""",LOWER(A57),"_",LOWER(E57),"""")</f>
        <v>"D57":"fertilizersusageinformation_productprice_3"</v>
      </c>
    </row>
    <row r="58" spans="1:15">
      <c r="A58" t="s">
        <v>846</v>
      </c>
      <c r="B58" s="90" t="s">
        <v>624</v>
      </c>
      <c r="C58" s="91" t="s">
        <v>466</v>
      </c>
      <c r="D58" s="85">
        <v>1.4</v>
      </c>
      <c r="E58" t="s">
        <v>1592</v>
      </c>
      <c r="G58" s="90" t="s">
        <v>624</v>
      </c>
      <c r="H58" s="91" t="s">
        <v>466</v>
      </c>
      <c r="I58" s="85">
        <v>1.4</v>
      </c>
      <c r="N58" t="s">
        <v>904</v>
      </c>
      <c r="O58" t="str">
        <f>CONCATENATE("""",N58,"""",":","""",LOWER(A58),"_",LOWER(E58),"""")</f>
        <v>"D58":"fertilizersusageinformation_productprice_4"</v>
      </c>
    </row>
    <row r="59" spans="1:15">
      <c r="A59" t="s">
        <v>846</v>
      </c>
      <c r="B59" s="90" t="s">
        <v>625</v>
      </c>
      <c r="C59" s="91" t="s">
        <v>466</v>
      </c>
      <c r="D59" s="85"/>
      <c r="E59" t="s">
        <v>1593</v>
      </c>
      <c r="G59" s="90" t="s">
        <v>625</v>
      </c>
      <c r="H59" s="91" t="s">
        <v>466</v>
      </c>
      <c r="I59" s="85"/>
      <c r="N59" t="s">
        <v>905</v>
      </c>
      <c r="O59" t="str">
        <f>CONCATENATE("""",N59,"""",":","""",LOWER(A59),"_",LOWER(E59),"""")</f>
        <v>"D59":"fertilizersusageinformation_productprice_5"</v>
      </c>
    </row>
    <row r="60" spans="1:15">
      <c r="A60" t="s">
        <v>846</v>
      </c>
      <c r="B60" s="90" t="s">
        <v>626</v>
      </c>
      <c r="C60" s="91"/>
      <c r="D60" s="151"/>
      <c r="E60" t="s">
        <v>1594</v>
      </c>
      <c r="G60" s="90" t="s">
        <v>626</v>
      </c>
      <c r="H60" s="91"/>
      <c r="I60" s="85"/>
      <c r="N60" t="s">
        <v>906</v>
      </c>
      <c r="O60" t="str">
        <f>CONCATENATE("""",N60,"""",":","""",LOWER(A60),"_",LOWER(E60),"""")</f>
        <v>"D60":"fertilizersusageinformation_productprice_6"</v>
      </c>
    </row>
    <row r="61" spans="1:15">
      <c r="A61" t="s">
        <v>846</v>
      </c>
      <c r="B61" s="90" t="s">
        <v>627</v>
      </c>
      <c r="C61" s="91"/>
      <c r="D61" s="151"/>
      <c r="E61" t="s">
        <v>1595</v>
      </c>
      <c r="G61" s="90" t="s">
        <v>627</v>
      </c>
      <c r="H61" s="91"/>
      <c r="I61" s="85"/>
      <c r="N61" t="s">
        <v>907</v>
      </c>
      <c r="O61" t="str">
        <f>CONCATENATE("""",N61,"""",":","""",LOWER(A61),"_",LOWER(E61),"""")</f>
        <v>"D61":"fertilizersusageinformation_productprice_7"</v>
      </c>
    </row>
    <row r="62" spans="1:15">
      <c r="A62" t="s">
        <v>846</v>
      </c>
      <c r="B62" s="90" t="s">
        <v>628</v>
      </c>
      <c r="C62" s="91"/>
      <c r="D62" s="151"/>
      <c r="E62" t="s">
        <v>1596</v>
      </c>
      <c r="G62" s="90" t="s">
        <v>628</v>
      </c>
      <c r="H62" s="91"/>
      <c r="I62" s="85"/>
      <c r="N62" t="s">
        <v>908</v>
      </c>
      <c r="O62" t="str">
        <f>CONCATENATE("""",N62,"""",":","""",LOWER(A62),"_",LOWER(E62),"""")</f>
        <v>"D62":"fertilizersusageinformation_productprice_8"</v>
      </c>
    </row>
    <row r="63" spans="1:15">
      <c r="A63" t="s">
        <v>846</v>
      </c>
      <c r="B63" s="90" t="s">
        <v>629</v>
      </c>
      <c r="C63" s="91"/>
      <c r="D63" s="151"/>
      <c r="E63" t="s">
        <v>1597</v>
      </c>
      <c r="G63" s="90" t="s">
        <v>629</v>
      </c>
      <c r="H63" s="91"/>
      <c r="I63" s="85"/>
      <c r="N63" t="s">
        <v>909</v>
      </c>
      <c r="O63" t="str">
        <f>CONCATENATE("""",N63,"""",":","""",LOWER(A63),"_",LOWER(E63),"""")</f>
        <v>"D63":"fertilizersusageinformation_productprice_9"</v>
      </c>
    </row>
    <row r="64" spans="1:15">
      <c r="A64" t="s">
        <v>844</v>
      </c>
      <c r="B64" s="95" t="s">
        <v>442</v>
      </c>
      <c r="C64" s="91" t="s">
        <v>111</v>
      </c>
      <c r="D64" s="85"/>
      <c r="E64" t="s">
        <v>840</v>
      </c>
      <c r="G64" s="95" t="s">
        <v>442</v>
      </c>
      <c r="H64" s="91" t="s">
        <v>111</v>
      </c>
      <c r="I64" s="85"/>
      <c r="N64" t="s">
        <v>910</v>
      </c>
      <c r="O64" t="str">
        <f>CONCATENATE("""",N64,"""",":","""",LOWER(A64),"_",LOWER(E64),"""")</f>
        <v>"D64":"marketinformation_n_of_feed_used"</v>
      </c>
    </row>
    <row r="65" spans="1:15">
      <c r="A65" t="s">
        <v>847</v>
      </c>
      <c r="B65" s="90" t="s">
        <v>210</v>
      </c>
      <c r="C65" s="91" t="s">
        <v>457</v>
      </c>
      <c r="D65" s="85"/>
      <c r="E65" t="s">
        <v>1588</v>
      </c>
      <c r="G65" s="90" t="s">
        <v>210</v>
      </c>
      <c r="H65" s="91" t="s">
        <v>457</v>
      </c>
      <c r="I65" s="85"/>
      <c r="N65" t="s">
        <v>911</v>
      </c>
      <c r="O65" t="str">
        <f>CONCATENATE("""",N65,"""",":","""",LOWER(A65),"_",LOWER(E65),"""")</f>
        <v>"D65":"feedusageinformation_productprice_0"</v>
      </c>
    </row>
    <row r="66" spans="1:15">
      <c r="A66" t="s">
        <v>847</v>
      </c>
      <c r="B66" s="90" t="s">
        <v>211</v>
      </c>
      <c r="C66" s="91" t="s">
        <v>457</v>
      </c>
      <c r="D66" s="85"/>
      <c r="E66" t="s">
        <v>1589</v>
      </c>
      <c r="G66" s="90" t="s">
        <v>211</v>
      </c>
      <c r="H66" s="91" t="s">
        <v>457</v>
      </c>
      <c r="I66" s="80"/>
      <c r="N66" t="s">
        <v>912</v>
      </c>
      <c r="O66" t="str">
        <f>CONCATENATE("""",N66,"""",":","""",LOWER(A66),"_",LOWER(E66),"""")</f>
        <v>"D66":"feedusageinformation_productprice_1"</v>
      </c>
    </row>
    <row r="67" spans="1:15">
      <c r="A67" t="s">
        <v>847</v>
      </c>
      <c r="B67" s="90" t="s">
        <v>631</v>
      </c>
      <c r="C67" s="91"/>
      <c r="D67" s="85"/>
      <c r="E67" t="s">
        <v>1590</v>
      </c>
      <c r="G67" s="90" t="s">
        <v>631</v>
      </c>
      <c r="H67" s="91"/>
      <c r="I67" s="151"/>
      <c r="N67" t="s">
        <v>913</v>
      </c>
      <c r="O67" t="str">
        <f>CONCATENATE("""",N67,"""",":","""",LOWER(A67),"_",LOWER(E67),"""")</f>
        <v>"D67":"feedusageinformation_productprice_2"</v>
      </c>
    </row>
    <row r="68" spans="1:15">
      <c r="A68" t="s">
        <v>847</v>
      </c>
      <c r="B68" s="90" t="s">
        <v>632</v>
      </c>
      <c r="C68" s="91"/>
      <c r="D68" s="85"/>
      <c r="E68" t="s">
        <v>1591</v>
      </c>
      <c r="G68" s="90" t="s">
        <v>632</v>
      </c>
      <c r="H68" s="91"/>
      <c r="I68" s="151"/>
      <c r="N68" t="s">
        <v>914</v>
      </c>
      <c r="O68" t="str">
        <f>CONCATENATE("""",N68,"""",":","""",LOWER(A68),"_",LOWER(E68),"""")</f>
        <v>"D68":"feedusageinformation_productprice_3"</v>
      </c>
    </row>
    <row r="69" spans="1:15">
      <c r="A69" t="s">
        <v>847</v>
      </c>
      <c r="B69" s="90" t="s">
        <v>633</v>
      </c>
      <c r="C69" s="91" t="s">
        <v>457</v>
      </c>
      <c r="D69" s="80"/>
      <c r="E69" t="s">
        <v>1592</v>
      </c>
      <c r="G69" s="90" t="s">
        <v>633</v>
      </c>
      <c r="H69" s="91" t="s">
        <v>457</v>
      </c>
      <c r="I69" s="85"/>
      <c r="N69" t="s">
        <v>915</v>
      </c>
      <c r="O69" t="str">
        <f>CONCATENATE("""",N69,"""",":","""",LOWER(A69),"_",LOWER(E69),"""")</f>
        <v>"D69":"feedusageinformation_productprice_4"</v>
      </c>
    </row>
    <row r="70" spans="1:15">
      <c r="A70" t="s">
        <v>844</v>
      </c>
      <c r="B70" s="90" t="s">
        <v>443</v>
      </c>
      <c r="C70" s="91" t="s">
        <v>111</v>
      </c>
      <c r="D70" s="85"/>
      <c r="E70" t="s">
        <v>841</v>
      </c>
      <c r="G70" s="90" t="s">
        <v>443</v>
      </c>
      <c r="H70" s="91" t="s">
        <v>111</v>
      </c>
      <c r="I70" s="85"/>
      <c r="N70" t="s">
        <v>916</v>
      </c>
      <c r="O70" t="str">
        <f>CONCATENATE("""",N70,"""",":","""",LOWER(A70),"_",LOWER(E70),"""")</f>
        <v>"D70":"marketinformation_n_of_drugs_used"</v>
      </c>
    </row>
    <row r="71" spans="1:15">
      <c r="A71" t="s">
        <v>848</v>
      </c>
      <c r="B71" s="90" t="s">
        <v>212</v>
      </c>
      <c r="C71" s="91" t="s">
        <v>458</v>
      </c>
      <c r="D71" s="85"/>
      <c r="E71" t="s">
        <v>1588</v>
      </c>
      <c r="G71" s="90" t="s">
        <v>212</v>
      </c>
      <c r="H71" s="91" t="s">
        <v>458</v>
      </c>
      <c r="I71" s="85"/>
      <c r="N71" t="s">
        <v>917</v>
      </c>
      <c r="O71" t="str">
        <f>CONCATENATE("""",N71,"""",":","""",LOWER(A71),"_",LOWER(E71),"""")</f>
        <v>"D71":"drugsusageinformation_productprice_0"</v>
      </c>
    </row>
    <row r="72" spans="1:15">
      <c r="A72" t="s">
        <v>848</v>
      </c>
      <c r="B72" s="90" t="s">
        <v>213</v>
      </c>
      <c r="C72" s="91" t="s">
        <v>458</v>
      </c>
      <c r="D72" s="85"/>
      <c r="E72" t="s">
        <v>1589</v>
      </c>
      <c r="G72" s="90" t="s">
        <v>213</v>
      </c>
      <c r="H72" s="91" t="s">
        <v>458</v>
      </c>
      <c r="I72" s="85"/>
      <c r="N72" t="s">
        <v>918</v>
      </c>
      <c r="O72" t="str">
        <f>CONCATENATE("""",N72,"""",":","""",LOWER(A72),"_",LOWER(E72),"""")</f>
        <v>"D72":"drugsusageinformation_productprice_1"</v>
      </c>
    </row>
    <row r="73" spans="1:15">
      <c r="A73" t="s">
        <v>848</v>
      </c>
      <c r="B73" s="90" t="s">
        <v>634</v>
      </c>
      <c r="C73" s="91" t="s">
        <v>458</v>
      </c>
      <c r="D73" s="85"/>
      <c r="E73" t="s">
        <v>1590</v>
      </c>
      <c r="G73" s="90" t="s">
        <v>634</v>
      </c>
      <c r="H73" s="91" t="s">
        <v>458</v>
      </c>
      <c r="I73" s="85"/>
      <c r="N73" t="s">
        <v>919</v>
      </c>
      <c r="O73" t="str">
        <f>CONCATENATE("""",N73,"""",":","""",LOWER(A73),"_",LOWER(E73),"""")</f>
        <v>"D73":"drugsusageinformation_productprice_2"</v>
      </c>
    </row>
    <row r="74" spans="1:15">
      <c r="B74" s="70"/>
      <c r="C74" s="69"/>
      <c r="D74" s="20"/>
      <c r="G74" s="70"/>
      <c r="H74" s="69"/>
      <c r="I74" s="20"/>
    </row>
  </sheetData>
  <sheetProtection selectLockedCells="1"/>
  <mergeCells count="6">
    <mergeCell ref="K18:M18"/>
    <mergeCell ref="B18:D18"/>
    <mergeCell ref="B5:D5"/>
    <mergeCell ref="B30:D30"/>
    <mergeCell ref="G30:I30"/>
    <mergeCell ref="G18:I18"/>
  </mergeCells>
  <phoneticPr fontId="2" type="noConversion"/>
  <dataValidations count="10">
    <dataValidation type="decimal" allowBlank="1" showInputMessage="1" showErrorMessage="1" sqref="M20 M23:M24 M27 I20 I23:I24 I27 D20 D23:D24 D27" xr:uid="{703F3EE5-DC1A-47BE-9E99-03FA6EB296CC}">
      <formula1>0</formula1>
      <formula2>10000000000000000</formula2>
    </dataValidation>
    <dataValidation type="date" allowBlank="1" showInputMessage="1" showErrorMessage="1" sqref="D9:D10" xr:uid="{A4269566-6F65-4C6C-8E7E-08F246DE79A4}">
      <formula1>36526</formula1>
      <formula2>54789</formula2>
    </dataValidation>
    <dataValidation type="textLength" allowBlank="1" showInputMessage="1" showErrorMessage="1" sqref="D11" xr:uid="{B0199E1A-F567-4251-B059-2CFF6D982646}">
      <formula1>1</formula1>
      <formula2>100</formula2>
    </dataValidation>
    <dataValidation type="decimal" allowBlank="1" showInputMessage="1" showErrorMessage="1" sqref="D12" xr:uid="{ACDECC93-8F87-4E83-A44A-CDEC89AA3AF2}">
      <formula1>0</formula1>
      <formula2>5000000</formula2>
    </dataValidation>
    <dataValidation type="whole" allowBlank="1" showInputMessage="1" showErrorMessage="1" sqref="M21 M26 I21 I26 D21 D26" xr:uid="{19B228BC-498E-4C30-8D67-8C7879C48DA4}">
      <formula1>1</formula1>
      <formula2>50</formula2>
    </dataValidation>
    <dataValidation type="decimal" allowBlank="1" showInputMessage="1" showErrorMessage="1" sqref="M22 M25 I22 I25 D22 D25" xr:uid="{BF955E17-D24A-4E7A-80D2-0C3DDF07B318}">
      <formula1>0</formula1>
      <formula2>1000</formula2>
    </dataValidation>
    <dataValidation type="textLength" allowBlank="1" showInputMessage="1" showErrorMessage="1" sqref="M28 I28 D28" xr:uid="{1D9B6AAE-6A77-40FD-811B-F7B1214B4ED1}">
      <formula1>1</formula1>
      <formula2>1000</formula2>
    </dataValidation>
    <dataValidation type="decimal" allowBlank="1" showInputMessage="1" showErrorMessage="1" sqref="I43:I45 D44:D52 D64:D68 D70:D73 I69:I73 I47:I52 D54:D59 D32:D41 I54:I65 I32:I41" xr:uid="{84AC0B6C-4865-4341-B879-4551C2B70916}">
      <formula1>0</formula1>
      <formula2>1000000</formula2>
    </dataValidation>
    <dataValidation type="whole" allowBlank="1" showInputMessage="1" showErrorMessage="1" sqref="D53 D69 D42 I66:I68 D60:D63 I46 I42 I53" xr:uid="{5D94FDD8-6BA2-4641-963E-32E2F26B00A6}">
      <formula1>1</formula1>
      <formula2>20</formula2>
    </dataValidation>
    <dataValidation type="whole" allowBlank="1" showInputMessage="1" showErrorMessage="1" sqref="D13:D16" xr:uid="{B42A087C-5410-4CD5-85E3-46149E25ED33}">
      <formula1>1</formula1>
      <formula2>30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B895427-9A7D-4765-A51F-AB5FFCB380AA}">
          <x14:formula1>
            <xm:f>Validations!$A$2:$A$5</xm:f>
          </x14:formula1>
          <xm:sqref>C41 H41</xm:sqref>
        </x14:dataValidation>
        <x14:dataValidation type="list" allowBlank="1" showInputMessage="1" showErrorMessage="1" xr:uid="{EBBAE4A3-CD13-42DD-910A-ABF65BA58D5A}">
          <x14:formula1>
            <xm:f>Validations!$A$3:$A$4</xm:f>
          </x14:formula1>
          <xm:sqref>H43:H52 C43:C52</xm:sqref>
        </x14:dataValidation>
        <x14:dataValidation type="list" allowBlank="1" showInputMessage="1" showErrorMessage="1" xr:uid="{DA6AEAF9-E20E-4442-A856-45C35E406954}">
          <x14:formula1>
            <xm:f>Validations!$A$2:$A$3</xm:f>
          </x14:formula1>
          <xm:sqref>C54:C63 H54:H63</xm:sqref>
        </x14:dataValidation>
        <x14:dataValidation type="list" allowBlank="1" showInputMessage="1" showErrorMessage="1" xr:uid="{1CD275E4-914B-4C23-B8E8-DEF66730960C}">
          <x14:formula1>
            <xm:f>Validations!$J$2:$J$8</xm:f>
          </x14:formula1>
          <xm:sqref>D6</xm:sqref>
        </x14:dataValidation>
        <x14:dataValidation type="list" allowBlank="1" showInputMessage="1" showErrorMessage="1" xr:uid="{28AE992C-C9B0-47F7-9635-DF9B80BC30B2}">
          <x14:formula1>
            <xm:f>Validations!$P$2:$P$18</xm:f>
          </x14:formula1>
          <xm:sqref>D7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5BA1-B7FE-5E43-AF5E-4A2ACDA665DC}">
  <sheetPr codeName="Sheet3">
    <tabColor theme="7"/>
  </sheetPr>
  <dimension ref="A1:AG304"/>
  <sheetViews>
    <sheetView topLeftCell="B172" zoomScale="91" zoomScaleNormal="80" workbookViewId="0">
      <selection activeCell="C194" sqref="C194:C218"/>
    </sheetView>
  </sheetViews>
  <sheetFormatPr defaultColWidth="11.25" defaultRowHeight="15.75"/>
  <cols>
    <col min="1" max="1" width="17.375" customWidth="1"/>
    <col min="2" max="2" width="11.25" customWidth="1"/>
    <col min="3" max="3" width="43" customWidth="1"/>
    <col min="4" max="4" width="32.75" customWidth="1"/>
    <col min="5" max="5" width="38.5" bestFit="1" customWidth="1"/>
    <col min="6" max="6" width="15.75" customWidth="1"/>
    <col min="7" max="7" width="12.5" customWidth="1"/>
    <col min="8" max="8" width="25" customWidth="1"/>
    <col min="9" max="9" width="10.75" customWidth="1"/>
    <col min="10" max="10" width="99.625" bestFit="1" customWidth="1"/>
  </cols>
  <sheetData>
    <row r="1" spans="1:33">
      <c r="A1" t="s">
        <v>95</v>
      </c>
      <c r="AG1" t="s">
        <v>96</v>
      </c>
    </row>
    <row r="2" spans="1:33" ht="19.899999999999999" customHeight="1">
      <c r="G2" s="216" t="s">
        <v>490</v>
      </c>
      <c r="H2" s="216"/>
      <c r="AG2" t="s">
        <v>97</v>
      </c>
    </row>
    <row r="3" spans="1:33" ht="16.149999999999999" customHeight="1">
      <c r="G3" s="216"/>
      <c r="H3" s="216"/>
    </row>
    <row r="4" spans="1:33" ht="27" customHeight="1">
      <c r="C4" s="6" t="s">
        <v>93</v>
      </c>
      <c r="D4" s="7" t="s">
        <v>94</v>
      </c>
      <c r="E4" s="98" t="s">
        <v>792</v>
      </c>
      <c r="F4" s="15"/>
      <c r="G4" s="216"/>
      <c r="H4" s="216"/>
    </row>
    <row r="5" spans="1:33" ht="16.149999999999999" customHeight="1">
      <c r="G5" s="216"/>
      <c r="H5" s="216"/>
    </row>
    <row r="6" spans="1:33" ht="16.149999999999999" customHeight="1">
      <c r="G6" s="216"/>
      <c r="H6" s="216"/>
    </row>
    <row r="7" spans="1:33">
      <c r="D7" s="8"/>
      <c r="E7" s="8"/>
      <c r="F7" s="8"/>
      <c r="G7" s="8"/>
    </row>
    <row r="8" spans="1:33" ht="21" customHeight="1">
      <c r="A8" s="9"/>
      <c r="B8" s="214" t="s">
        <v>445</v>
      </c>
      <c r="C8" s="215"/>
      <c r="D8" s="215"/>
      <c r="E8" s="215"/>
      <c r="F8" s="16"/>
      <c r="G8" s="210"/>
      <c r="H8" s="211"/>
      <c r="I8" s="81"/>
    </row>
    <row r="9" spans="1:33" ht="21" customHeight="1">
      <c r="A9" s="11"/>
      <c r="B9" s="147" t="s">
        <v>110</v>
      </c>
      <c r="C9" s="148" t="s">
        <v>108</v>
      </c>
      <c r="D9" s="147" t="s">
        <v>98</v>
      </c>
      <c r="E9" s="148" t="s">
        <v>99</v>
      </c>
      <c r="F9" s="17"/>
      <c r="G9" s="217" t="s">
        <v>100</v>
      </c>
      <c r="H9" s="218"/>
      <c r="I9" s="81"/>
    </row>
    <row r="10" spans="1:33" ht="21" customHeight="1">
      <c r="A10" s="9" t="s">
        <v>842</v>
      </c>
      <c r="B10" s="100">
        <v>1</v>
      </c>
      <c r="C10" s="100" t="s">
        <v>101</v>
      </c>
      <c r="D10" s="100" t="s">
        <v>62</v>
      </c>
      <c r="E10" s="224" t="s">
        <v>933</v>
      </c>
      <c r="F10" s="14" t="s">
        <v>1094</v>
      </c>
      <c r="G10" s="99">
        <v>4.0999999999999996</v>
      </c>
      <c r="H10" s="223"/>
      <c r="I10" s="81"/>
      <c r="J10" t="str">
        <f>CONCATENATE("""",F10,"""",":","""","parcelassessmentwithdats_",LOWER($A10),"_",LOWER($E10),"""")</f>
        <v>"G10":"parcelassessmentwithdats_parcelinformation_parceldimension"</v>
      </c>
    </row>
    <row r="11" spans="1:33" ht="21" customHeight="1">
      <c r="A11" s="9" t="s">
        <v>842</v>
      </c>
      <c r="B11" s="100">
        <v>2</v>
      </c>
      <c r="C11" s="100" t="s">
        <v>446</v>
      </c>
      <c r="D11" s="100" t="s">
        <v>111</v>
      </c>
      <c r="E11" s="224" t="s">
        <v>934</v>
      </c>
      <c r="F11" s="14" t="s">
        <v>1105</v>
      </c>
      <c r="G11" s="99"/>
      <c r="H11" s="223"/>
      <c r="I11" s="81"/>
      <c r="J11" t="str">
        <f t="shared" ref="J11:J74" si="0">CONCATENATE("""",F11,"""",":","""","parcelassessmentwithdats_",LOWER($A11),"_",LOWER($E11),"""")</f>
        <v>"G11":"parcelassessmentwithdats_parcelinformation_numberofplants"</v>
      </c>
    </row>
    <row r="12" spans="1:33" s="10" customFormat="1">
      <c r="A12" s="9" t="s">
        <v>842</v>
      </c>
      <c r="B12" s="100">
        <v>3</v>
      </c>
      <c r="C12" s="100" t="s">
        <v>608</v>
      </c>
      <c r="D12" s="100" t="s">
        <v>105</v>
      </c>
      <c r="E12" s="224" t="s">
        <v>935</v>
      </c>
      <c r="F12" s="14" t="s">
        <v>1106</v>
      </c>
      <c r="G12" s="99">
        <v>37</v>
      </c>
      <c r="H12" s="223"/>
      <c r="I12" s="132"/>
      <c r="J12" t="str">
        <f t="shared" si="0"/>
        <v>"G12":"parcelassessmentwithdats_parcelinformation_soilfractionsand"</v>
      </c>
    </row>
    <row r="13" spans="1:33" s="10" customFormat="1">
      <c r="A13" s="9" t="s">
        <v>842</v>
      </c>
      <c r="B13" s="100">
        <v>4</v>
      </c>
      <c r="C13" s="100" t="s">
        <v>609</v>
      </c>
      <c r="D13" s="100" t="s">
        <v>105</v>
      </c>
      <c r="E13" s="224" t="s">
        <v>936</v>
      </c>
      <c r="F13" s="14" t="s">
        <v>1107</v>
      </c>
      <c r="G13" s="99">
        <v>22</v>
      </c>
      <c r="H13" s="223"/>
      <c r="I13" s="132"/>
      <c r="J13" t="str">
        <f t="shared" si="0"/>
        <v>"G13":"parcelassessmentwithdats_parcelinformation_soilfractionclay"</v>
      </c>
    </row>
    <row r="14" spans="1:33" s="10" customFormat="1">
      <c r="A14" s="9" t="s">
        <v>842</v>
      </c>
      <c r="B14" s="100">
        <v>5</v>
      </c>
      <c r="C14" s="100" t="s">
        <v>610</v>
      </c>
      <c r="D14" s="100" t="s">
        <v>105</v>
      </c>
      <c r="E14" s="224" t="s">
        <v>937</v>
      </c>
      <c r="F14" s="14" t="s">
        <v>1108</v>
      </c>
      <c r="G14" s="99">
        <v>31</v>
      </c>
      <c r="H14" s="223"/>
      <c r="I14" s="132"/>
      <c r="J14" t="str">
        <f t="shared" si="0"/>
        <v>"G14":"parcelassessmentwithdats_parcelinformation_soilfractionsilt"</v>
      </c>
    </row>
    <row r="15" spans="1:33" s="10" customFormat="1" ht="18">
      <c r="A15" s="9" t="s">
        <v>842</v>
      </c>
      <c r="B15" s="100">
        <v>6</v>
      </c>
      <c r="C15" s="100" t="s">
        <v>607</v>
      </c>
      <c r="D15" s="100" t="s">
        <v>468</v>
      </c>
      <c r="E15" s="224" t="s">
        <v>938</v>
      </c>
      <c r="F15" s="14" t="s">
        <v>1109</v>
      </c>
      <c r="G15" s="99"/>
      <c r="H15" s="223"/>
      <c r="I15" s="132"/>
      <c r="J15" t="str">
        <f t="shared" si="0"/>
        <v>"G15":"parcelassessmentwithdats_parcelinformation_bulkdensity"</v>
      </c>
    </row>
    <row r="16" spans="1:33" s="10" customFormat="1">
      <c r="A16" s="9" t="s">
        <v>842</v>
      </c>
      <c r="B16" s="100">
        <v>7</v>
      </c>
      <c r="C16" s="100" t="s">
        <v>106</v>
      </c>
      <c r="D16" s="100" t="s">
        <v>105</v>
      </c>
      <c r="E16" s="224" t="s">
        <v>939</v>
      </c>
      <c r="F16" s="14" t="s">
        <v>1110</v>
      </c>
      <c r="G16" s="99">
        <v>1</v>
      </c>
      <c r="H16" s="223"/>
      <c r="I16" s="132"/>
      <c r="J16" t="str">
        <f t="shared" si="0"/>
        <v>"G16":"parcelassessmentwithdats_parcelinformation_soilorganiccarbon"</v>
      </c>
    </row>
    <row r="17" spans="1:10">
      <c r="A17" s="9" t="s">
        <v>842</v>
      </c>
      <c r="B17" s="100">
        <v>8</v>
      </c>
      <c r="C17" s="100" t="s">
        <v>102</v>
      </c>
      <c r="D17" s="100" t="s">
        <v>111</v>
      </c>
      <c r="E17" s="224" t="s">
        <v>940</v>
      </c>
      <c r="F17" s="14" t="s">
        <v>1111</v>
      </c>
      <c r="G17" s="99"/>
      <c r="H17" s="223"/>
      <c r="I17" s="81"/>
      <c r="J17" t="str">
        <f t="shared" si="0"/>
        <v>"G17":"parcelassessmentwithdats_parcelinformation_numberofanimals"</v>
      </c>
    </row>
    <row r="18" spans="1:10">
      <c r="A18" s="9" t="s">
        <v>842</v>
      </c>
      <c r="B18" s="100">
        <v>9</v>
      </c>
      <c r="C18" s="100" t="s">
        <v>103</v>
      </c>
      <c r="D18" s="100" t="s">
        <v>104</v>
      </c>
      <c r="E18" s="224" t="s">
        <v>941</v>
      </c>
      <c r="F18" s="14" t="s">
        <v>1112</v>
      </c>
      <c r="G18" s="99"/>
      <c r="H18" s="223"/>
      <c r="I18" s="81"/>
      <c r="J18" t="str">
        <f t="shared" si="0"/>
        <v>"G18":"parcelassessmentwithdats_parcelinformation_livestockunits"</v>
      </c>
    </row>
    <row r="19" spans="1:10">
      <c r="A19" s="9" t="s">
        <v>842</v>
      </c>
      <c r="B19" s="100">
        <v>10</v>
      </c>
      <c r="C19" s="100" t="s">
        <v>124</v>
      </c>
      <c r="D19" s="100" t="s">
        <v>111</v>
      </c>
      <c r="E19" s="224" t="s">
        <v>942</v>
      </c>
      <c r="F19" s="14" t="s">
        <v>1113</v>
      </c>
      <c r="G19" s="99"/>
      <c r="H19" s="223"/>
      <c r="I19" s="81"/>
      <c r="J19" t="str">
        <f t="shared" si="0"/>
        <v>"G19":"parcelassessmentwithdats_parcelinformation_numberofbeehives"</v>
      </c>
    </row>
    <row r="20" spans="1:10" ht="18">
      <c r="A20" s="9" t="s">
        <v>842</v>
      </c>
      <c r="B20" s="100">
        <v>11</v>
      </c>
      <c r="C20" s="100" t="s">
        <v>288</v>
      </c>
      <c r="D20" s="100" t="s">
        <v>289</v>
      </c>
      <c r="E20" s="224" t="s">
        <v>943</v>
      </c>
      <c r="F20" s="14" t="s">
        <v>1095</v>
      </c>
      <c r="G20" s="99"/>
      <c r="H20" s="223"/>
      <c r="I20" s="81"/>
      <c r="J20" t="str">
        <f t="shared" si="0"/>
        <v>"G20":"parcelassessmentwithdats_parcelinformation_aquaculturearea"</v>
      </c>
    </row>
    <row r="21" spans="1:10" ht="21" customHeight="1">
      <c r="A21" s="9"/>
      <c r="B21" s="9"/>
      <c r="C21" s="13"/>
      <c r="D21" s="9"/>
      <c r="E21" s="14"/>
      <c r="F21" s="14" t="s">
        <v>1114</v>
      </c>
      <c r="G21" s="132"/>
      <c r="H21" s="133"/>
      <c r="I21" s="133"/>
      <c r="J21" t="str">
        <f t="shared" si="0"/>
        <v>"G21":"parcelassessmentwithdats__"</v>
      </c>
    </row>
    <row r="22" spans="1:10" s="10" customFormat="1">
      <c r="B22" s="101" t="s">
        <v>0</v>
      </c>
      <c r="C22" s="102"/>
      <c r="D22" s="102"/>
      <c r="E22" s="12"/>
      <c r="F22" s="14" t="s">
        <v>1115</v>
      </c>
      <c r="G22" s="212" t="s">
        <v>107</v>
      </c>
      <c r="H22" s="213"/>
      <c r="I22" s="132"/>
      <c r="J22" t="str">
        <f t="shared" si="0"/>
        <v>"G22":"parcelassessmentwithdats__"</v>
      </c>
    </row>
    <row r="23" spans="1:10" s="10" customFormat="1">
      <c r="B23" s="103" t="s">
        <v>110</v>
      </c>
      <c r="C23" s="103" t="s">
        <v>108</v>
      </c>
      <c r="D23" s="103" t="s">
        <v>98</v>
      </c>
      <c r="E23" s="18"/>
      <c r="F23" s="14" t="s">
        <v>1116</v>
      </c>
      <c r="G23" s="82" t="s">
        <v>491</v>
      </c>
      <c r="H23" s="82" t="s">
        <v>100</v>
      </c>
      <c r="I23" s="132"/>
      <c r="J23" t="str">
        <f t="shared" si="0"/>
        <v>"G23":"parcelassessmentwithdats__"</v>
      </c>
    </row>
    <row r="24" spans="1:10" ht="16.149999999999999" customHeight="1">
      <c r="A24" t="s">
        <v>920</v>
      </c>
      <c r="B24" s="100">
        <v>12</v>
      </c>
      <c r="C24" s="100" t="s">
        <v>1</v>
      </c>
      <c r="D24" s="100" t="s">
        <v>501</v>
      </c>
      <c r="E24" t="s">
        <v>944</v>
      </c>
      <c r="F24" s="14" t="s">
        <v>1117</v>
      </c>
      <c r="G24" s="99">
        <v>936</v>
      </c>
      <c r="H24" s="99"/>
      <c r="I24" s="81"/>
      <c r="J24" t="str">
        <f t="shared" si="0"/>
        <v>"G24":"parcelassessmentwithdats_waterusageinformation_waterusageforirrigation"</v>
      </c>
    </row>
    <row r="25" spans="1:10" ht="16.149999999999999" customHeight="1">
      <c r="A25" t="s">
        <v>920</v>
      </c>
      <c r="B25" s="100">
        <v>13</v>
      </c>
      <c r="C25" s="100" t="s">
        <v>2</v>
      </c>
      <c r="D25" s="100" t="s">
        <v>501</v>
      </c>
      <c r="E25" t="s">
        <v>945</v>
      </c>
      <c r="F25" s="14" t="s">
        <v>1118</v>
      </c>
      <c r="G25" s="99">
        <v>370</v>
      </c>
      <c r="H25" s="99"/>
      <c r="I25" s="81"/>
      <c r="J25" t="str">
        <f t="shared" si="0"/>
        <v>"G25":"parcelassessmentwithdats_waterusageinformation_waterusageforfertigation"</v>
      </c>
    </row>
    <row r="26" spans="1:10" ht="18">
      <c r="A26" t="s">
        <v>920</v>
      </c>
      <c r="B26" s="100">
        <v>14</v>
      </c>
      <c r="C26" s="100" t="s">
        <v>30</v>
      </c>
      <c r="D26" s="100" t="s">
        <v>501</v>
      </c>
      <c r="E26" t="s">
        <v>946</v>
      </c>
      <c r="F26" s="14" t="s">
        <v>1119</v>
      </c>
      <c r="G26" s="99"/>
      <c r="H26" s="99"/>
      <c r="I26" s="81"/>
      <c r="J26" t="str">
        <f t="shared" si="0"/>
        <v>"G26":"parcelassessmentwithdats_waterusageinformation_waterusageforpestdilution"</v>
      </c>
    </row>
    <row r="27" spans="1:10" ht="16.149999999999999" customHeight="1">
      <c r="A27" t="s">
        <v>920</v>
      </c>
      <c r="B27" s="100">
        <v>15</v>
      </c>
      <c r="C27" s="100" t="s">
        <v>3</v>
      </c>
      <c r="D27" s="100" t="s">
        <v>501</v>
      </c>
      <c r="E27" t="s">
        <v>947</v>
      </c>
      <c r="F27" s="14" t="s">
        <v>1120</v>
      </c>
      <c r="G27" s="99"/>
      <c r="H27" s="99"/>
      <c r="I27" s="81"/>
      <c r="J27" t="str">
        <f t="shared" si="0"/>
        <v>"G27":"parcelassessmentwithdats_waterusageinformation_waterusageforcleaning"</v>
      </c>
    </row>
    <row r="28" spans="1:10" ht="18">
      <c r="A28" t="s">
        <v>920</v>
      </c>
      <c r="B28" s="100">
        <v>16</v>
      </c>
      <c r="C28" s="100" t="s">
        <v>109</v>
      </c>
      <c r="D28" s="100" t="s">
        <v>501</v>
      </c>
      <c r="E28" t="s">
        <v>948</v>
      </c>
      <c r="F28" s="14" t="s">
        <v>1121</v>
      </c>
      <c r="G28" s="99"/>
      <c r="H28" s="99"/>
      <c r="I28" s="81"/>
      <c r="J28" t="str">
        <f t="shared" si="0"/>
        <v>"G28":"parcelassessmentwithdats_waterusageinformation_waterusagefordrinking"</v>
      </c>
    </row>
    <row r="29" spans="1:10" ht="18">
      <c r="A29" t="s">
        <v>920</v>
      </c>
      <c r="B29" s="100">
        <v>17</v>
      </c>
      <c r="C29" s="104" t="s">
        <v>494</v>
      </c>
      <c r="D29" s="100" t="s">
        <v>501</v>
      </c>
      <c r="E29" t="s">
        <v>949</v>
      </c>
      <c r="F29" s="14" t="s">
        <v>1122</v>
      </c>
      <c r="G29" s="99">
        <v>1306</v>
      </c>
      <c r="H29" s="99"/>
      <c r="I29" s="81"/>
      <c r="J29" t="str">
        <f t="shared" si="0"/>
        <v>"G29":"parcelassessmentwithdats_waterusageinformation_totalwaterusage"</v>
      </c>
    </row>
    <row r="30" spans="1:10">
      <c r="F30" s="14" t="s">
        <v>1096</v>
      </c>
      <c r="G30" s="81"/>
      <c r="H30" s="81"/>
      <c r="I30" s="81"/>
      <c r="J30" t="str">
        <f t="shared" si="0"/>
        <v>"G30":"parcelassessmentwithdats__"</v>
      </c>
    </row>
    <row r="31" spans="1:10">
      <c r="B31" s="105" t="s">
        <v>5</v>
      </c>
      <c r="C31" s="106"/>
      <c r="D31" s="107"/>
      <c r="E31" s="12"/>
      <c r="F31" s="14" t="s">
        <v>1123</v>
      </c>
      <c r="G31" s="212" t="s">
        <v>107</v>
      </c>
      <c r="H31" s="213"/>
      <c r="I31" s="132"/>
      <c r="J31" t="str">
        <f t="shared" si="0"/>
        <v>"G31":"parcelassessmentwithdats__"</v>
      </c>
    </row>
    <row r="32" spans="1:10">
      <c r="B32" s="108" t="s">
        <v>110</v>
      </c>
      <c r="C32" s="108" t="s">
        <v>108</v>
      </c>
      <c r="D32" s="108" t="s">
        <v>168</v>
      </c>
      <c r="E32" s="18"/>
      <c r="F32" s="14" t="s">
        <v>1124</v>
      </c>
      <c r="G32" s="82" t="s">
        <v>491</v>
      </c>
      <c r="H32" s="82" t="s">
        <v>100</v>
      </c>
      <c r="I32" s="132"/>
      <c r="J32" t="str">
        <f t="shared" si="0"/>
        <v>"G32":"parcelassessmentwithdats__"</v>
      </c>
    </row>
    <row r="33" spans="1:10">
      <c r="A33" t="s">
        <v>921</v>
      </c>
      <c r="B33" s="100">
        <v>18</v>
      </c>
      <c r="C33" s="100" t="s">
        <v>4</v>
      </c>
      <c r="D33" s="100" t="s">
        <v>72</v>
      </c>
      <c r="E33" s="225" t="s">
        <v>950</v>
      </c>
      <c r="F33" s="14" t="s">
        <v>1125</v>
      </c>
      <c r="G33" s="99"/>
      <c r="H33" s="99"/>
      <c r="I33" s="81"/>
      <c r="J33" t="str">
        <f t="shared" si="0"/>
        <v>"G33":"parcelassessmentwithdats_fuelusageinformation_fuelusageforfertilisation"</v>
      </c>
    </row>
    <row r="34" spans="1:10">
      <c r="A34" t="s">
        <v>921</v>
      </c>
      <c r="B34" s="100">
        <v>19</v>
      </c>
      <c r="C34" s="100" t="s">
        <v>16</v>
      </c>
      <c r="D34" s="100" t="s">
        <v>72</v>
      </c>
      <c r="E34" s="225" t="s">
        <v>951</v>
      </c>
      <c r="F34" s="14" t="s">
        <v>1126</v>
      </c>
      <c r="G34" s="99"/>
      <c r="H34" s="99"/>
      <c r="I34" s="81"/>
      <c r="J34" t="str">
        <f t="shared" si="0"/>
        <v>"G34":"parcelassessmentwithdats_fuelusageinformation_fuelusageforpesticides"</v>
      </c>
    </row>
    <row r="35" spans="1:10">
      <c r="A35" t="s">
        <v>921</v>
      </c>
      <c r="B35" s="100">
        <v>20</v>
      </c>
      <c r="C35" s="100" t="s">
        <v>1</v>
      </c>
      <c r="D35" s="100" t="s">
        <v>72</v>
      </c>
      <c r="E35" s="225" t="s">
        <v>952</v>
      </c>
      <c r="F35" s="14" t="s">
        <v>1127</v>
      </c>
      <c r="G35" s="99"/>
      <c r="H35" s="99"/>
      <c r="I35" s="81"/>
      <c r="J35" t="str">
        <f t="shared" si="0"/>
        <v>"G35":"parcelassessmentwithdats_fuelusageinformation_fuelusageforirrigation"</v>
      </c>
    </row>
    <row r="36" spans="1:10">
      <c r="A36" t="s">
        <v>921</v>
      </c>
      <c r="B36" s="100">
        <v>21</v>
      </c>
      <c r="C36" s="100" t="s">
        <v>125</v>
      </c>
      <c r="D36" s="100" t="s">
        <v>72</v>
      </c>
      <c r="E36" s="225" t="s">
        <v>953</v>
      </c>
      <c r="F36" s="14" t="s">
        <v>1128</v>
      </c>
      <c r="G36" s="99"/>
      <c r="H36" s="99"/>
      <c r="I36" s="81"/>
      <c r="J36" t="str">
        <f t="shared" si="0"/>
        <v>"G36":"parcelassessmentwithdats_fuelusageinformation_fuelusageforsowing"</v>
      </c>
    </row>
    <row r="37" spans="1:10">
      <c r="A37" t="s">
        <v>921</v>
      </c>
      <c r="B37" s="100">
        <v>22</v>
      </c>
      <c r="C37" s="100" t="s">
        <v>32</v>
      </c>
      <c r="D37" s="100" t="s">
        <v>72</v>
      </c>
      <c r="E37" s="225" t="s">
        <v>954</v>
      </c>
      <c r="F37" s="14" t="s">
        <v>1129</v>
      </c>
      <c r="G37" s="99"/>
      <c r="H37" s="99"/>
      <c r="I37" s="81"/>
      <c r="J37" t="str">
        <f t="shared" si="0"/>
        <v>"G37":"parcelassessmentwithdats_fuelusageinformation_fuelusageforpruning"</v>
      </c>
    </row>
    <row r="38" spans="1:10">
      <c r="A38" t="s">
        <v>921</v>
      </c>
      <c r="B38" s="100">
        <v>23</v>
      </c>
      <c r="C38" s="100" t="s">
        <v>31</v>
      </c>
      <c r="D38" s="100" t="s">
        <v>72</v>
      </c>
      <c r="E38" s="225" t="s">
        <v>955</v>
      </c>
      <c r="F38" s="14" t="s">
        <v>1130</v>
      </c>
      <c r="G38" s="99"/>
      <c r="H38" s="99"/>
      <c r="I38" s="81"/>
      <c r="J38" t="str">
        <f t="shared" si="0"/>
        <v>"G38":"parcelassessmentwithdats_fuelusageinformation_fuelusagefortemperaturehumiditycontrol"</v>
      </c>
    </row>
    <row r="39" spans="1:10">
      <c r="A39" t="s">
        <v>921</v>
      </c>
      <c r="B39" s="100">
        <v>24</v>
      </c>
      <c r="C39" s="100" t="s">
        <v>37</v>
      </c>
      <c r="D39" s="100" t="s">
        <v>72</v>
      </c>
      <c r="E39" s="225" t="s">
        <v>956</v>
      </c>
      <c r="F39" s="14" t="s">
        <v>1131</v>
      </c>
      <c r="G39" s="99"/>
      <c r="H39" s="99"/>
      <c r="I39" s="81"/>
      <c r="J39" t="str">
        <f t="shared" si="0"/>
        <v>"G39":"parcelassessmentwithdats_fuelusageinformation_fuelusageforbeehivesvisits"</v>
      </c>
    </row>
    <row r="40" spans="1:10">
      <c r="A40" t="s">
        <v>921</v>
      </c>
      <c r="B40" s="100">
        <v>25</v>
      </c>
      <c r="C40" s="100" t="s">
        <v>38</v>
      </c>
      <c r="D40" s="100" t="s">
        <v>72</v>
      </c>
      <c r="E40" s="225" t="s">
        <v>957</v>
      </c>
      <c r="F40" s="14" t="s">
        <v>1097</v>
      </c>
      <c r="G40" s="99"/>
      <c r="H40" s="99"/>
      <c r="I40" s="81"/>
      <c r="J40" t="str">
        <f t="shared" si="0"/>
        <v>"G40":"parcelassessmentwithdats_fuelusageinformation_fuelusagefortransportingoysters"</v>
      </c>
    </row>
    <row r="41" spans="1:10">
      <c r="A41" t="s">
        <v>921</v>
      </c>
      <c r="B41" s="100">
        <v>26</v>
      </c>
      <c r="C41" s="100" t="s">
        <v>15</v>
      </c>
      <c r="D41" s="100" t="s">
        <v>72</v>
      </c>
      <c r="E41" s="225" t="s">
        <v>958</v>
      </c>
      <c r="F41" s="14" t="s">
        <v>1132</v>
      </c>
      <c r="G41" s="99"/>
      <c r="H41" s="99"/>
      <c r="I41" s="81"/>
      <c r="J41" t="str">
        <f t="shared" si="0"/>
        <v>"G41":"parcelassessmentwithdats_fuelusageinformation_fuelusageformilking"</v>
      </c>
    </row>
    <row r="42" spans="1:10">
      <c r="A42" t="s">
        <v>921</v>
      </c>
      <c r="B42" s="100">
        <v>27</v>
      </c>
      <c r="C42" s="100" t="s">
        <v>39</v>
      </c>
      <c r="D42" s="100" t="s">
        <v>72</v>
      </c>
      <c r="E42" s="225" t="s">
        <v>959</v>
      </c>
      <c r="F42" s="14" t="s">
        <v>1133</v>
      </c>
      <c r="G42" s="99"/>
      <c r="H42" s="99"/>
      <c r="I42" s="81"/>
      <c r="J42" t="str">
        <f t="shared" si="0"/>
        <v>"G42":"parcelassessmentwithdats_fuelusageinformation_fuelusageforfeeding"</v>
      </c>
    </row>
    <row r="43" spans="1:10">
      <c r="A43" t="s">
        <v>921</v>
      </c>
      <c r="B43" s="100">
        <v>28</v>
      </c>
      <c r="C43" s="104" t="s">
        <v>495</v>
      </c>
      <c r="D43" s="100" t="s">
        <v>72</v>
      </c>
      <c r="E43" t="s">
        <v>960</v>
      </c>
      <c r="F43" s="14" t="s">
        <v>1134</v>
      </c>
      <c r="G43" s="99">
        <v>0</v>
      </c>
      <c r="H43" s="99"/>
      <c r="I43" s="81"/>
      <c r="J43" t="str">
        <f t="shared" si="0"/>
        <v>"G43":"parcelassessmentwithdats_fuelusageinformation_totalfuelusage"</v>
      </c>
    </row>
    <row r="44" spans="1:10">
      <c r="B44" s="76"/>
      <c r="C44" s="77"/>
      <c r="D44" s="76"/>
      <c r="F44" s="14" t="s">
        <v>1135</v>
      </c>
      <c r="G44" s="81"/>
      <c r="H44" s="81"/>
      <c r="I44" s="81"/>
      <c r="J44" t="str">
        <f t="shared" si="0"/>
        <v>"G44":"parcelassessmentwithdats__"</v>
      </c>
    </row>
    <row r="45" spans="1:10">
      <c r="B45" s="226" t="s">
        <v>471</v>
      </c>
      <c r="C45" s="227"/>
      <c r="D45" s="227"/>
      <c r="F45" s="14" t="s">
        <v>1136</v>
      </c>
      <c r="G45" s="212" t="s">
        <v>107</v>
      </c>
      <c r="H45" s="213"/>
      <c r="I45" s="132"/>
      <c r="J45" t="str">
        <f t="shared" si="0"/>
        <v>"G45":"parcelassessmentwithdats__"</v>
      </c>
    </row>
    <row r="46" spans="1:10">
      <c r="B46" s="108" t="s">
        <v>110</v>
      </c>
      <c r="C46" s="108" t="s">
        <v>108</v>
      </c>
      <c r="D46" s="108"/>
      <c r="F46" s="14" t="s">
        <v>1137</v>
      </c>
      <c r="G46" s="82" t="s">
        <v>491</v>
      </c>
      <c r="H46" s="82" t="s">
        <v>100</v>
      </c>
      <c r="I46" s="132"/>
      <c r="J46" t="str">
        <f t="shared" si="0"/>
        <v>"G46":"parcelassessmentwithdats__"</v>
      </c>
    </row>
    <row r="47" spans="1:10">
      <c r="A47" t="s">
        <v>922</v>
      </c>
      <c r="B47" s="100">
        <v>29</v>
      </c>
      <c r="C47" s="100" t="s">
        <v>459</v>
      </c>
      <c r="D47" s="100" t="s">
        <v>462</v>
      </c>
      <c r="E47" t="s">
        <v>961</v>
      </c>
      <c r="F47" s="14" t="s">
        <v>1138</v>
      </c>
      <c r="G47" s="99"/>
      <c r="H47" s="99"/>
      <c r="I47" s="81"/>
      <c r="J47" t="str">
        <f t="shared" si="0"/>
        <v>"G47":"parcelassessmentwithdats_fuelfortemperaturecontrolinformation_productname_0"</v>
      </c>
    </row>
    <row r="48" spans="1:10">
      <c r="A48" t="s">
        <v>922</v>
      </c>
      <c r="B48" s="100">
        <v>30</v>
      </c>
      <c r="C48" s="100" t="s">
        <v>459</v>
      </c>
      <c r="D48" s="100" t="s">
        <v>464</v>
      </c>
      <c r="E48" s="76" t="s">
        <v>962</v>
      </c>
      <c r="F48" s="14" t="s">
        <v>1139</v>
      </c>
      <c r="G48" s="99"/>
      <c r="H48" s="99"/>
      <c r="I48" s="81"/>
      <c r="J48" t="str">
        <f t="shared" si="0"/>
        <v>"G48":"parcelassessmentwithdats_fuelfortemperaturecontrolinformation_quantity_0"</v>
      </c>
    </row>
    <row r="49" spans="1:10">
      <c r="A49" t="s">
        <v>922</v>
      </c>
      <c r="B49" s="100">
        <v>31</v>
      </c>
      <c r="C49" s="100" t="s">
        <v>460</v>
      </c>
      <c r="D49" s="100" t="s">
        <v>463</v>
      </c>
      <c r="E49" t="s">
        <v>963</v>
      </c>
      <c r="F49" s="14" t="s">
        <v>1140</v>
      </c>
      <c r="G49" s="99"/>
      <c r="H49" s="99"/>
      <c r="I49" s="81"/>
      <c r="J49" t="str">
        <f t="shared" si="0"/>
        <v>"G49":"parcelassessmentwithdats_fuelfortemperaturecontrolinformation_productname_1"</v>
      </c>
    </row>
    <row r="50" spans="1:10">
      <c r="A50" t="s">
        <v>922</v>
      </c>
      <c r="B50" s="100">
        <v>32</v>
      </c>
      <c r="C50" s="100" t="s">
        <v>460</v>
      </c>
      <c r="D50" s="100" t="s">
        <v>464</v>
      </c>
      <c r="E50" s="76" t="s">
        <v>964</v>
      </c>
      <c r="F50" s="14" t="s">
        <v>1098</v>
      </c>
      <c r="G50" s="99"/>
      <c r="H50" s="99"/>
      <c r="I50" s="81"/>
      <c r="J50" t="str">
        <f t="shared" si="0"/>
        <v>"G50":"parcelassessmentwithdats_fuelfortemperaturecontrolinformation_quantity_1"</v>
      </c>
    </row>
    <row r="51" spans="1:10">
      <c r="A51" t="s">
        <v>922</v>
      </c>
      <c r="B51" s="100">
        <v>33</v>
      </c>
      <c r="C51" s="100" t="s">
        <v>461</v>
      </c>
      <c r="D51" s="100" t="s">
        <v>559</v>
      </c>
      <c r="E51" t="s">
        <v>965</v>
      </c>
      <c r="F51" s="14" t="s">
        <v>1141</v>
      </c>
      <c r="G51" s="99"/>
      <c r="H51" s="99"/>
      <c r="I51" s="81"/>
      <c r="J51" t="str">
        <f t="shared" si="0"/>
        <v>"G51":"parcelassessmentwithdats_fuelfortemperaturecontrolinformation_productname_2"</v>
      </c>
    </row>
    <row r="52" spans="1:10">
      <c r="A52" t="s">
        <v>922</v>
      </c>
      <c r="B52" s="100">
        <v>34</v>
      </c>
      <c r="C52" s="100" t="s">
        <v>461</v>
      </c>
      <c r="D52" s="100" t="s">
        <v>464</v>
      </c>
      <c r="E52" s="76" t="s">
        <v>966</v>
      </c>
      <c r="F52" s="14" t="s">
        <v>1142</v>
      </c>
      <c r="G52" s="99"/>
      <c r="H52" s="99"/>
      <c r="I52" s="81"/>
      <c r="J52" t="str">
        <f t="shared" si="0"/>
        <v>"G52":"parcelassessmentwithdats_fuelfortemperaturecontrolinformation_quantity_2"</v>
      </c>
    </row>
    <row r="53" spans="1:10">
      <c r="F53" s="14" t="s">
        <v>1143</v>
      </c>
      <c r="G53" s="81"/>
      <c r="H53" s="81"/>
      <c r="I53" s="81"/>
      <c r="J53" t="str">
        <f t="shared" si="0"/>
        <v>"G53":"parcelassessmentwithdats__"</v>
      </c>
    </row>
    <row r="54" spans="1:10">
      <c r="B54" s="110" t="s">
        <v>13</v>
      </c>
      <c r="C54" s="111"/>
      <c r="D54" s="112"/>
      <c r="F54" s="14" t="s">
        <v>1144</v>
      </c>
      <c r="G54" s="212" t="s">
        <v>107</v>
      </c>
      <c r="H54" s="213"/>
      <c r="I54" s="132"/>
      <c r="J54" t="str">
        <f t="shared" si="0"/>
        <v>"G54":"parcelassessmentwithdats__"</v>
      </c>
    </row>
    <row r="55" spans="1:10">
      <c r="B55" s="113" t="s">
        <v>110</v>
      </c>
      <c r="C55" s="113" t="s">
        <v>108</v>
      </c>
      <c r="D55" s="113" t="s">
        <v>98</v>
      </c>
      <c r="F55" s="14" t="s">
        <v>1145</v>
      </c>
      <c r="G55" s="82" t="s">
        <v>491</v>
      </c>
      <c r="H55" s="82" t="s">
        <v>100</v>
      </c>
      <c r="I55" s="132"/>
      <c r="J55" t="str">
        <f t="shared" si="0"/>
        <v>"G55":"parcelassessmentwithdats__"</v>
      </c>
    </row>
    <row r="56" spans="1:10">
      <c r="A56" t="s">
        <v>923</v>
      </c>
      <c r="B56" s="100">
        <v>35</v>
      </c>
      <c r="C56" s="100" t="s">
        <v>32</v>
      </c>
      <c r="D56" s="100" t="s">
        <v>70</v>
      </c>
      <c r="E56" s="225" t="s">
        <v>972</v>
      </c>
      <c r="F56" s="14" t="s">
        <v>1146</v>
      </c>
      <c r="G56" s="99"/>
      <c r="H56" s="99"/>
      <c r="I56" s="81"/>
      <c r="J56" t="str">
        <f t="shared" si="0"/>
        <v>"G56":"parcelassessmentwithdats_electricityusageinformation_electricityusagefortemperaturehumiditycontrol"</v>
      </c>
    </row>
    <row r="57" spans="1:10">
      <c r="A57" t="s">
        <v>923</v>
      </c>
      <c r="B57" s="100">
        <v>36</v>
      </c>
      <c r="C57" s="100" t="s">
        <v>14</v>
      </c>
      <c r="D57" s="100" t="s">
        <v>70</v>
      </c>
      <c r="E57" s="225" t="s">
        <v>973</v>
      </c>
      <c r="F57" s="14" t="s">
        <v>1147</v>
      </c>
      <c r="G57" s="99"/>
      <c r="H57" s="99"/>
      <c r="I57" s="81"/>
      <c r="J57" t="str">
        <f t="shared" si="0"/>
        <v>"G57":"parcelassessmentwithdats_electricityusageinformation_electricityusageforirrigation"</v>
      </c>
    </row>
    <row r="58" spans="1:10">
      <c r="A58" t="s">
        <v>923</v>
      </c>
      <c r="B58" s="100">
        <v>37</v>
      </c>
      <c r="C58" s="100" t="s">
        <v>15</v>
      </c>
      <c r="D58" s="100" t="s">
        <v>70</v>
      </c>
      <c r="E58" s="225" t="s">
        <v>974</v>
      </c>
      <c r="F58" s="14" t="s">
        <v>1148</v>
      </c>
      <c r="G58" s="99"/>
      <c r="H58" s="99"/>
      <c r="I58" s="81"/>
      <c r="J58" t="str">
        <f t="shared" si="0"/>
        <v>"G58":"parcelassessmentwithdats_electricityusageinformation_electricityusageformilking"</v>
      </c>
    </row>
    <row r="59" spans="1:10">
      <c r="A59" t="s">
        <v>923</v>
      </c>
      <c r="B59" s="100">
        <v>38</v>
      </c>
      <c r="C59" s="100" t="s">
        <v>33</v>
      </c>
      <c r="D59" s="100" t="s">
        <v>70</v>
      </c>
      <c r="E59" s="225" t="s">
        <v>975</v>
      </c>
      <c r="F59" s="14" t="s">
        <v>1149</v>
      </c>
      <c r="G59" s="99"/>
      <c r="H59" s="99"/>
      <c r="I59" s="81"/>
      <c r="J59" t="str">
        <f t="shared" si="0"/>
        <v>"G59":"parcelassessmentwithdats_electricityusageinformation_electricityusageforheatdetection"</v>
      </c>
    </row>
    <row r="60" spans="1:10">
      <c r="A60" t="s">
        <v>923</v>
      </c>
      <c r="B60" s="100">
        <v>39</v>
      </c>
      <c r="C60" s="100" t="s">
        <v>34</v>
      </c>
      <c r="D60" s="100" t="s">
        <v>70</v>
      </c>
      <c r="E60" s="225" t="s">
        <v>976</v>
      </c>
      <c r="F60" s="14" t="s">
        <v>1099</v>
      </c>
      <c r="G60" s="99"/>
      <c r="H60" s="99"/>
      <c r="I60" s="81"/>
      <c r="J60" t="str">
        <f t="shared" si="0"/>
        <v>"G60":"parcelassessmentwithdats_electricityusageinformation_electricityusageforcalvingdetection"</v>
      </c>
    </row>
    <row r="61" spans="1:10">
      <c r="A61" t="s">
        <v>923</v>
      </c>
      <c r="B61" s="100">
        <v>40</v>
      </c>
      <c r="C61" s="100" t="s">
        <v>39</v>
      </c>
      <c r="D61" s="100" t="s">
        <v>70</v>
      </c>
      <c r="E61" s="225" t="s">
        <v>977</v>
      </c>
      <c r="F61" s="14" t="s">
        <v>1150</v>
      </c>
      <c r="G61" s="99"/>
      <c r="H61" s="99"/>
      <c r="I61" s="81"/>
      <c r="J61" t="str">
        <f t="shared" si="0"/>
        <v>"G61":"parcelassessmentwithdats_electricityusageinformation_electricityusageforfeeding"</v>
      </c>
    </row>
    <row r="62" spans="1:10">
      <c r="A62" t="s">
        <v>923</v>
      </c>
      <c r="B62" s="100">
        <v>41</v>
      </c>
      <c r="C62" s="104" t="s">
        <v>496</v>
      </c>
      <c r="D62" s="100" t="s">
        <v>70</v>
      </c>
      <c r="E62" s="225" t="s">
        <v>978</v>
      </c>
      <c r="F62" s="14" t="s">
        <v>1151</v>
      </c>
      <c r="G62" s="99">
        <v>70</v>
      </c>
      <c r="H62" s="99"/>
      <c r="I62" s="81"/>
      <c r="J62" t="str">
        <f t="shared" si="0"/>
        <v>"G62":"parcelassessmentwithdats_electricityusageinformation_totalelectricityusage"</v>
      </c>
    </row>
    <row r="63" spans="1:10">
      <c r="F63" s="14" t="s">
        <v>1152</v>
      </c>
      <c r="G63" s="81"/>
      <c r="H63" s="81"/>
      <c r="I63" s="81"/>
      <c r="J63" t="str">
        <f t="shared" si="0"/>
        <v>"G63":"parcelassessmentwithdats__"</v>
      </c>
    </row>
    <row r="64" spans="1:10">
      <c r="B64" s="114" t="s">
        <v>452</v>
      </c>
      <c r="C64" s="115"/>
      <c r="D64" s="115"/>
      <c r="F64" s="14" t="s">
        <v>1153</v>
      </c>
      <c r="G64" s="212" t="s">
        <v>107</v>
      </c>
      <c r="H64" s="213"/>
      <c r="I64" s="132"/>
      <c r="J64" t="str">
        <f t="shared" si="0"/>
        <v>"G64":"parcelassessmentwithdats__"</v>
      </c>
    </row>
    <row r="65" spans="1:10">
      <c r="B65" s="116" t="s">
        <v>110</v>
      </c>
      <c r="C65" s="116" t="s">
        <v>108</v>
      </c>
      <c r="D65" s="116"/>
      <c r="F65" s="14" t="s">
        <v>1154</v>
      </c>
      <c r="G65" s="82" t="s">
        <v>491</v>
      </c>
      <c r="H65" s="82" t="s">
        <v>100</v>
      </c>
      <c r="I65" s="132"/>
      <c r="J65" t="str">
        <f t="shared" si="0"/>
        <v>"G65":"parcelassessmentwithdats__"</v>
      </c>
    </row>
    <row r="66" spans="1:10">
      <c r="A66" t="s">
        <v>924</v>
      </c>
      <c r="B66" s="149">
        <v>42</v>
      </c>
      <c r="C66" s="86" t="s">
        <v>10</v>
      </c>
      <c r="D66" s="86" t="s">
        <v>576</v>
      </c>
      <c r="E66" t="s">
        <v>961</v>
      </c>
      <c r="F66" s="14" t="s">
        <v>1155</v>
      </c>
      <c r="G66" s="99"/>
      <c r="H66" s="99"/>
      <c r="I66" s="81"/>
      <c r="J66" t="str">
        <f t="shared" si="0"/>
        <v>"G66":"parcelassessmentwithdats_pesticidesusageinformation_productname_0"</v>
      </c>
    </row>
    <row r="67" spans="1:10">
      <c r="A67" t="s">
        <v>924</v>
      </c>
      <c r="B67" s="149">
        <v>43</v>
      </c>
      <c r="C67" s="86" t="s">
        <v>10</v>
      </c>
      <c r="D67" s="86" t="s">
        <v>7</v>
      </c>
      <c r="E67" t="s">
        <v>979</v>
      </c>
      <c r="F67" s="14" t="s">
        <v>1156</v>
      </c>
      <c r="G67" s="99"/>
      <c r="H67" s="99"/>
      <c r="I67" s="81"/>
      <c r="J67" t="str">
        <f t="shared" si="0"/>
        <v>"G67":"parcelassessmentwithdats_pesticidesusageinformation_numberoftreatments_0"</v>
      </c>
    </row>
    <row r="68" spans="1:10">
      <c r="A68" t="s">
        <v>924</v>
      </c>
      <c r="B68" s="149">
        <v>44</v>
      </c>
      <c r="C68" s="86" t="s">
        <v>10</v>
      </c>
      <c r="D68" s="86" t="s">
        <v>453</v>
      </c>
      <c r="E68" t="s">
        <v>980</v>
      </c>
      <c r="F68" s="14" t="s">
        <v>1157</v>
      </c>
      <c r="G68" s="99"/>
      <c r="H68" s="99"/>
      <c r="I68" s="81"/>
      <c r="J68" t="str">
        <f t="shared" si="0"/>
        <v>"G68":"parcelassessmentwithdats_pesticidesusageinformation_averagequantity_0"</v>
      </c>
    </row>
    <row r="69" spans="1:10">
      <c r="A69" t="s">
        <v>924</v>
      </c>
      <c r="B69" s="149">
        <v>45</v>
      </c>
      <c r="C69" s="86" t="s">
        <v>11</v>
      </c>
      <c r="D69" s="86" t="s">
        <v>167</v>
      </c>
      <c r="E69" t="s">
        <v>963</v>
      </c>
      <c r="F69" s="14" t="s">
        <v>1158</v>
      </c>
      <c r="G69" s="99"/>
      <c r="H69" s="99"/>
      <c r="I69" s="81"/>
      <c r="J69" t="str">
        <f t="shared" si="0"/>
        <v>"G69":"parcelassessmentwithdats_pesticidesusageinformation_productname_1"</v>
      </c>
    </row>
    <row r="70" spans="1:10">
      <c r="A70" t="s">
        <v>924</v>
      </c>
      <c r="B70" s="149">
        <v>46</v>
      </c>
      <c r="C70" s="86" t="s">
        <v>11</v>
      </c>
      <c r="D70" s="86" t="s">
        <v>7</v>
      </c>
      <c r="E70" t="s">
        <v>981</v>
      </c>
      <c r="F70" s="14" t="s">
        <v>1100</v>
      </c>
      <c r="G70" s="99"/>
      <c r="H70" s="99"/>
      <c r="I70" s="81"/>
      <c r="J70" t="str">
        <f t="shared" si="0"/>
        <v>"G70":"parcelassessmentwithdats_pesticidesusageinformation_numberoftreatments_1"</v>
      </c>
    </row>
    <row r="71" spans="1:10">
      <c r="A71" t="s">
        <v>924</v>
      </c>
      <c r="B71" s="149">
        <v>47</v>
      </c>
      <c r="C71" s="86" t="s">
        <v>11</v>
      </c>
      <c r="D71" s="86" t="s">
        <v>453</v>
      </c>
      <c r="E71" t="s">
        <v>982</v>
      </c>
      <c r="F71" s="14" t="s">
        <v>1159</v>
      </c>
      <c r="G71" s="99"/>
      <c r="H71" s="99"/>
      <c r="I71" s="81"/>
      <c r="J71" t="str">
        <f t="shared" si="0"/>
        <v>"G71":"parcelassessmentwithdats_pesticidesusageinformation_averagequantity_1"</v>
      </c>
    </row>
    <row r="72" spans="1:10">
      <c r="A72" t="s">
        <v>924</v>
      </c>
      <c r="B72" s="149">
        <v>48</v>
      </c>
      <c r="C72" s="86" t="s">
        <v>635</v>
      </c>
      <c r="D72" s="86" t="s">
        <v>560</v>
      </c>
      <c r="E72" t="s">
        <v>965</v>
      </c>
      <c r="F72" s="14" t="s">
        <v>1160</v>
      </c>
      <c r="G72" s="99"/>
      <c r="H72" s="99"/>
      <c r="I72" s="81"/>
      <c r="J72" t="str">
        <f t="shared" si="0"/>
        <v>"G72":"parcelassessmentwithdats_pesticidesusageinformation_productname_2"</v>
      </c>
    </row>
    <row r="73" spans="1:10">
      <c r="A73" t="s">
        <v>924</v>
      </c>
      <c r="B73" s="149">
        <v>49</v>
      </c>
      <c r="C73" s="86" t="s">
        <v>635</v>
      </c>
      <c r="D73" s="86" t="s">
        <v>7</v>
      </c>
      <c r="E73" t="s">
        <v>983</v>
      </c>
      <c r="F73" s="14" t="s">
        <v>1161</v>
      </c>
      <c r="G73" s="99"/>
      <c r="H73" s="99"/>
      <c r="I73" s="81"/>
      <c r="J73" t="str">
        <f t="shared" si="0"/>
        <v>"G73":"parcelassessmentwithdats_pesticidesusageinformation_numberoftreatments_2"</v>
      </c>
    </row>
    <row r="74" spans="1:10">
      <c r="A74" t="s">
        <v>924</v>
      </c>
      <c r="B74" s="149">
        <v>50</v>
      </c>
      <c r="C74" s="86" t="s">
        <v>635</v>
      </c>
      <c r="D74" s="86" t="s">
        <v>453</v>
      </c>
      <c r="E74" t="s">
        <v>984</v>
      </c>
      <c r="F74" s="14" t="s">
        <v>1162</v>
      </c>
      <c r="G74" s="99"/>
      <c r="H74" s="99"/>
      <c r="I74" s="81"/>
      <c r="J74" t="str">
        <f t="shared" si="0"/>
        <v>"G74":"parcelassessmentwithdats_pesticidesusageinformation_averagequantity_2"</v>
      </c>
    </row>
    <row r="75" spans="1:10">
      <c r="A75" t="s">
        <v>924</v>
      </c>
      <c r="B75" s="149">
        <v>51</v>
      </c>
      <c r="C75" s="86" t="s">
        <v>636</v>
      </c>
      <c r="D75" s="86" t="s">
        <v>560</v>
      </c>
      <c r="E75" t="s">
        <v>967</v>
      </c>
      <c r="F75" s="14" t="s">
        <v>1163</v>
      </c>
      <c r="G75" s="99"/>
      <c r="H75" s="99"/>
      <c r="I75" s="81"/>
      <c r="J75" t="str">
        <f t="shared" ref="J75:J138" si="1">CONCATENATE("""",F75,"""",":","""","parcelassessmentwithdats_",LOWER($A75),"_",LOWER($E75),"""")</f>
        <v>"G75":"parcelassessmentwithdats_pesticidesusageinformation_productname_3"</v>
      </c>
    </row>
    <row r="76" spans="1:10">
      <c r="A76" t="s">
        <v>924</v>
      </c>
      <c r="B76" s="149">
        <v>52</v>
      </c>
      <c r="C76" s="86" t="s">
        <v>636</v>
      </c>
      <c r="D76" s="86" t="s">
        <v>7</v>
      </c>
      <c r="E76" t="s">
        <v>985</v>
      </c>
      <c r="F76" s="14" t="s">
        <v>1164</v>
      </c>
      <c r="G76" s="99"/>
      <c r="H76" s="99"/>
      <c r="I76" s="81"/>
      <c r="J76" t="str">
        <f t="shared" si="1"/>
        <v>"G76":"parcelassessmentwithdats_pesticidesusageinformation_numberoftreatments_3"</v>
      </c>
    </row>
    <row r="77" spans="1:10">
      <c r="A77" t="s">
        <v>924</v>
      </c>
      <c r="B77" s="149">
        <v>53</v>
      </c>
      <c r="C77" s="86" t="s">
        <v>636</v>
      </c>
      <c r="D77" s="86" t="s">
        <v>453</v>
      </c>
      <c r="E77" t="s">
        <v>986</v>
      </c>
      <c r="F77" s="14" t="s">
        <v>1165</v>
      </c>
      <c r="G77" s="99"/>
      <c r="H77" s="99"/>
      <c r="I77" s="81"/>
      <c r="J77" t="str">
        <f t="shared" si="1"/>
        <v>"G77":"parcelassessmentwithdats_pesticidesusageinformation_averagequantity_3"</v>
      </c>
    </row>
    <row r="78" spans="1:10">
      <c r="A78" t="s">
        <v>924</v>
      </c>
      <c r="B78" s="149">
        <v>54</v>
      </c>
      <c r="C78" t="s">
        <v>636</v>
      </c>
      <c r="D78" s="86" t="s">
        <v>560</v>
      </c>
      <c r="E78" t="s">
        <v>969</v>
      </c>
      <c r="F78" s="14" t="s">
        <v>1166</v>
      </c>
      <c r="G78" s="99"/>
      <c r="H78" s="99"/>
      <c r="I78" s="81"/>
      <c r="J78" t="str">
        <f t="shared" si="1"/>
        <v>"G78":"parcelassessmentwithdats_pesticidesusageinformation_productname_4"</v>
      </c>
    </row>
    <row r="79" spans="1:10">
      <c r="A79" t="s">
        <v>924</v>
      </c>
      <c r="B79" s="149">
        <v>55</v>
      </c>
      <c r="C79" t="s">
        <v>637</v>
      </c>
      <c r="D79" s="86" t="s">
        <v>7</v>
      </c>
      <c r="E79" t="s">
        <v>987</v>
      </c>
      <c r="F79" s="14" t="s">
        <v>1167</v>
      </c>
      <c r="G79" s="99"/>
      <c r="H79" s="99"/>
      <c r="I79" s="81"/>
      <c r="J79" t="str">
        <f t="shared" si="1"/>
        <v>"G79":"parcelassessmentwithdats_pesticidesusageinformation_numberoftreatments_4"</v>
      </c>
    </row>
    <row r="80" spans="1:10">
      <c r="A80" t="s">
        <v>924</v>
      </c>
      <c r="B80" s="149">
        <v>56</v>
      </c>
      <c r="C80" s="86" t="s">
        <v>637</v>
      </c>
      <c r="D80" s="86" t="s">
        <v>453</v>
      </c>
      <c r="E80" t="s">
        <v>988</v>
      </c>
      <c r="F80" s="14" t="s">
        <v>1101</v>
      </c>
      <c r="G80" s="99"/>
      <c r="H80" s="99"/>
      <c r="I80" s="81"/>
      <c r="J80" t="str">
        <f t="shared" si="1"/>
        <v>"G80":"parcelassessmentwithdats_pesticidesusageinformation_averagequantity_4"</v>
      </c>
    </row>
    <row r="81" spans="1:10">
      <c r="A81" t="s">
        <v>924</v>
      </c>
      <c r="B81" s="149">
        <v>57</v>
      </c>
      <c r="C81" s="86" t="s">
        <v>638</v>
      </c>
      <c r="D81" s="86" t="s">
        <v>560</v>
      </c>
      <c r="E81" t="s">
        <v>971</v>
      </c>
      <c r="F81" s="14" t="s">
        <v>1168</v>
      </c>
      <c r="G81" s="99"/>
      <c r="H81" s="99"/>
      <c r="I81" s="81"/>
      <c r="J81" t="str">
        <f t="shared" si="1"/>
        <v>"G81":"parcelassessmentwithdats_pesticidesusageinformation_productname_5"</v>
      </c>
    </row>
    <row r="82" spans="1:10">
      <c r="A82" t="s">
        <v>924</v>
      </c>
      <c r="B82" s="149">
        <v>58</v>
      </c>
      <c r="C82" s="86" t="s">
        <v>638</v>
      </c>
      <c r="D82" s="86" t="s">
        <v>7</v>
      </c>
      <c r="E82" t="s">
        <v>989</v>
      </c>
      <c r="F82" s="14" t="s">
        <v>1169</v>
      </c>
      <c r="G82" s="99"/>
      <c r="H82" s="99"/>
      <c r="I82" s="81"/>
      <c r="J82" t="str">
        <f t="shared" si="1"/>
        <v>"G82":"parcelassessmentwithdats_pesticidesusageinformation_numberoftreatments_5"</v>
      </c>
    </row>
    <row r="83" spans="1:10">
      <c r="A83" t="s">
        <v>924</v>
      </c>
      <c r="B83" s="149">
        <v>59</v>
      </c>
      <c r="C83" s="86" t="s">
        <v>638</v>
      </c>
      <c r="D83" s="86" t="s">
        <v>453</v>
      </c>
      <c r="E83" t="s">
        <v>990</v>
      </c>
      <c r="F83" s="14" t="s">
        <v>1170</v>
      </c>
      <c r="G83" s="99"/>
      <c r="H83" s="99"/>
      <c r="I83" s="81"/>
      <c r="J83" t="str">
        <f t="shared" si="1"/>
        <v>"G83":"parcelassessmentwithdats_pesticidesusageinformation_averagequantity_5"</v>
      </c>
    </row>
    <row r="84" spans="1:10">
      <c r="A84" t="s">
        <v>924</v>
      </c>
      <c r="B84" s="149">
        <v>60</v>
      </c>
      <c r="C84" s="86" t="s">
        <v>639</v>
      </c>
      <c r="D84" s="86" t="s">
        <v>560</v>
      </c>
      <c r="E84" t="s">
        <v>991</v>
      </c>
      <c r="F84" s="14" t="s">
        <v>1171</v>
      </c>
      <c r="G84" s="99"/>
      <c r="H84" s="99"/>
      <c r="I84" s="81"/>
      <c r="J84" t="str">
        <f t="shared" si="1"/>
        <v>"G84":"parcelassessmentwithdats_pesticidesusageinformation_productname_6"</v>
      </c>
    </row>
    <row r="85" spans="1:10">
      <c r="A85" t="s">
        <v>924</v>
      </c>
      <c r="B85" s="149">
        <v>61</v>
      </c>
      <c r="C85" s="86" t="s">
        <v>639</v>
      </c>
      <c r="D85" s="86" t="s">
        <v>7</v>
      </c>
      <c r="E85" t="s">
        <v>992</v>
      </c>
      <c r="F85" s="14" t="s">
        <v>1172</v>
      </c>
      <c r="G85" s="99"/>
      <c r="H85" s="99"/>
      <c r="I85" s="81"/>
      <c r="J85" t="str">
        <f t="shared" si="1"/>
        <v>"G85":"parcelassessmentwithdats_pesticidesusageinformation_numberoftreatments_6"</v>
      </c>
    </row>
    <row r="86" spans="1:10">
      <c r="A86" t="s">
        <v>924</v>
      </c>
      <c r="B86" s="149">
        <v>62</v>
      </c>
      <c r="C86" s="86" t="s">
        <v>639</v>
      </c>
      <c r="D86" s="86" t="s">
        <v>453</v>
      </c>
      <c r="E86" t="s">
        <v>993</v>
      </c>
      <c r="F86" s="14" t="s">
        <v>1173</v>
      </c>
      <c r="G86" s="99"/>
      <c r="H86" s="99"/>
      <c r="I86" s="81"/>
      <c r="J86" t="str">
        <f t="shared" si="1"/>
        <v>"G86":"parcelassessmentwithdats_pesticidesusageinformation_averagequantity_6"</v>
      </c>
    </row>
    <row r="87" spans="1:10">
      <c r="A87" t="s">
        <v>924</v>
      </c>
      <c r="B87" s="149">
        <v>63</v>
      </c>
      <c r="C87" s="86" t="s">
        <v>640</v>
      </c>
      <c r="D87" s="86" t="s">
        <v>560</v>
      </c>
      <c r="E87" t="s">
        <v>994</v>
      </c>
      <c r="F87" s="14" t="s">
        <v>1174</v>
      </c>
      <c r="G87" s="99"/>
      <c r="H87" s="99"/>
      <c r="I87" s="81"/>
      <c r="J87" t="str">
        <f t="shared" si="1"/>
        <v>"G87":"parcelassessmentwithdats_pesticidesusageinformation_productname_7"</v>
      </c>
    </row>
    <row r="88" spans="1:10">
      <c r="A88" t="s">
        <v>924</v>
      </c>
      <c r="B88" s="149">
        <v>64</v>
      </c>
      <c r="C88" s="86" t="s">
        <v>640</v>
      </c>
      <c r="D88" s="86" t="s">
        <v>7</v>
      </c>
      <c r="E88" t="s">
        <v>995</v>
      </c>
      <c r="F88" s="14" t="s">
        <v>1175</v>
      </c>
      <c r="G88" s="99"/>
      <c r="H88" s="99"/>
      <c r="I88" s="81"/>
      <c r="J88" t="str">
        <f t="shared" si="1"/>
        <v>"G88":"parcelassessmentwithdats_pesticidesusageinformation_numberoftreatments_7"</v>
      </c>
    </row>
    <row r="89" spans="1:10">
      <c r="A89" t="s">
        <v>924</v>
      </c>
      <c r="B89" s="149">
        <v>65</v>
      </c>
      <c r="C89" s="86" t="s">
        <v>640</v>
      </c>
      <c r="D89" s="86" t="s">
        <v>453</v>
      </c>
      <c r="E89" t="s">
        <v>996</v>
      </c>
      <c r="F89" s="14" t="s">
        <v>1176</v>
      </c>
      <c r="G89" s="99"/>
      <c r="H89" s="99"/>
      <c r="I89" s="81"/>
      <c r="J89" t="str">
        <f t="shared" si="1"/>
        <v>"G89":"parcelassessmentwithdats_pesticidesusageinformation_averagequantity_7"</v>
      </c>
    </row>
    <row r="90" spans="1:10">
      <c r="A90" t="s">
        <v>924</v>
      </c>
      <c r="B90" s="149">
        <v>66</v>
      </c>
      <c r="C90" s="86" t="s">
        <v>641</v>
      </c>
      <c r="D90" s="86" t="s">
        <v>560</v>
      </c>
      <c r="E90" t="s">
        <v>997</v>
      </c>
      <c r="F90" s="14" t="s">
        <v>1102</v>
      </c>
      <c r="G90" s="99"/>
      <c r="H90" s="99"/>
      <c r="I90" s="81"/>
      <c r="J90" t="str">
        <f t="shared" si="1"/>
        <v>"G90":"parcelassessmentwithdats_pesticidesusageinformation_productname_8"</v>
      </c>
    </row>
    <row r="91" spans="1:10">
      <c r="A91" t="s">
        <v>924</v>
      </c>
      <c r="B91" s="149">
        <v>67</v>
      </c>
      <c r="C91" s="86" t="s">
        <v>641</v>
      </c>
      <c r="D91" s="86" t="s">
        <v>7</v>
      </c>
      <c r="E91" t="s">
        <v>998</v>
      </c>
      <c r="F91" s="14" t="s">
        <v>1177</v>
      </c>
      <c r="G91" s="99"/>
      <c r="H91" s="99"/>
      <c r="I91" s="81"/>
      <c r="J91" t="str">
        <f t="shared" si="1"/>
        <v>"G91":"parcelassessmentwithdats_pesticidesusageinformation_numberoftreatments_8"</v>
      </c>
    </row>
    <row r="92" spans="1:10">
      <c r="A92" t="s">
        <v>924</v>
      </c>
      <c r="B92" s="149">
        <v>68</v>
      </c>
      <c r="C92" s="86" t="s">
        <v>641</v>
      </c>
      <c r="D92" s="86" t="s">
        <v>453</v>
      </c>
      <c r="E92" t="s">
        <v>999</v>
      </c>
      <c r="F92" s="14" t="s">
        <v>1178</v>
      </c>
      <c r="G92" s="99"/>
      <c r="H92" s="99"/>
      <c r="I92" s="81"/>
      <c r="J92" t="str">
        <f t="shared" si="1"/>
        <v>"G92":"parcelassessmentwithdats_pesticidesusageinformation_averagequantity_8"</v>
      </c>
    </row>
    <row r="93" spans="1:10">
      <c r="A93" t="s">
        <v>924</v>
      </c>
      <c r="B93" s="149">
        <v>69</v>
      </c>
      <c r="C93" s="86" t="s">
        <v>642</v>
      </c>
      <c r="D93" s="86" t="s">
        <v>560</v>
      </c>
      <c r="E93" t="s">
        <v>1000</v>
      </c>
      <c r="F93" s="14" t="s">
        <v>1179</v>
      </c>
      <c r="G93" s="99"/>
      <c r="H93" s="99"/>
      <c r="I93" s="81"/>
      <c r="J93" t="str">
        <f t="shared" si="1"/>
        <v>"G93":"parcelassessmentwithdats_pesticidesusageinformation_productname_9"</v>
      </c>
    </row>
    <row r="94" spans="1:10">
      <c r="A94" t="s">
        <v>924</v>
      </c>
      <c r="B94" s="149">
        <v>70</v>
      </c>
      <c r="C94" s="86" t="s">
        <v>642</v>
      </c>
      <c r="D94" s="86" t="s">
        <v>7</v>
      </c>
      <c r="E94" t="s">
        <v>1001</v>
      </c>
      <c r="F94" s="14" t="s">
        <v>1180</v>
      </c>
      <c r="G94" s="99"/>
      <c r="H94" s="99"/>
      <c r="I94" s="81"/>
      <c r="J94" t="str">
        <f t="shared" si="1"/>
        <v>"G94":"parcelassessmentwithdats_pesticidesusageinformation_numberoftreatments_9"</v>
      </c>
    </row>
    <row r="95" spans="1:10">
      <c r="A95" t="s">
        <v>924</v>
      </c>
      <c r="B95" s="149">
        <v>71</v>
      </c>
      <c r="C95" s="86" t="s">
        <v>642</v>
      </c>
      <c r="D95" s="86" t="s">
        <v>453</v>
      </c>
      <c r="E95" t="s">
        <v>1002</v>
      </c>
      <c r="F95" s="14" t="s">
        <v>1181</v>
      </c>
      <c r="G95" s="99"/>
      <c r="H95" s="99"/>
      <c r="I95" s="81"/>
      <c r="J95" t="str">
        <f t="shared" si="1"/>
        <v>"G95":"parcelassessmentwithdats_pesticidesusageinformation_averagequantity_9"</v>
      </c>
    </row>
    <row r="96" spans="1:10">
      <c r="F96" s="14" t="s">
        <v>1182</v>
      </c>
      <c r="G96" s="81"/>
      <c r="H96" s="81"/>
      <c r="I96" s="81"/>
      <c r="J96" t="str">
        <f t="shared" si="1"/>
        <v>"G96":"parcelassessmentwithdats__"</v>
      </c>
    </row>
    <row r="97" spans="1:10">
      <c r="B97" s="117" t="s">
        <v>8</v>
      </c>
      <c r="C97" s="118"/>
      <c r="D97" s="118"/>
      <c r="F97" s="14" t="s">
        <v>1183</v>
      </c>
      <c r="G97" s="212" t="s">
        <v>107</v>
      </c>
      <c r="H97" s="213"/>
      <c r="I97" s="132"/>
      <c r="J97" t="str">
        <f t="shared" si="1"/>
        <v>"G97":"parcelassessmentwithdats__"</v>
      </c>
    </row>
    <row r="98" spans="1:10">
      <c r="B98" s="119" t="s">
        <v>110</v>
      </c>
      <c r="C98" s="119" t="s">
        <v>108</v>
      </c>
      <c r="D98" s="119"/>
      <c r="F98" s="14" t="s">
        <v>1184</v>
      </c>
      <c r="G98" s="82" t="s">
        <v>491</v>
      </c>
      <c r="H98" s="82" t="s">
        <v>100</v>
      </c>
      <c r="I98" s="132"/>
      <c r="J98" t="str">
        <f t="shared" si="1"/>
        <v>"G98":"parcelassessmentwithdats__"</v>
      </c>
    </row>
    <row r="99" spans="1:10">
      <c r="A99" t="s">
        <v>925</v>
      </c>
      <c r="B99" s="149">
        <v>72</v>
      </c>
      <c r="C99" s="86" t="s">
        <v>643</v>
      </c>
      <c r="D99" s="86" t="s">
        <v>588</v>
      </c>
      <c r="E99" t="s">
        <v>961</v>
      </c>
      <c r="F99" s="14" t="s">
        <v>1185</v>
      </c>
      <c r="G99" s="99" t="s">
        <v>793</v>
      </c>
      <c r="H99" s="99"/>
      <c r="I99" s="81"/>
      <c r="J99" t="str">
        <f t="shared" si="1"/>
        <v>"G99":"parcelassessmentwithdats_fertilizersusageinformation_productname_0"</v>
      </c>
    </row>
    <row r="100" spans="1:10">
      <c r="A100" t="s">
        <v>925</v>
      </c>
      <c r="B100" s="149">
        <v>73</v>
      </c>
      <c r="C100" s="86" t="s">
        <v>643</v>
      </c>
      <c r="D100" s="86" t="s">
        <v>581</v>
      </c>
      <c r="E100" t="s">
        <v>1003</v>
      </c>
      <c r="F100" s="14" t="s">
        <v>1103</v>
      </c>
      <c r="G100" s="99" t="s">
        <v>580</v>
      </c>
      <c r="H100" s="99"/>
      <c r="I100" s="81"/>
      <c r="J100" t="str">
        <f t="shared" si="1"/>
        <v>"G100":"parcelassessmentwithdats_fertilizersusageinformation_producttype_0"</v>
      </c>
    </row>
    <row r="101" spans="1:10">
      <c r="A101" t="s">
        <v>925</v>
      </c>
      <c r="B101" s="149">
        <v>74</v>
      </c>
      <c r="C101" s="86" t="s">
        <v>643</v>
      </c>
      <c r="D101" s="86" t="s">
        <v>7</v>
      </c>
      <c r="E101" t="s">
        <v>979</v>
      </c>
      <c r="F101" s="14" t="s">
        <v>1186</v>
      </c>
      <c r="G101" s="99">
        <v>1</v>
      </c>
      <c r="H101" s="99"/>
      <c r="I101" s="81"/>
      <c r="J101" t="str">
        <f t="shared" si="1"/>
        <v>"G101":"parcelassessmentwithdats_fertilizersusageinformation_numberoftreatments_0"</v>
      </c>
    </row>
    <row r="102" spans="1:10">
      <c r="A102" t="s">
        <v>925</v>
      </c>
      <c r="B102" s="149">
        <v>75</v>
      </c>
      <c r="C102" s="86" t="s">
        <v>643</v>
      </c>
      <c r="D102" s="86" t="s">
        <v>453</v>
      </c>
      <c r="E102" t="s">
        <v>980</v>
      </c>
      <c r="F102" s="14" t="s">
        <v>1187</v>
      </c>
      <c r="G102" s="99">
        <v>173</v>
      </c>
      <c r="H102" s="99"/>
      <c r="I102" s="81"/>
      <c r="J102" t="str">
        <f t="shared" si="1"/>
        <v>"G102":"parcelassessmentwithdats_fertilizersusageinformation_averagequantity_0"</v>
      </c>
    </row>
    <row r="103" spans="1:10">
      <c r="A103" t="s">
        <v>925</v>
      </c>
      <c r="B103" s="149">
        <v>76</v>
      </c>
      <c r="C103" s="86" t="s">
        <v>643</v>
      </c>
      <c r="D103" s="86" t="s">
        <v>454</v>
      </c>
      <c r="E103" t="s">
        <v>1004</v>
      </c>
      <c r="F103" s="14" t="s">
        <v>1188</v>
      </c>
      <c r="G103" s="99">
        <v>26</v>
      </c>
      <c r="H103" s="99"/>
      <c r="I103" s="81"/>
      <c r="J103" t="str">
        <f t="shared" si="1"/>
        <v>"G103":"parcelassessmentwithdats_fertilizersusageinformation_averagenitrogenquantity_0"</v>
      </c>
    </row>
    <row r="104" spans="1:10">
      <c r="A104" t="s">
        <v>925</v>
      </c>
      <c r="B104" s="149">
        <v>77</v>
      </c>
      <c r="C104" s="86" t="s">
        <v>643</v>
      </c>
      <c r="D104" s="86" t="s">
        <v>455</v>
      </c>
      <c r="E104" t="s">
        <v>1005</v>
      </c>
      <c r="F104" s="14" t="s">
        <v>1189</v>
      </c>
      <c r="G104" s="99">
        <v>14</v>
      </c>
      <c r="H104" s="99"/>
      <c r="I104" s="81"/>
      <c r="J104" t="str">
        <f t="shared" si="1"/>
        <v>"G104":"parcelassessmentwithdats_fertilizersusageinformation_averagephosphorusquantity_0"</v>
      </c>
    </row>
    <row r="105" spans="1:10">
      <c r="A105" t="s">
        <v>925</v>
      </c>
      <c r="B105" s="149">
        <v>78</v>
      </c>
      <c r="C105" s="86" t="s">
        <v>643</v>
      </c>
      <c r="D105" s="86" t="s">
        <v>456</v>
      </c>
      <c r="E105" t="s">
        <v>1006</v>
      </c>
      <c r="F105" s="14" t="s">
        <v>1190</v>
      </c>
      <c r="G105" s="99">
        <v>0</v>
      </c>
      <c r="H105" s="99"/>
      <c r="I105" s="81"/>
      <c r="J105" t="str">
        <f t="shared" si="1"/>
        <v>"G105":"parcelassessmentwithdats_fertilizersusageinformation_averagepotassiumquantity_0"</v>
      </c>
    </row>
    <row r="106" spans="1:10">
      <c r="A106" t="s">
        <v>925</v>
      </c>
      <c r="B106" s="149">
        <v>79</v>
      </c>
      <c r="C106" s="86" t="s">
        <v>644</v>
      </c>
      <c r="D106" s="86" t="s">
        <v>577</v>
      </c>
      <c r="E106" t="s">
        <v>963</v>
      </c>
      <c r="F106" s="14" t="s">
        <v>1191</v>
      </c>
      <c r="G106" s="99" t="s">
        <v>794</v>
      </c>
      <c r="H106" s="99"/>
      <c r="I106" s="81"/>
      <c r="J106" t="str">
        <f t="shared" si="1"/>
        <v>"G106":"parcelassessmentwithdats_fertilizersusageinformation_productname_1"</v>
      </c>
    </row>
    <row r="107" spans="1:10">
      <c r="A107" t="s">
        <v>925</v>
      </c>
      <c r="B107" s="149">
        <v>80</v>
      </c>
      <c r="C107" s="86" t="s">
        <v>644</v>
      </c>
      <c r="D107" s="86" t="s">
        <v>581</v>
      </c>
      <c r="E107" t="s">
        <v>1007</v>
      </c>
      <c r="F107" s="14" t="s">
        <v>1192</v>
      </c>
      <c r="G107" s="99" t="s">
        <v>580</v>
      </c>
      <c r="H107" s="99"/>
      <c r="I107" s="81"/>
      <c r="J107" t="str">
        <f t="shared" si="1"/>
        <v>"G107":"parcelassessmentwithdats_fertilizersusageinformation_producttype_1"</v>
      </c>
    </row>
    <row r="108" spans="1:10">
      <c r="A108" t="s">
        <v>925</v>
      </c>
      <c r="B108" s="149">
        <v>81</v>
      </c>
      <c r="C108" s="86" t="s">
        <v>644</v>
      </c>
      <c r="D108" s="86" t="s">
        <v>7</v>
      </c>
      <c r="E108" t="s">
        <v>981</v>
      </c>
      <c r="F108" s="14" t="s">
        <v>1193</v>
      </c>
      <c r="G108" s="99">
        <v>1</v>
      </c>
      <c r="H108" s="99"/>
      <c r="I108" s="81"/>
      <c r="J108" t="str">
        <f t="shared" si="1"/>
        <v>"G108":"parcelassessmentwithdats_fertilizersusageinformation_numberoftreatments_1"</v>
      </c>
    </row>
    <row r="109" spans="1:10">
      <c r="A109" t="s">
        <v>925</v>
      </c>
      <c r="B109" s="149">
        <v>82</v>
      </c>
      <c r="C109" s="86" t="s">
        <v>644</v>
      </c>
      <c r="D109" s="86" t="s">
        <v>453</v>
      </c>
      <c r="E109" t="s">
        <v>982</v>
      </c>
      <c r="F109" s="14" t="s">
        <v>1194</v>
      </c>
      <c r="G109" s="99">
        <v>45</v>
      </c>
      <c r="H109" s="99"/>
      <c r="I109" s="81"/>
      <c r="J109" t="str">
        <f t="shared" si="1"/>
        <v>"G109":"parcelassessmentwithdats_fertilizersusageinformation_averagequantity_1"</v>
      </c>
    </row>
    <row r="110" spans="1:10">
      <c r="A110" t="s">
        <v>925</v>
      </c>
      <c r="B110" s="149">
        <v>83</v>
      </c>
      <c r="C110" s="86" t="s">
        <v>644</v>
      </c>
      <c r="D110" s="86" t="s">
        <v>454</v>
      </c>
      <c r="E110" t="s">
        <v>1008</v>
      </c>
      <c r="F110" s="14" t="s">
        <v>1104</v>
      </c>
      <c r="G110" s="99">
        <v>10</v>
      </c>
      <c r="H110" s="99"/>
      <c r="I110" s="81"/>
      <c r="J110" t="str">
        <f t="shared" si="1"/>
        <v>"G110":"parcelassessmentwithdats_fertilizersusageinformation_averagenitrogenquantity_1"</v>
      </c>
    </row>
    <row r="111" spans="1:10">
      <c r="A111" t="s">
        <v>925</v>
      </c>
      <c r="B111" s="149">
        <v>84</v>
      </c>
      <c r="C111" s="86" t="s">
        <v>644</v>
      </c>
      <c r="D111" s="86" t="s">
        <v>455</v>
      </c>
      <c r="E111" t="s">
        <v>1009</v>
      </c>
      <c r="F111" s="14" t="s">
        <v>1195</v>
      </c>
      <c r="G111" s="99">
        <v>35</v>
      </c>
      <c r="H111" s="99"/>
      <c r="I111" s="81"/>
      <c r="J111" t="str">
        <f t="shared" si="1"/>
        <v>"G111":"parcelassessmentwithdats_fertilizersusageinformation_averagephosphorusquantity_1"</v>
      </c>
    </row>
    <row r="112" spans="1:10">
      <c r="A112" t="s">
        <v>925</v>
      </c>
      <c r="B112" s="149">
        <v>85</v>
      </c>
      <c r="C112" s="86" t="s">
        <v>644</v>
      </c>
      <c r="D112" s="86" t="s">
        <v>456</v>
      </c>
      <c r="E112" t="s">
        <v>1010</v>
      </c>
      <c r="F112" s="14" t="s">
        <v>1196</v>
      </c>
      <c r="G112" s="99">
        <v>0</v>
      </c>
      <c r="H112" s="99"/>
      <c r="I112" s="81"/>
      <c r="J112" t="str">
        <f t="shared" si="1"/>
        <v>"G112":"parcelassessmentwithdats_fertilizersusageinformation_averagepotassiumquantity_1"</v>
      </c>
    </row>
    <row r="113" spans="1:10">
      <c r="A113" t="s">
        <v>925</v>
      </c>
      <c r="B113" s="149">
        <v>86</v>
      </c>
      <c r="C113" s="86" t="s">
        <v>645</v>
      </c>
      <c r="D113" s="86" t="s">
        <v>351</v>
      </c>
      <c r="E113" t="s">
        <v>965</v>
      </c>
      <c r="F113" s="14" t="s">
        <v>1197</v>
      </c>
      <c r="G113" s="99" t="s">
        <v>795</v>
      </c>
      <c r="H113" s="99"/>
      <c r="I113" s="81"/>
      <c r="J113" t="str">
        <f t="shared" si="1"/>
        <v>"G113":"parcelassessmentwithdats_fertilizersusageinformation_productname_2"</v>
      </c>
    </row>
    <row r="114" spans="1:10">
      <c r="A114" t="s">
        <v>925</v>
      </c>
      <c r="B114" s="149">
        <v>87</v>
      </c>
      <c r="C114" s="86" t="s">
        <v>645</v>
      </c>
      <c r="D114" s="86" t="s">
        <v>581</v>
      </c>
      <c r="E114" t="s">
        <v>1011</v>
      </c>
      <c r="F114" s="14" t="s">
        <v>1198</v>
      </c>
      <c r="G114" s="99" t="s">
        <v>580</v>
      </c>
      <c r="H114" s="99"/>
      <c r="I114" s="81"/>
      <c r="J114" t="str">
        <f t="shared" si="1"/>
        <v>"G114":"parcelassessmentwithdats_fertilizersusageinformation_producttype_2"</v>
      </c>
    </row>
    <row r="115" spans="1:10">
      <c r="A115" t="s">
        <v>925</v>
      </c>
      <c r="B115" s="149">
        <v>88</v>
      </c>
      <c r="C115" s="86" t="s">
        <v>645</v>
      </c>
      <c r="D115" s="86" t="s">
        <v>7</v>
      </c>
      <c r="E115" t="s">
        <v>983</v>
      </c>
      <c r="F115" s="14" t="s">
        <v>1199</v>
      </c>
      <c r="G115" s="99">
        <v>1</v>
      </c>
      <c r="H115" s="99"/>
      <c r="I115" s="81"/>
      <c r="J115" t="str">
        <f t="shared" si="1"/>
        <v>"G115":"parcelassessmentwithdats_fertilizersusageinformation_numberoftreatments_2"</v>
      </c>
    </row>
    <row r="116" spans="1:10">
      <c r="A116" t="s">
        <v>925</v>
      </c>
      <c r="B116" s="149">
        <v>89</v>
      </c>
      <c r="C116" s="86" t="s">
        <v>645</v>
      </c>
      <c r="D116" s="86" t="s">
        <v>453</v>
      </c>
      <c r="E116" t="s">
        <v>984</v>
      </c>
      <c r="F116" s="14" t="s">
        <v>1200</v>
      </c>
      <c r="G116" s="99">
        <v>134</v>
      </c>
      <c r="H116" s="99"/>
      <c r="I116" s="81"/>
      <c r="J116" t="str">
        <f t="shared" si="1"/>
        <v>"G116":"parcelassessmentwithdats_fertilizersusageinformation_averagequantity_2"</v>
      </c>
    </row>
    <row r="117" spans="1:10">
      <c r="A117" t="s">
        <v>925</v>
      </c>
      <c r="B117" s="149">
        <v>90</v>
      </c>
      <c r="C117" s="86" t="s">
        <v>645</v>
      </c>
      <c r="D117" s="86" t="s">
        <v>454</v>
      </c>
      <c r="E117" t="s">
        <v>1012</v>
      </c>
      <c r="F117" s="14" t="s">
        <v>1201</v>
      </c>
      <c r="G117" s="99">
        <v>0</v>
      </c>
      <c r="H117" s="99"/>
      <c r="I117" s="81"/>
      <c r="J117" t="str">
        <f t="shared" si="1"/>
        <v>"G117":"parcelassessmentwithdats_fertilizersusageinformation_averagenitrogenquantity_2"</v>
      </c>
    </row>
    <row r="118" spans="1:10">
      <c r="A118" t="s">
        <v>925</v>
      </c>
      <c r="B118" s="149">
        <v>91</v>
      </c>
      <c r="C118" s="86" t="s">
        <v>645</v>
      </c>
      <c r="D118" s="86" t="s">
        <v>455</v>
      </c>
      <c r="E118" t="s">
        <v>1013</v>
      </c>
      <c r="F118" s="14" t="s">
        <v>1202</v>
      </c>
      <c r="G118" s="99">
        <v>0</v>
      </c>
      <c r="H118" s="99"/>
      <c r="I118" s="81"/>
      <c r="J118" t="str">
        <f t="shared" si="1"/>
        <v>"G118":"parcelassessmentwithdats_fertilizersusageinformation_averagephosphorusquantity_2"</v>
      </c>
    </row>
    <row r="119" spans="1:10">
      <c r="A119" t="s">
        <v>925</v>
      </c>
      <c r="B119" s="149">
        <v>92</v>
      </c>
      <c r="C119" s="86" t="s">
        <v>645</v>
      </c>
      <c r="D119" s="86" t="s">
        <v>456</v>
      </c>
      <c r="E119" t="s">
        <v>1014</v>
      </c>
      <c r="F119" s="14" t="s">
        <v>1203</v>
      </c>
      <c r="G119" s="99">
        <v>50</v>
      </c>
      <c r="H119" s="99"/>
      <c r="I119" s="81"/>
      <c r="J119" t="str">
        <f t="shared" si="1"/>
        <v>"G119":"parcelassessmentwithdats_fertilizersusageinformation_averagepotassiumquantity_2"</v>
      </c>
    </row>
    <row r="120" spans="1:10">
      <c r="A120" t="s">
        <v>925</v>
      </c>
      <c r="B120" s="149">
        <v>93</v>
      </c>
      <c r="C120" s="86" t="s">
        <v>646</v>
      </c>
      <c r="D120" s="86" t="s">
        <v>653</v>
      </c>
      <c r="E120" t="s">
        <v>967</v>
      </c>
      <c r="F120" s="14" t="s">
        <v>1204</v>
      </c>
      <c r="G120" s="99" t="s">
        <v>796</v>
      </c>
      <c r="H120" s="99"/>
      <c r="I120" s="81"/>
      <c r="J120" t="str">
        <f t="shared" si="1"/>
        <v>"G120":"parcelassessmentwithdats_fertilizersusageinformation_productname_3"</v>
      </c>
    </row>
    <row r="121" spans="1:10">
      <c r="A121" t="s">
        <v>925</v>
      </c>
      <c r="B121" s="149">
        <v>94</v>
      </c>
      <c r="C121" s="86" t="s">
        <v>646</v>
      </c>
      <c r="D121" s="86" t="s">
        <v>581</v>
      </c>
      <c r="E121" t="s">
        <v>1015</v>
      </c>
      <c r="F121" s="14" t="s">
        <v>1205</v>
      </c>
      <c r="G121" s="99" t="s">
        <v>580</v>
      </c>
      <c r="H121" s="99"/>
      <c r="I121" s="81"/>
      <c r="J121" t="str">
        <f t="shared" si="1"/>
        <v>"G121":"parcelassessmentwithdats_fertilizersusageinformation_producttype_3"</v>
      </c>
    </row>
    <row r="122" spans="1:10">
      <c r="A122" t="s">
        <v>925</v>
      </c>
      <c r="B122" s="149">
        <v>95</v>
      </c>
      <c r="C122" s="86" t="s">
        <v>646</v>
      </c>
      <c r="D122" s="86" t="s">
        <v>7</v>
      </c>
      <c r="E122" t="s">
        <v>985</v>
      </c>
      <c r="F122" s="14" t="s">
        <v>1206</v>
      </c>
      <c r="G122" s="99">
        <v>3</v>
      </c>
      <c r="H122" s="99"/>
      <c r="I122" s="81"/>
      <c r="J122" t="str">
        <f t="shared" si="1"/>
        <v>"G122":"parcelassessmentwithdats_fertilizersusageinformation_numberoftreatments_3"</v>
      </c>
    </row>
    <row r="123" spans="1:10">
      <c r="A123" t="s">
        <v>925</v>
      </c>
      <c r="B123" s="149">
        <v>96</v>
      </c>
      <c r="C123" s="86" t="s">
        <v>646</v>
      </c>
      <c r="D123" s="86" t="s">
        <v>453</v>
      </c>
      <c r="E123" t="s">
        <v>986</v>
      </c>
      <c r="F123" s="14" t="s">
        <v>1207</v>
      </c>
      <c r="G123" s="99">
        <v>620</v>
      </c>
      <c r="H123" s="99"/>
      <c r="I123" s="81"/>
      <c r="J123" t="str">
        <f t="shared" si="1"/>
        <v>"G123":"parcelassessmentwithdats_fertilizersusageinformation_averagequantity_3"</v>
      </c>
    </row>
    <row r="124" spans="1:10">
      <c r="A124" t="s">
        <v>925</v>
      </c>
      <c r="B124" s="149">
        <v>97</v>
      </c>
      <c r="C124" s="86" t="s">
        <v>646</v>
      </c>
      <c r="D124" s="86" t="s">
        <v>454</v>
      </c>
      <c r="E124" t="s">
        <v>1016</v>
      </c>
      <c r="F124" s="14" t="s">
        <v>1208</v>
      </c>
      <c r="G124" s="99">
        <v>24</v>
      </c>
      <c r="H124" s="99"/>
      <c r="I124" s="81"/>
      <c r="J124" t="str">
        <f t="shared" si="1"/>
        <v>"G124":"parcelassessmentwithdats_fertilizersusageinformation_averagenitrogenquantity_3"</v>
      </c>
    </row>
    <row r="125" spans="1:10">
      <c r="A125" t="s">
        <v>925</v>
      </c>
      <c r="B125" s="149">
        <v>98</v>
      </c>
      <c r="C125" s="86" t="s">
        <v>646</v>
      </c>
      <c r="D125" s="86" t="s">
        <v>455</v>
      </c>
      <c r="E125" t="s">
        <v>1017</v>
      </c>
      <c r="F125" s="14" t="s">
        <v>1209</v>
      </c>
      <c r="G125" s="99">
        <v>0</v>
      </c>
      <c r="H125" s="99"/>
      <c r="I125" s="81"/>
      <c r="J125" t="str">
        <f t="shared" si="1"/>
        <v>"G125":"parcelassessmentwithdats_fertilizersusageinformation_averagephosphorusquantity_3"</v>
      </c>
    </row>
    <row r="126" spans="1:10">
      <c r="A126" t="s">
        <v>925</v>
      </c>
      <c r="B126" s="149">
        <v>99</v>
      </c>
      <c r="C126" s="86" t="s">
        <v>646</v>
      </c>
      <c r="D126" s="86" t="s">
        <v>456</v>
      </c>
      <c r="E126" t="s">
        <v>1018</v>
      </c>
      <c r="F126" s="14" t="s">
        <v>1210</v>
      </c>
      <c r="G126" s="99">
        <v>0</v>
      </c>
      <c r="H126" s="99"/>
      <c r="I126" s="81"/>
      <c r="J126" t="str">
        <f t="shared" si="1"/>
        <v>"G126":"parcelassessmentwithdats_fertilizersusageinformation_averagepotassiumquantity_3"</v>
      </c>
    </row>
    <row r="127" spans="1:10">
      <c r="A127" t="s">
        <v>925</v>
      </c>
      <c r="B127" s="149">
        <v>100</v>
      </c>
      <c r="C127" s="86" t="s">
        <v>647</v>
      </c>
      <c r="D127" s="86" t="s">
        <v>654</v>
      </c>
      <c r="E127" t="s">
        <v>969</v>
      </c>
      <c r="F127" s="14" t="s">
        <v>1211</v>
      </c>
      <c r="G127" s="99" t="s">
        <v>797</v>
      </c>
      <c r="H127" s="99"/>
      <c r="I127" s="81"/>
      <c r="J127" t="str">
        <f t="shared" si="1"/>
        <v>"G127":"parcelassessmentwithdats_fertilizersusageinformation_productname_4"</v>
      </c>
    </row>
    <row r="128" spans="1:10">
      <c r="A128" t="s">
        <v>925</v>
      </c>
      <c r="B128" s="149">
        <v>101</v>
      </c>
      <c r="C128" s="86" t="s">
        <v>647</v>
      </c>
      <c r="D128" s="86" t="s">
        <v>581</v>
      </c>
      <c r="E128" t="s">
        <v>1019</v>
      </c>
      <c r="F128" s="14" t="s">
        <v>1212</v>
      </c>
      <c r="G128" s="99" t="s">
        <v>580</v>
      </c>
      <c r="H128" s="99"/>
      <c r="I128" s="81"/>
      <c r="J128" t="str">
        <f t="shared" si="1"/>
        <v>"G128":"parcelassessmentwithdats_fertilizersusageinformation_producttype_4"</v>
      </c>
    </row>
    <row r="129" spans="1:10">
      <c r="A129" t="s">
        <v>925</v>
      </c>
      <c r="B129" s="149">
        <v>102</v>
      </c>
      <c r="C129" s="86" t="s">
        <v>647</v>
      </c>
      <c r="D129" s="86" t="s">
        <v>7</v>
      </c>
      <c r="E129" t="s">
        <v>987</v>
      </c>
      <c r="F129" s="14" t="s">
        <v>1213</v>
      </c>
      <c r="G129" s="99">
        <v>6</v>
      </c>
      <c r="H129" s="99"/>
      <c r="I129" s="81"/>
      <c r="J129" t="str">
        <f t="shared" si="1"/>
        <v>"G129":"parcelassessmentwithdats_fertilizersusageinformation_numberoftreatments_4"</v>
      </c>
    </row>
    <row r="130" spans="1:10">
      <c r="A130" t="s">
        <v>925</v>
      </c>
      <c r="B130" s="149">
        <v>103</v>
      </c>
      <c r="C130" s="86" t="s">
        <v>647</v>
      </c>
      <c r="D130" s="86" t="s">
        <v>453</v>
      </c>
      <c r="E130" t="s">
        <v>988</v>
      </c>
      <c r="F130" s="14" t="s">
        <v>1214</v>
      </c>
      <c r="G130" s="99">
        <v>67</v>
      </c>
      <c r="H130" s="99"/>
      <c r="I130" s="81"/>
      <c r="J130" t="str">
        <f t="shared" si="1"/>
        <v>"G130":"parcelassessmentwithdats_fertilizersusageinformation_averagequantity_4"</v>
      </c>
    </row>
    <row r="131" spans="1:10">
      <c r="A131" t="s">
        <v>925</v>
      </c>
      <c r="B131" s="149">
        <v>104</v>
      </c>
      <c r="C131" s="86" t="s">
        <v>647</v>
      </c>
      <c r="D131" s="86" t="s">
        <v>454</v>
      </c>
      <c r="E131" t="s">
        <v>1020</v>
      </c>
      <c r="F131" s="14" t="s">
        <v>1215</v>
      </c>
      <c r="G131" s="99">
        <v>6.6</v>
      </c>
      <c r="H131" s="99"/>
      <c r="I131" s="81"/>
      <c r="J131" t="str">
        <f t="shared" si="1"/>
        <v>"G131":"parcelassessmentwithdats_fertilizersusageinformation_averagenitrogenquantity_4"</v>
      </c>
    </row>
    <row r="132" spans="1:10">
      <c r="A132" t="s">
        <v>925</v>
      </c>
      <c r="B132" s="149">
        <v>105</v>
      </c>
      <c r="C132" s="86" t="s">
        <v>647</v>
      </c>
      <c r="D132" s="86" t="s">
        <v>455</v>
      </c>
      <c r="E132" t="s">
        <v>1021</v>
      </c>
      <c r="F132" s="14" t="s">
        <v>1216</v>
      </c>
      <c r="G132" s="99">
        <v>0</v>
      </c>
      <c r="H132" s="99"/>
      <c r="I132" s="81"/>
      <c r="J132" t="str">
        <f t="shared" si="1"/>
        <v>"G132":"parcelassessmentwithdats_fertilizersusageinformation_averagephosphorusquantity_4"</v>
      </c>
    </row>
    <row r="133" spans="1:10">
      <c r="A133" t="s">
        <v>925</v>
      </c>
      <c r="B133" s="149">
        <v>106</v>
      </c>
      <c r="C133" s="86" t="s">
        <v>647</v>
      </c>
      <c r="D133" s="86" t="s">
        <v>456</v>
      </c>
      <c r="E133" t="s">
        <v>1022</v>
      </c>
      <c r="F133" s="14" t="s">
        <v>1217</v>
      </c>
      <c r="G133" s="99">
        <v>32.6</v>
      </c>
      <c r="H133" s="99"/>
      <c r="I133" s="81"/>
      <c r="J133" t="str">
        <f t="shared" si="1"/>
        <v>"G133":"parcelassessmentwithdats_fertilizersusageinformation_averagepotassiumquantity_4"</v>
      </c>
    </row>
    <row r="134" spans="1:10">
      <c r="A134" t="s">
        <v>925</v>
      </c>
      <c r="B134" s="149">
        <v>107</v>
      </c>
      <c r="C134" s="86" t="s">
        <v>648</v>
      </c>
      <c r="D134" s="86" t="s">
        <v>655</v>
      </c>
      <c r="E134" t="s">
        <v>971</v>
      </c>
      <c r="F134" s="14" t="s">
        <v>1218</v>
      </c>
      <c r="G134" s="99"/>
      <c r="H134" s="99"/>
      <c r="I134" s="81"/>
      <c r="J134" t="str">
        <f t="shared" si="1"/>
        <v>"G134":"parcelassessmentwithdats_fertilizersusageinformation_productname_5"</v>
      </c>
    </row>
    <row r="135" spans="1:10">
      <c r="A135" t="s">
        <v>925</v>
      </c>
      <c r="B135" s="149">
        <v>108</v>
      </c>
      <c r="C135" s="86" t="s">
        <v>648</v>
      </c>
      <c r="D135" s="86" t="s">
        <v>581</v>
      </c>
      <c r="E135" t="s">
        <v>1023</v>
      </c>
      <c r="F135" s="14" t="s">
        <v>1219</v>
      </c>
      <c r="G135" s="99"/>
      <c r="H135" s="99"/>
      <c r="I135" s="81"/>
      <c r="J135" t="str">
        <f t="shared" si="1"/>
        <v>"G135":"parcelassessmentwithdats_fertilizersusageinformation_producttype_5"</v>
      </c>
    </row>
    <row r="136" spans="1:10">
      <c r="A136" t="s">
        <v>925</v>
      </c>
      <c r="B136" s="149">
        <v>109</v>
      </c>
      <c r="C136" s="86" t="s">
        <v>648</v>
      </c>
      <c r="D136" s="86" t="s">
        <v>7</v>
      </c>
      <c r="E136" t="s">
        <v>989</v>
      </c>
      <c r="F136" s="14" t="s">
        <v>1220</v>
      </c>
      <c r="G136" s="99"/>
      <c r="H136" s="99"/>
      <c r="I136" s="81"/>
      <c r="J136" t="str">
        <f t="shared" si="1"/>
        <v>"G136":"parcelassessmentwithdats_fertilizersusageinformation_numberoftreatments_5"</v>
      </c>
    </row>
    <row r="137" spans="1:10">
      <c r="A137" t="s">
        <v>925</v>
      </c>
      <c r="B137" s="149">
        <v>110</v>
      </c>
      <c r="C137" s="86" t="s">
        <v>648</v>
      </c>
      <c r="D137" s="86" t="s">
        <v>453</v>
      </c>
      <c r="E137" t="s">
        <v>990</v>
      </c>
      <c r="F137" s="14" t="s">
        <v>1221</v>
      </c>
      <c r="G137" s="99"/>
      <c r="H137" s="99"/>
      <c r="I137" s="81"/>
      <c r="J137" t="str">
        <f t="shared" si="1"/>
        <v>"G137":"parcelassessmentwithdats_fertilizersusageinformation_averagequantity_5"</v>
      </c>
    </row>
    <row r="138" spans="1:10">
      <c r="A138" t="s">
        <v>925</v>
      </c>
      <c r="B138" s="149">
        <v>111</v>
      </c>
      <c r="C138" s="86" t="s">
        <v>648</v>
      </c>
      <c r="D138" s="86" t="s">
        <v>454</v>
      </c>
      <c r="E138" t="s">
        <v>1024</v>
      </c>
      <c r="F138" s="14" t="s">
        <v>1222</v>
      </c>
      <c r="G138" s="99"/>
      <c r="H138" s="99"/>
      <c r="I138" s="81"/>
      <c r="J138" t="str">
        <f t="shared" si="1"/>
        <v>"G138":"parcelassessmentwithdats_fertilizersusageinformation_averagenitrogenquantity_5"</v>
      </c>
    </row>
    <row r="139" spans="1:10">
      <c r="A139" t="s">
        <v>925</v>
      </c>
      <c r="B139" s="149">
        <v>112</v>
      </c>
      <c r="C139" s="86" t="s">
        <v>648</v>
      </c>
      <c r="D139" s="86" t="s">
        <v>455</v>
      </c>
      <c r="E139" t="s">
        <v>1025</v>
      </c>
      <c r="F139" s="14" t="s">
        <v>1223</v>
      </c>
      <c r="G139" s="99"/>
      <c r="H139" s="99"/>
      <c r="I139" s="81"/>
      <c r="J139" t="str">
        <f t="shared" ref="J139:J202" si="2">CONCATENATE("""",F139,"""",":","""","parcelassessmentwithdats_",LOWER($A139),"_",LOWER($E139),"""")</f>
        <v>"G139":"parcelassessmentwithdats_fertilizersusageinformation_averagephosphorusquantity_5"</v>
      </c>
    </row>
    <row r="140" spans="1:10">
      <c r="A140" t="s">
        <v>925</v>
      </c>
      <c r="B140" s="149">
        <v>113</v>
      </c>
      <c r="C140" s="86" t="s">
        <v>648</v>
      </c>
      <c r="D140" s="86" t="s">
        <v>456</v>
      </c>
      <c r="E140" t="s">
        <v>1026</v>
      </c>
      <c r="F140" s="14" t="s">
        <v>1224</v>
      </c>
      <c r="G140" s="99"/>
      <c r="H140" s="99"/>
      <c r="I140" s="81"/>
      <c r="J140" t="str">
        <f t="shared" si="2"/>
        <v>"G140":"parcelassessmentwithdats_fertilizersusageinformation_averagepotassiumquantity_5"</v>
      </c>
    </row>
    <row r="141" spans="1:10">
      <c r="A141" t="s">
        <v>925</v>
      </c>
      <c r="B141" s="149">
        <v>114</v>
      </c>
      <c r="C141" s="86" t="s">
        <v>649</v>
      </c>
      <c r="D141" s="86" t="s">
        <v>656</v>
      </c>
      <c r="E141" t="s">
        <v>991</v>
      </c>
      <c r="F141" s="14" t="s">
        <v>1225</v>
      </c>
      <c r="G141" s="99"/>
      <c r="H141" s="99"/>
      <c r="I141" s="81"/>
      <c r="J141" t="str">
        <f t="shared" si="2"/>
        <v>"G141":"parcelassessmentwithdats_fertilizersusageinformation_productname_6"</v>
      </c>
    </row>
    <row r="142" spans="1:10">
      <c r="A142" t="s">
        <v>925</v>
      </c>
      <c r="B142" s="149">
        <v>115</v>
      </c>
      <c r="C142" s="86" t="s">
        <v>649</v>
      </c>
      <c r="D142" s="86" t="s">
        <v>581</v>
      </c>
      <c r="E142" t="s">
        <v>1027</v>
      </c>
      <c r="F142" s="14" t="s">
        <v>1226</v>
      </c>
      <c r="G142" s="99"/>
      <c r="H142" s="99"/>
      <c r="I142" s="81"/>
      <c r="J142" t="str">
        <f t="shared" si="2"/>
        <v>"G142":"parcelassessmentwithdats_fertilizersusageinformation_producttype_6"</v>
      </c>
    </row>
    <row r="143" spans="1:10">
      <c r="A143" t="s">
        <v>925</v>
      </c>
      <c r="B143" s="149">
        <v>116</v>
      </c>
      <c r="C143" s="86" t="s">
        <v>649</v>
      </c>
      <c r="D143" s="86" t="s">
        <v>7</v>
      </c>
      <c r="E143" t="s">
        <v>992</v>
      </c>
      <c r="F143" s="14" t="s">
        <v>1227</v>
      </c>
      <c r="G143" s="99"/>
      <c r="H143" s="99"/>
      <c r="I143" s="81"/>
      <c r="J143" t="str">
        <f t="shared" si="2"/>
        <v>"G143":"parcelassessmentwithdats_fertilizersusageinformation_numberoftreatments_6"</v>
      </c>
    </row>
    <row r="144" spans="1:10">
      <c r="A144" t="s">
        <v>925</v>
      </c>
      <c r="B144" s="149">
        <v>117</v>
      </c>
      <c r="C144" s="86" t="s">
        <v>649</v>
      </c>
      <c r="D144" s="86" t="s">
        <v>453</v>
      </c>
      <c r="E144" t="s">
        <v>993</v>
      </c>
      <c r="F144" s="14" t="s">
        <v>1228</v>
      </c>
      <c r="G144" s="99"/>
      <c r="H144" s="99"/>
      <c r="I144" s="81"/>
      <c r="J144" t="str">
        <f t="shared" si="2"/>
        <v>"G144":"parcelassessmentwithdats_fertilizersusageinformation_averagequantity_6"</v>
      </c>
    </row>
    <row r="145" spans="1:10">
      <c r="A145" t="s">
        <v>925</v>
      </c>
      <c r="B145" s="149">
        <v>118</v>
      </c>
      <c r="C145" s="86" t="s">
        <v>649</v>
      </c>
      <c r="D145" s="86" t="s">
        <v>454</v>
      </c>
      <c r="E145" t="s">
        <v>1028</v>
      </c>
      <c r="F145" s="14" t="s">
        <v>1229</v>
      </c>
      <c r="G145" s="99"/>
      <c r="H145" s="99"/>
      <c r="I145" s="81"/>
      <c r="J145" t="str">
        <f t="shared" si="2"/>
        <v>"G145":"parcelassessmentwithdats_fertilizersusageinformation_averagenitrogenquantity_6"</v>
      </c>
    </row>
    <row r="146" spans="1:10">
      <c r="A146" t="s">
        <v>925</v>
      </c>
      <c r="B146" s="149">
        <v>119</v>
      </c>
      <c r="C146" s="86" t="s">
        <v>649</v>
      </c>
      <c r="D146" s="86" t="s">
        <v>455</v>
      </c>
      <c r="E146" t="s">
        <v>1029</v>
      </c>
      <c r="F146" s="14" t="s">
        <v>1230</v>
      </c>
      <c r="G146" s="99"/>
      <c r="H146" s="99"/>
      <c r="I146" s="81"/>
      <c r="J146" t="str">
        <f t="shared" si="2"/>
        <v>"G146":"parcelassessmentwithdats_fertilizersusageinformation_averagephosphorusquantity_6"</v>
      </c>
    </row>
    <row r="147" spans="1:10">
      <c r="A147" t="s">
        <v>925</v>
      </c>
      <c r="B147" s="149">
        <v>120</v>
      </c>
      <c r="C147" s="86" t="s">
        <v>649</v>
      </c>
      <c r="D147" s="86" t="s">
        <v>456</v>
      </c>
      <c r="E147" t="s">
        <v>1030</v>
      </c>
      <c r="F147" s="14" t="s">
        <v>1231</v>
      </c>
      <c r="G147" s="99"/>
      <c r="H147" s="99"/>
      <c r="I147" s="81"/>
      <c r="J147" t="str">
        <f t="shared" si="2"/>
        <v>"G147":"parcelassessmentwithdats_fertilizersusageinformation_averagepotassiumquantity_6"</v>
      </c>
    </row>
    <row r="148" spans="1:10">
      <c r="A148" t="s">
        <v>925</v>
      </c>
      <c r="B148" s="149">
        <v>121</v>
      </c>
      <c r="C148" s="86" t="s">
        <v>650</v>
      </c>
      <c r="D148" s="86" t="s">
        <v>657</v>
      </c>
      <c r="E148" t="s">
        <v>994</v>
      </c>
      <c r="F148" s="14" t="s">
        <v>1232</v>
      </c>
      <c r="G148" s="99"/>
      <c r="H148" s="99"/>
      <c r="I148" s="81"/>
      <c r="J148" t="str">
        <f t="shared" si="2"/>
        <v>"G148":"parcelassessmentwithdats_fertilizersusageinformation_productname_7"</v>
      </c>
    </row>
    <row r="149" spans="1:10">
      <c r="A149" t="s">
        <v>925</v>
      </c>
      <c r="B149" s="149">
        <v>122</v>
      </c>
      <c r="C149" s="86" t="s">
        <v>650</v>
      </c>
      <c r="D149" s="86" t="s">
        <v>581</v>
      </c>
      <c r="E149" t="s">
        <v>1031</v>
      </c>
      <c r="F149" s="14" t="s">
        <v>1233</v>
      </c>
      <c r="G149" s="99"/>
      <c r="H149" s="99"/>
      <c r="I149" s="81"/>
      <c r="J149" t="str">
        <f t="shared" si="2"/>
        <v>"G149":"parcelassessmentwithdats_fertilizersusageinformation_producttype_7"</v>
      </c>
    </row>
    <row r="150" spans="1:10">
      <c r="A150" t="s">
        <v>925</v>
      </c>
      <c r="B150" s="149">
        <v>123</v>
      </c>
      <c r="C150" s="86" t="s">
        <v>650</v>
      </c>
      <c r="D150" s="86" t="s">
        <v>7</v>
      </c>
      <c r="E150" t="s">
        <v>995</v>
      </c>
      <c r="F150" s="14" t="s">
        <v>1234</v>
      </c>
      <c r="G150" s="99"/>
      <c r="H150" s="99"/>
      <c r="I150" s="81"/>
      <c r="J150" t="str">
        <f t="shared" si="2"/>
        <v>"G150":"parcelassessmentwithdats_fertilizersusageinformation_numberoftreatments_7"</v>
      </c>
    </row>
    <row r="151" spans="1:10">
      <c r="A151" t="s">
        <v>925</v>
      </c>
      <c r="B151" s="149">
        <v>124</v>
      </c>
      <c r="C151" s="86" t="s">
        <v>650</v>
      </c>
      <c r="D151" s="86" t="s">
        <v>453</v>
      </c>
      <c r="E151" t="s">
        <v>996</v>
      </c>
      <c r="F151" s="14" t="s">
        <v>1235</v>
      </c>
      <c r="G151" s="99"/>
      <c r="H151" s="99"/>
      <c r="I151" s="81"/>
      <c r="J151" t="str">
        <f t="shared" si="2"/>
        <v>"G151":"parcelassessmentwithdats_fertilizersusageinformation_averagequantity_7"</v>
      </c>
    </row>
    <row r="152" spans="1:10">
      <c r="A152" t="s">
        <v>925</v>
      </c>
      <c r="B152" s="149">
        <v>125</v>
      </c>
      <c r="C152" s="86" t="s">
        <v>650</v>
      </c>
      <c r="D152" s="86" t="s">
        <v>454</v>
      </c>
      <c r="E152" t="s">
        <v>1032</v>
      </c>
      <c r="F152" s="14" t="s">
        <v>1236</v>
      </c>
      <c r="G152" s="99"/>
      <c r="H152" s="99"/>
      <c r="I152" s="81"/>
      <c r="J152" t="str">
        <f t="shared" si="2"/>
        <v>"G152":"parcelassessmentwithdats_fertilizersusageinformation_averagenitrogenquantity_7"</v>
      </c>
    </row>
    <row r="153" spans="1:10">
      <c r="A153" t="s">
        <v>925</v>
      </c>
      <c r="B153" s="149">
        <v>126</v>
      </c>
      <c r="C153" s="86" t="s">
        <v>650</v>
      </c>
      <c r="D153" s="86" t="s">
        <v>455</v>
      </c>
      <c r="E153" t="s">
        <v>1033</v>
      </c>
      <c r="F153" s="14" t="s">
        <v>1237</v>
      </c>
      <c r="G153" s="99"/>
      <c r="H153" s="99"/>
      <c r="I153" s="81"/>
      <c r="J153" t="str">
        <f t="shared" si="2"/>
        <v>"G153":"parcelassessmentwithdats_fertilizersusageinformation_averagephosphorusquantity_7"</v>
      </c>
    </row>
    <row r="154" spans="1:10">
      <c r="A154" t="s">
        <v>925</v>
      </c>
      <c r="B154" s="149">
        <v>127</v>
      </c>
      <c r="C154" s="86" t="s">
        <v>650</v>
      </c>
      <c r="D154" s="86" t="s">
        <v>456</v>
      </c>
      <c r="E154" t="s">
        <v>1034</v>
      </c>
      <c r="F154" s="14" t="s">
        <v>1238</v>
      </c>
      <c r="G154" s="99"/>
      <c r="H154" s="99"/>
      <c r="I154" s="81"/>
      <c r="J154" t="str">
        <f t="shared" si="2"/>
        <v>"G154":"parcelassessmentwithdats_fertilizersusageinformation_averagepotassiumquantity_7"</v>
      </c>
    </row>
    <row r="155" spans="1:10">
      <c r="A155" t="s">
        <v>925</v>
      </c>
      <c r="B155" s="149">
        <v>128</v>
      </c>
      <c r="C155" s="86" t="s">
        <v>651</v>
      </c>
      <c r="D155" s="86" t="s">
        <v>658</v>
      </c>
      <c r="E155" t="s">
        <v>997</v>
      </c>
      <c r="F155" s="14" t="s">
        <v>1239</v>
      </c>
      <c r="G155" s="99"/>
      <c r="H155" s="99"/>
      <c r="I155" s="81"/>
      <c r="J155" t="str">
        <f t="shared" si="2"/>
        <v>"G155":"parcelassessmentwithdats_fertilizersusageinformation_productname_8"</v>
      </c>
    </row>
    <row r="156" spans="1:10">
      <c r="A156" t="s">
        <v>925</v>
      </c>
      <c r="B156" s="149">
        <v>129</v>
      </c>
      <c r="C156" s="86" t="s">
        <v>651</v>
      </c>
      <c r="D156" s="86" t="s">
        <v>581</v>
      </c>
      <c r="E156" t="s">
        <v>1035</v>
      </c>
      <c r="F156" s="14" t="s">
        <v>1240</v>
      </c>
      <c r="G156" s="99"/>
      <c r="H156" s="99"/>
      <c r="I156" s="81"/>
      <c r="J156" t="str">
        <f t="shared" si="2"/>
        <v>"G156":"parcelassessmentwithdats_fertilizersusageinformation_producttype_8"</v>
      </c>
    </row>
    <row r="157" spans="1:10">
      <c r="A157" t="s">
        <v>925</v>
      </c>
      <c r="B157" s="149">
        <v>130</v>
      </c>
      <c r="C157" s="86" t="s">
        <v>651</v>
      </c>
      <c r="D157" s="86" t="s">
        <v>7</v>
      </c>
      <c r="E157" t="s">
        <v>998</v>
      </c>
      <c r="F157" s="14" t="s">
        <v>1241</v>
      </c>
      <c r="G157" s="99"/>
      <c r="H157" s="99"/>
      <c r="I157" s="81"/>
      <c r="J157" t="str">
        <f t="shared" si="2"/>
        <v>"G157":"parcelassessmentwithdats_fertilizersusageinformation_numberoftreatments_8"</v>
      </c>
    </row>
    <row r="158" spans="1:10">
      <c r="A158" t="s">
        <v>925</v>
      </c>
      <c r="B158" s="149">
        <v>131</v>
      </c>
      <c r="C158" s="86" t="s">
        <v>651</v>
      </c>
      <c r="D158" s="86" t="s">
        <v>453</v>
      </c>
      <c r="E158" t="s">
        <v>999</v>
      </c>
      <c r="F158" s="14" t="s">
        <v>1242</v>
      </c>
      <c r="G158" s="99"/>
      <c r="H158" s="99"/>
      <c r="I158" s="81"/>
      <c r="J158" t="str">
        <f t="shared" si="2"/>
        <v>"G158":"parcelassessmentwithdats_fertilizersusageinformation_averagequantity_8"</v>
      </c>
    </row>
    <row r="159" spans="1:10">
      <c r="A159" t="s">
        <v>925</v>
      </c>
      <c r="B159" s="149">
        <v>132</v>
      </c>
      <c r="C159" s="86" t="s">
        <v>651</v>
      </c>
      <c r="D159" s="86" t="s">
        <v>454</v>
      </c>
      <c r="E159" t="s">
        <v>1036</v>
      </c>
      <c r="F159" s="14" t="s">
        <v>1243</v>
      </c>
      <c r="G159" s="99"/>
      <c r="H159" s="99"/>
      <c r="I159" s="81"/>
      <c r="J159" t="str">
        <f t="shared" si="2"/>
        <v>"G159":"parcelassessmentwithdats_fertilizersusageinformation_averagenitrogenquantity_8"</v>
      </c>
    </row>
    <row r="160" spans="1:10">
      <c r="A160" t="s">
        <v>925</v>
      </c>
      <c r="B160" s="149">
        <v>133</v>
      </c>
      <c r="C160" s="86" t="s">
        <v>651</v>
      </c>
      <c r="D160" s="86" t="s">
        <v>455</v>
      </c>
      <c r="E160" t="s">
        <v>1037</v>
      </c>
      <c r="F160" s="14" t="s">
        <v>1244</v>
      </c>
      <c r="G160" s="99"/>
      <c r="H160" s="99"/>
      <c r="I160" s="81"/>
      <c r="J160" t="str">
        <f t="shared" si="2"/>
        <v>"G160":"parcelassessmentwithdats_fertilizersusageinformation_averagephosphorusquantity_8"</v>
      </c>
    </row>
    <row r="161" spans="1:10">
      <c r="A161" t="s">
        <v>925</v>
      </c>
      <c r="B161" s="149">
        <v>134</v>
      </c>
      <c r="C161" s="86" t="s">
        <v>651</v>
      </c>
      <c r="D161" s="86" t="s">
        <v>456</v>
      </c>
      <c r="E161" t="s">
        <v>1038</v>
      </c>
      <c r="F161" s="14" t="s">
        <v>1245</v>
      </c>
      <c r="G161" s="99"/>
      <c r="H161" s="99"/>
      <c r="I161" s="81"/>
      <c r="J161" t="str">
        <f t="shared" si="2"/>
        <v>"G161":"parcelassessmentwithdats_fertilizersusageinformation_averagepotassiumquantity_8"</v>
      </c>
    </row>
    <row r="162" spans="1:10">
      <c r="A162" t="s">
        <v>925</v>
      </c>
      <c r="B162" s="149">
        <v>135</v>
      </c>
      <c r="C162" s="86" t="s">
        <v>652</v>
      </c>
      <c r="D162" s="86" t="s">
        <v>659</v>
      </c>
      <c r="E162" t="s">
        <v>1000</v>
      </c>
      <c r="F162" s="14" t="s">
        <v>1246</v>
      </c>
      <c r="G162" s="99"/>
      <c r="H162" s="99"/>
      <c r="I162" s="81"/>
      <c r="J162" t="str">
        <f t="shared" si="2"/>
        <v>"G162":"parcelassessmentwithdats_fertilizersusageinformation_productname_9"</v>
      </c>
    </row>
    <row r="163" spans="1:10">
      <c r="A163" t="s">
        <v>925</v>
      </c>
      <c r="B163" s="149">
        <v>136</v>
      </c>
      <c r="C163" s="86" t="s">
        <v>652</v>
      </c>
      <c r="D163" s="86" t="s">
        <v>581</v>
      </c>
      <c r="E163" t="s">
        <v>1039</v>
      </c>
      <c r="F163" s="14" t="s">
        <v>1247</v>
      </c>
      <c r="G163" s="99"/>
      <c r="H163" s="99"/>
      <c r="I163" s="81"/>
      <c r="J163" t="str">
        <f t="shared" si="2"/>
        <v>"G163":"parcelassessmentwithdats_fertilizersusageinformation_producttype_9"</v>
      </c>
    </row>
    <row r="164" spans="1:10">
      <c r="A164" t="s">
        <v>925</v>
      </c>
      <c r="B164" s="149">
        <v>137</v>
      </c>
      <c r="C164" s="86" t="s">
        <v>652</v>
      </c>
      <c r="D164" s="86" t="s">
        <v>7</v>
      </c>
      <c r="E164" t="s">
        <v>1001</v>
      </c>
      <c r="F164" s="14" t="s">
        <v>1248</v>
      </c>
      <c r="G164" s="99"/>
      <c r="H164" s="99"/>
      <c r="I164" s="81"/>
      <c r="J164" t="str">
        <f t="shared" si="2"/>
        <v>"G164":"parcelassessmentwithdats_fertilizersusageinformation_numberoftreatments_9"</v>
      </c>
    </row>
    <row r="165" spans="1:10">
      <c r="A165" t="s">
        <v>925</v>
      </c>
      <c r="B165" s="149">
        <v>138</v>
      </c>
      <c r="C165" s="86" t="s">
        <v>652</v>
      </c>
      <c r="D165" s="86" t="s">
        <v>453</v>
      </c>
      <c r="E165" t="s">
        <v>1002</v>
      </c>
      <c r="F165" s="14" t="s">
        <v>1249</v>
      </c>
      <c r="G165" s="99"/>
      <c r="H165" s="99"/>
      <c r="I165" s="81"/>
      <c r="J165" t="str">
        <f t="shared" si="2"/>
        <v>"G165":"parcelassessmentwithdats_fertilizersusageinformation_averagequantity_9"</v>
      </c>
    </row>
    <row r="166" spans="1:10">
      <c r="A166" t="s">
        <v>925</v>
      </c>
      <c r="B166" s="149">
        <v>139</v>
      </c>
      <c r="C166" s="86" t="s">
        <v>652</v>
      </c>
      <c r="D166" s="86" t="s">
        <v>454</v>
      </c>
      <c r="E166" t="s">
        <v>1040</v>
      </c>
      <c r="F166" s="14" t="s">
        <v>1250</v>
      </c>
      <c r="G166" s="99"/>
      <c r="H166" s="99"/>
      <c r="I166" s="81"/>
      <c r="J166" t="str">
        <f t="shared" si="2"/>
        <v>"G166":"parcelassessmentwithdats_fertilizersusageinformation_averagenitrogenquantity_9"</v>
      </c>
    </row>
    <row r="167" spans="1:10">
      <c r="A167" t="s">
        <v>925</v>
      </c>
      <c r="B167" s="149">
        <v>140</v>
      </c>
      <c r="C167" s="86" t="s">
        <v>652</v>
      </c>
      <c r="D167" s="86" t="s">
        <v>455</v>
      </c>
      <c r="E167" t="s">
        <v>1041</v>
      </c>
      <c r="F167" s="14" t="s">
        <v>1251</v>
      </c>
      <c r="G167" s="99"/>
      <c r="H167" s="99"/>
      <c r="I167" s="81"/>
      <c r="J167" t="str">
        <f t="shared" si="2"/>
        <v>"G167":"parcelassessmentwithdats_fertilizersusageinformation_averagephosphorusquantity_9"</v>
      </c>
    </row>
    <row r="168" spans="1:10">
      <c r="A168" t="s">
        <v>925</v>
      </c>
      <c r="B168" s="149">
        <v>141</v>
      </c>
      <c r="C168" s="86" t="s">
        <v>652</v>
      </c>
      <c r="D168" s="86" t="s">
        <v>456</v>
      </c>
      <c r="E168" t="s">
        <v>1042</v>
      </c>
      <c r="F168" s="14" t="s">
        <v>1252</v>
      </c>
      <c r="G168" s="99"/>
      <c r="H168" s="99"/>
      <c r="I168" s="81"/>
      <c r="J168" t="str">
        <f t="shared" si="2"/>
        <v>"G168":"parcelassessmentwithdats_fertilizersusageinformation_averagepotassiumquantity_9"</v>
      </c>
    </row>
    <row r="169" spans="1:10">
      <c r="B169" s="152"/>
      <c r="F169" s="14" t="s">
        <v>1253</v>
      </c>
      <c r="G169" s="150"/>
      <c r="H169" s="150"/>
      <c r="I169" s="81"/>
      <c r="J169" t="str">
        <f t="shared" si="2"/>
        <v>"G169":"parcelassessmentwithdats__"</v>
      </c>
    </row>
    <row r="170" spans="1:10">
      <c r="B170" s="120" t="s">
        <v>9</v>
      </c>
      <c r="C170" s="121"/>
      <c r="D170" s="121"/>
      <c r="F170" s="14" t="s">
        <v>1254</v>
      </c>
      <c r="G170" s="212" t="s">
        <v>107</v>
      </c>
      <c r="H170" s="213"/>
      <c r="I170" s="132"/>
      <c r="J170" t="str">
        <f t="shared" si="2"/>
        <v>"G170":"parcelassessmentwithdats__"</v>
      </c>
    </row>
    <row r="171" spans="1:10">
      <c r="B171" s="135" t="s">
        <v>110</v>
      </c>
      <c r="C171" s="135" t="s">
        <v>108</v>
      </c>
      <c r="D171" s="135"/>
      <c r="F171" s="14" t="s">
        <v>1255</v>
      </c>
      <c r="G171" s="82" t="s">
        <v>491</v>
      </c>
      <c r="H171" s="82" t="s">
        <v>100</v>
      </c>
      <c r="I171" s="132"/>
      <c r="J171" t="str">
        <f t="shared" si="2"/>
        <v>"G171":"parcelassessmentwithdats__"</v>
      </c>
    </row>
    <row r="172" spans="1:10">
      <c r="A172" t="s">
        <v>926</v>
      </c>
      <c r="B172" s="149">
        <v>72</v>
      </c>
      <c r="C172" s="86" t="s">
        <v>582</v>
      </c>
      <c r="D172" s="86" t="s">
        <v>584</v>
      </c>
      <c r="E172" t="s">
        <v>961</v>
      </c>
      <c r="F172" s="14" t="s">
        <v>1256</v>
      </c>
      <c r="G172" s="134"/>
      <c r="H172" s="99"/>
      <c r="I172" s="81"/>
      <c r="J172" t="str">
        <f t="shared" si="2"/>
        <v>"G172":"parcelassessmentwithdats_feedusageinformation_productname_0"</v>
      </c>
    </row>
    <row r="173" spans="1:10">
      <c r="A173" t="s">
        <v>926</v>
      </c>
      <c r="B173" s="149">
        <v>73</v>
      </c>
      <c r="C173" s="86" t="s">
        <v>582</v>
      </c>
      <c r="D173" s="86" t="s">
        <v>585</v>
      </c>
      <c r="E173" t="s">
        <v>962</v>
      </c>
      <c r="F173" s="14" t="s">
        <v>1257</v>
      </c>
      <c r="G173" s="99"/>
      <c r="H173" s="99"/>
      <c r="I173" s="81"/>
      <c r="J173" t="str">
        <f t="shared" si="2"/>
        <v>"G173":"parcelassessmentwithdats_feedusageinformation_quantity_0"</v>
      </c>
    </row>
    <row r="174" spans="1:10">
      <c r="A174" t="s">
        <v>926</v>
      </c>
      <c r="B174" s="149">
        <v>74</v>
      </c>
      <c r="C174" s="86" t="s">
        <v>583</v>
      </c>
      <c r="D174" s="86" t="s">
        <v>586</v>
      </c>
      <c r="E174" t="s">
        <v>963</v>
      </c>
      <c r="F174" s="14" t="s">
        <v>1258</v>
      </c>
      <c r="G174" s="134"/>
      <c r="H174" s="99"/>
      <c r="I174" s="81"/>
      <c r="J174" t="str">
        <f t="shared" si="2"/>
        <v>"G174":"parcelassessmentwithdats_feedusageinformation_productname_1"</v>
      </c>
    </row>
    <row r="175" spans="1:10">
      <c r="A175" t="s">
        <v>926</v>
      </c>
      <c r="B175" s="149">
        <v>75</v>
      </c>
      <c r="C175" s="86" t="s">
        <v>583</v>
      </c>
      <c r="D175" s="86" t="s">
        <v>587</v>
      </c>
      <c r="E175" t="s">
        <v>964</v>
      </c>
      <c r="F175" s="14" t="s">
        <v>1259</v>
      </c>
      <c r="G175" s="99"/>
      <c r="H175" s="99"/>
      <c r="I175" s="81"/>
      <c r="J175" t="str">
        <f t="shared" si="2"/>
        <v>"G175":"parcelassessmentwithdats_feedusageinformation_quantity_1"</v>
      </c>
    </row>
    <row r="176" spans="1:10">
      <c r="A176" t="s">
        <v>926</v>
      </c>
      <c r="B176" s="149">
        <v>76</v>
      </c>
      <c r="C176" s="86" t="s">
        <v>660</v>
      </c>
      <c r="D176" s="86" t="s">
        <v>663</v>
      </c>
      <c r="E176" t="s">
        <v>965</v>
      </c>
      <c r="F176" s="14" t="s">
        <v>1260</v>
      </c>
      <c r="G176" s="134"/>
      <c r="H176" s="99"/>
      <c r="I176" s="81"/>
      <c r="J176" t="str">
        <f t="shared" si="2"/>
        <v>"G176":"parcelassessmentwithdats_feedusageinformation_productname_2"</v>
      </c>
    </row>
    <row r="177" spans="1:10">
      <c r="A177" t="s">
        <v>926</v>
      </c>
      <c r="B177" s="149">
        <v>77</v>
      </c>
      <c r="C177" s="86" t="s">
        <v>660</v>
      </c>
      <c r="D177" s="86" t="s">
        <v>664</v>
      </c>
      <c r="E177" t="s">
        <v>966</v>
      </c>
      <c r="F177" s="14" t="s">
        <v>1261</v>
      </c>
      <c r="G177" s="99"/>
      <c r="H177" s="99"/>
      <c r="I177" s="81"/>
      <c r="J177" t="str">
        <f t="shared" si="2"/>
        <v>"G177":"parcelassessmentwithdats_feedusageinformation_quantity_2"</v>
      </c>
    </row>
    <row r="178" spans="1:10">
      <c r="A178" t="s">
        <v>926</v>
      </c>
      <c r="B178" s="149">
        <v>78</v>
      </c>
      <c r="C178" s="86" t="s">
        <v>661</v>
      </c>
      <c r="D178" s="86" t="s">
        <v>665</v>
      </c>
      <c r="E178" t="s">
        <v>967</v>
      </c>
      <c r="F178" s="14" t="s">
        <v>1262</v>
      </c>
      <c r="G178" s="134"/>
      <c r="H178" s="99"/>
      <c r="I178" s="81"/>
      <c r="J178" t="str">
        <f t="shared" si="2"/>
        <v>"G178":"parcelassessmentwithdats_feedusageinformation_productname_3"</v>
      </c>
    </row>
    <row r="179" spans="1:10">
      <c r="A179" t="s">
        <v>926</v>
      </c>
      <c r="B179" s="149">
        <v>79</v>
      </c>
      <c r="C179" s="86" t="s">
        <v>661</v>
      </c>
      <c r="D179" s="86" t="s">
        <v>666</v>
      </c>
      <c r="E179" t="s">
        <v>968</v>
      </c>
      <c r="F179" s="14" t="s">
        <v>1263</v>
      </c>
      <c r="G179" s="99"/>
      <c r="H179" s="99"/>
      <c r="I179" s="81"/>
      <c r="J179" t="str">
        <f t="shared" si="2"/>
        <v>"G179":"parcelassessmentwithdats_feedusageinformation_quantity_3"</v>
      </c>
    </row>
    <row r="180" spans="1:10">
      <c r="A180" t="s">
        <v>926</v>
      </c>
      <c r="B180" s="149">
        <v>80</v>
      </c>
      <c r="C180" s="86" t="s">
        <v>662</v>
      </c>
      <c r="D180" s="86" t="s">
        <v>667</v>
      </c>
      <c r="E180" t="s">
        <v>969</v>
      </c>
      <c r="F180" s="14" t="s">
        <v>1264</v>
      </c>
      <c r="G180" s="134"/>
      <c r="H180" s="99"/>
      <c r="I180" s="81"/>
      <c r="J180" t="str">
        <f t="shared" si="2"/>
        <v>"G180":"parcelassessmentwithdats_feedusageinformation_productname_4"</v>
      </c>
    </row>
    <row r="181" spans="1:10">
      <c r="A181" t="s">
        <v>926</v>
      </c>
      <c r="B181" s="149">
        <v>81</v>
      </c>
      <c r="C181" s="86" t="s">
        <v>662</v>
      </c>
      <c r="D181" s="86" t="s">
        <v>668</v>
      </c>
      <c r="E181" t="s">
        <v>970</v>
      </c>
      <c r="F181" s="14" t="s">
        <v>1265</v>
      </c>
      <c r="G181" s="99"/>
      <c r="H181" s="99"/>
      <c r="I181" s="81"/>
      <c r="J181" t="str">
        <f t="shared" si="2"/>
        <v>"G181":"parcelassessmentwithdats_feedusageinformation_quantity_4"</v>
      </c>
    </row>
    <row r="182" spans="1:10">
      <c r="B182" s="152"/>
      <c r="F182" s="14" t="s">
        <v>1266</v>
      </c>
      <c r="G182" s="150"/>
      <c r="H182" s="150"/>
      <c r="I182" s="81"/>
      <c r="J182" t="str">
        <f t="shared" si="2"/>
        <v>"G182":"parcelassessmentwithdats__"</v>
      </c>
    </row>
    <row r="183" spans="1:10" ht="12" customHeight="1">
      <c r="B183" s="124" t="s">
        <v>12</v>
      </c>
      <c r="C183" s="125"/>
      <c r="D183" s="125"/>
      <c r="F183" s="14" t="s">
        <v>1267</v>
      </c>
      <c r="G183" s="212" t="s">
        <v>107</v>
      </c>
      <c r="H183" s="213"/>
      <c r="I183" s="132"/>
      <c r="J183" t="str">
        <f t="shared" si="2"/>
        <v>"G183":"parcelassessmentwithdats__"</v>
      </c>
    </row>
    <row r="184" spans="1:10">
      <c r="B184" s="136" t="s">
        <v>110</v>
      </c>
      <c r="C184" s="136" t="s">
        <v>108</v>
      </c>
      <c r="D184" s="136"/>
      <c r="F184" s="14" t="s">
        <v>1268</v>
      </c>
      <c r="G184" s="82" t="s">
        <v>491</v>
      </c>
      <c r="H184" s="82" t="s">
        <v>100</v>
      </c>
      <c r="I184" s="132"/>
      <c r="J184" t="str">
        <f t="shared" si="2"/>
        <v>"G184":"parcelassessmentwithdats__"</v>
      </c>
    </row>
    <row r="185" spans="1:10">
      <c r="A185" t="s">
        <v>927</v>
      </c>
      <c r="B185" s="149">
        <v>78</v>
      </c>
      <c r="C185" s="86" t="s">
        <v>589</v>
      </c>
      <c r="D185" s="86" t="s">
        <v>565</v>
      </c>
      <c r="E185" t="s">
        <v>961</v>
      </c>
      <c r="F185" s="14" t="s">
        <v>1269</v>
      </c>
      <c r="G185" s="134"/>
      <c r="H185" s="99"/>
      <c r="I185" s="81"/>
      <c r="J185" t="str">
        <f t="shared" si="2"/>
        <v>"G185":"parcelassessmentwithdats_drugsusageinformation_productname_0"</v>
      </c>
    </row>
    <row r="186" spans="1:10">
      <c r="A186" t="s">
        <v>927</v>
      </c>
      <c r="B186" s="149">
        <v>79</v>
      </c>
      <c r="C186" s="86" t="s">
        <v>589</v>
      </c>
      <c r="D186" s="86" t="s">
        <v>670</v>
      </c>
      <c r="E186" t="s">
        <v>962</v>
      </c>
      <c r="F186" s="14" t="s">
        <v>1270</v>
      </c>
      <c r="G186" s="99"/>
      <c r="H186" s="99"/>
      <c r="I186" s="81"/>
      <c r="J186" t="str">
        <f t="shared" si="2"/>
        <v>"G186":"parcelassessmentwithdats_drugsusageinformation_quantity_0"</v>
      </c>
    </row>
    <row r="187" spans="1:10">
      <c r="A187" t="s">
        <v>927</v>
      </c>
      <c r="B187" s="149">
        <v>80</v>
      </c>
      <c r="C187" s="86" t="s">
        <v>590</v>
      </c>
      <c r="D187" s="86" t="s">
        <v>565</v>
      </c>
      <c r="E187" t="s">
        <v>963</v>
      </c>
      <c r="F187" s="14" t="s">
        <v>1271</v>
      </c>
      <c r="G187" s="134"/>
      <c r="H187" s="99"/>
      <c r="I187" s="81"/>
      <c r="J187" t="str">
        <f t="shared" si="2"/>
        <v>"G187":"parcelassessmentwithdats_drugsusageinformation_productname_1"</v>
      </c>
    </row>
    <row r="188" spans="1:10">
      <c r="A188" t="s">
        <v>927</v>
      </c>
      <c r="B188" s="149">
        <v>81</v>
      </c>
      <c r="C188" s="86" t="s">
        <v>590</v>
      </c>
      <c r="D188" s="86" t="s">
        <v>671</v>
      </c>
      <c r="E188" t="s">
        <v>964</v>
      </c>
      <c r="F188" s="14" t="s">
        <v>1272</v>
      </c>
      <c r="G188" s="99"/>
      <c r="H188" s="99"/>
      <c r="I188" s="81"/>
      <c r="J188" t="str">
        <f t="shared" si="2"/>
        <v>"G188":"parcelassessmentwithdats_drugsusageinformation_quantity_1"</v>
      </c>
    </row>
    <row r="189" spans="1:10">
      <c r="A189" t="s">
        <v>927</v>
      </c>
      <c r="B189" s="149">
        <v>82</v>
      </c>
      <c r="C189" s="86" t="s">
        <v>669</v>
      </c>
      <c r="D189" s="86" t="s">
        <v>565</v>
      </c>
      <c r="E189" t="s">
        <v>965</v>
      </c>
      <c r="F189" s="14" t="s">
        <v>1273</v>
      </c>
      <c r="G189" s="134"/>
      <c r="H189" s="99"/>
      <c r="I189" s="81"/>
      <c r="J189" t="str">
        <f t="shared" si="2"/>
        <v>"G189":"parcelassessmentwithdats_drugsusageinformation_productname_2"</v>
      </c>
    </row>
    <row r="190" spans="1:10">
      <c r="A190" t="s">
        <v>927</v>
      </c>
      <c r="B190" s="149">
        <v>83</v>
      </c>
      <c r="C190" s="86" t="s">
        <v>669</v>
      </c>
      <c r="D190" s="86" t="s">
        <v>672</v>
      </c>
      <c r="E190" t="s">
        <v>966</v>
      </c>
      <c r="F190" s="14" t="s">
        <v>1274</v>
      </c>
      <c r="G190" s="99"/>
      <c r="H190" s="99"/>
      <c r="I190" s="81"/>
      <c r="J190" t="str">
        <f t="shared" si="2"/>
        <v>"G190":"parcelassessmentwithdats_drugsusageinformation_quantity_2"</v>
      </c>
    </row>
    <row r="191" spans="1:10">
      <c r="F191" s="14" t="s">
        <v>1275</v>
      </c>
      <c r="G191" s="81"/>
      <c r="H191" s="81"/>
      <c r="I191" s="81"/>
      <c r="J191" t="str">
        <f t="shared" si="2"/>
        <v>"G191":"parcelassessmentwithdats__"</v>
      </c>
    </row>
    <row r="192" spans="1:10">
      <c r="B192" s="126" t="s">
        <v>6</v>
      </c>
      <c r="C192" s="127"/>
      <c r="D192" s="128"/>
      <c r="F192" s="14" t="s">
        <v>1276</v>
      </c>
      <c r="G192" s="212" t="s">
        <v>107</v>
      </c>
      <c r="H192" s="213"/>
      <c r="I192" s="132"/>
      <c r="J192" t="str">
        <f t="shared" si="2"/>
        <v>"G192":"parcelassessmentwithdats__"</v>
      </c>
    </row>
    <row r="193" spans="1:10">
      <c r="B193" s="129" t="s">
        <v>110</v>
      </c>
      <c r="C193" s="129" t="s">
        <v>108</v>
      </c>
      <c r="D193" s="129" t="s">
        <v>98</v>
      </c>
      <c r="F193" s="14" t="s">
        <v>1277</v>
      </c>
      <c r="G193" s="82" t="s">
        <v>491</v>
      </c>
      <c r="H193" s="82" t="s">
        <v>100</v>
      </c>
      <c r="I193" s="132"/>
      <c r="J193" t="str">
        <f t="shared" si="2"/>
        <v>"G193":"parcelassessmentwithdats__"</v>
      </c>
    </row>
    <row r="194" spans="1:10">
      <c r="A194" t="s">
        <v>928</v>
      </c>
      <c r="B194" s="100">
        <v>84</v>
      </c>
      <c r="C194" s="100" t="s">
        <v>691</v>
      </c>
      <c r="D194" s="86" t="s">
        <v>483</v>
      </c>
      <c r="E194" s="225" t="s">
        <v>1043</v>
      </c>
      <c r="F194" s="14" t="s">
        <v>1278</v>
      </c>
      <c r="G194" s="99">
        <v>11</v>
      </c>
      <c r="H194" s="99"/>
      <c r="I194" s="81"/>
      <c r="J194" t="str">
        <f t="shared" si="2"/>
        <v>"G194":"parcelassessmentwithdats_labourinformation_labourforirrigation"</v>
      </c>
    </row>
    <row r="195" spans="1:10">
      <c r="A195" t="s">
        <v>928</v>
      </c>
      <c r="B195" s="100">
        <v>85</v>
      </c>
      <c r="C195" s="100" t="s">
        <v>692</v>
      </c>
      <c r="D195" s="86" t="s">
        <v>483</v>
      </c>
      <c r="E195" s="225" t="s">
        <v>1044</v>
      </c>
      <c r="F195" s="14" t="s">
        <v>1279</v>
      </c>
      <c r="G195" s="99"/>
      <c r="H195" s="99"/>
      <c r="I195" s="81"/>
      <c r="J195" t="str">
        <f t="shared" si="2"/>
        <v>"G195":"parcelassessmentwithdats_labourinformation_labourforpesticides"</v>
      </c>
    </row>
    <row r="196" spans="1:10">
      <c r="A196" t="s">
        <v>928</v>
      </c>
      <c r="B196" s="100">
        <v>86</v>
      </c>
      <c r="C196" s="100" t="s">
        <v>693</v>
      </c>
      <c r="D196" s="86" t="s">
        <v>483</v>
      </c>
      <c r="E196" s="225" t="s">
        <v>1045</v>
      </c>
      <c r="F196" s="14" t="s">
        <v>1280</v>
      </c>
      <c r="G196" s="99"/>
      <c r="H196" s="99"/>
      <c r="I196" s="81"/>
      <c r="J196" t="str">
        <f t="shared" si="2"/>
        <v>"G196":"parcelassessmentwithdats_labourinformation_labourforfertilisation"</v>
      </c>
    </row>
    <row r="197" spans="1:10">
      <c r="A197" t="s">
        <v>928</v>
      </c>
      <c r="B197" s="100">
        <v>87</v>
      </c>
      <c r="C197" s="100" t="s">
        <v>694</v>
      </c>
      <c r="D197" s="86" t="s">
        <v>483</v>
      </c>
      <c r="E197" s="225" t="s">
        <v>1046</v>
      </c>
      <c r="F197" s="14" t="s">
        <v>1281</v>
      </c>
      <c r="G197" s="99"/>
      <c r="H197" s="99"/>
      <c r="I197" s="81"/>
      <c r="J197" t="str">
        <f t="shared" si="2"/>
        <v>"G197":"parcelassessmentwithdats_labourinformation_labourforsowingorplanting"</v>
      </c>
    </row>
    <row r="198" spans="1:10">
      <c r="A198" t="s">
        <v>928</v>
      </c>
      <c r="B198" s="100">
        <v>88</v>
      </c>
      <c r="C198" s="100" t="s">
        <v>695</v>
      </c>
      <c r="D198" s="86" t="s">
        <v>483</v>
      </c>
      <c r="E198" s="225" t="s">
        <v>1047</v>
      </c>
      <c r="F198" s="14" t="s">
        <v>1282</v>
      </c>
      <c r="G198" s="99"/>
      <c r="H198" s="99"/>
      <c r="I198" s="81"/>
      <c r="J198" t="str">
        <f t="shared" si="2"/>
        <v>"G198":"parcelassessmentwithdats_labourinformation_labourforpruning"</v>
      </c>
    </row>
    <row r="199" spans="1:10">
      <c r="A199" t="s">
        <v>928</v>
      </c>
      <c r="B199" s="100">
        <v>89</v>
      </c>
      <c r="C199" s="100" t="s">
        <v>696</v>
      </c>
      <c r="D199" s="86" t="s">
        <v>483</v>
      </c>
      <c r="E199" s="225" t="s">
        <v>1048</v>
      </c>
      <c r="F199" s="14" t="s">
        <v>1283</v>
      </c>
      <c r="G199" s="99"/>
      <c r="H199" s="99"/>
      <c r="I199" s="81"/>
      <c r="J199" t="str">
        <f t="shared" si="2"/>
        <v>"G199":"parcelassessmentwithdats_labourinformation_labourforfieldvisits"</v>
      </c>
    </row>
    <row r="200" spans="1:10">
      <c r="A200" t="s">
        <v>928</v>
      </c>
      <c r="B200" s="100">
        <v>90</v>
      </c>
      <c r="C200" s="100" t="s">
        <v>697</v>
      </c>
      <c r="D200" s="86" t="s">
        <v>483</v>
      </c>
      <c r="E200" s="225" t="s">
        <v>1049</v>
      </c>
      <c r="F200" s="14" t="s">
        <v>1284</v>
      </c>
      <c r="G200" s="99"/>
      <c r="H200" s="99"/>
      <c r="I200" s="81"/>
      <c r="J200" t="str">
        <f t="shared" si="2"/>
        <v>"G200":"parcelassessmentwithdats_labourinformation_labourforgreenhousemanagement"</v>
      </c>
    </row>
    <row r="201" spans="1:10">
      <c r="A201" t="s">
        <v>928</v>
      </c>
      <c r="B201" s="100">
        <v>91</v>
      </c>
      <c r="C201" s="100" t="s">
        <v>698</v>
      </c>
      <c r="D201" s="86" t="s">
        <v>483</v>
      </c>
      <c r="E201" s="225" t="s">
        <v>1050</v>
      </c>
      <c r="F201" s="14" t="s">
        <v>1285</v>
      </c>
      <c r="G201" s="99"/>
      <c r="H201" s="99"/>
      <c r="I201" s="81"/>
      <c r="J201" t="str">
        <f t="shared" si="2"/>
        <v>"G201":"parcelassessmentwithdats_labourinformation_labourforquantitytracking"</v>
      </c>
    </row>
    <row r="202" spans="1:10">
      <c r="A202" t="s">
        <v>928</v>
      </c>
      <c r="B202" s="100">
        <v>92</v>
      </c>
      <c r="C202" s="100" t="s">
        <v>699</v>
      </c>
      <c r="D202" s="86" t="s">
        <v>483</v>
      </c>
      <c r="E202" s="225" t="s">
        <v>1051</v>
      </c>
      <c r="F202" s="14" t="s">
        <v>1286</v>
      </c>
      <c r="G202" s="99"/>
      <c r="H202" s="99"/>
      <c r="I202" s="81"/>
      <c r="J202" t="str">
        <f t="shared" si="2"/>
        <v>"G202":"parcelassessmentwithdats_labourinformation_labourforgrainqualityassessment"</v>
      </c>
    </row>
    <row r="203" spans="1:10">
      <c r="A203" t="s">
        <v>928</v>
      </c>
      <c r="B203" s="100">
        <v>93</v>
      </c>
      <c r="C203" s="100" t="s">
        <v>700</v>
      </c>
      <c r="D203" s="86" t="s">
        <v>483</v>
      </c>
      <c r="E203" s="225" t="s">
        <v>1052</v>
      </c>
      <c r="F203" s="14" t="s">
        <v>1287</v>
      </c>
      <c r="G203" s="99"/>
      <c r="H203" s="99"/>
      <c r="I203" s="81"/>
      <c r="J203" t="str">
        <f t="shared" ref="J203:J256" si="3">CONCATENATE("""",F203,"""",":","""","parcelassessmentwithdats_",LOWER($A203),"_",LOWER($E203),"""")</f>
        <v>"G203":"parcelassessmentwithdats_labourinformation_labourforcontrollingpricesandquantities"</v>
      </c>
    </row>
    <row r="204" spans="1:10">
      <c r="A204" t="s">
        <v>928</v>
      </c>
      <c r="B204" s="100">
        <v>94</v>
      </c>
      <c r="C204" s="100" t="s">
        <v>701</v>
      </c>
      <c r="D204" s="86" t="s">
        <v>483</v>
      </c>
      <c r="E204" s="225" t="s">
        <v>1053</v>
      </c>
      <c r="F204" s="14" t="s">
        <v>1288</v>
      </c>
      <c r="G204" s="99"/>
      <c r="H204" s="99"/>
      <c r="I204" s="81"/>
      <c r="J204" t="str">
        <f t="shared" si="3"/>
        <v>"G204":"parcelassessmentwithdats_labourinformation_labourfororganisinglogistics"</v>
      </c>
    </row>
    <row r="205" spans="1:10">
      <c r="A205" t="s">
        <v>928</v>
      </c>
      <c r="B205" s="100">
        <v>95</v>
      </c>
      <c r="C205" s="100" t="s">
        <v>702</v>
      </c>
      <c r="D205" s="86" t="s">
        <v>483</v>
      </c>
      <c r="E205" s="225" t="s">
        <v>1054</v>
      </c>
      <c r="F205" s="14" t="s">
        <v>1289</v>
      </c>
      <c r="G205" s="99"/>
      <c r="H205" s="99"/>
      <c r="I205" s="81"/>
      <c r="J205" t="str">
        <f t="shared" si="3"/>
        <v>"G205":"parcelassessmentwithdats_labourinformation_labourforcleaning"</v>
      </c>
    </row>
    <row r="206" spans="1:10">
      <c r="A206" t="s">
        <v>928</v>
      </c>
      <c r="B206" s="100">
        <v>96</v>
      </c>
      <c r="C206" s="100" t="s">
        <v>703</v>
      </c>
      <c r="D206" s="86" t="s">
        <v>483</v>
      </c>
      <c r="E206" s="225" t="s">
        <v>1055</v>
      </c>
      <c r="F206" s="14" t="s">
        <v>1290</v>
      </c>
      <c r="G206" s="99"/>
      <c r="H206" s="99"/>
      <c r="I206" s="81"/>
      <c r="J206" t="str">
        <f t="shared" si="3"/>
        <v>"G206":"parcelassessmentwithdats_labourinformation_labourforstablevisits"</v>
      </c>
    </row>
    <row r="207" spans="1:10">
      <c r="A207" t="s">
        <v>928</v>
      </c>
      <c r="B207" s="100">
        <v>97</v>
      </c>
      <c r="C207" s="100" t="s">
        <v>704</v>
      </c>
      <c r="D207" s="86" t="s">
        <v>483</v>
      </c>
      <c r="E207" s="225" t="s">
        <v>1056</v>
      </c>
      <c r="F207" s="14" t="s">
        <v>1291</v>
      </c>
      <c r="G207" s="99"/>
      <c r="H207" s="99"/>
      <c r="I207" s="81"/>
      <c r="J207" t="str">
        <f t="shared" si="3"/>
        <v>"G207":"parcelassessmentwithdats_labourinformation_labourforheatdetection"</v>
      </c>
    </row>
    <row r="208" spans="1:10">
      <c r="A208" t="s">
        <v>928</v>
      </c>
      <c r="B208" s="100">
        <v>98</v>
      </c>
      <c r="C208" s="100" t="s">
        <v>705</v>
      </c>
      <c r="D208" s="86" t="s">
        <v>483</v>
      </c>
      <c r="E208" s="225" t="s">
        <v>1057</v>
      </c>
      <c r="F208" s="14" t="s">
        <v>1292</v>
      </c>
      <c r="G208" s="99"/>
      <c r="H208" s="99"/>
      <c r="I208" s="81"/>
      <c r="J208" t="str">
        <f t="shared" si="3"/>
        <v>"G208":"parcelassessmentwithdats_labourinformation_labourforcalvingdetection"</v>
      </c>
    </row>
    <row r="209" spans="1:10">
      <c r="A209" t="s">
        <v>928</v>
      </c>
      <c r="B209" s="100">
        <v>99</v>
      </c>
      <c r="C209" s="100" t="s">
        <v>709</v>
      </c>
      <c r="D209" s="86" t="s">
        <v>483</v>
      </c>
      <c r="E209" s="225" t="s">
        <v>1058</v>
      </c>
      <c r="F209" s="14" t="s">
        <v>1293</v>
      </c>
      <c r="G209" s="99"/>
      <c r="H209" s="99"/>
      <c r="I209" s="81"/>
      <c r="J209" t="str">
        <f t="shared" si="3"/>
        <v>"G209":"parcelassessmentwithdats_labourinformation_labourforpigstymanagement"</v>
      </c>
    </row>
    <row r="210" spans="1:10">
      <c r="A210" t="s">
        <v>928</v>
      </c>
      <c r="B210" s="100">
        <v>100</v>
      </c>
      <c r="C210" s="100" t="s">
        <v>714</v>
      </c>
      <c r="D210" s="86" t="s">
        <v>483</v>
      </c>
      <c r="E210" s="225" t="s">
        <v>1059</v>
      </c>
      <c r="F210" s="14" t="s">
        <v>1294</v>
      </c>
      <c r="G210" s="99"/>
      <c r="H210" s="99"/>
      <c r="I210" s="81"/>
      <c r="J210" t="str">
        <f t="shared" si="3"/>
        <v>"G210":"parcelassessmentwithdats_labourinformation_labourformilking"</v>
      </c>
    </row>
    <row r="211" spans="1:10">
      <c r="A211" t="s">
        <v>928</v>
      </c>
      <c r="B211" s="100">
        <v>101</v>
      </c>
      <c r="C211" s="100" t="s">
        <v>710</v>
      </c>
      <c r="D211" s="86" t="s">
        <v>483</v>
      </c>
      <c r="E211" s="225" t="s">
        <v>1060</v>
      </c>
      <c r="F211" s="14" t="s">
        <v>1295</v>
      </c>
      <c r="G211" s="99"/>
      <c r="H211" s="99"/>
      <c r="I211" s="81"/>
      <c r="J211" t="str">
        <f t="shared" si="3"/>
        <v>"G211":"parcelassessmentwithdats_labourinformation_labourformilkqualityassessment"</v>
      </c>
    </row>
    <row r="212" spans="1:10">
      <c r="A212" t="s">
        <v>928</v>
      </c>
      <c r="B212" s="100">
        <v>102</v>
      </c>
      <c r="C212" s="100" t="s">
        <v>711</v>
      </c>
      <c r="D212" s="86" t="s">
        <v>483</v>
      </c>
      <c r="E212" s="225" t="s">
        <v>1061</v>
      </c>
      <c r="F212" s="14" t="s">
        <v>1296</v>
      </c>
      <c r="G212" s="99"/>
      <c r="H212" s="99"/>
      <c r="I212" s="81"/>
      <c r="J212" t="str">
        <f t="shared" si="3"/>
        <v>"G212":"parcelassessmentwithdats_labourinformation_labourforfeeding"</v>
      </c>
    </row>
    <row r="213" spans="1:10">
      <c r="A213" t="s">
        <v>928</v>
      </c>
      <c r="B213" s="100">
        <v>103</v>
      </c>
      <c r="C213" s="100" t="s">
        <v>712</v>
      </c>
      <c r="D213" s="86" t="s">
        <v>483</v>
      </c>
      <c r="E213" s="225" t="s">
        <v>1062</v>
      </c>
      <c r="F213" s="14" t="s">
        <v>1297</v>
      </c>
      <c r="G213" s="99"/>
      <c r="H213" s="99"/>
      <c r="I213" s="81"/>
      <c r="J213" t="str">
        <f t="shared" si="3"/>
        <v>"G213":"parcelassessmentwithdats_labourinformation_labourforbeehivevisits"</v>
      </c>
    </row>
    <row r="214" spans="1:10">
      <c r="A214" t="s">
        <v>928</v>
      </c>
      <c r="B214" s="100">
        <v>104</v>
      </c>
      <c r="C214" s="100" t="s">
        <v>713</v>
      </c>
      <c r="D214" s="86" t="s">
        <v>483</v>
      </c>
      <c r="E214" s="225" t="s">
        <v>1063</v>
      </c>
      <c r="F214" s="14" t="s">
        <v>1298</v>
      </c>
      <c r="G214" s="99"/>
      <c r="H214" s="99"/>
      <c r="I214" s="81"/>
      <c r="J214" t="str">
        <f t="shared" si="3"/>
        <v>"G214":"parcelassessmentwithdats_labourinformation_labourforoystersampling"</v>
      </c>
    </row>
    <row r="215" spans="1:10">
      <c r="A215" t="s">
        <v>928</v>
      </c>
      <c r="B215" s="100">
        <v>105</v>
      </c>
      <c r="C215" s="100" t="s">
        <v>708</v>
      </c>
      <c r="D215" s="86" t="s">
        <v>483</v>
      </c>
      <c r="E215" s="225" t="s">
        <v>1064</v>
      </c>
      <c r="F215" s="14" t="s">
        <v>1299</v>
      </c>
      <c r="G215" s="99"/>
      <c r="H215" s="99"/>
      <c r="I215" s="81"/>
      <c r="J215" t="str">
        <f t="shared" si="3"/>
        <v>"G215":"parcelassessmentwithdats_labourinformation_labourforoystertransportation"</v>
      </c>
    </row>
    <row r="216" spans="1:10">
      <c r="A216" t="s">
        <v>928</v>
      </c>
      <c r="B216" s="100">
        <v>106</v>
      </c>
      <c r="C216" s="100" t="s">
        <v>707</v>
      </c>
      <c r="D216" s="86" t="s">
        <v>483</v>
      </c>
      <c r="E216" s="225" t="s">
        <v>1065</v>
      </c>
      <c r="F216" s="14" t="s">
        <v>1300</v>
      </c>
      <c r="G216" s="99"/>
      <c r="H216" s="99"/>
      <c r="I216" s="81"/>
      <c r="J216" t="str">
        <f t="shared" si="3"/>
        <v>"G216":"parcelassessmentwithdats_labourinformation_labourforharvesting"</v>
      </c>
    </row>
    <row r="217" spans="1:10">
      <c r="A217" t="s">
        <v>928</v>
      </c>
      <c r="B217" s="100">
        <v>107</v>
      </c>
      <c r="C217" s="100" t="s">
        <v>706</v>
      </c>
      <c r="D217" s="86" t="s">
        <v>483</v>
      </c>
      <c r="E217" s="225" t="s">
        <v>1066</v>
      </c>
      <c r="F217" s="14" t="s">
        <v>1301</v>
      </c>
      <c r="G217" s="99"/>
      <c r="H217" s="99"/>
      <c r="I217" s="81"/>
      <c r="J217" t="str">
        <f t="shared" si="3"/>
        <v>"G217":"parcelassessmentwithdats_labourinformation_labourforstorage"</v>
      </c>
    </row>
    <row r="218" spans="1:10">
      <c r="A218" t="s">
        <v>928</v>
      </c>
      <c r="B218" s="100">
        <v>108</v>
      </c>
      <c r="C218" s="100" t="s">
        <v>715</v>
      </c>
      <c r="D218" s="86" t="s">
        <v>483</v>
      </c>
      <c r="E218" s="225" t="s">
        <v>1067</v>
      </c>
      <c r="F218" s="14" t="s">
        <v>1302</v>
      </c>
      <c r="G218" s="99"/>
      <c r="H218" s="99"/>
      <c r="I218" s="81"/>
      <c r="J218" t="str">
        <f t="shared" si="3"/>
        <v>"G218":"parcelassessmentwithdats_labourinformation_labourforadministration"</v>
      </c>
    </row>
    <row r="219" spans="1:10">
      <c r="F219" s="14" t="s">
        <v>1303</v>
      </c>
      <c r="G219" s="81"/>
      <c r="H219" s="81"/>
      <c r="I219" s="81"/>
      <c r="J219" t="str">
        <f t="shared" si="3"/>
        <v>"G219":"parcelassessmentwithdats__"</v>
      </c>
    </row>
    <row r="220" spans="1:10">
      <c r="B220" s="124" t="s">
        <v>331</v>
      </c>
      <c r="C220" s="125"/>
      <c r="D220" s="125"/>
      <c r="F220" s="14" t="s">
        <v>1304</v>
      </c>
      <c r="G220" s="212" t="s">
        <v>107</v>
      </c>
      <c r="H220" s="213"/>
      <c r="I220" s="132"/>
      <c r="J220" t="str">
        <f t="shared" si="3"/>
        <v>"G220":"parcelassessmentwithdats__"</v>
      </c>
    </row>
    <row r="221" spans="1:10">
      <c r="B221" s="103" t="s">
        <v>110</v>
      </c>
      <c r="C221" s="103" t="s">
        <v>108</v>
      </c>
      <c r="D221" s="103" t="s">
        <v>98</v>
      </c>
      <c r="F221" s="14" t="s">
        <v>1305</v>
      </c>
      <c r="G221" s="82" t="s">
        <v>491</v>
      </c>
      <c r="H221" s="82" t="s">
        <v>100</v>
      </c>
      <c r="I221" s="132"/>
      <c r="J221" t="str">
        <f t="shared" si="3"/>
        <v>"G221":"parcelassessmentwithdats__"</v>
      </c>
    </row>
    <row r="222" spans="1:10">
      <c r="A222" t="s">
        <v>929</v>
      </c>
      <c r="B222" s="149">
        <v>109</v>
      </c>
      <c r="C222" s="86" t="s">
        <v>354</v>
      </c>
      <c r="D222" s="86" t="s">
        <v>111</v>
      </c>
      <c r="E222" s="225" t="s">
        <v>1068</v>
      </c>
      <c r="F222" s="14" t="s">
        <v>1306</v>
      </c>
      <c r="G222" s="99"/>
      <c r="H222" s="99"/>
      <c r="I222" s="81"/>
      <c r="J222" t="str">
        <f t="shared" si="3"/>
        <v>"G222":"parcelassessmentwithdats_economicinformation_numberoffulfilledorders"</v>
      </c>
    </row>
    <row r="223" spans="1:10">
      <c r="A223" t="s">
        <v>929</v>
      </c>
      <c r="B223" s="149">
        <v>110</v>
      </c>
      <c r="C223" s="86" t="s">
        <v>355</v>
      </c>
      <c r="D223" s="86" t="s">
        <v>111</v>
      </c>
      <c r="E223" s="225" t="s">
        <v>1069</v>
      </c>
      <c r="F223" s="14" t="s">
        <v>1307</v>
      </c>
      <c r="G223" s="99"/>
      <c r="H223" s="99"/>
      <c r="I223" s="81"/>
      <c r="J223" t="str">
        <f t="shared" si="3"/>
        <v>"G223":"parcelassessmentwithdats_economicinformation_numberofordersreceived"</v>
      </c>
    </row>
    <row r="224" spans="1:10">
      <c r="A224" t="s">
        <v>929</v>
      </c>
      <c r="B224" s="149">
        <v>111</v>
      </c>
      <c r="C224" s="86" t="s">
        <v>356</v>
      </c>
      <c r="D224" s="86" t="s">
        <v>111</v>
      </c>
      <c r="E224" s="225" t="s">
        <v>1070</v>
      </c>
      <c r="F224" s="14" t="s">
        <v>1308</v>
      </c>
      <c r="G224" s="99"/>
      <c r="H224" s="99"/>
      <c r="I224" s="81"/>
      <c r="J224" t="str">
        <f t="shared" si="3"/>
        <v>"G224":"parcelassessmentwithdats_economicinformation_numberofwrongorders"</v>
      </c>
    </row>
    <row r="225" spans="1:10">
      <c r="A225" t="s">
        <v>929</v>
      </c>
      <c r="B225" s="149">
        <v>112</v>
      </c>
      <c r="C225" s="86" t="s">
        <v>276</v>
      </c>
      <c r="D225" s="86" t="str">
        <f>IFERROR(VLOOKUP('General Information'!$D$6, Validations!$L$2:$M$8, 2,FALSE), "")</f>
        <v>€/ha</v>
      </c>
      <c r="E225" s="225" t="s">
        <v>1071</v>
      </c>
      <c r="F225" s="14" t="s">
        <v>1309</v>
      </c>
      <c r="G225" s="99"/>
      <c r="H225" s="99"/>
      <c r="I225" s="81"/>
      <c r="J225" t="str">
        <f t="shared" si="3"/>
        <v>"G225":"parcelassessmentwithdats_economicinformation_additionalrevenues"</v>
      </c>
    </row>
    <row r="226" spans="1:10">
      <c r="A226" t="s">
        <v>929</v>
      </c>
      <c r="B226" s="149">
        <v>113</v>
      </c>
      <c r="C226" s="86" t="s">
        <v>604</v>
      </c>
      <c r="D226" s="86" t="s">
        <v>105</v>
      </c>
      <c r="E226" s="225" t="s">
        <v>1072</v>
      </c>
      <c r="F226" s="14" t="s">
        <v>1310</v>
      </c>
      <c r="G226" s="99"/>
      <c r="H226" s="99"/>
      <c r="I226" s="81"/>
      <c r="J226" t="str">
        <f t="shared" si="3"/>
        <v>"G226":"parcelassessmentwithdats_economicinformation_percentageproteinindrymatter"</v>
      </c>
    </row>
    <row r="227" spans="1:10">
      <c r="A227" t="s">
        <v>929</v>
      </c>
      <c r="B227" s="149">
        <v>114</v>
      </c>
      <c r="C227" s="86" t="s">
        <v>358</v>
      </c>
      <c r="D227" s="86" t="s">
        <v>105</v>
      </c>
      <c r="E227" s="225" t="s">
        <v>1073</v>
      </c>
      <c r="F227" s="14" t="s">
        <v>1311</v>
      </c>
      <c r="G227" s="99"/>
      <c r="H227" s="99"/>
      <c r="I227" s="81"/>
      <c r="J227" t="str">
        <f t="shared" si="3"/>
        <v>"G227":"parcelassessmentwithdats_economicinformation_humidity"</v>
      </c>
    </row>
    <row r="228" spans="1:10">
      <c r="A228" t="s">
        <v>929</v>
      </c>
      <c r="B228" s="149">
        <v>115</v>
      </c>
      <c r="C228" s="86" t="s">
        <v>359</v>
      </c>
      <c r="D228" s="86" t="s">
        <v>360</v>
      </c>
      <c r="E228" s="225" t="s">
        <v>1074</v>
      </c>
      <c r="F228" s="14" t="s">
        <v>1312</v>
      </c>
      <c r="G228" s="99"/>
      <c r="H228" s="99"/>
      <c r="I228" s="81"/>
      <c r="J228" t="str">
        <f t="shared" si="3"/>
        <v>"G228":"parcelassessmentwithdats_economicinformation_testweight"</v>
      </c>
    </row>
    <row r="229" spans="1:10">
      <c r="F229" s="14" t="s">
        <v>1313</v>
      </c>
      <c r="G229" s="81"/>
      <c r="H229" s="81"/>
      <c r="I229" s="81"/>
      <c r="J229" t="str">
        <f t="shared" si="3"/>
        <v>"G229":"parcelassessmentwithdats__"</v>
      </c>
    </row>
    <row r="230" spans="1:10">
      <c r="B230" s="117" t="s">
        <v>273</v>
      </c>
      <c r="C230" s="118"/>
      <c r="D230" s="118"/>
      <c r="F230" s="14" t="s">
        <v>1314</v>
      </c>
      <c r="G230" s="212" t="s">
        <v>107</v>
      </c>
      <c r="H230" s="213"/>
      <c r="I230" s="132"/>
      <c r="J230" t="str">
        <f t="shared" si="3"/>
        <v>"G230":"parcelassessmentwithdats__"</v>
      </c>
    </row>
    <row r="231" spans="1:10">
      <c r="B231" s="119" t="s">
        <v>110</v>
      </c>
      <c r="C231" s="119" t="s">
        <v>108</v>
      </c>
      <c r="D231" s="119" t="s">
        <v>98</v>
      </c>
      <c r="F231" s="14" t="s">
        <v>1315</v>
      </c>
      <c r="G231" s="82" t="s">
        <v>491</v>
      </c>
      <c r="H231" s="82" t="s">
        <v>100</v>
      </c>
      <c r="I231" s="132"/>
      <c r="J231" t="str">
        <f t="shared" si="3"/>
        <v>"G231":"parcelassessmentwithdats__"</v>
      </c>
    </row>
    <row r="232" spans="1:10">
      <c r="A232" t="s">
        <v>930</v>
      </c>
      <c r="B232" s="149">
        <v>116</v>
      </c>
      <c r="C232" s="86" t="s">
        <v>554</v>
      </c>
      <c r="D232" s="86" t="s">
        <v>111</v>
      </c>
      <c r="E232" s="225" t="s">
        <v>1075</v>
      </c>
      <c r="F232" s="14" t="s">
        <v>1316</v>
      </c>
      <c r="G232" s="99"/>
      <c r="H232" s="99"/>
      <c r="I232" s="81"/>
      <c r="J232" t="str">
        <f t="shared" si="3"/>
        <v>"G232":"parcelassessmentwithdats_additionalanimalinformation_numberofdeathanimals"</v>
      </c>
    </row>
    <row r="233" spans="1:10">
      <c r="A233" t="s">
        <v>930</v>
      </c>
      <c r="B233" s="149">
        <v>117</v>
      </c>
      <c r="C233" s="86" t="s">
        <v>112</v>
      </c>
      <c r="D233" s="86" t="s">
        <v>111</v>
      </c>
      <c r="E233" s="225" t="s">
        <v>1076</v>
      </c>
      <c r="F233" s="14" t="s">
        <v>1317</v>
      </c>
      <c r="G233" s="99"/>
      <c r="H233" s="99"/>
      <c r="I233" s="81"/>
      <c r="J233" t="str">
        <f t="shared" si="3"/>
        <v>"G233":"parcelassessmentwithdats_additionalanimalinformation_calvesdiedinfirst24hours"</v>
      </c>
    </row>
    <row r="234" spans="1:10">
      <c r="A234" t="s">
        <v>930</v>
      </c>
      <c r="B234" s="149">
        <v>118</v>
      </c>
      <c r="C234" s="86" t="s">
        <v>122</v>
      </c>
      <c r="D234" s="86" t="s">
        <v>111</v>
      </c>
      <c r="E234" s="225" t="s">
        <v>1077</v>
      </c>
      <c r="F234" s="14" t="s">
        <v>1318</v>
      </c>
      <c r="G234" s="99"/>
      <c r="H234" s="99"/>
      <c r="I234" s="81"/>
      <c r="J234" t="str">
        <f t="shared" si="3"/>
        <v>"G234":"parcelassessmentwithdats_additionalanimalinformation_totalnumberofcalvesborn"</v>
      </c>
    </row>
    <row r="235" spans="1:10">
      <c r="A235" t="s">
        <v>930</v>
      </c>
      <c r="B235" s="149">
        <v>119</v>
      </c>
      <c r="C235" s="86" t="s">
        <v>129</v>
      </c>
      <c r="D235" s="86" t="s">
        <v>111</v>
      </c>
      <c r="E235" s="225" t="s">
        <v>1078</v>
      </c>
      <c r="F235" s="14" t="s">
        <v>1319</v>
      </c>
      <c r="G235" s="99"/>
      <c r="H235" s="99"/>
      <c r="I235" s="81"/>
      <c r="J235" t="str">
        <f t="shared" si="3"/>
        <v>"G235":"parcelassessmentwithdats_additionalanimalinformation_numberofdayswithpastureaccess"</v>
      </c>
    </row>
    <row r="236" spans="1:10">
      <c r="A236" t="s">
        <v>930</v>
      </c>
      <c r="B236" s="149">
        <v>120</v>
      </c>
      <c r="C236" s="86" t="s">
        <v>128</v>
      </c>
      <c r="D236" s="86" t="s">
        <v>62</v>
      </c>
      <c r="E236" s="225" t="s">
        <v>1079</v>
      </c>
      <c r="F236" s="14" t="s">
        <v>1320</v>
      </c>
      <c r="G236" s="99"/>
      <c r="H236" s="99"/>
      <c r="I236" s="81"/>
      <c r="J236" t="str">
        <f t="shared" si="3"/>
        <v>"G236":"parcelassessmentwithdats_additionalanimalinformation_outdoorloafingarea"</v>
      </c>
    </row>
    <row r="237" spans="1:10">
      <c r="A237" t="s">
        <v>930</v>
      </c>
      <c r="B237" s="149">
        <v>121</v>
      </c>
      <c r="C237" s="86" t="s">
        <v>322</v>
      </c>
      <c r="D237" s="87" t="s">
        <v>111</v>
      </c>
      <c r="E237" s="225" t="s">
        <v>1080</v>
      </c>
      <c r="F237" s="14" t="s">
        <v>1321</v>
      </c>
      <c r="G237" s="99"/>
      <c r="H237" s="99"/>
      <c r="I237" s="81"/>
      <c r="J237" t="str">
        <f t="shared" si="3"/>
        <v>"G237":"parcelassessmentwithdats_additionalanimalinformation_numberofcowswithhighsccmilk"</v>
      </c>
    </row>
    <row r="238" spans="1:10" ht="18">
      <c r="C238" s="130"/>
      <c r="F238" s="14" t="s">
        <v>1322</v>
      </c>
      <c r="G238" s="81"/>
      <c r="H238" s="81"/>
      <c r="I238" s="81"/>
      <c r="J238" t="str">
        <f t="shared" si="3"/>
        <v>"G238":"parcelassessmentwithdats__"</v>
      </c>
    </row>
    <row r="239" spans="1:10">
      <c r="B239" s="110" t="s">
        <v>274</v>
      </c>
      <c r="C239" s="111"/>
      <c r="D239" s="112"/>
      <c r="F239" s="14" t="s">
        <v>1323</v>
      </c>
      <c r="G239" s="212" t="s">
        <v>107</v>
      </c>
      <c r="H239" s="213"/>
      <c r="I239" s="132"/>
      <c r="J239" t="str">
        <f t="shared" si="3"/>
        <v>"G239":"parcelassessmentwithdats__"</v>
      </c>
    </row>
    <row r="240" spans="1:10">
      <c r="B240" s="113" t="s">
        <v>110</v>
      </c>
      <c r="C240" s="113" t="s">
        <v>108</v>
      </c>
      <c r="D240" s="113" t="s">
        <v>98</v>
      </c>
      <c r="F240" s="14" t="s">
        <v>1324</v>
      </c>
      <c r="G240" s="82" t="s">
        <v>491</v>
      </c>
      <c r="H240" s="82" t="s">
        <v>100</v>
      </c>
      <c r="I240" s="132"/>
      <c r="J240" t="str">
        <f t="shared" si="3"/>
        <v>"G240":"parcelassessmentwithdats__"</v>
      </c>
    </row>
    <row r="241" spans="1:10">
      <c r="A241" t="s">
        <v>931</v>
      </c>
      <c r="B241" s="149">
        <v>122</v>
      </c>
      <c r="C241" s="86" t="s">
        <v>130</v>
      </c>
      <c r="D241" s="86" t="s">
        <v>111</v>
      </c>
      <c r="E241" s="225" t="s">
        <v>1081</v>
      </c>
      <c r="F241" s="14" t="s">
        <v>1325</v>
      </c>
      <c r="G241" s="99"/>
      <c r="H241" s="99"/>
      <c r="I241" s="81"/>
      <c r="J241" t="str">
        <f t="shared" si="3"/>
        <v>"G241":"parcelassessmentwithdats_additionallabourinformation_numberofnewinjurycases"</v>
      </c>
    </row>
    <row r="242" spans="1:10">
      <c r="A242" t="s">
        <v>931</v>
      </c>
      <c r="B242" s="149">
        <v>123</v>
      </c>
      <c r="C242" s="86" t="s">
        <v>113</v>
      </c>
      <c r="D242" s="86" t="s">
        <v>111</v>
      </c>
      <c r="E242" s="225" t="s">
        <v>1082</v>
      </c>
      <c r="F242" s="14" t="s">
        <v>1326</v>
      </c>
      <c r="G242" s="99"/>
      <c r="H242" s="99"/>
      <c r="I242" s="81"/>
      <c r="J242" t="str">
        <f t="shared" si="3"/>
        <v>"G242":"parcelassessmentwithdats_additionallabourinformation_totalnumberoflostworkinghours"</v>
      </c>
    </row>
    <row r="243" spans="1:10">
      <c r="A243" t="s">
        <v>931</v>
      </c>
      <c r="B243" s="149">
        <v>124</v>
      </c>
      <c r="C243" s="86" t="s">
        <v>131</v>
      </c>
      <c r="D243" s="86" t="s">
        <v>60</v>
      </c>
      <c r="E243" s="225" t="s">
        <v>1083</v>
      </c>
      <c r="F243" s="14" t="s">
        <v>1327</v>
      </c>
      <c r="G243" s="99"/>
      <c r="H243" s="99"/>
      <c r="I243" s="81"/>
      <c r="J243" t="str">
        <f t="shared" si="3"/>
        <v>"G243":"parcelassessmentwithdats_additionallabourinformation_totalnumberofworkinghours"</v>
      </c>
    </row>
    <row r="244" spans="1:10">
      <c r="A244" t="s">
        <v>931</v>
      </c>
      <c r="B244" s="149">
        <v>125</v>
      </c>
      <c r="C244" s="86" t="s">
        <v>272</v>
      </c>
      <c r="D244" s="86" t="s">
        <v>111</v>
      </c>
      <c r="E244" s="225" t="s">
        <v>1084</v>
      </c>
      <c r="F244" s="14" t="s">
        <v>1328</v>
      </c>
      <c r="G244" s="99"/>
      <c r="H244" s="99"/>
      <c r="I244" s="81"/>
      <c r="J244" t="str">
        <f t="shared" si="3"/>
        <v>"G244":"parcelassessmentwithdats_additionallabourinformation_numberofworkingweeks"</v>
      </c>
    </row>
    <row r="245" spans="1:10">
      <c r="A245" t="s">
        <v>931</v>
      </c>
      <c r="B245" s="149">
        <v>126</v>
      </c>
      <c r="C245" s="86" t="s">
        <v>132</v>
      </c>
      <c r="D245" s="86" t="s">
        <v>111</v>
      </c>
      <c r="E245" s="225" t="s">
        <v>1085</v>
      </c>
      <c r="F245" s="14" t="s">
        <v>1329</v>
      </c>
      <c r="G245" s="99"/>
      <c r="H245" s="99"/>
      <c r="I245" s="81"/>
      <c r="J245" t="str">
        <f t="shared" si="3"/>
        <v>"G245":"parcelassessmentwithdats_additionallabourinformation_numberofnewlocalemployeeshired"</v>
      </c>
    </row>
    <row r="246" spans="1:10">
      <c r="A246" t="s">
        <v>931</v>
      </c>
      <c r="B246" s="149">
        <v>127</v>
      </c>
      <c r="C246" s="86" t="s">
        <v>133</v>
      </c>
      <c r="D246" s="86" t="s">
        <v>111</v>
      </c>
      <c r="E246" s="225" t="s">
        <v>1086</v>
      </c>
      <c r="F246" s="14" t="s">
        <v>1330</v>
      </c>
      <c r="G246" s="99"/>
      <c r="H246" s="99"/>
      <c r="I246" s="81"/>
      <c r="J246" t="str">
        <f t="shared" si="3"/>
        <v>"G246":"parcelassessmentwithdats_additionallabourinformation_numberofnewemployeeshired"</v>
      </c>
    </row>
    <row r="247" spans="1:10">
      <c r="F247" s="14" t="s">
        <v>1331</v>
      </c>
      <c r="G247" s="81"/>
      <c r="H247" s="81"/>
      <c r="I247" s="81"/>
      <c r="J247" t="str">
        <f t="shared" si="3"/>
        <v>"G247":"parcelassessmentwithdats__"</v>
      </c>
    </row>
    <row r="248" spans="1:10">
      <c r="B248" s="126" t="s">
        <v>114</v>
      </c>
      <c r="C248" s="127"/>
      <c r="D248" s="128"/>
      <c r="F248" s="14" t="s">
        <v>1332</v>
      </c>
      <c r="G248" s="212" t="s">
        <v>107</v>
      </c>
      <c r="H248" s="213"/>
      <c r="I248" s="132"/>
      <c r="J248" t="str">
        <f t="shared" si="3"/>
        <v>"G248":"parcelassessmentwithdats__"</v>
      </c>
    </row>
    <row r="249" spans="1:10">
      <c r="B249" s="129" t="s">
        <v>110</v>
      </c>
      <c r="C249" s="129" t="s">
        <v>108</v>
      </c>
      <c r="D249" s="129" t="s">
        <v>98</v>
      </c>
      <c r="F249" s="14" t="s">
        <v>1333</v>
      </c>
      <c r="G249" s="82" t="s">
        <v>491</v>
      </c>
      <c r="H249" s="82" t="s">
        <v>100</v>
      </c>
      <c r="I249" s="132"/>
      <c r="J249" t="str">
        <f t="shared" si="3"/>
        <v>"G249":"parcelassessmentwithdats__"</v>
      </c>
    </row>
    <row r="250" spans="1:10">
      <c r="A250" t="s">
        <v>932</v>
      </c>
      <c r="B250" s="149">
        <v>128</v>
      </c>
      <c r="C250" s="131" t="s">
        <v>412</v>
      </c>
      <c r="D250" s="131" t="s">
        <v>88</v>
      </c>
      <c r="E250" t="s">
        <v>1087</v>
      </c>
      <c r="F250" s="14" t="s">
        <v>1334</v>
      </c>
      <c r="G250" s="99">
        <v>291.10000000000002</v>
      </c>
      <c r="H250" s="99"/>
      <c r="I250" s="81"/>
      <c r="J250" t="str">
        <f t="shared" si="3"/>
        <v>"G250":"parcelassessmentwithdats_outputinformation_cropproduction"</v>
      </c>
    </row>
    <row r="251" spans="1:10" ht="18">
      <c r="A251" t="s">
        <v>932</v>
      </c>
      <c r="B251" s="149">
        <v>129</v>
      </c>
      <c r="C251" s="86" t="s">
        <v>115</v>
      </c>
      <c r="D251" s="86" t="s">
        <v>781</v>
      </c>
      <c r="E251" t="s">
        <v>1088</v>
      </c>
      <c r="F251" s="14" t="s">
        <v>1335</v>
      </c>
      <c r="G251" s="99"/>
      <c r="H251" s="99"/>
      <c r="I251" s="81"/>
      <c r="J251" t="str">
        <f t="shared" si="3"/>
        <v>"G251":"parcelassessmentwithdats_outputinformation_milkproduction"</v>
      </c>
    </row>
    <row r="252" spans="1:10" ht="15" customHeight="1">
      <c r="A252" t="s">
        <v>932</v>
      </c>
      <c r="B252" s="149">
        <v>130</v>
      </c>
      <c r="C252" s="86" t="s">
        <v>116</v>
      </c>
      <c r="D252" s="86" t="s">
        <v>780</v>
      </c>
      <c r="E252" t="s">
        <v>1089</v>
      </c>
      <c r="F252" s="14" t="s">
        <v>1336</v>
      </c>
      <c r="G252" s="99"/>
      <c r="H252" s="99"/>
      <c r="I252" s="81"/>
      <c r="J252" t="str">
        <f t="shared" si="3"/>
        <v>"G252":"parcelassessmentwithdats_outputinformation_meatproduction"</v>
      </c>
    </row>
    <row r="253" spans="1:10" ht="15" customHeight="1">
      <c r="A253" t="s">
        <v>932</v>
      </c>
      <c r="B253" s="149">
        <v>131</v>
      </c>
      <c r="C253" s="86" t="s">
        <v>515</v>
      </c>
      <c r="D253" s="86" t="s">
        <v>111</v>
      </c>
      <c r="E253" s="228" t="s">
        <v>1093</v>
      </c>
      <c r="F253" s="14" t="s">
        <v>1337</v>
      </c>
      <c r="G253" s="99"/>
      <c r="H253" s="99"/>
      <c r="I253" s="81"/>
      <c r="J253" t="str">
        <f t="shared" si="3"/>
        <v>"G253":"parcelassessmentwithdats_outputinformation_animal_number"</v>
      </c>
    </row>
    <row r="254" spans="1:10">
      <c r="A254" t="s">
        <v>932</v>
      </c>
      <c r="B254" s="149">
        <v>132</v>
      </c>
      <c r="C254" s="86" t="s">
        <v>117</v>
      </c>
      <c r="D254" s="86" t="s">
        <v>350</v>
      </c>
      <c r="E254" t="s">
        <v>1090</v>
      </c>
      <c r="F254" s="14" t="s">
        <v>1338</v>
      </c>
      <c r="G254" s="99"/>
      <c r="H254" s="99"/>
      <c r="I254" s="81"/>
      <c r="J254" t="str">
        <f t="shared" si="3"/>
        <v>"G254":"parcelassessmentwithdats_outputinformation_oysterproduction"</v>
      </c>
    </row>
    <row r="255" spans="1:10">
      <c r="A255" t="s">
        <v>932</v>
      </c>
      <c r="B255" s="149">
        <v>133</v>
      </c>
      <c r="C255" s="86" t="s">
        <v>118</v>
      </c>
      <c r="D255" s="86" t="s">
        <v>68</v>
      </c>
      <c r="E255" t="s">
        <v>1091</v>
      </c>
      <c r="F255" s="14" t="s">
        <v>1339</v>
      </c>
      <c r="G255" s="99"/>
      <c r="H255" s="99"/>
      <c r="I255" s="81"/>
      <c r="J255" t="str">
        <f t="shared" si="3"/>
        <v>"G255":"parcelassessmentwithdats_outputinformation_honeyproduction"</v>
      </c>
    </row>
    <row r="256" spans="1:10">
      <c r="A256" t="s">
        <v>932</v>
      </c>
      <c r="B256" s="149">
        <v>134</v>
      </c>
      <c r="C256" s="86" t="s">
        <v>518</v>
      </c>
      <c r="D256" s="86" t="s">
        <v>88</v>
      </c>
      <c r="E256" t="s">
        <v>1092</v>
      </c>
      <c r="F256" s="14" t="s">
        <v>1340</v>
      </c>
      <c r="G256" s="99"/>
      <c r="H256" s="99"/>
      <c r="I256" s="81"/>
      <c r="J256" t="str">
        <f t="shared" si="3"/>
        <v>"G256":"parcelassessmentwithdats_outputinformation_silosproduction"</v>
      </c>
    </row>
    <row r="258" spans="3:4">
      <c r="C258" s="175" t="s">
        <v>724</v>
      </c>
      <c r="D258" s="175">
        <v>94.1</v>
      </c>
    </row>
    <row r="283" spans="2:2">
      <c r="B283" s="2"/>
    </row>
    <row r="298" spans="2:2">
      <c r="B298" s="2"/>
    </row>
    <row r="299" spans="2:2">
      <c r="B299" s="2"/>
    </row>
    <row r="300" spans="2:2">
      <c r="B300" s="3"/>
    </row>
    <row r="301" spans="2:2">
      <c r="B301" s="2"/>
    </row>
    <row r="302" spans="2:2">
      <c r="B302" s="2"/>
    </row>
    <row r="303" spans="2:2">
      <c r="B303" s="2"/>
    </row>
    <row r="304" spans="2:2">
      <c r="B304" s="2"/>
    </row>
  </sheetData>
  <sheetProtection selectLockedCells="1"/>
  <mergeCells count="17">
    <mergeCell ref="G248:H248"/>
    <mergeCell ref="G230:H230"/>
    <mergeCell ref="G239:H239"/>
    <mergeCell ref="G64:H64"/>
    <mergeCell ref="G54:H54"/>
    <mergeCell ref="G2:H6"/>
    <mergeCell ref="G8:H8"/>
    <mergeCell ref="G9:H9"/>
    <mergeCell ref="B8:E8"/>
    <mergeCell ref="G97:H97"/>
    <mergeCell ref="G170:H170"/>
    <mergeCell ref="G45:H45"/>
    <mergeCell ref="G22:H22"/>
    <mergeCell ref="G220:H220"/>
    <mergeCell ref="G183:H183"/>
    <mergeCell ref="G192:H192"/>
    <mergeCell ref="G31:H31"/>
  </mergeCells>
  <phoneticPr fontId="2" type="noConversion"/>
  <dataValidations count="11">
    <dataValidation type="whole" allowBlank="1" showInputMessage="1" showErrorMessage="1" sqref="G88 G91 G94 G67 G70 G85 G73 G101 G108 G129" xr:uid="{B9019D02-4A6D-8F48-8D25-F9F12C931C61}">
      <formula1>0</formula1>
      <formula2>100</formula2>
    </dataValidation>
    <dataValidation type="decimal" allowBlank="1" showInputMessage="1" showErrorMessage="1" sqref="G243 G236 G225 G228 G250:G256" xr:uid="{92ED246C-3524-3D42-9A62-7BD5F543F4BE}">
      <formula1>0</formula1>
      <formula2>100000000</formula2>
    </dataValidation>
    <dataValidation type="decimal" allowBlank="1" showInputMessage="1" showErrorMessage="1" sqref="G10 G18 G20" xr:uid="{6D61CDD5-4537-439F-B43B-22F16DB9769C}">
      <formula1>0</formula1>
      <formula2>1000000</formula2>
    </dataValidation>
    <dataValidation type="whole" allowBlank="1" showInputMessage="1" showErrorMessage="1" sqref="G11 G17 G19" xr:uid="{6DFBDDFC-E6AF-4491-9793-D70851CED43E}">
      <formula1>1</formula1>
      <formula2>1000000000000</formula2>
    </dataValidation>
    <dataValidation type="decimal" allowBlank="1" showInputMessage="1" showErrorMessage="1" sqref="G138:G169 G16 G226:G227 G12:G14 G103:G105 G131:G133 G110:G113 G117:G120 G115 G122 G124:G126" xr:uid="{70202342-5E22-8D4E-B23C-48ACDEC21FC6}">
      <formula1>0</formula1>
      <formula2>100</formula2>
    </dataValidation>
    <dataValidation type="decimal" allowBlank="1" showInputMessage="1" showErrorMessage="1" sqref="G15" xr:uid="{EB46BA65-A702-4DAD-89FC-C0B9E4E21483}">
      <formula1>0</formula1>
      <formula2>1000000000</formula2>
    </dataValidation>
    <dataValidation type="textLength" allowBlank="1" showInputMessage="1" showErrorMessage="1" sqref="H250:H256 H24:H29 H47:H52 H56:H62 G10:H20 H99:H169 H66:H95 H185:H190 H194:H218 H222:H228 H232:H237 H241:H246 H33:H43 H172:H182" xr:uid="{FCDD250D-27EC-9E49-8040-F9501892EF49}">
      <formula1>1</formula1>
      <formula2>1000</formula2>
    </dataValidation>
    <dataValidation type="decimal" allowBlank="1" showInputMessage="1" showErrorMessage="1" sqref="G194:G218 G48 G50 G52 G71 G68 G177 G74:G83 G181:G182 G95 G190 G173 G175 G179 G186 G188 G137 G33:G43 G86 G89 G92 G56:G62 G24:G29 G102 G109 G130" xr:uid="{341B72D4-57BD-5648-B949-C9BA96C85226}">
      <formula1>0</formula1>
      <formula2>10000000000000</formula2>
    </dataValidation>
    <dataValidation type="textLength" allowBlank="1" showInputMessage="1" showErrorMessage="1" sqref="G47 G49 G51 G87 G90 G93 G66 G69 G84 G72 G134:G136 G106:G107 G114 G127:G128 G121 G99:G100" xr:uid="{0B52EC43-5FF7-3444-A2EE-7FB6D6F2E612}">
      <formula1>1</formula1>
      <formula2>50</formula2>
    </dataValidation>
    <dataValidation type="textLength" allowBlank="1" showInputMessage="1" showErrorMessage="1" sqref="G172 G176 G185 G174 G187 G189 G178 G180" xr:uid="{249985D2-88C4-6449-B4B6-9D2361A9C195}">
      <formula1>0</formula1>
      <formula2>100</formula2>
    </dataValidation>
    <dataValidation type="whole" allowBlank="1" showInputMessage="1" showErrorMessage="1" sqref="G222:G224 G232:G235 G237 G241:G242 G244:G246" xr:uid="{5DD977DB-7AE0-1142-9D37-C27EDF03B685}">
      <formula1>0</formula1>
      <formula2>10000</formula2>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0EF-0F1F-2A41-BADE-CE6A8757BF3C}">
  <sheetPr codeName="Sheet4">
    <tabColor rgb="FF7030A0"/>
  </sheetPr>
  <dimension ref="A1:BA258"/>
  <sheetViews>
    <sheetView topLeftCell="A80" zoomScale="80" zoomScaleNormal="60" workbookViewId="0">
      <selection activeCell="C104" sqref="C104"/>
    </sheetView>
  </sheetViews>
  <sheetFormatPr defaultColWidth="11.25" defaultRowHeight="15.75"/>
  <cols>
    <col min="1" max="1" width="17.375" customWidth="1"/>
    <col min="2" max="2" width="11.25" customWidth="1"/>
    <col min="3" max="3" width="43" customWidth="1"/>
    <col min="4" max="4" width="19.25" customWidth="1"/>
    <col min="5" max="5" width="15.75" bestFit="1" customWidth="1"/>
    <col min="6" max="7" width="15.75" customWidth="1"/>
    <col min="8" max="8" width="13.75" bestFit="1" customWidth="1"/>
    <col min="9" max="9" width="25" customWidth="1"/>
    <col min="11" max="11" width="100.5" bestFit="1" customWidth="1"/>
  </cols>
  <sheetData>
    <row r="1" spans="1:53">
      <c r="A1" t="s">
        <v>95</v>
      </c>
      <c r="BA1" t="s">
        <v>96</v>
      </c>
    </row>
    <row r="2" spans="1:53" ht="19.899999999999999" customHeight="1">
      <c r="H2" s="219" t="s">
        <v>492</v>
      </c>
      <c r="I2" s="219"/>
      <c r="BA2" t="s">
        <v>97</v>
      </c>
    </row>
    <row r="3" spans="1:53" ht="16.149999999999999" customHeight="1">
      <c r="H3" s="219"/>
      <c r="I3" s="219"/>
    </row>
    <row r="4" spans="1:53" ht="27" customHeight="1">
      <c r="C4" s="6" t="s">
        <v>93</v>
      </c>
      <c r="D4" s="7" t="s">
        <v>94</v>
      </c>
      <c r="E4" s="98" t="s">
        <v>798</v>
      </c>
      <c r="F4" s="15"/>
      <c r="G4" s="15"/>
      <c r="H4" s="219"/>
      <c r="I4" s="219"/>
    </row>
    <row r="5" spans="1:53" ht="16.149999999999999" customHeight="1">
      <c r="H5" s="219"/>
      <c r="I5" s="219"/>
    </row>
    <row r="6" spans="1:53" ht="16.149999999999999" customHeight="1">
      <c r="H6" s="219"/>
      <c r="I6" s="219"/>
    </row>
    <row r="7" spans="1:53">
      <c r="D7" s="8"/>
      <c r="E7" s="8"/>
      <c r="F7" s="8"/>
      <c r="G7" s="8"/>
      <c r="H7" s="8"/>
    </row>
    <row r="8" spans="1:53">
      <c r="A8" s="9"/>
      <c r="B8" s="229" t="s">
        <v>445</v>
      </c>
      <c r="C8" s="230"/>
      <c r="D8" s="230"/>
      <c r="E8" s="8"/>
      <c r="F8" s="16"/>
      <c r="G8" s="16"/>
      <c r="H8" s="210"/>
      <c r="I8" s="211"/>
    </row>
    <row r="9" spans="1:53">
      <c r="A9" s="11"/>
      <c r="B9" s="147" t="s">
        <v>110</v>
      </c>
      <c r="C9" s="148" t="s">
        <v>108</v>
      </c>
      <c r="D9" s="147" t="s">
        <v>98</v>
      </c>
      <c r="E9" s="8"/>
      <c r="F9" s="17"/>
      <c r="G9" s="17"/>
      <c r="H9" s="217" t="s">
        <v>100</v>
      </c>
      <c r="I9" s="218"/>
    </row>
    <row r="10" spans="1:53">
      <c r="A10" s="9" t="s">
        <v>842</v>
      </c>
      <c r="B10" s="100">
        <v>1</v>
      </c>
      <c r="C10" s="100" t="s">
        <v>101</v>
      </c>
      <c r="D10" s="100" t="s">
        <v>62</v>
      </c>
      <c r="E10" s="224" t="s">
        <v>933</v>
      </c>
      <c r="F10" s="14" t="s">
        <v>1341</v>
      </c>
      <c r="G10" s="14"/>
      <c r="H10" s="99">
        <v>4.0999999999999996</v>
      </c>
      <c r="I10" s="223"/>
      <c r="K10" t="str">
        <f>CONCATENATE("""",F10,"""",":","""","parcelassessmentwithdats_",LOWER($A10),"_",LOWER($E10),"""")</f>
        <v>"H10":"parcelassessmentwithdats_parcelinformation_parceldimension"</v>
      </c>
    </row>
    <row r="11" spans="1:53">
      <c r="A11" s="9" t="s">
        <v>842</v>
      </c>
      <c r="B11" s="100">
        <v>2</v>
      </c>
      <c r="C11" s="100" t="s">
        <v>446</v>
      </c>
      <c r="D11" s="100" t="s">
        <v>111</v>
      </c>
      <c r="E11" s="224" t="s">
        <v>934</v>
      </c>
      <c r="F11" s="14" t="s">
        <v>1342</v>
      </c>
      <c r="G11" s="14"/>
      <c r="H11" s="99"/>
      <c r="I11" s="223"/>
      <c r="K11" t="str">
        <f t="shared" ref="K11:K74" si="0">CONCATENATE("""",F11,"""",":","""","parcelassessmentwithdats_",LOWER($A11),"_",LOWER($E11),"""")</f>
        <v>"H11":"parcelassessmentwithdats_parcelinformation_numberofplants"</v>
      </c>
    </row>
    <row r="12" spans="1:53">
      <c r="A12" s="9" t="s">
        <v>842</v>
      </c>
      <c r="B12" s="100">
        <v>3</v>
      </c>
      <c r="C12" s="100" t="s">
        <v>608</v>
      </c>
      <c r="D12" s="100" t="s">
        <v>105</v>
      </c>
      <c r="E12" s="224" t="s">
        <v>935</v>
      </c>
      <c r="F12" s="14" t="s">
        <v>1343</v>
      </c>
      <c r="G12" s="14"/>
      <c r="H12" s="99">
        <v>37</v>
      </c>
      <c r="I12" s="223"/>
      <c r="K12" t="str">
        <f t="shared" si="0"/>
        <v>"H12":"parcelassessmentwithdats_parcelinformation_soilfractionsand"</v>
      </c>
    </row>
    <row r="13" spans="1:53">
      <c r="A13" s="9" t="s">
        <v>842</v>
      </c>
      <c r="B13" s="100">
        <v>4</v>
      </c>
      <c r="C13" s="100" t="s">
        <v>609</v>
      </c>
      <c r="D13" s="100" t="s">
        <v>105</v>
      </c>
      <c r="E13" s="224" t="s">
        <v>936</v>
      </c>
      <c r="F13" s="14" t="s">
        <v>1344</v>
      </c>
      <c r="G13" s="14"/>
      <c r="H13" s="99">
        <v>22</v>
      </c>
      <c r="I13" s="223"/>
      <c r="K13" t="str">
        <f t="shared" si="0"/>
        <v>"H13":"parcelassessmentwithdats_parcelinformation_soilfractionclay"</v>
      </c>
    </row>
    <row r="14" spans="1:53">
      <c r="A14" s="9" t="s">
        <v>842</v>
      </c>
      <c r="B14" s="100">
        <v>5</v>
      </c>
      <c r="C14" s="100" t="s">
        <v>610</v>
      </c>
      <c r="D14" s="100" t="s">
        <v>105</v>
      </c>
      <c r="E14" s="224" t="s">
        <v>937</v>
      </c>
      <c r="F14" s="14" t="s">
        <v>1345</v>
      </c>
      <c r="G14" s="14"/>
      <c r="H14" s="99">
        <v>31</v>
      </c>
      <c r="I14" s="223"/>
      <c r="K14" t="str">
        <f t="shared" si="0"/>
        <v>"H14":"parcelassessmentwithdats_parcelinformation_soilfractionsilt"</v>
      </c>
    </row>
    <row r="15" spans="1:53" ht="18">
      <c r="A15" s="9" t="s">
        <v>842</v>
      </c>
      <c r="B15" s="100">
        <v>6</v>
      </c>
      <c r="C15" s="100" t="s">
        <v>607</v>
      </c>
      <c r="D15" s="100" t="s">
        <v>468</v>
      </c>
      <c r="E15" s="224" t="s">
        <v>938</v>
      </c>
      <c r="F15" s="14" t="s">
        <v>1346</v>
      </c>
      <c r="G15" s="14"/>
      <c r="H15" s="99"/>
      <c r="I15" s="223"/>
      <c r="K15" t="str">
        <f t="shared" si="0"/>
        <v>"H15":"parcelassessmentwithdats_parcelinformation_bulkdensity"</v>
      </c>
    </row>
    <row r="16" spans="1:53">
      <c r="A16" s="9" t="s">
        <v>842</v>
      </c>
      <c r="B16" s="100">
        <v>7</v>
      </c>
      <c r="C16" s="100" t="s">
        <v>106</v>
      </c>
      <c r="D16" s="100" t="s">
        <v>105</v>
      </c>
      <c r="E16" s="224" t="s">
        <v>939</v>
      </c>
      <c r="F16" s="14" t="s">
        <v>1347</v>
      </c>
      <c r="G16" s="14"/>
      <c r="H16" s="99">
        <v>1</v>
      </c>
      <c r="I16" s="223"/>
      <c r="K16" t="str">
        <f t="shared" si="0"/>
        <v>"H16":"parcelassessmentwithdats_parcelinformation_soilorganiccarbon"</v>
      </c>
    </row>
    <row r="17" spans="1:11">
      <c r="A17" s="9" t="s">
        <v>842</v>
      </c>
      <c r="B17" s="100">
        <v>8</v>
      </c>
      <c r="C17" s="100" t="s">
        <v>102</v>
      </c>
      <c r="D17" s="100" t="s">
        <v>111</v>
      </c>
      <c r="E17" s="224" t="s">
        <v>940</v>
      </c>
      <c r="F17" s="14" t="s">
        <v>1348</v>
      </c>
      <c r="G17" s="14"/>
      <c r="H17" s="99"/>
      <c r="I17" s="223"/>
      <c r="K17" t="str">
        <f t="shared" si="0"/>
        <v>"H17":"parcelassessmentwithdats_parcelinformation_numberofanimals"</v>
      </c>
    </row>
    <row r="18" spans="1:11">
      <c r="A18" s="9" t="s">
        <v>842</v>
      </c>
      <c r="B18" s="100">
        <v>9</v>
      </c>
      <c r="C18" s="100" t="s">
        <v>103</v>
      </c>
      <c r="D18" s="100" t="s">
        <v>104</v>
      </c>
      <c r="E18" s="224" t="s">
        <v>941</v>
      </c>
      <c r="F18" s="14" t="s">
        <v>1349</v>
      </c>
      <c r="G18" s="14"/>
      <c r="H18" s="99"/>
      <c r="I18" s="223"/>
      <c r="K18" t="str">
        <f t="shared" si="0"/>
        <v>"H18":"parcelassessmentwithdats_parcelinformation_livestockunits"</v>
      </c>
    </row>
    <row r="19" spans="1:11">
      <c r="A19" s="9" t="s">
        <v>842</v>
      </c>
      <c r="B19" s="100">
        <v>10</v>
      </c>
      <c r="C19" s="100" t="s">
        <v>124</v>
      </c>
      <c r="D19" s="100" t="s">
        <v>111</v>
      </c>
      <c r="E19" s="224" t="s">
        <v>942</v>
      </c>
      <c r="F19" s="14" t="s">
        <v>1350</v>
      </c>
      <c r="G19" s="14"/>
      <c r="H19" s="99"/>
      <c r="I19" s="223"/>
      <c r="K19" t="str">
        <f t="shared" si="0"/>
        <v>"H19":"parcelassessmentwithdats_parcelinformation_numberofbeehives"</v>
      </c>
    </row>
    <row r="20" spans="1:11" ht="18">
      <c r="A20" s="9" t="s">
        <v>842</v>
      </c>
      <c r="B20" s="100">
        <v>11</v>
      </c>
      <c r="C20" s="100" t="s">
        <v>288</v>
      </c>
      <c r="D20" s="100" t="s">
        <v>289</v>
      </c>
      <c r="E20" s="224" t="s">
        <v>943</v>
      </c>
      <c r="F20" s="14" t="s">
        <v>1351</v>
      </c>
      <c r="G20" s="14"/>
      <c r="H20" s="99"/>
      <c r="I20" s="223"/>
      <c r="K20" t="str">
        <f t="shared" si="0"/>
        <v>"H20":"parcelassessmentwithdats_parcelinformation_aquaculturearea"</v>
      </c>
    </row>
    <row r="21" spans="1:11">
      <c r="A21" s="9"/>
      <c r="B21" s="100"/>
      <c r="C21" s="13"/>
      <c r="D21" s="9"/>
      <c r="E21" s="14"/>
      <c r="F21" s="14" t="s">
        <v>1352</v>
      </c>
      <c r="G21" s="14"/>
      <c r="H21" s="132"/>
      <c r="I21" s="133"/>
      <c r="K21" t="str">
        <f t="shared" si="0"/>
        <v>"H21":"parcelassessmentwithdats__"</v>
      </c>
    </row>
    <row r="22" spans="1:11">
      <c r="A22" s="10"/>
      <c r="B22" s="101" t="s">
        <v>0</v>
      </c>
      <c r="C22" s="102"/>
      <c r="D22" s="102"/>
      <c r="E22" s="12"/>
      <c r="F22" s="14" t="s">
        <v>1353</v>
      </c>
      <c r="G22" s="14"/>
      <c r="H22" s="212" t="s">
        <v>107</v>
      </c>
      <c r="I22" s="213"/>
      <c r="K22" t="str">
        <f t="shared" si="0"/>
        <v>"H22":"parcelassessmentwithdats__"</v>
      </c>
    </row>
    <row r="23" spans="1:11">
      <c r="A23" s="10"/>
      <c r="B23" s="103" t="s">
        <v>110</v>
      </c>
      <c r="C23" s="103" t="s">
        <v>108</v>
      </c>
      <c r="D23" s="103" t="s">
        <v>98</v>
      </c>
      <c r="E23" s="18"/>
      <c r="F23" s="14" t="s">
        <v>1354</v>
      </c>
      <c r="G23" s="14"/>
      <c r="H23" s="82" t="s">
        <v>493</v>
      </c>
      <c r="I23" s="82" t="s">
        <v>100</v>
      </c>
      <c r="K23" t="str">
        <f t="shared" si="0"/>
        <v>"H23":"parcelassessmentwithdats__"</v>
      </c>
    </row>
    <row r="24" spans="1:11" ht="18">
      <c r="A24" t="s">
        <v>920</v>
      </c>
      <c r="B24" s="100">
        <v>12</v>
      </c>
      <c r="C24" s="100" t="s">
        <v>1</v>
      </c>
      <c r="D24" s="100" t="s">
        <v>501</v>
      </c>
      <c r="E24" t="s">
        <v>944</v>
      </c>
      <c r="F24" s="14" t="s">
        <v>1355</v>
      </c>
      <c r="G24" s="14"/>
      <c r="H24" s="99">
        <v>2619</v>
      </c>
      <c r="I24" s="99"/>
      <c r="K24" t="str">
        <f t="shared" si="0"/>
        <v>"H24":"parcelassessmentwithdats_waterusageinformation_waterusageforirrigation"</v>
      </c>
    </row>
    <row r="25" spans="1:11" ht="18">
      <c r="A25" t="s">
        <v>920</v>
      </c>
      <c r="B25" s="100">
        <v>13</v>
      </c>
      <c r="C25" s="100" t="s">
        <v>2</v>
      </c>
      <c r="D25" s="100" t="s">
        <v>501</v>
      </c>
      <c r="E25" t="s">
        <v>945</v>
      </c>
      <c r="F25" s="14" t="s">
        <v>1356</v>
      </c>
      <c r="G25" s="14"/>
      <c r="H25" s="99">
        <v>1023</v>
      </c>
      <c r="I25" s="99"/>
      <c r="K25" t="str">
        <f t="shared" si="0"/>
        <v>"H25":"parcelassessmentwithdats_waterusageinformation_waterusageforfertigation"</v>
      </c>
    </row>
    <row r="26" spans="1:11" ht="18">
      <c r="A26" t="s">
        <v>920</v>
      </c>
      <c r="B26" s="100">
        <v>14</v>
      </c>
      <c r="C26" s="100" t="s">
        <v>30</v>
      </c>
      <c r="D26" s="100" t="s">
        <v>501</v>
      </c>
      <c r="E26" t="s">
        <v>946</v>
      </c>
      <c r="F26" s="14" t="s">
        <v>1357</v>
      </c>
      <c r="G26" s="14"/>
      <c r="H26" s="99"/>
      <c r="I26" s="99"/>
      <c r="K26" t="str">
        <f t="shared" si="0"/>
        <v>"H26":"parcelassessmentwithdats_waterusageinformation_waterusageforpestdilution"</v>
      </c>
    </row>
    <row r="27" spans="1:11" ht="18">
      <c r="A27" t="s">
        <v>920</v>
      </c>
      <c r="B27" s="100">
        <v>15</v>
      </c>
      <c r="C27" s="100" t="s">
        <v>3</v>
      </c>
      <c r="D27" s="100" t="s">
        <v>501</v>
      </c>
      <c r="E27" t="s">
        <v>947</v>
      </c>
      <c r="F27" s="14" t="s">
        <v>1358</v>
      </c>
      <c r="G27" s="14"/>
      <c r="H27" s="99"/>
      <c r="I27" s="99"/>
      <c r="K27" t="str">
        <f t="shared" si="0"/>
        <v>"H27":"parcelassessmentwithdats_waterusageinformation_waterusageforcleaning"</v>
      </c>
    </row>
    <row r="28" spans="1:11" ht="18">
      <c r="A28" t="s">
        <v>920</v>
      </c>
      <c r="B28" s="100">
        <v>16</v>
      </c>
      <c r="C28" s="100" t="s">
        <v>109</v>
      </c>
      <c r="D28" s="100" t="s">
        <v>501</v>
      </c>
      <c r="E28" t="s">
        <v>948</v>
      </c>
      <c r="F28" s="14" t="s">
        <v>1359</v>
      </c>
      <c r="G28" s="14"/>
      <c r="H28" s="99"/>
      <c r="I28" s="99"/>
      <c r="K28" t="str">
        <f t="shared" si="0"/>
        <v>"H28":"parcelassessmentwithdats_waterusageinformation_waterusagefordrinking"</v>
      </c>
    </row>
    <row r="29" spans="1:11" ht="18">
      <c r="A29" t="s">
        <v>920</v>
      </c>
      <c r="B29" s="100">
        <v>17</v>
      </c>
      <c r="C29" s="104" t="s">
        <v>126</v>
      </c>
      <c r="D29" s="100" t="s">
        <v>501</v>
      </c>
      <c r="E29" t="s">
        <v>949</v>
      </c>
      <c r="F29" s="14" t="s">
        <v>1360</v>
      </c>
      <c r="G29" s="14"/>
      <c r="H29" s="99">
        <v>3642</v>
      </c>
      <c r="I29" s="99"/>
      <c r="K29" t="str">
        <f t="shared" si="0"/>
        <v>"H29":"parcelassessmentwithdats_waterusageinformation_totalwaterusage"</v>
      </c>
    </row>
    <row r="30" spans="1:11">
      <c r="F30" s="14" t="s">
        <v>1361</v>
      </c>
      <c r="G30" s="14"/>
      <c r="H30" s="81"/>
      <c r="I30" s="81"/>
      <c r="K30" t="str">
        <f t="shared" si="0"/>
        <v>"H30":"parcelassessmentwithdats__"</v>
      </c>
    </row>
    <row r="31" spans="1:11">
      <c r="B31" s="105" t="s">
        <v>5</v>
      </c>
      <c r="C31" s="106"/>
      <c r="D31" s="107"/>
      <c r="E31" s="12"/>
      <c r="F31" s="14" t="s">
        <v>1362</v>
      </c>
      <c r="G31" s="14"/>
      <c r="H31" s="212" t="s">
        <v>107</v>
      </c>
      <c r="I31" s="213"/>
      <c r="K31" t="str">
        <f t="shared" si="0"/>
        <v>"H31":"parcelassessmentwithdats__"</v>
      </c>
    </row>
    <row r="32" spans="1:11">
      <c r="B32" s="108" t="s">
        <v>110</v>
      </c>
      <c r="C32" s="108" t="s">
        <v>108</v>
      </c>
      <c r="D32" s="108" t="s">
        <v>168</v>
      </c>
      <c r="E32" s="18"/>
      <c r="F32" s="14" t="s">
        <v>1363</v>
      </c>
      <c r="G32" s="14"/>
      <c r="H32" s="82" t="s">
        <v>493</v>
      </c>
      <c r="I32" s="82" t="s">
        <v>100</v>
      </c>
      <c r="K32" t="str">
        <f t="shared" si="0"/>
        <v>"H32":"parcelassessmentwithdats__"</v>
      </c>
    </row>
    <row r="33" spans="1:11">
      <c r="A33" t="s">
        <v>921</v>
      </c>
      <c r="B33" s="100">
        <v>18</v>
      </c>
      <c r="C33" s="100" t="s">
        <v>4</v>
      </c>
      <c r="D33" s="100" t="s">
        <v>72</v>
      </c>
      <c r="E33" s="225" t="s">
        <v>950</v>
      </c>
      <c r="F33" s="14" t="s">
        <v>1364</v>
      </c>
      <c r="G33" s="14"/>
      <c r="H33" s="99"/>
      <c r="I33" s="99"/>
      <c r="K33" t="str">
        <f t="shared" si="0"/>
        <v>"H33":"parcelassessmentwithdats_fuelusageinformation_fuelusageforfertilisation"</v>
      </c>
    </row>
    <row r="34" spans="1:11">
      <c r="A34" t="s">
        <v>921</v>
      </c>
      <c r="B34" s="100">
        <v>19</v>
      </c>
      <c r="C34" s="100" t="s">
        <v>16</v>
      </c>
      <c r="D34" s="100" t="s">
        <v>72</v>
      </c>
      <c r="E34" s="225" t="s">
        <v>951</v>
      </c>
      <c r="F34" s="14" t="s">
        <v>1365</v>
      </c>
      <c r="G34" s="14"/>
      <c r="H34" s="99"/>
      <c r="I34" s="99"/>
      <c r="K34" t="str">
        <f t="shared" si="0"/>
        <v>"H34":"parcelassessmentwithdats_fuelusageinformation_fuelusageforpesticides"</v>
      </c>
    </row>
    <row r="35" spans="1:11">
      <c r="A35" t="s">
        <v>921</v>
      </c>
      <c r="B35" s="100">
        <v>20</v>
      </c>
      <c r="C35" s="100" t="s">
        <v>1</v>
      </c>
      <c r="D35" s="100" t="s">
        <v>72</v>
      </c>
      <c r="E35" s="225" t="s">
        <v>952</v>
      </c>
      <c r="F35" s="14" t="s">
        <v>1366</v>
      </c>
      <c r="G35" s="14"/>
      <c r="H35" s="99"/>
      <c r="I35" s="99"/>
      <c r="K35" t="str">
        <f t="shared" si="0"/>
        <v>"H35":"parcelassessmentwithdats_fuelusageinformation_fuelusageforirrigation"</v>
      </c>
    </row>
    <row r="36" spans="1:11">
      <c r="A36" t="s">
        <v>921</v>
      </c>
      <c r="B36" s="100">
        <v>21</v>
      </c>
      <c r="C36" s="100" t="s">
        <v>125</v>
      </c>
      <c r="D36" s="100" t="s">
        <v>72</v>
      </c>
      <c r="E36" s="225" t="s">
        <v>953</v>
      </c>
      <c r="F36" s="14" t="s">
        <v>1367</v>
      </c>
      <c r="G36" s="14"/>
      <c r="H36" s="99"/>
      <c r="I36" s="99"/>
      <c r="K36" t="str">
        <f t="shared" si="0"/>
        <v>"H36":"parcelassessmentwithdats_fuelusageinformation_fuelusageforsowing"</v>
      </c>
    </row>
    <row r="37" spans="1:11">
      <c r="A37" t="s">
        <v>921</v>
      </c>
      <c r="B37" s="100">
        <v>22</v>
      </c>
      <c r="C37" s="100" t="s">
        <v>32</v>
      </c>
      <c r="D37" s="100" t="s">
        <v>72</v>
      </c>
      <c r="E37" s="225" t="s">
        <v>954</v>
      </c>
      <c r="F37" s="14" t="s">
        <v>1368</v>
      </c>
      <c r="G37" s="14"/>
      <c r="H37" s="99"/>
      <c r="I37" s="99"/>
      <c r="K37" t="str">
        <f t="shared" si="0"/>
        <v>"H37":"parcelassessmentwithdats_fuelusageinformation_fuelusageforpruning"</v>
      </c>
    </row>
    <row r="38" spans="1:11">
      <c r="A38" t="s">
        <v>921</v>
      </c>
      <c r="B38" s="100">
        <v>23</v>
      </c>
      <c r="C38" s="100" t="s">
        <v>31</v>
      </c>
      <c r="D38" s="100" t="s">
        <v>72</v>
      </c>
      <c r="E38" s="225" t="s">
        <v>955</v>
      </c>
      <c r="F38" s="14" t="s">
        <v>1369</v>
      </c>
      <c r="G38" s="14"/>
      <c r="H38" s="99"/>
      <c r="I38" s="99"/>
      <c r="K38" t="str">
        <f t="shared" si="0"/>
        <v>"H38":"parcelassessmentwithdats_fuelusageinformation_fuelusagefortemperaturehumiditycontrol"</v>
      </c>
    </row>
    <row r="39" spans="1:11">
      <c r="A39" t="s">
        <v>921</v>
      </c>
      <c r="B39" s="100">
        <v>24</v>
      </c>
      <c r="C39" s="100" t="s">
        <v>37</v>
      </c>
      <c r="D39" s="100" t="s">
        <v>72</v>
      </c>
      <c r="E39" s="225" t="s">
        <v>956</v>
      </c>
      <c r="F39" s="14" t="s">
        <v>1370</v>
      </c>
      <c r="G39" s="14"/>
      <c r="H39" s="99"/>
      <c r="I39" s="99"/>
      <c r="K39" t="str">
        <f t="shared" si="0"/>
        <v>"H39":"parcelassessmentwithdats_fuelusageinformation_fuelusageforbeehivesvisits"</v>
      </c>
    </row>
    <row r="40" spans="1:11">
      <c r="A40" t="s">
        <v>921</v>
      </c>
      <c r="B40" s="100">
        <v>25</v>
      </c>
      <c r="C40" s="100" t="s">
        <v>38</v>
      </c>
      <c r="D40" s="100" t="s">
        <v>72</v>
      </c>
      <c r="E40" s="225" t="s">
        <v>957</v>
      </c>
      <c r="F40" s="14" t="s">
        <v>1371</v>
      </c>
      <c r="G40" s="14"/>
      <c r="H40" s="99"/>
      <c r="I40" s="99"/>
      <c r="K40" t="str">
        <f t="shared" si="0"/>
        <v>"H40":"parcelassessmentwithdats_fuelusageinformation_fuelusagefortransportingoysters"</v>
      </c>
    </row>
    <row r="41" spans="1:11">
      <c r="A41" t="s">
        <v>921</v>
      </c>
      <c r="B41" s="100">
        <v>26</v>
      </c>
      <c r="C41" s="100" t="s">
        <v>15</v>
      </c>
      <c r="D41" s="100" t="s">
        <v>72</v>
      </c>
      <c r="E41" s="225" t="s">
        <v>958</v>
      </c>
      <c r="F41" s="14" t="s">
        <v>1372</v>
      </c>
      <c r="G41" s="14"/>
      <c r="H41" s="99"/>
      <c r="I41" s="99"/>
      <c r="K41" t="str">
        <f t="shared" si="0"/>
        <v>"H41":"parcelassessmentwithdats_fuelusageinformation_fuelusageformilking"</v>
      </c>
    </row>
    <row r="42" spans="1:11">
      <c r="A42" t="s">
        <v>921</v>
      </c>
      <c r="B42" s="100">
        <v>27</v>
      </c>
      <c r="C42" s="100" t="s">
        <v>39</v>
      </c>
      <c r="D42" s="100" t="s">
        <v>72</v>
      </c>
      <c r="E42" s="225" t="s">
        <v>959</v>
      </c>
      <c r="F42" s="14" t="s">
        <v>1373</v>
      </c>
      <c r="G42" s="14"/>
      <c r="H42" s="99"/>
      <c r="I42" s="99"/>
      <c r="K42" t="str">
        <f t="shared" si="0"/>
        <v>"H42":"parcelassessmentwithdats_fuelusageinformation_fuelusageforfeeding"</v>
      </c>
    </row>
    <row r="43" spans="1:11">
      <c r="A43" t="s">
        <v>921</v>
      </c>
      <c r="B43" s="100">
        <v>28</v>
      </c>
      <c r="C43" s="104" t="s">
        <v>134</v>
      </c>
      <c r="D43" s="100" t="s">
        <v>72</v>
      </c>
      <c r="E43" t="s">
        <v>960</v>
      </c>
      <c r="F43" s="14" t="s">
        <v>1374</v>
      </c>
      <c r="G43" s="14"/>
      <c r="H43" s="99"/>
      <c r="I43" s="99"/>
      <c r="K43" t="str">
        <f t="shared" si="0"/>
        <v>"H43":"parcelassessmentwithdats_fuelusageinformation_totalfuelusage"</v>
      </c>
    </row>
    <row r="44" spans="1:11">
      <c r="B44" s="76"/>
      <c r="C44" s="77"/>
      <c r="D44" s="76"/>
      <c r="F44" s="14" t="s">
        <v>1375</v>
      </c>
      <c r="G44" s="14"/>
      <c r="H44" s="81"/>
      <c r="I44" s="81"/>
      <c r="K44" t="str">
        <f t="shared" si="0"/>
        <v>"H44":"parcelassessmentwithdats__"</v>
      </c>
    </row>
    <row r="45" spans="1:11">
      <c r="B45" s="226" t="s">
        <v>471</v>
      </c>
      <c r="C45" s="227"/>
      <c r="D45" s="227"/>
      <c r="F45" s="14" t="s">
        <v>1376</v>
      </c>
      <c r="G45" s="14"/>
      <c r="H45" s="212" t="s">
        <v>107</v>
      </c>
      <c r="I45" s="213"/>
      <c r="K45" t="str">
        <f t="shared" si="0"/>
        <v>"H45":"parcelassessmentwithdats__"</v>
      </c>
    </row>
    <row r="46" spans="1:11">
      <c r="B46" s="108" t="s">
        <v>110</v>
      </c>
      <c r="C46" s="108" t="s">
        <v>108</v>
      </c>
      <c r="D46" s="108"/>
      <c r="F46" s="14" t="s">
        <v>1377</v>
      </c>
      <c r="G46" s="14"/>
      <c r="H46" s="82" t="s">
        <v>493</v>
      </c>
      <c r="I46" s="82" t="s">
        <v>100</v>
      </c>
      <c r="K46" t="str">
        <f t="shared" si="0"/>
        <v>"H46":"parcelassessmentwithdats__"</v>
      </c>
    </row>
    <row r="47" spans="1:11">
      <c r="A47" t="s">
        <v>922</v>
      </c>
      <c r="B47" s="100">
        <v>29</v>
      </c>
      <c r="C47" s="100" t="s">
        <v>459</v>
      </c>
      <c r="D47" s="100" t="s">
        <v>462</v>
      </c>
      <c r="E47" t="s">
        <v>961</v>
      </c>
      <c r="F47" s="14" t="s">
        <v>1378</v>
      </c>
      <c r="G47" s="14"/>
      <c r="H47" s="99"/>
      <c r="I47" s="99"/>
      <c r="K47" t="str">
        <f t="shared" si="0"/>
        <v>"H47":"parcelassessmentwithdats_fuelfortemperaturecontrolinformation_productname_0"</v>
      </c>
    </row>
    <row r="48" spans="1:11">
      <c r="A48" t="s">
        <v>922</v>
      </c>
      <c r="B48" s="100">
        <v>30</v>
      </c>
      <c r="C48" s="100" t="s">
        <v>459</v>
      </c>
      <c r="D48" s="100" t="s">
        <v>464</v>
      </c>
      <c r="E48" s="76" t="s">
        <v>962</v>
      </c>
      <c r="F48" s="14" t="s">
        <v>1379</v>
      </c>
      <c r="G48" s="14"/>
      <c r="H48" s="99"/>
      <c r="I48" s="99"/>
      <c r="K48" t="str">
        <f t="shared" si="0"/>
        <v>"H48":"parcelassessmentwithdats_fuelfortemperaturecontrolinformation_quantity_0"</v>
      </c>
    </row>
    <row r="49" spans="1:11">
      <c r="A49" t="s">
        <v>922</v>
      </c>
      <c r="B49" s="100">
        <v>31</v>
      </c>
      <c r="C49" s="100" t="s">
        <v>460</v>
      </c>
      <c r="D49" s="100" t="s">
        <v>463</v>
      </c>
      <c r="E49" t="s">
        <v>963</v>
      </c>
      <c r="F49" s="14" t="s">
        <v>1380</v>
      </c>
      <c r="G49" s="14"/>
      <c r="H49" s="99"/>
      <c r="I49" s="99"/>
      <c r="K49" t="str">
        <f t="shared" si="0"/>
        <v>"H49":"parcelassessmentwithdats_fuelfortemperaturecontrolinformation_productname_1"</v>
      </c>
    </row>
    <row r="50" spans="1:11">
      <c r="A50" t="s">
        <v>922</v>
      </c>
      <c r="B50" s="100">
        <v>32</v>
      </c>
      <c r="C50" s="100" t="s">
        <v>460</v>
      </c>
      <c r="D50" s="100" t="s">
        <v>464</v>
      </c>
      <c r="E50" s="76" t="s">
        <v>964</v>
      </c>
      <c r="F50" s="14" t="s">
        <v>1381</v>
      </c>
      <c r="G50" s="14"/>
      <c r="H50" s="99"/>
      <c r="I50" s="99"/>
      <c r="K50" t="str">
        <f t="shared" si="0"/>
        <v>"H50":"parcelassessmentwithdats_fuelfortemperaturecontrolinformation_quantity_1"</v>
      </c>
    </row>
    <row r="51" spans="1:11">
      <c r="A51" t="s">
        <v>922</v>
      </c>
      <c r="B51" s="100">
        <v>33</v>
      </c>
      <c r="C51" s="100" t="s">
        <v>461</v>
      </c>
      <c r="D51" s="100" t="s">
        <v>463</v>
      </c>
      <c r="E51" t="s">
        <v>965</v>
      </c>
      <c r="F51" s="14" t="s">
        <v>1382</v>
      </c>
      <c r="G51" s="14"/>
      <c r="H51" s="99"/>
      <c r="I51" s="99"/>
      <c r="K51" t="str">
        <f t="shared" si="0"/>
        <v>"H51":"parcelassessmentwithdats_fuelfortemperaturecontrolinformation_productname_2"</v>
      </c>
    </row>
    <row r="52" spans="1:11">
      <c r="A52" t="s">
        <v>922</v>
      </c>
      <c r="B52" s="100">
        <v>34</v>
      </c>
      <c r="C52" s="100" t="s">
        <v>461</v>
      </c>
      <c r="D52" s="100" t="s">
        <v>464</v>
      </c>
      <c r="E52" s="76" t="s">
        <v>966</v>
      </c>
      <c r="F52" s="14" t="s">
        <v>1383</v>
      </c>
      <c r="G52" s="14"/>
      <c r="H52" s="99"/>
      <c r="I52" s="99"/>
      <c r="K52" t="str">
        <f t="shared" si="0"/>
        <v>"H52":"parcelassessmentwithdats_fuelfortemperaturecontrolinformation_quantity_2"</v>
      </c>
    </row>
    <row r="53" spans="1:11">
      <c r="F53" s="14" t="s">
        <v>1384</v>
      </c>
      <c r="G53" s="14"/>
      <c r="H53" s="81"/>
      <c r="I53" s="81"/>
      <c r="K53" t="str">
        <f t="shared" si="0"/>
        <v>"H53":"parcelassessmentwithdats__"</v>
      </c>
    </row>
    <row r="54" spans="1:11">
      <c r="B54" s="110" t="s">
        <v>13</v>
      </c>
      <c r="C54" s="111"/>
      <c r="D54" s="112"/>
      <c r="F54" s="14" t="s">
        <v>1385</v>
      </c>
      <c r="G54" s="14"/>
      <c r="H54" s="212" t="s">
        <v>107</v>
      </c>
      <c r="I54" s="213"/>
      <c r="K54" t="str">
        <f t="shared" si="0"/>
        <v>"H54":"parcelassessmentwithdats__"</v>
      </c>
    </row>
    <row r="55" spans="1:11">
      <c r="B55" s="113" t="s">
        <v>110</v>
      </c>
      <c r="C55" s="113" t="s">
        <v>108</v>
      </c>
      <c r="D55" s="113" t="s">
        <v>98</v>
      </c>
      <c r="F55" s="14" t="s">
        <v>1386</v>
      </c>
      <c r="G55" s="14"/>
      <c r="H55" s="82" t="s">
        <v>493</v>
      </c>
      <c r="I55" s="82" t="s">
        <v>100</v>
      </c>
      <c r="K55" t="str">
        <f t="shared" si="0"/>
        <v>"H55":"parcelassessmentwithdats__"</v>
      </c>
    </row>
    <row r="56" spans="1:11">
      <c r="A56" t="s">
        <v>923</v>
      </c>
      <c r="B56" s="100">
        <v>35</v>
      </c>
      <c r="C56" s="100" t="s">
        <v>32</v>
      </c>
      <c r="D56" s="100" t="s">
        <v>70</v>
      </c>
      <c r="E56" s="225" t="s">
        <v>972</v>
      </c>
      <c r="F56" s="14" t="s">
        <v>1387</v>
      </c>
      <c r="G56" s="14"/>
      <c r="H56" s="99"/>
      <c r="I56" s="99"/>
      <c r="K56" t="str">
        <f t="shared" si="0"/>
        <v>"H56":"parcelassessmentwithdats_electricityusageinformation_electricityusagefortemperaturehumiditycontrol"</v>
      </c>
    </row>
    <row r="57" spans="1:11">
      <c r="A57" t="s">
        <v>923</v>
      </c>
      <c r="B57" s="100">
        <v>36</v>
      </c>
      <c r="C57" s="100" t="s">
        <v>14</v>
      </c>
      <c r="D57" s="100" t="s">
        <v>70</v>
      </c>
      <c r="E57" s="225" t="s">
        <v>973</v>
      </c>
      <c r="F57" s="14" t="s">
        <v>1388</v>
      </c>
      <c r="G57" s="14"/>
      <c r="H57" s="99"/>
      <c r="I57" s="99"/>
      <c r="K57" t="str">
        <f t="shared" si="0"/>
        <v>"H57":"parcelassessmentwithdats_electricityusageinformation_electricityusageforirrigation"</v>
      </c>
    </row>
    <row r="58" spans="1:11">
      <c r="A58" t="s">
        <v>923</v>
      </c>
      <c r="B58" s="100">
        <v>37</v>
      </c>
      <c r="C58" s="100" t="s">
        <v>15</v>
      </c>
      <c r="D58" s="100" t="s">
        <v>70</v>
      </c>
      <c r="E58" s="225" t="s">
        <v>974</v>
      </c>
      <c r="F58" s="14" t="s">
        <v>1389</v>
      </c>
      <c r="G58" s="14"/>
      <c r="H58" s="99"/>
      <c r="I58" s="99"/>
      <c r="K58" t="str">
        <f t="shared" si="0"/>
        <v>"H58":"parcelassessmentwithdats_electricityusageinformation_electricityusageformilking"</v>
      </c>
    </row>
    <row r="59" spans="1:11">
      <c r="A59" t="s">
        <v>923</v>
      </c>
      <c r="B59" s="100">
        <v>38</v>
      </c>
      <c r="C59" s="100" t="s">
        <v>33</v>
      </c>
      <c r="D59" s="100" t="s">
        <v>70</v>
      </c>
      <c r="E59" s="225" t="s">
        <v>975</v>
      </c>
      <c r="F59" s="14" t="s">
        <v>1390</v>
      </c>
      <c r="G59" s="14"/>
      <c r="H59" s="99"/>
      <c r="I59" s="99"/>
      <c r="K59" t="str">
        <f t="shared" si="0"/>
        <v>"H59":"parcelassessmentwithdats_electricityusageinformation_electricityusageforheatdetection"</v>
      </c>
    </row>
    <row r="60" spans="1:11">
      <c r="A60" t="s">
        <v>923</v>
      </c>
      <c r="B60" s="100">
        <v>39</v>
      </c>
      <c r="C60" s="100" t="s">
        <v>34</v>
      </c>
      <c r="D60" s="100" t="s">
        <v>70</v>
      </c>
      <c r="E60" s="225" t="s">
        <v>976</v>
      </c>
      <c r="F60" s="14" t="s">
        <v>1391</v>
      </c>
      <c r="G60" s="14"/>
      <c r="H60" s="99"/>
      <c r="I60" s="99"/>
      <c r="K60" t="str">
        <f t="shared" si="0"/>
        <v>"H60":"parcelassessmentwithdats_electricityusageinformation_electricityusageforcalvingdetection"</v>
      </c>
    </row>
    <row r="61" spans="1:11">
      <c r="A61" t="s">
        <v>923</v>
      </c>
      <c r="B61" s="100">
        <v>40</v>
      </c>
      <c r="C61" s="100" t="s">
        <v>39</v>
      </c>
      <c r="D61" s="100" t="s">
        <v>70</v>
      </c>
      <c r="E61" s="225" t="s">
        <v>977</v>
      </c>
      <c r="F61" s="14" t="s">
        <v>1392</v>
      </c>
      <c r="G61" s="14"/>
      <c r="H61" s="99"/>
      <c r="I61" s="99"/>
      <c r="K61" t="str">
        <f t="shared" si="0"/>
        <v>"H61":"parcelassessmentwithdats_electricityusageinformation_electricityusageforfeeding"</v>
      </c>
    </row>
    <row r="62" spans="1:11">
      <c r="A62" t="s">
        <v>923</v>
      </c>
      <c r="B62" s="100">
        <v>41</v>
      </c>
      <c r="C62" s="104" t="s">
        <v>135</v>
      </c>
      <c r="D62" s="100" t="s">
        <v>70</v>
      </c>
      <c r="E62" s="225" t="s">
        <v>978</v>
      </c>
      <c r="F62" s="14" t="s">
        <v>1393</v>
      </c>
      <c r="G62" s="14"/>
      <c r="H62" s="99">
        <v>70</v>
      </c>
      <c r="I62" s="99"/>
      <c r="K62" t="str">
        <f t="shared" si="0"/>
        <v>"H62":"parcelassessmentwithdats_electricityusageinformation_totalelectricityusage"</v>
      </c>
    </row>
    <row r="63" spans="1:11">
      <c r="F63" s="14" t="s">
        <v>1394</v>
      </c>
      <c r="G63" s="14"/>
      <c r="H63" s="81"/>
      <c r="I63" s="81"/>
      <c r="K63" t="str">
        <f t="shared" si="0"/>
        <v>"H63":"parcelassessmentwithdats__"</v>
      </c>
    </row>
    <row r="64" spans="1:11">
      <c r="B64" s="114" t="s">
        <v>452</v>
      </c>
      <c r="C64" s="115"/>
      <c r="D64" s="115"/>
      <c r="F64" s="14" t="s">
        <v>1395</v>
      </c>
      <c r="G64" s="14"/>
      <c r="H64" s="212" t="s">
        <v>107</v>
      </c>
      <c r="I64" s="213"/>
      <c r="K64" t="str">
        <f t="shared" si="0"/>
        <v>"H64":"parcelassessmentwithdats__"</v>
      </c>
    </row>
    <row r="65" spans="1:11">
      <c r="B65" s="116" t="s">
        <v>110</v>
      </c>
      <c r="C65" s="116" t="s">
        <v>108</v>
      </c>
      <c r="D65" s="116"/>
      <c r="F65" s="14" t="s">
        <v>1396</v>
      </c>
      <c r="G65" s="14"/>
      <c r="H65" s="82" t="s">
        <v>493</v>
      </c>
      <c r="I65" s="82" t="s">
        <v>100</v>
      </c>
      <c r="K65" t="str">
        <f t="shared" si="0"/>
        <v>"H65":"parcelassessmentwithdats__"</v>
      </c>
    </row>
    <row r="66" spans="1:11">
      <c r="A66" t="s">
        <v>924</v>
      </c>
      <c r="B66" s="149">
        <v>42</v>
      </c>
      <c r="C66" s="86" t="s">
        <v>10</v>
      </c>
      <c r="D66" s="86" t="s">
        <v>576</v>
      </c>
      <c r="E66" t="s">
        <v>961</v>
      </c>
      <c r="F66" s="14" t="s">
        <v>1397</v>
      </c>
      <c r="G66" s="14"/>
      <c r="H66" s="99"/>
      <c r="I66" s="99"/>
      <c r="K66" t="str">
        <f t="shared" si="0"/>
        <v>"H66":"parcelassessmentwithdats_pesticidesusageinformation_productname_0"</v>
      </c>
    </row>
    <row r="67" spans="1:11">
      <c r="A67" t="s">
        <v>924</v>
      </c>
      <c r="B67" s="149">
        <v>43</v>
      </c>
      <c r="C67" s="86" t="s">
        <v>10</v>
      </c>
      <c r="D67" s="86" t="s">
        <v>7</v>
      </c>
      <c r="E67" t="s">
        <v>979</v>
      </c>
      <c r="F67" s="14" t="s">
        <v>1398</v>
      </c>
      <c r="G67" s="14"/>
      <c r="H67" s="99"/>
      <c r="I67" s="99"/>
      <c r="K67" t="str">
        <f t="shared" si="0"/>
        <v>"H67":"parcelassessmentwithdats_pesticidesusageinformation_numberoftreatments_0"</v>
      </c>
    </row>
    <row r="68" spans="1:11">
      <c r="A68" t="s">
        <v>924</v>
      </c>
      <c r="B68" s="149">
        <v>44</v>
      </c>
      <c r="C68" s="86" t="s">
        <v>10</v>
      </c>
      <c r="D68" s="86" t="s">
        <v>453</v>
      </c>
      <c r="E68" t="s">
        <v>980</v>
      </c>
      <c r="F68" s="14" t="s">
        <v>1399</v>
      </c>
      <c r="G68" s="14"/>
      <c r="H68" s="99"/>
      <c r="I68" s="99"/>
      <c r="K68" t="str">
        <f t="shared" si="0"/>
        <v>"H68":"parcelassessmentwithdats_pesticidesusageinformation_averagequantity_0"</v>
      </c>
    </row>
    <row r="69" spans="1:11">
      <c r="A69" t="s">
        <v>924</v>
      </c>
      <c r="B69" s="149">
        <v>45</v>
      </c>
      <c r="C69" s="86" t="s">
        <v>11</v>
      </c>
      <c r="D69" s="86" t="s">
        <v>167</v>
      </c>
      <c r="E69" t="s">
        <v>963</v>
      </c>
      <c r="F69" s="14" t="s">
        <v>1400</v>
      </c>
      <c r="G69" s="14"/>
      <c r="H69" s="99"/>
      <c r="I69" s="99"/>
      <c r="K69" t="str">
        <f t="shared" si="0"/>
        <v>"H69":"parcelassessmentwithdats_pesticidesusageinformation_productname_1"</v>
      </c>
    </row>
    <row r="70" spans="1:11">
      <c r="A70" t="s">
        <v>924</v>
      </c>
      <c r="B70" s="149">
        <v>46</v>
      </c>
      <c r="C70" s="86" t="s">
        <v>11</v>
      </c>
      <c r="D70" s="86" t="s">
        <v>7</v>
      </c>
      <c r="E70" t="s">
        <v>981</v>
      </c>
      <c r="F70" s="14" t="s">
        <v>1401</v>
      </c>
      <c r="G70" s="14"/>
      <c r="H70" s="99"/>
      <c r="I70" s="99"/>
      <c r="K70" t="str">
        <f t="shared" si="0"/>
        <v>"H70":"parcelassessmentwithdats_pesticidesusageinformation_numberoftreatments_1"</v>
      </c>
    </row>
    <row r="71" spans="1:11">
      <c r="A71" t="s">
        <v>924</v>
      </c>
      <c r="B71" s="149">
        <v>47</v>
      </c>
      <c r="C71" s="86" t="s">
        <v>11</v>
      </c>
      <c r="D71" s="86" t="s">
        <v>453</v>
      </c>
      <c r="E71" t="s">
        <v>982</v>
      </c>
      <c r="F71" s="14" t="s">
        <v>1402</v>
      </c>
      <c r="G71" s="14"/>
      <c r="H71" s="99"/>
      <c r="I71" s="99"/>
      <c r="K71" t="str">
        <f t="shared" si="0"/>
        <v>"H71":"parcelassessmentwithdats_pesticidesusageinformation_averagequantity_1"</v>
      </c>
    </row>
    <row r="72" spans="1:11">
      <c r="A72" t="s">
        <v>924</v>
      </c>
      <c r="B72" s="149">
        <v>48</v>
      </c>
      <c r="C72" s="86" t="s">
        <v>635</v>
      </c>
      <c r="D72" s="86" t="s">
        <v>560</v>
      </c>
      <c r="E72" t="s">
        <v>965</v>
      </c>
      <c r="F72" s="14" t="s">
        <v>1403</v>
      </c>
      <c r="G72" s="14"/>
      <c r="H72" s="99"/>
      <c r="I72" s="99"/>
      <c r="K72" t="str">
        <f t="shared" si="0"/>
        <v>"H72":"parcelassessmentwithdats_pesticidesusageinformation_productname_2"</v>
      </c>
    </row>
    <row r="73" spans="1:11">
      <c r="A73" t="s">
        <v>924</v>
      </c>
      <c r="B73" s="149">
        <v>49</v>
      </c>
      <c r="C73" s="86" t="s">
        <v>635</v>
      </c>
      <c r="D73" s="86" t="s">
        <v>7</v>
      </c>
      <c r="E73" t="s">
        <v>983</v>
      </c>
      <c r="F73" s="14" t="s">
        <v>1404</v>
      </c>
      <c r="G73" s="14"/>
      <c r="H73" s="99"/>
      <c r="I73" s="99"/>
      <c r="K73" t="str">
        <f t="shared" si="0"/>
        <v>"H73":"parcelassessmentwithdats_pesticidesusageinformation_numberoftreatments_2"</v>
      </c>
    </row>
    <row r="74" spans="1:11">
      <c r="A74" t="s">
        <v>924</v>
      </c>
      <c r="B74" s="149">
        <v>50</v>
      </c>
      <c r="C74" s="86" t="s">
        <v>635</v>
      </c>
      <c r="D74" s="86" t="s">
        <v>453</v>
      </c>
      <c r="E74" t="s">
        <v>984</v>
      </c>
      <c r="F74" s="14" t="s">
        <v>1405</v>
      </c>
      <c r="G74" s="14"/>
      <c r="H74" s="99"/>
      <c r="I74" s="99"/>
      <c r="K74" t="str">
        <f t="shared" si="0"/>
        <v>"H74":"parcelassessmentwithdats_pesticidesusageinformation_averagequantity_2"</v>
      </c>
    </row>
    <row r="75" spans="1:11">
      <c r="A75" t="s">
        <v>924</v>
      </c>
      <c r="B75" s="149">
        <v>51</v>
      </c>
      <c r="C75" s="86" t="s">
        <v>636</v>
      </c>
      <c r="D75" s="86" t="s">
        <v>560</v>
      </c>
      <c r="E75" t="s">
        <v>967</v>
      </c>
      <c r="F75" s="14" t="s">
        <v>1406</v>
      </c>
      <c r="G75" s="14"/>
      <c r="H75" s="99"/>
      <c r="I75" s="99"/>
      <c r="K75" t="str">
        <f t="shared" ref="K75:K138" si="1">CONCATENATE("""",F75,"""",":","""","parcelassessmentwithdats_",LOWER($A75),"_",LOWER($E75),"""")</f>
        <v>"H75":"parcelassessmentwithdats_pesticidesusageinformation_productname_3"</v>
      </c>
    </row>
    <row r="76" spans="1:11">
      <c r="A76" t="s">
        <v>924</v>
      </c>
      <c r="B76" s="149">
        <v>52</v>
      </c>
      <c r="C76" s="86" t="s">
        <v>636</v>
      </c>
      <c r="D76" s="86" t="s">
        <v>7</v>
      </c>
      <c r="E76" t="s">
        <v>985</v>
      </c>
      <c r="F76" s="14" t="s">
        <v>1407</v>
      </c>
      <c r="G76" s="14"/>
      <c r="H76" s="99"/>
      <c r="I76" s="99"/>
      <c r="K76" t="str">
        <f t="shared" si="1"/>
        <v>"H76":"parcelassessmentwithdats_pesticidesusageinformation_numberoftreatments_3"</v>
      </c>
    </row>
    <row r="77" spans="1:11">
      <c r="A77" t="s">
        <v>924</v>
      </c>
      <c r="B77" s="149">
        <v>53</v>
      </c>
      <c r="C77" s="86" t="s">
        <v>636</v>
      </c>
      <c r="D77" s="86" t="s">
        <v>453</v>
      </c>
      <c r="E77" t="s">
        <v>986</v>
      </c>
      <c r="F77" s="14" t="s">
        <v>1408</v>
      </c>
      <c r="G77" s="14"/>
      <c r="H77" s="99"/>
      <c r="I77" s="99"/>
      <c r="K77" t="str">
        <f t="shared" si="1"/>
        <v>"H77":"parcelassessmentwithdats_pesticidesusageinformation_averagequantity_3"</v>
      </c>
    </row>
    <row r="78" spans="1:11">
      <c r="A78" t="s">
        <v>924</v>
      </c>
      <c r="B78" s="149">
        <v>54</v>
      </c>
      <c r="C78" t="s">
        <v>636</v>
      </c>
      <c r="D78" s="86" t="s">
        <v>560</v>
      </c>
      <c r="E78" t="s">
        <v>969</v>
      </c>
      <c r="F78" s="14" t="s">
        <v>1409</v>
      </c>
      <c r="G78" s="14"/>
      <c r="H78" s="99"/>
      <c r="I78" s="99"/>
      <c r="K78" t="str">
        <f t="shared" si="1"/>
        <v>"H78":"parcelassessmentwithdats_pesticidesusageinformation_productname_4"</v>
      </c>
    </row>
    <row r="79" spans="1:11">
      <c r="A79" t="s">
        <v>924</v>
      </c>
      <c r="B79" s="149">
        <v>55</v>
      </c>
      <c r="C79" t="s">
        <v>637</v>
      </c>
      <c r="D79" s="86" t="s">
        <v>7</v>
      </c>
      <c r="E79" t="s">
        <v>987</v>
      </c>
      <c r="F79" s="14" t="s">
        <v>1410</v>
      </c>
      <c r="G79" s="14"/>
      <c r="H79" s="99"/>
      <c r="I79" s="99"/>
      <c r="K79" t="str">
        <f t="shared" si="1"/>
        <v>"H79":"parcelassessmentwithdats_pesticidesusageinformation_numberoftreatments_4"</v>
      </c>
    </row>
    <row r="80" spans="1:11">
      <c r="A80" t="s">
        <v>924</v>
      </c>
      <c r="B80" s="149">
        <v>56</v>
      </c>
      <c r="C80" s="86" t="s">
        <v>637</v>
      </c>
      <c r="D80" s="86" t="s">
        <v>453</v>
      </c>
      <c r="E80" t="s">
        <v>988</v>
      </c>
      <c r="F80" s="14" t="s">
        <v>1411</v>
      </c>
      <c r="G80" s="14"/>
      <c r="H80" s="99"/>
      <c r="I80" s="99"/>
      <c r="K80" t="str">
        <f t="shared" si="1"/>
        <v>"H80":"parcelassessmentwithdats_pesticidesusageinformation_averagequantity_4"</v>
      </c>
    </row>
    <row r="81" spans="1:11">
      <c r="A81" t="s">
        <v>924</v>
      </c>
      <c r="B81" s="149">
        <v>57</v>
      </c>
      <c r="C81" s="86" t="s">
        <v>638</v>
      </c>
      <c r="D81" s="86" t="s">
        <v>560</v>
      </c>
      <c r="E81" t="s">
        <v>971</v>
      </c>
      <c r="F81" s="14" t="s">
        <v>1412</v>
      </c>
      <c r="G81" s="14"/>
      <c r="H81" s="99"/>
      <c r="I81" s="99"/>
      <c r="K81" t="str">
        <f t="shared" si="1"/>
        <v>"H81":"parcelassessmentwithdats_pesticidesusageinformation_productname_5"</v>
      </c>
    </row>
    <row r="82" spans="1:11">
      <c r="A82" t="s">
        <v>924</v>
      </c>
      <c r="B82" s="149">
        <v>58</v>
      </c>
      <c r="C82" s="86" t="s">
        <v>638</v>
      </c>
      <c r="D82" s="86" t="s">
        <v>7</v>
      </c>
      <c r="E82" t="s">
        <v>989</v>
      </c>
      <c r="F82" s="14" t="s">
        <v>1413</v>
      </c>
      <c r="G82" s="14"/>
      <c r="H82" s="99"/>
      <c r="I82" s="99"/>
      <c r="K82" t="str">
        <f t="shared" si="1"/>
        <v>"H82":"parcelassessmentwithdats_pesticidesusageinformation_numberoftreatments_5"</v>
      </c>
    </row>
    <row r="83" spans="1:11">
      <c r="A83" t="s">
        <v>924</v>
      </c>
      <c r="B83" s="149">
        <v>59</v>
      </c>
      <c r="C83" s="86" t="s">
        <v>638</v>
      </c>
      <c r="D83" s="86" t="s">
        <v>453</v>
      </c>
      <c r="E83" t="s">
        <v>990</v>
      </c>
      <c r="F83" s="14" t="s">
        <v>1414</v>
      </c>
      <c r="G83" s="14"/>
      <c r="H83" s="99"/>
      <c r="I83" s="99"/>
      <c r="K83" t="str">
        <f t="shared" si="1"/>
        <v>"H83":"parcelassessmentwithdats_pesticidesusageinformation_averagequantity_5"</v>
      </c>
    </row>
    <row r="84" spans="1:11">
      <c r="A84" t="s">
        <v>924</v>
      </c>
      <c r="B84" s="149">
        <v>60</v>
      </c>
      <c r="C84" s="86" t="s">
        <v>639</v>
      </c>
      <c r="D84" s="86" t="s">
        <v>560</v>
      </c>
      <c r="E84" t="s">
        <v>991</v>
      </c>
      <c r="F84" s="14" t="s">
        <v>1415</v>
      </c>
      <c r="G84" s="14"/>
      <c r="H84" s="99"/>
      <c r="I84" s="99"/>
      <c r="K84" t="str">
        <f t="shared" si="1"/>
        <v>"H84":"parcelassessmentwithdats_pesticidesusageinformation_productname_6"</v>
      </c>
    </row>
    <row r="85" spans="1:11">
      <c r="A85" t="s">
        <v>924</v>
      </c>
      <c r="B85" s="149">
        <v>61</v>
      </c>
      <c r="C85" s="86" t="s">
        <v>639</v>
      </c>
      <c r="D85" s="86" t="s">
        <v>7</v>
      </c>
      <c r="E85" t="s">
        <v>992</v>
      </c>
      <c r="F85" s="14" t="s">
        <v>1416</v>
      </c>
      <c r="G85" s="14"/>
      <c r="H85" s="99"/>
      <c r="I85" s="99"/>
      <c r="K85" t="str">
        <f t="shared" si="1"/>
        <v>"H85":"parcelassessmentwithdats_pesticidesusageinformation_numberoftreatments_6"</v>
      </c>
    </row>
    <row r="86" spans="1:11">
      <c r="A86" t="s">
        <v>924</v>
      </c>
      <c r="B86" s="149">
        <v>62</v>
      </c>
      <c r="C86" s="86" t="s">
        <v>639</v>
      </c>
      <c r="D86" s="86" t="s">
        <v>453</v>
      </c>
      <c r="E86" t="s">
        <v>993</v>
      </c>
      <c r="F86" s="14" t="s">
        <v>1417</v>
      </c>
      <c r="G86" s="14"/>
      <c r="H86" s="99"/>
      <c r="I86" s="99"/>
      <c r="K86" t="str">
        <f t="shared" si="1"/>
        <v>"H86":"parcelassessmentwithdats_pesticidesusageinformation_averagequantity_6"</v>
      </c>
    </row>
    <row r="87" spans="1:11">
      <c r="A87" t="s">
        <v>924</v>
      </c>
      <c r="B87" s="149">
        <v>63</v>
      </c>
      <c r="C87" s="86" t="s">
        <v>640</v>
      </c>
      <c r="D87" s="86" t="s">
        <v>560</v>
      </c>
      <c r="E87" t="s">
        <v>994</v>
      </c>
      <c r="F87" s="14" t="s">
        <v>1418</v>
      </c>
      <c r="G87" s="14"/>
      <c r="H87" s="99"/>
      <c r="I87" s="99"/>
      <c r="K87" t="str">
        <f t="shared" si="1"/>
        <v>"H87":"parcelassessmentwithdats_pesticidesusageinformation_productname_7"</v>
      </c>
    </row>
    <row r="88" spans="1:11">
      <c r="A88" t="s">
        <v>924</v>
      </c>
      <c r="B88" s="149">
        <v>64</v>
      </c>
      <c r="C88" s="86" t="s">
        <v>640</v>
      </c>
      <c r="D88" s="86" t="s">
        <v>7</v>
      </c>
      <c r="E88" t="s">
        <v>995</v>
      </c>
      <c r="F88" s="14" t="s">
        <v>1419</v>
      </c>
      <c r="G88" s="14"/>
      <c r="H88" s="99"/>
      <c r="I88" s="99"/>
      <c r="K88" t="str">
        <f t="shared" si="1"/>
        <v>"H88":"parcelassessmentwithdats_pesticidesusageinformation_numberoftreatments_7"</v>
      </c>
    </row>
    <row r="89" spans="1:11">
      <c r="A89" t="s">
        <v>924</v>
      </c>
      <c r="B89" s="149">
        <v>65</v>
      </c>
      <c r="C89" s="86" t="s">
        <v>640</v>
      </c>
      <c r="D89" s="86" t="s">
        <v>453</v>
      </c>
      <c r="E89" t="s">
        <v>996</v>
      </c>
      <c r="F89" s="14" t="s">
        <v>1420</v>
      </c>
      <c r="G89" s="14"/>
      <c r="H89" s="99"/>
      <c r="I89" s="99"/>
      <c r="K89" t="str">
        <f t="shared" si="1"/>
        <v>"H89":"parcelassessmentwithdats_pesticidesusageinformation_averagequantity_7"</v>
      </c>
    </row>
    <row r="90" spans="1:11">
      <c r="A90" t="s">
        <v>924</v>
      </c>
      <c r="B90" s="149">
        <v>66</v>
      </c>
      <c r="C90" s="86" t="s">
        <v>641</v>
      </c>
      <c r="D90" s="86" t="s">
        <v>560</v>
      </c>
      <c r="E90" t="s">
        <v>997</v>
      </c>
      <c r="F90" s="14" t="s">
        <v>1421</v>
      </c>
      <c r="G90" s="14"/>
      <c r="H90" s="99"/>
      <c r="I90" s="99"/>
      <c r="K90" t="str">
        <f t="shared" si="1"/>
        <v>"H90":"parcelassessmentwithdats_pesticidesusageinformation_productname_8"</v>
      </c>
    </row>
    <row r="91" spans="1:11">
      <c r="A91" t="s">
        <v>924</v>
      </c>
      <c r="B91" s="149">
        <v>67</v>
      </c>
      <c r="C91" s="86" t="s">
        <v>641</v>
      </c>
      <c r="D91" s="86" t="s">
        <v>7</v>
      </c>
      <c r="E91" t="s">
        <v>998</v>
      </c>
      <c r="F91" s="14" t="s">
        <v>1422</v>
      </c>
      <c r="G91" s="14"/>
      <c r="H91" s="99"/>
      <c r="I91" s="99"/>
      <c r="K91" t="str">
        <f t="shared" si="1"/>
        <v>"H91":"parcelassessmentwithdats_pesticidesusageinformation_numberoftreatments_8"</v>
      </c>
    </row>
    <row r="92" spans="1:11">
      <c r="A92" t="s">
        <v>924</v>
      </c>
      <c r="B92" s="149">
        <v>68</v>
      </c>
      <c r="C92" s="86" t="s">
        <v>641</v>
      </c>
      <c r="D92" s="86" t="s">
        <v>453</v>
      </c>
      <c r="E92" t="s">
        <v>999</v>
      </c>
      <c r="F92" s="14" t="s">
        <v>1423</v>
      </c>
      <c r="G92" s="14"/>
      <c r="H92" s="99"/>
      <c r="I92" s="99"/>
      <c r="K92" t="str">
        <f t="shared" si="1"/>
        <v>"H92":"parcelassessmentwithdats_pesticidesusageinformation_averagequantity_8"</v>
      </c>
    </row>
    <row r="93" spans="1:11">
      <c r="A93" t="s">
        <v>924</v>
      </c>
      <c r="B93" s="149">
        <v>69</v>
      </c>
      <c r="C93" s="86" t="s">
        <v>642</v>
      </c>
      <c r="D93" s="86" t="s">
        <v>560</v>
      </c>
      <c r="E93" t="s">
        <v>1000</v>
      </c>
      <c r="F93" s="14" t="s">
        <v>1424</v>
      </c>
      <c r="G93" s="14"/>
      <c r="H93" s="99"/>
      <c r="I93" s="99"/>
      <c r="K93" t="str">
        <f t="shared" si="1"/>
        <v>"H93":"parcelassessmentwithdats_pesticidesusageinformation_productname_9"</v>
      </c>
    </row>
    <row r="94" spans="1:11">
      <c r="A94" t="s">
        <v>924</v>
      </c>
      <c r="B94" s="149">
        <v>70</v>
      </c>
      <c r="C94" s="86" t="s">
        <v>642</v>
      </c>
      <c r="D94" s="86" t="s">
        <v>7</v>
      </c>
      <c r="E94" t="s">
        <v>1001</v>
      </c>
      <c r="F94" s="14" t="s">
        <v>1425</v>
      </c>
      <c r="G94" s="14"/>
      <c r="H94" s="99"/>
      <c r="I94" s="99"/>
      <c r="K94" t="str">
        <f t="shared" si="1"/>
        <v>"H94":"parcelassessmentwithdats_pesticidesusageinformation_numberoftreatments_9"</v>
      </c>
    </row>
    <row r="95" spans="1:11">
      <c r="A95" t="s">
        <v>924</v>
      </c>
      <c r="B95" s="149">
        <v>71</v>
      </c>
      <c r="C95" s="86" t="s">
        <v>642</v>
      </c>
      <c r="D95" s="86" t="s">
        <v>453</v>
      </c>
      <c r="E95" t="s">
        <v>1002</v>
      </c>
      <c r="F95" s="14" t="s">
        <v>1426</v>
      </c>
      <c r="G95" s="14"/>
      <c r="H95" s="99"/>
      <c r="I95" s="99"/>
      <c r="K95" t="str">
        <f t="shared" si="1"/>
        <v>"H95":"parcelassessmentwithdats_pesticidesusageinformation_averagequantity_9"</v>
      </c>
    </row>
    <row r="96" spans="1:11">
      <c r="B96" s="152"/>
      <c r="F96" s="14" t="s">
        <v>1427</v>
      </c>
      <c r="G96" s="14"/>
      <c r="H96" s="150"/>
      <c r="I96" s="150"/>
      <c r="K96" t="str">
        <f t="shared" si="1"/>
        <v>"H96":"parcelassessmentwithdats__"</v>
      </c>
    </row>
    <row r="97" spans="1:11">
      <c r="B97" s="117" t="s">
        <v>8</v>
      </c>
      <c r="C97" s="118"/>
      <c r="D97" s="118"/>
      <c r="F97" s="14" t="s">
        <v>1428</v>
      </c>
      <c r="G97" s="14"/>
      <c r="H97" s="212" t="s">
        <v>107</v>
      </c>
      <c r="I97" s="213"/>
      <c r="K97" t="str">
        <f t="shared" si="1"/>
        <v>"H97":"parcelassessmentwithdats__"</v>
      </c>
    </row>
    <row r="98" spans="1:11">
      <c r="B98" s="119" t="s">
        <v>110</v>
      </c>
      <c r="C98" s="119" t="s">
        <v>108</v>
      </c>
      <c r="D98" s="119"/>
      <c r="F98" s="14" t="s">
        <v>1429</v>
      </c>
      <c r="G98" s="14"/>
      <c r="H98" s="82" t="s">
        <v>493</v>
      </c>
      <c r="I98" s="82" t="s">
        <v>100</v>
      </c>
      <c r="K98" t="str">
        <f t="shared" si="1"/>
        <v>"H98":"parcelassessmentwithdats__"</v>
      </c>
    </row>
    <row r="99" spans="1:11">
      <c r="A99" t="s">
        <v>925</v>
      </c>
      <c r="B99" s="149">
        <v>72</v>
      </c>
      <c r="C99" s="86" t="s">
        <v>643</v>
      </c>
      <c r="D99" s="86" t="s">
        <v>588</v>
      </c>
      <c r="E99" t="s">
        <v>961</v>
      </c>
      <c r="F99" s="14" t="s">
        <v>1430</v>
      </c>
      <c r="G99" s="14"/>
      <c r="H99" s="99" t="s">
        <v>793</v>
      </c>
      <c r="I99" s="99"/>
      <c r="K99" t="str">
        <f t="shared" si="1"/>
        <v>"H99":"parcelassessmentwithdats_fertilizersusageinformation_productname_0"</v>
      </c>
    </row>
    <row r="100" spans="1:11">
      <c r="A100" t="s">
        <v>925</v>
      </c>
      <c r="B100" s="149">
        <v>73</v>
      </c>
      <c r="C100" s="86" t="s">
        <v>643</v>
      </c>
      <c r="D100" s="86" t="s">
        <v>581</v>
      </c>
      <c r="E100" t="s">
        <v>1003</v>
      </c>
      <c r="F100" s="14" t="s">
        <v>1431</v>
      </c>
      <c r="G100" s="14"/>
      <c r="H100" s="99" t="s">
        <v>580</v>
      </c>
      <c r="I100" s="99"/>
      <c r="K100" t="str">
        <f t="shared" si="1"/>
        <v>"H100":"parcelassessmentwithdats_fertilizersusageinformation_producttype_0"</v>
      </c>
    </row>
    <row r="101" spans="1:11">
      <c r="A101" t="s">
        <v>925</v>
      </c>
      <c r="B101" s="149">
        <v>74</v>
      </c>
      <c r="C101" s="86" t="s">
        <v>643</v>
      </c>
      <c r="D101" s="86" t="s">
        <v>7</v>
      </c>
      <c r="E101" t="s">
        <v>979</v>
      </c>
      <c r="F101" s="14" t="s">
        <v>1432</v>
      </c>
      <c r="G101" s="14"/>
      <c r="H101" s="99">
        <v>1</v>
      </c>
      <c r="I101" s="99"/>
      <c r="K101" t="str">
        <f t="shared" si="1"/>
        <v>"H101":"parcelassessmentwithdats_fertilizersusageinformation_numberoftreatments_0"</v>
      </c>
    </row>
    <row r="102" spans="1:11">
      <c r="A102" t="s">
        <v>925</v>
      </c>
      <c r="B102" s="149">
        <v>75</v>
      </c>
      <c r="C102" s="86" t="s">
        <v>643</v>
      </c>
      <c r="D102" s="86" t="s">
        <v>453</v>
      </c>
      <c r="E102" t="s">
        <v>980</v>
      </c>
      <c r="F102" s="14" t="s">
        <v>1433</v>
      </c>
      <c r="G102" s="14"/>
      <c r="H102" s="99">
        <v>173</v>
      </c>
      <c r="I102" s="99"/>
      <c r="K102" t="str">
        <f t="shared" si="1"/>
        <v>"H102":"parcelassessmentwithdats_fertilizersusageinformation_averagequantity_0"</v>
      </c>
    </row>
    <row r="103" spans="1:11">
      <c r="A103" t="s">
        <v>925</v>
      </c>
      <c r="B103" s="149">
        <v>76</v>
      </c>
      <c r="C103" s="86" t="s">
        <v>643</v>
      </c>
      <c r="D103" s="86" t="s">
        <v>454</v>
      </c>
      <c r="E103" t="s">
        <v>1004</v>
      </c>
      <c r="F103" s="14" t="s">
        <v>1434</v>
      </c>
      <c r="G103" s="14"/>
      <c r="H103" s="99">
        <v>26</v>
      </c>
      <c r="I103" s="99"/>
      <c r="K103" t="str">
        <f t="shared" si="1"/>
        <v>"H103":"parcelassessmentwithdats_fertilizersusageinformation_averagenitrogenquantity_0"</v>
      </c>
    </row>
    <row r="104" spans="1:11">
      <c r="A104" t="s">
        <v>925</v>
      </c>
      <c r="B104" s="149">
        <v>77</v>
      </c>
      <c r="C104" s="86" t="s">
        <v>643</v>
      </c>
      <c r="D104" s="86" t="s">
        <v>455</v>
      </c>
      <c r="E104" t="s">
        <v>1005</v>
      </c>
      <c r="F104" s="14" t="s">
        <v>1435</v>
      </c>
      <c r="G104" s="14"/>
      <c r="H104" s="99">
        <v>14</v>
      </c>
      <c r="I104" s="99"/>
      <c r="K104" t="str">
        <f t="shared" si="1"/>
        <v>"H104":"parcelassessmentwithdats_fertilizersusageinformation_averagephosphorusquantity_0"</v>
      </c>
    </row>
    <row r="105" spans="1:11">
      <c r="A105" t="s">
        <v>925</v>
      </c>
      <c r="B105" s="149">
        <v>78</v>
      </c>
      <c r="C105" s="86" t="s">
        <v>643</v>
      </c>
      <c r="D105" s="86" t="s">
        <v>456</v>
      </c>
      <c r="E105" t="s">
        <v>1006</v>
      </c>
      <c r="F105" s="14" t="s">
        <v>1436</v>
      </c>
      <c r="G105" s="14"/>
      <c r="H105" s="99">
        <v>0</v>
      </c>
      <c r="I105" s="99"/>
      <c r="K105" t="str">
        <f t="shared" si="1"/>
        <v>"H105":"parcelassessmentwithdats_fertilizersusageinformation_averagepotassiumquantity_0"</v>
      </c>
    </row>
    <row r="106" spans="1:11">
      <c r="A106" t="s">
        <v>925</v>
      </c>
      <c r="B106" s="149">
        <v>79</v>
      </c>
      <c r="C106" s="86" t="s">
        <v>644</v>
      </c>
      <c r="D106" s="86" t="s">
        <v>577</v>
      </c>
      <c r="E106" t="s">
        <v>963</v>
      </c>
      <c r="F106" s="14" t="s">
        <v>1437</v>
      </c>
      <c r="G106" s="14"/>
      <c r="H106" s="99" t="s">
        <v>794</v>
      </c>
      <c r="I106" s="99"/>
      <c r="K106" t="str">
        <f t="shared" si="1"/>
        <v>"H106":"parcelassessmentwithdats_fertilizersusageinformation_productname_1"</v>
      </c>
    </row>
    <row r="107" spans="1:11">
      <c r="A107" t="s">
        <v>925</v>
      </c>
      <c r="B107" s="149">
        <v>80</v>
      </c>
      <c r="C107" s="86" t="s">
        <v>644</v>
      </c>
      <c r="D107" s="86" t="s">
        <v>581</v>
      </c>
      <c r="E107" t="s">
        <v>1007</v>
      </c>
      <c r="F107" s="14" t="s">
        <v>1438</v>
      </c>
      <c r="G107" s="14"/>
      <c r="H107" s="99" t="s">
        <v>580</v>
      </c>
      <c r="I107" s="99"/>
      <c r="K107" t="str">
        <f t="shared" si="1"/>
        <v>"H107":"parcelassessmentwithdats_fertilizersusageinformation_producttype_1"</v>
      </c>
    </row>
    <row r="108" spans="1:11">
      <c r="A108" t="s">
        <v>925</v>
      </c>
      <c r="B108" s="149">
        <v>81</v>
      </c>
      <c r="C108" s="86" t="s">
        <v>644</v>
      </c>
      <c r="D108" s="86" t="s">
        <v>7</v>
      </c>
      <c r="E108" t="s">
        <v>981</v>
      </c>
      <c r="F108" s="14" t="s">
        <v>1439</v>
      </c>
      <c r="G108" s="14"/>
      <c r="H108" s="99">
        <v>1</v>
      </c>
      <c r="I108" s="99"/>
      <c r="K108" t="str">
        <f t="shared" si="1"/>
        <v>"H108":"parcelassessmentwithdats_fertilizersusageinformation_numberoftreatments_1"</v>
      </c>
    </row>
    <row r="109" spans="1:11">
      <c r="A109" t="s">
        <v>925</v>
      </c>
      <c r="B109" s="149">
        <v>82</v>
      </c>
      <c r="C109" s="86" t="s">
        <v>644</v>
      </c>
      <c r="D109" s="86" t="s">
        <v>453</v>
      </c>
      <c r="E109" t="s">
        <v>982</v>
      </c>
      <c r="F109" s="14" t="s">
        <v>1440</v>
      </c>
      <c r="G109" s="14"/>
      <c r="H109" s="99">
        <v>45</v>
      </c>
      <c r="I109" s="99"/>
      <c r="K109" t="str">
        <f t="shared" si="1"/>
        <v>"H109":"parcelassessmentwithdats_fertilizersusageinformation_averagequantity_1"</v>
      </c>
    </row>
    <row r="110" spans="1:11">
      <c r="A110" t="s">
        <v>925</v>
      </c>
      <c r="B110" s="149">
        <v>83</v>
      </c>
      <c r="C110" s="86" t="s">
        <v>644</v>
      </c>
      <c r="D110" s="86" t="s">
        <v>454</v>
      </c>
      <c r="E110" t="s">
        <v>1008</v>
      </c>
      <c r="F110" s="14" t="s">
        <v>1441</v>
      </c>
      <c r="G110" s="14"/>
      <c r="H110" s="99">
        <v>10</v>
      </c>
      <c r="I110" s="99"/>
      <c r="K110" t="str">
        <f t="shared" si="1"/>
        <v>"H110":"parcelassessmentwithdats_fertilizersusageinformation_averagenitrogenquantity_1"</v>
      </c>
    </row>
    <row r="111" spans="1:11">
      <c r="A111" t="s">
        <v>925</v>
      </c>
      <c r="B111" s="149">
        <v>84</v>
      </c>
      <c r="C111" s="86" t="s">
        <v>644</v>
      </c>
      <c r="D111" s="86" t="s">
        <v>455</v>
      </c>
      <c r="E111" t="s">
        <v>1009</v>
      </c>
      <c r="F111" s="14" t="s">
        <v>1442</v>
      </c>
      <c r="G111" s="14"/>
      <c r="H111" s="99">
        <v>35</v>
      </c>
      <c r="I111" s="99"/>
      <c r="K111" t="str">
        <f t="shared" si="1"/>
        <v>"H111":"parcelassessmentwithdats_fertilizersusageinformation_averagephosphorusquantity_1"</v>
      </c>
    </row>
    <row r="112" spans="1:11">
      <c r="A112" t="s">
        <v>925</v>
      </c>
      <c r="B112" s="149">
        <v>85</v>
      </c>
      <c r="C112" s="86" t="s">
        <v>644</v>
      </c>
      <c r="D112" s="86" t="s">
        <v>456</v>
      </c>
      <c r="E112" t="s">
        <v>1010</v>
      </c>
      <c r="F112" s="14" t="s">
        <v>1443</v>
      </c>
      <c r="G112" s="14"/>
      <c r="H112" s="99">
        <v>0</v>
      </c>
      <c r="I112" s="99"/>
      <c r="K112" t="str">
        <f t="shared" si="1"/>
        <v>"H112":"parcelassessmentwithdats_fertilizersusageinformation_averagepotassiumquantity_1"</v>
      </c>
    </row>
    <row r="113" spans="1:11">
      <c r="A113" t="s">
        <v>925</v>
      </c>
      <c r="B113" s="149">
        <v>86</v>
      </c>
      <c r="C113" s="86" t="s">
        <v>645</v>
      </c>
      <c r="D113" s="86" t="s">
        <v>351</v>
      </c>
      <c r="E113" t="s">
        <v>965</v>
      </c>
      <c r="F113" s="14" t="s">
        <v>1444</v>
      </c>
      <c r="G113" s="14"/>
      <c r="H113" s="99" t="s">
        <v>795</v>
      </c>
      <c r="I113" s="99"/>
      <c r="K113" t="str">
        <f t="shared" si="1"/>
        <v>"H113":"parcelassessmentwithdats_fertilizersusageinformation_productname_2"</v>
      </c>
    </row>
    <row r="114" spans="1:11">
      <c r="A114" t="s">
        <v>925</v>
      </c>
      <c r="B114" s="149">
        <v>87</v>
      </c>
      <c r="C114" s="86" t="s">
        <v>645</v>
      </c>
      <c r="D114" s="86" t="s">
        <v>581</v>
      </c>
      <c r="E114" t="s">
        <v>1011</v>
      </c>
      <c r="F114" s="14" t="s">
        <v>1445</v>
      </c>
      <c r="G114" s="14"/>
      <c r="H114" s="99" t="s">
        <v>580</v>
      </c>
      <c r="I114" s="99"/>
      <c r="K114" t="str">
        <f t="shared" si="1"/>
        <v>"H114":"parcelassessmentwithdats_fertilizersusageinformation_producttype_2"</v>
      </c>
    </row>
    <row r="115" spans="1:11">
      <c r="A115" t="s">
        <v>925</v>
      </c>
      <c r="B115" s="149">
        <v>88</v>
      </c>
      <c r="C115" s="86" t="s">
        <v>645</v>
      </c>
      <c r="D115" s="86" t="s">
        <v>7</v>
      </c>
      <c r="E115" t="s">
        <v>983</v>
      </c>
      <c r="F115" s="14" t="s">
        <v>1446</v>
      </c>
      <c r="G115" s="14"/>
      <c r="H115" s="99">
        <v>1</v>
      </c>
      <c r="I115" s="99"/>
      <c r="K115" t="str">
        <f t="shared" si="1"/>
        <v>"H115":"parcelassessmentwithdats_fertilizersusageinformation_numberoftreatments_2"</v>
      </c>
    </row>
    <row r="116" spans="1:11">
      <c r="A116" t="s">
        <v>925</v>
      </c>
      <c r="B116" s="149">
        <v>89</v>
      </c>
      <c r="C116" s="86" t="s">
        <v>645</v>
      </c>
      <c r="D116" s="86" t="s">
        <v>453</v>
      </c>
      <c r="E116" t="s">
        <v>984</v>
      </c>
      <c r="F116" s="14" t="s">
        <v>1447</v>
      </c>
      <c r="G116" s="14"/>
      <c r="H116" s="99">
        <v>134</v>
      </c>
      <c r="I116" s="99"/>
      <c r="K116" t="str">
        <f t="shared" si="1"/>
        <v>"H116":"parcelassessmentwithdats_fertilizersusageinformation_averagequantity_2"</v>
      </c>
    </row>
    <row r="117" spans="1:11">
      <c r="A117" t="s">
        <v>925</v>
      </c>
      <c r="B117" s="149">
        <v>90</v>
      </c>
      <c r="C117" s="86" t="s">
        <v>645</v>
      </c>
      <c r="D117" s="86" t="s">
        <v>454</v>
      </c>
      <c r="E117" t="s">
        <v>1012</v>
      </c>
      <c r="F117" s="14" t="s">
        <v>1448</v>
      </c>
      <c r="G117" s="14"/>
      <c r="H117" s="99">
        <v>0</v>
      </c>
      <c r="I117" s="99"/>
      <c r="K117" t="str">
        <f t="shared" si="1"/>
        <v>"H117":"parcelassessmentwithdats_fertilizersusageinformation_averagenitrogenquantity_2"</v>
      </c>
    </row>
    <row r="118" spans="1:11">
      <c r="A118" t="s">
        <v>925</v>
      </c>
      <c r="B118" s="149">
        <v>91</v>
      </c>
      <c r="C118" s="86" t="s">
        <v>645</v>
      </c>
      <c r="D118" s="86" t="s">
        <v>455</v>
      </c>
      <c r="E118" t="s">
        <v>1013</v>
      </c>
      <c r="F118" s="14" t="s">
        <v>1449</v>
      </c>
      <c r="G118" s="14"/>
      <c r="H118" s="99">
        <v>0</v>
      </c>
      <c r="I118" s="99"/>
      <c r="K118" t="str">
        <f t="shared" si="1"/>
        <v>"H118":"parcelassessmentwithdats_fertilizersusageinformation_averagephosphorusquantity_2"</v>
      </c>
    </row>
    <row r="119" spans="1:11" ht="18.600000000000001" customHeight="1">
      <c r="A119" t="s">
        <v>925</v>
      </c>
      <c r="B119" s="149">
        <v>92</v>
      </c>
      <c r="C119" s="86" t="s">
        <v>645</v>
      </c>
      <c r="D119" s="86" t="s">
        <v>456</v>
      </c>
      <c r="E119" t="s">
        <v>1014</v>
      </c>
      <c r="F119" s="14" t="s">
        <v>1450</v>
      </c>
      <c r="G119" s="14"/>
      <c r="H119" s="99">
        <v>50</v>
      </c>
      <c r="I119" s="99"/>
      <c r="K119" t="str">
        <f t="shared" si="1"/>
        <v>"H119":"parcelassessmentwithdats_fertilizersusageinformation_averagepotassiumquantity_2"</v>
      </c>
    </row>
    <row r="120" spans="1:11" ht="18.600000000000001" customHeight="1">
      <c r="A120" t="s">
        <v>925</v>
      </c>
      <c r="B120" s="149">
        <v>93</v>
      </c>
      <c r="C120" s="86" t="s">
        <v>646</v>
      </c>
      <c r="D120" s="86" t="s">
        <v>653</v>
      </c>
      <c r="E120" t="s">
        <v>967</v>
      </c>
      <c r="F120" s="14" t="s">
        <v>1451</v>
      </c>
      <c r="G120" s="14"/>
      <c r="H120" s="99" t="s">
        <v>796</v>
      </c>
      <c r="I120" s="99"/>
      <c r="K120" t="str">
        <f t="shared" si="1"/>
        <v>"H120":"parcelassessmentwithdats_fertilizersusageinformation_productname_3"</v>
      </c>
    </row>
    <row r="121" spans="1:11" ht="18.600000000000001" customHeight="1">
      <c r="A121" t="s">
        <v>925</v>
      </c>
      <c r="B121" s="149">
        <v>94</v>
      </c>
      <c r="C121" s="86" t="s">
        <v>646</v>
      </c>
      <c r="D121" s="86" t="s">
        <v>581</v>
      </c>
      <c r="E121" t="s">
        <v>1015</v>
      </c>
      <c r="F121" s="14" t="s">
        <v>1452</v>
      </c>
      <c r="G121" s="14"/>
      <c r="H121" s="99" t="s">
        <v>580</v>
      </c>
      <c r="I121" s="99"/>
      <c r="K121" t="str">
        <f t="shared" si="1"/>
        <v>"H121":"parcelassessmentwithdats_fertilizersusageinformation_producttype_3"</v>
      </c>
    </row>
    <row r="122" spans="1:11" ht="18.600000000000001" customHeight="1">
      <c r="A122" t="s">
        <v>925</v>
      </c>
      <c r="B122" s="149">
        <v>95</v>
      </c>
      <c r="C122" s="86" t="s">
        <v>646</v>
      </c>
      <c r="D122" s="86" t="s">
        <v>7</v>
      </c>
      <c r="E122" t="s">
        <v>985</v>
      </c>
      <c r="F122" s="14" t="s">
        <v>1453</v>
      </c>
      <c r="G122" s="14"/>
      <c r="H122" s="99">
        <v>3</v>
      </c>
      <c r="I122" s="99"/>
      <c r="K122" t="str">
        <f t="shared" si="1"/>
        <v>"H122":"parcelassessmentwithdats_fertilizersusageinformation_numberoftreatments_3"</v>
      </c>
    </row>
    <row r="123" spans="1:11" ht="18.600000000000001" customHeight="1">
      <c r="A123" t="s">
        <v>925</v>
      </c>
      <c r="B123" s="149">
        <v>96</v>
      </c>
      <c r="C123" s="86" t="s">
        <v>646</v>
      </c>
      <c r="D123" s="86" t="s">
        <v>453</v>
      </c>
      <c r="E123" t="s">
        <v>986</v>
      </c>
      <c r="F123" s="14" t="s">
        <v>1454</v>
      </c>
      <c r="G123" s="14"/>
      <c r="H123" s="99">
        <v>620</v>
      </c>
      <c r="I123" s="99"/>
      <c r="K123" t="str">
        <f t="shared" si="1"/>
        <v>"H123":"parcelassessmentwithdats_fertilizersusageinformation_averagequantity_3"</v>
      </c>
    </row>
    <row r="124" spans="1:11" ht="18.600000000000001" customHeight="1">
      <c r="A124" t="s">
        <v>925</v>
      </c>
      <c r="B124" s="149">
        <v>97</v>
      </c>
      <c r="C124" s="86" t="s">
        <v>646</v>
      </c>
      <c r="D124" s="86" t="s">
        <v>454</v>
      </c>
      <c r="E124" t="s">
        <v>1016</v>
      </c>
      <c r="F124" s="14" t="s">
        <v>1455</v>
      </c>
      <c r="G124" s="14"/>
      <c r="H124" s="99">
        <v>24</v>
      </c>
      <c r="I124" s="99"/>
      <c r="K124" t="str">
        <f t="shared" si="1"/>
        <v>"H124":"parcelassessmentwithdats_fertilizersusageinformation_averagenitrogenquantity_3"</v>
      </c>
    </row>
    <row r="125" spans="1:11" ht="18.600000000000001" customHeight="1">
      <c r="A125" t="s">
        <v>925</v>
      </c>
      <c r="B125" s="149">
        <v>98</v>
      </c>
      <c r="C125" s="86" t="s">
        <v>646</v>
      </c>
      <c r="D125" s="86" t="s">
        <v>455</v>
      </c>
      <c r="E125" t="s">
        <v>1017</v>
      </c>
      <c r="F125" s="14" t="s">
        <v>1456</v>
      </c>
      <c r="G125" s="14"/>
      <c r="H125" s="99">
        <v>0</v>
      </c>
      <c r="I125" s="99"/>
      <c r="K125" t="str">
        <f t="shared" si="1"/>
        <v>"H125":"parcelassessmentwithdats_fertilizersusageinformation_averagephosphorusquantity_3"</v>
      </c>
    </row>
    <row r="126" spans="1:11" ht="18.600000000000001" customHeight="1">
      <c r="A126" t="s">
        <v>925</v>
      </c>
      <c r="B126" s="149">
        <v>99</v>
      </c>
      <c r="C126" s="86" t="s">
        <v>646</v>
      </c>
      <c r="D126" s="86" t="s">
        <v>456</v>
      </c>
      <c r="E126" t="s">
        <v>1018</v>
      </c>
      <c r="F126" s="14" t="s">
        <v>1457</v>
      </c>
      <c r="G126" s="14"/>
      <c r="H126" s="99">
        <v>0</v>
      </c>
      <c r="I126" s="99"/>
      <c r="K126" t="str">
        <f t="shared" si="1"/>
        <v>"H126":"parcelassessmentwithdats_fertilizersusageinformation_averagepotassiumquantity_3"</v>
      </c>
    </row>
    <row r="127" spans="1:11" ht="18.600000000000001" customHeight="1">
      <c r="A127" t="s">
        <v>925</v>
      </c>
      <c r="B127" s="149">
        <v>100</v>
      </c>
      <c r="C127" s="86" t="s">
        <v>647</v>
      </c>
      <c r="D127" s="86" t="s">
        <v>654</v>
      </c>
      <c r="E127" t="s">
        <v>969</v>
      </c>
      <c r="F127" s="14" t="s">
        <v>1458</v>
      </c>
      <c r="G127" s="14"/>
      <c r="H127" s="99" t="s">
        <v>797</v>
      </c>
      <c r="I127" s="99"/>
      <c r="K127" t="str">
        <f t="shared" si="1"/>
        <v>"H127":"parcelassessmentwithdats_fertilizersusageinformation_productname_4"</v>
      </c>
    </row>
    <row r="128" spans="1:11" ht="18.600000000000001" customHeight="1">
      <c r="A128" t="s">
        <v>925</v>
      </c>
      <c r="B128" s="149">
        <v>101</v>
      </c>
      <c r="C128" s="86" t="s">
        <v>647</v>
      </c>
      <c r="D128" s="86" t="s">
        <v>581</v>
      </c>
      <c r="E128" t="s">
        <v>1019</v>
      </c>
      <c r="F128" s="14" t="s">
        <v>1459</v>
      </c>
      <c r="G128" s="14"/>
      <c r="H128" s="99" t="s">
        <v>580</v>
      </c>
      <c r="I128" s="99"/>
      <c r="K128" t="str">
        <f t="shared" si="1"/>
        <v>"H128":"parcelassessmentwithdats_fertilizersusageinformation_producttype_4"</v>
      </c>
    </row>
    <row r="129" spans="1:11" ht="18.600000000000001" customHeight="1">
      <c r="A129" t="s">
        <v>925</v>
      </c>
      <c r="B129" s="149">
        <v>102</v>
      </c>
      <c r="C129" s="86" t="s">
        <v>647</v>
      </c>
      <c r="D129" s="86" t="s">
        <v>7</v>
      </c>
      <c r="E129" t="s">
        <v>987</v>
      </c>
      <c r="F129" s="14" t="s">
        <v>1460</v>
      </c>
      <c r="G129" s="14"/>
      <c r="H129" s="99">
        <v>6</v>
      </c>
      <c r="I129" s="99"/>
      <c r="K129" t="str">
        <f t="shared" si="1"/>
        <v>"H129":"parcelassessmentwithdats_fertilizersusageinformation_numberoftreatments_4"</v>
      </c>
    </row>
    <row r="130" spans="1:11" ht="18.600000000000001" customHeight="1">
      <c r="A130" t="s">
        <v>925</v>
      </c>
      <c r="B130" s="149">
        <v>103</v>
      </c>
      <c r="C130" s="86" t="s">
        <v>647</v>
      </c>
      <c r="D130" s="86" t="s">
        <v>453</v>
      </c>
      <c r="E130" t="s">
        <v>988</v>
      </c>
      <c r="F130" s="14" t="s">
        <v>1461</v>
      </c>
      <c r="G130" s="14"/>
      <c r="H130" s="99">
        <v>67</v>
      </c>
      <c r="I130" s="99"/>
      <c r="K130" t="str">
        <f t="shared" si="1"/>
        <v>"H130":"parcelassessmentwithdats_fertilizersusageinformation_averagequantity_4"</v>
      </c>
    </row>
    <row r="131" spans="1:11" ht="18.600000000000001" customHeight="1">
      <c r="A131" t="s">
        <v>925</v>
      </c>
      <c r="B131" s="149">
        <v>104</v>
      </c>
      <c r="C131" s="86" t="s">
        <v>647</v>
      </c>
      <c r="D131" s="86" t="s">
        <v>454</v>
      </c>
      <c r="E131" t="s">
        <v>1020</v>
      </c>
      <c r="F131" s="14" t="s">
        <v>1462</v>
      </c>
      <c r="G131" s="14"/>
      <c r="H131" s="99">
        <v>6.6</v>
      </c>
      <c r="I131" s="99"/>
      <c r="K131" t="str">
        <f t="shared" si="1"/>
        <v>"H131":"parcelassessmentwithdats_fertilizersusageinformation_averagenitrogenquantity_4"</v>
      </c>
    </row>
    <row r="132" spans="1:11" ht="18.600000000000001" customHeight="1">
      <c r="A132" t="s">
        <v>925</v>
      </c>
      <c r="B132" s="149">
        <v>105</v>
      </c>
      <c r="C132" s="86" t="s">
        <v>647</v>
      </c>
      <c r="D132" s="86" t="s">
        <v>455</v>
      </c>
      <c r="E132" t="s">
        <v>1021</v>
      </c>
      <c r="F132" s="14" t="s">
        <v>1463</v>
      </c>
      <c r="G132" s="14"/>
      <c r="H132" s="99">
        <v>0</v>
      </c>
      <c r="I132" s="99"/>
      <c r="K132" t="str">
        <f t="shared" si="1"/>
        <v>"H132":"parcelassessmentwithdats_fertilizersusageinformation_averagephosphorusquantity_4"</v>
      </c>
    </row>
    <row r="133" spans="1:11">
      <c r="A133" t="s">
        <v>925</v>
      </c>
      <c r="B133" s="149">
        <v>106</v>
      </c>
      <c r="C133" s="86" t="s">
        <v>647</v>
      </c>
      <c r="D133" s="86" t="s">
        <v>456</v>
      </c>
      <c r="E133" t="s">
        <v>1022</v>
      </c>
      <c r="F133" s="14" t="s">
        <v>1464</v>
      </c>
      <c r="G133" s="14"/>
      <c r="H133" s="99">
        <v>32.6</v>
      </c>
      <c r="I133" s="99"/>
      <c r="K133" t="str">
        <f t="shared" si="1"/>
        <v>"H133":"parcelassessmentwithdats_fertilizersusageinformation_averagepotassiumquantity_4"</v>
      </c>
    </row>
    <row r="134" spans="1:11">
      <c r="A134" t="s">
        <v>925</v>
      </c>
      <c r="B134" s="149">
        <v>107</v>
      </c>
      <c r="C134" s="86" t="s">
        <v>648</v>
      </c>
      <c r="D134" s="86" t="s">
        <v>655</v>
      </c>
      <c r="E134" t="s">
        <v>971</v>
      </c>
      <c r="F134" s="14" t="s">
        <v>1465</v>
      </c>
      <c r="G134" s="14"/>
      <c r="H134" s="99"/>
      <c r="I134" s="99"/>
      <c r="K134" t="str">
        <f t="shared" si="1"/>
        <v>"H134":"parcelassessmentwithdats_fertilizersusageinformation_productname_5"</v>
      </c>
    </row>
    <row r="135" spans="1:11">
      <c r="A135" t="s">
        <v>925</v>
      </c>
      <c r="B135" s="149">
        <v>108</v>
      </c>
      <c r="C135" s="86" t="s">
        <v>648</v>
      </c>
      <c r="D135" s="86" t="s">
        <v>581</v>
      </c>
      <c r="E135" t="s">
        <v>1023</v>
      </c>
      <c r="F135" s="14" t="s">
        <v>1466</v>
      </c>
      <c r="G135" s="14"/>
      <c r="H135" s="99"/>
      <c r="I135" s="99"/>
      <c r="K135" t="str">
        <f t="shared" si="1"/>
        <v>"H135":"parcelassessmentwithdats_fertilizersusageinformation_producttype_5"</v>
      </c>
    </row>
    <row r="136" spans="1:11">
      <c r="A136" t="s">
        <v>925</v>
      </c>
      <c r="B136" s="149">
        <v>109</v>
      </c>
      <c r="C136" s="86" t="s">
        <v>648</v>
      </c>
      <c r="D136" s="86" t="s">
        <v>7</v>
      </c>
      <c r="E136" t="s">
        <v>989</v>
      </c>
      <c r="F136" s="14" t="s">
        <v>1467</v>
      </c>
      <c r="G136" s="14"/>
      <c r="H136" s="99"/>
      <c r="I136" s="99"/>
      <c r="K136" t="str">
        <f t="shared" si="1"/>
        <v>"H136":"parcelassessmentwithdats_fertilizersusageinformation_numberoftreatments_5"</v>
      </c>
    </row>
    <row r="137" spans="1:11">
      <c r="A137" t="s">
        <v>925</v>
      </c>
      <c r="B137" s="149">
        <v>110</v>
      </c>
      <c r="C137" s="86" t="s">
        <v>648</v>
      </c>
      <c r="D137" s="86" t="s">
        <v>453</v>
      </c>
      <c r="E137" t="s">
        <v>990</v>
      </c>
      <c r="F137" s="14" t="s">
        <v>1468</v>
      </c>
      <c r="G137" s="14"/>
      <c r="H137" s="99"/>
      <c r="I137" s="99"/>
      <c r="K137" t="str">
        <f t="shared" si="1"/>
        <v>"H137":"parcelassessmentwithdats_fertilizersusageinformation_averagequantity_5"</v>
      </c>
    </row>
    <row r="138" spans="1:11">
      <c r="A138" t="s">
        <v>925</v>
      </c>
      <c r="B138" s="149">
        <v>111</v>
      </c>
      <c r="C138" s="86" t="s">
        <v>648</v>
      </c>
      <c r="D138" s="86" t="s">
        <v>454</v>
      </c>
      <c r="E138" t="s">
        <v>1024</v>
      </c>
      <c r="F138" s="14" t="s">
        <v>1469</v>
      </c>
      <c r="G138" s="14"/>
      <c r="H138" s="99"/>
      <c r="I138" s="99"/>
      <c r="K138" t="str">
        <f t="shared" si="1"/>
        <v>"H138":"parcelassessmentwithdats_fertilizersusageinformation_averagenitrogenquantity_5"</v>
      </c>
    </row>
    <row r="139" spans="1:11">
      <c r="A139" t="s">
        <v>925</v>
      </c>
      <c r="B139" s="149">
        <v>112</v>
      </c>
      <c r="C139" s="86" t="s">
        <v>648</v>
      </c>
      <c r="D139" s="86" t="s">
        <v>455</v>
      </c>
      <c r="E139" t="s">
        <v>1025</v>
      </c>
      <c r="F139" s="14" t="s">
        <v>1470</v>
      </c>
      <c r="G139" s="14"/>
      <c r="H139" s="99"/>
      <c r="I139" s="99"/>
      <c r="K139" t="str">
        <f t="shared" ref="K139:K202" si="2">CONCATENATE("""",F139,"""",":","""","parcelassessmentwithdats_",LOWER($A139),"_",LOWER($E139),"""")</f>
        <v>"H139":"parcelassessmentwithdats_fertilizersusageinformation_averagephosphorusquantity_5"</v>
      </c>
    </row>
    <row r="140" spans="1:11">
      <c r="A140" t="s">
        <v>925</v>
      </c>
      <c r="B140" s="149">
        <v>113</v>
      </c>
      <c r="C140" s="86" t="s">
        <v>648</v>
      </c>
      <c r="D140" s="86" t="s">
        <v>456</v>
      </c>
      <c r="E140" t="s">
        <v>1026</v>
      </c>
      <c r="F140" s="14" t="s">
        <v>1471</v>
      </c>
      <c r="G140" s="14"/>
      <c r="H140" s="99"/>
      <c r="I140" s="99"/>
      <c r="K140" t="str">
        <f t="shared" si="2"/>
        <v>"H140":"parcelassessmentwithdats_fertilizersusageinformation_averagepotassiumquantity_5"</v>
      </c>
    </row>
    <row r="141" spans="1:11">
      <c r="A141" t="s">
        <v>925</v>
      </c>
      <c r="B141" s="149">
        <v>114</v>
      </c>
      <c r="C141" s="86" t="s">
        <v>649</v>
      </c>
      <c r="D141" s="86" t="s">
        <v>656</v>
      </c>
      <c r="E141" t="s">
        <v>991</v>
      </c>
      <c r="F141" s="14" t="s">
        <v>1472</v>
      </c>
      <c r="G141" s="14"/>
      <c r="H141" s="99"/>
      <c r="I141" s="99"/>
      <c r="K141" t="str">
        <f t="shared" si="2"/>
        <v>"H141":"parcelassessmentwithdats_fertilizersusageinformation_productname_6"</v>
      </c>
    </row>
    <row r="142" spans="1:11">
      <c r="A142" t="s">
        <v>925</v>
      </c>
      <c r="B142" s="149">
        <v>115</v>
      </c>
      <c r="C142" s="86" t="s">
        <v>649</v>
      </c>
      <c r="D142" s="86" t="s">
        <v>581</v>
      </c>
      <c r="E142" t="s">
        <v>1027</v>
      </c>
      <c r="F142" s="14" t="s">
        <v>1473</v>
      </c>
      <c r="G142" s="14"/>
      <c r="H142" s="99"/>
      <c r="I142" s="99"/>
      <c r="K142" t="str">
        <f t="shared" si="2"/>
        <v>"H142":"parcelassessmentwithdats_fertilizersusageinformation_producttype_6"</v>
      </c>
    </row>
    <row r="143" spans="1:11">
      <c r="A143" t="s">
        <v>925</v>
      </c>
      <c r="B143" s="149">
        <v>116</v>
      </c>
      <c r="C143" s="86" t="s">
        <v>649</v>
      </c>
      <c r="D143" s="86" t="s">
        <v>7</v>
      </c>
      <c r="E143" t="s">
        <v>992</v>
      </c>
      <c r="F143" s="14" t="s">
        <v>1474</v>
      </c>
      <c r="G143" s="14"/>
      <c r="H143" s="99"/>
      <c r="I143" s="99"/>
      <c r="K143" t="str">
        <f t="shared" si="2"/>
        <v>"H143":"parcelassessmentwithdats_fertilizersusageinformation_numberoftreatments_6"</v>
      </c>
    </row>
    <row r="144" spans="1:11">
      <c r="A144" t="s">
        <v>925</v>
      </c>
      <c r="B144" s="149">
        <v>117</v>
      </c>
      <c r="C144" s="86" t="s">
        <v>649</v>
      </c>
      <c r="D144" s="86" t="s">
        <v>453</v>
      </c>
      <c r="E144" t="s">
        <v>993</v>
      </c>
      <c r="F144" s="14" t="s">
        <v>1475</v>
      </c>
      <c r="G144" s="14"/>
      <c r="H144" s="99"/>
      <c r="I144" s="99"/>
      <c r="K144" t="str">
        <f t="shared" si="2"/>
        <v>"H144":"parcelassessmentwithdats_fertilizersusageinformation_averagequantity_6"</v>
      </c>
    </row>
    <row r="145" spans="1:11">
      <c r="A145" t="s">
        <v>925</v>
      </c>
      <c r="B145" s="149">
        <v>118</v>
      </c>
      <c r="C145" s="86" t="s">
        <v>649</v>
      </c>
      <c r="D145" s="86" t="s">
        <v>454</v>
      </c>
      <c r="E145" t="s">
        <v>1028</v>
      </c>
      <c r="F145" s="14" t="s">
        <v>1476</v>
      </c>
      <c r="G145" s="14"/>
      <c r="H145" s="99"/>
      <c r="I145" s="99"/>
      <c r="K145" t="str">
        <f t="shared" si="2"/>
        <v>"H145":"parcelassessmentwithdats_fertilizersusageinformation_averagenitrogenquantity_6"</v>
      </c>
    </row>
    <row r="146" spans="1:11">
      <c r="A146" t="s">
        <v>925</v>
      </c>
      <c r="B146" s="149">
        <v>119</v>
      </c>
      <c r="C146" s="86" t="s">
        <v>649</v>
      </c>
      <c r="D146" s="86" t="s">
        <v>455</v>
      </c>
      <c r="E146" t="s">
        <v>1029</v>
      </c>
      <c r="F146" s="14" t="s">
        <v>1477</v>
      </c>
      <c r="G146" s="14"/>
      <c r="H146" s="99"/>
      <c r="I146" s="99"/>
      <c r="K146" t="str">
        <f t="shared" si="2"/>
        <v>"H146":"parcelassessmentwithdats_fertilizersusageinformation_averagephosphorusquantity_6"</v>
      </c>
    </row>
    <row r="147" spans="1:11">
      <c r="A147" t="s">
        <v>925</v>
      </c>
      <c r="B147" s="149">
        <v>120</v>
      </c>
      <c r="C147" s="86" t="s">
        <v>649</v>
      </c>
      <c r="D147" s="86" t="s">
        <v>456</v>
      </c>
      <c r="E147" t="s">
        <v>1030</v>
      </c>
      <c r="F147" s="14" t="s">
        <v>1478</v>
      </c>
      <c r="G147" s="14"/>
      <c r="H147" s="99"/>
      <c r="I147" s="99"/>
      <c r="K147" t="str">
        <f t="shared" si="2"/>
        <v>"H147":"parcelassessmentwithdats_fertilizersusageinformation_averagepotassiumquantity_6"</v>
      </c>
    </row>
    <row r="148" spans="1:11">
      <c r="A148" t="s">
        <v>925</v>
      </c>
      <c r="B148" s="149">
        <v>121</v>
      </c>
      <c r="C148" s="86" t="s">
        <v>650</v>
      </c>
      <c r="D148" s="86" t="s">
        <v>657</v>
      </c>
      <c r="E148" t="s">
        <v>994</v>
      </c>
      <c r="F148" s="14" t="s">
        <v>1479</v>
      </c>
      <c r="G148" s="14"/>
      <c r="H148" s="99"/>
      <c r="I148" s="99"/>
      <c r="K148" t="str">
        <f t="shared" si="2"/>
        <v>"H148":"parcelassessmentwithdats_fertilizersusageinformation_productname_7"</v>
      </c>
    </row>
    <row r="149" spans="1:11">
      <c r="A149" t="s">
        <v>925</v>
      </c>
      <c r="B149" s="149">
        <v>122</v>
      </c>
      <c r="C149" s="86" t="s">
        <v>650</v>
      </c>
      <c r="D149" s="86" t="s">
        <v>581</v>
      </c>
      <c r="E149" t="s">
        <v>1031</v>
      </c>
      <c r="F149" s="14" t="s">
        <v>1480</v>
      </c>
      <c r="G149" s="14"/>
      <c r="H149" s="99"/>
      <c r="I149" s="99"/>
      <c r="K149" t="str">
        <f t="shared" si="2"/>
        <v>"H149":"parcelassessmentwithdats_fertilizersusageinformation_producttype_7"</v>
      </c>
    </row>
    <row r="150" spans="1:11">
      <c r="A150" t="s">
        <v>925</v>
      </c>
      <c r="B150" s="149">
        <v>123</v>
      </c>
      <c r="C150" s="86" t="s">
        <v>650</v>
      </c>
      <c r="D150" s="86" t="s">
        <v>7</v>
      </c>
      <c r="E150" t="s">
        <v>995</v>
      </c>
      <c r="F150" s="14" t="s">
        <v>1481</v>
      </c>
      <c r="G150" s="14"/>
      <c r="H150" s="99"/>
      <c r="I150" s="99"/>
      <c r="K150" t="str">
        <f t="shared" si="2"/>
        <v>"H150":"parcelassessmentwithdats_fertilizersusageinformation_numberoftreatments_7"</v>
      </c>
    </row>
    <row r="151" spans="1:11">
      <c r="A151" t="s">
        <v>925</v>
      </c>
      <c r="B151" s="149">
        <v>124</v>
      </c>
      <c r="C151" s="86" t="s">
        <v>650</v>
      </c>
      <c r="D151" s="86" t="s">
        <v>453</v>
      </c>
      <c r="E151" t="s">
        <v>996</v>
      </c>
      <c r="F151" s="14" t="s">
        <v>1482</v>
      </c>
      <c r="G151" s="14"/>
      <c r="H151" s="99"/>
      <c r="I151" s="99"/>
      <c r="K151" t="str">
        <f t="shared" si="2"/>
        <v>"H151":"parcelassessmentwithdats_fertilizersusageinformation_averagequantity_7"</v>
      </c>
    </row>
    <row r="152" spans="1:11">
      <c r="A152" t="s">
        <v>925</v>
      </c>
      <c r="B152" s="149">
        <v>125</v>
      </c>
      <c r="C152" s="86" t="s">
        <v>650</v>
      </c>
      <c r="D152" s="86" t="s">
        <v>454</v>
      </c>
      <c r="E152" t="s">
        <v>1032</v>
      </c>
      <c r="F152" s="14" t="s">
        <v>1483</v>
      </c>
      <c r="G152" s="14"/>
      <c r="H152" s="99"/>
      <c r="I152" s="99"/>
      <c r="K152" t="str">
        <f t="shared" si="2"/>
        <v>"H152":"parcelassessmentwithdats_fertilizersusageinformation_averagenitrogenquantity_7"</v>
      </c>
    </row>
    <row r="153" spans="1:11">
      <c r="A153" t="s">
        <v>925</v>
      </c>
      <c r="B153" s="149">
        <v>126</v>
      </c>
      <c r="C153" s="86" t="s">
        <v>650</v>
      </c>
      <c r="D153" s="86" t="s">
        <v>455</v>
      </c>
      <c r="E153" t="s">
        <v>1033</v>
      </c>
      <c r="F153" s="14" t="s">
        <v>1484</v>
      </c>
      <c r="G153" s="14"/>
      <c r="H153" s="99"/>
      <c r="I153" s="99"/>
      <c r="K153" t="str">
        <f t="shared" si="2"/>
        <v>"H153":"parcelassessmentwithdats_fertilizersusageinformation_averagephosphorusquantity_7"</v>
      </c>
    </row>
    <row r="154" spans="1:11">
      <c r="A154" t="s">
        <v>925</v>
      </c>
      <c r="B154" s="149">
        <v>127</v>
      </c>
      <c r="C154" s="86" t="s">
        <v>650</v>
      </c>
      <c r="D154" s="86" t="s">
        <v>456</v>
      </c>
      <c r="E154" t="s">
        <v>1034</v>
      </c>
      <c r="F154" s="14" t="s">
        <v>1485</v>
      </c>
      <c r="G154" s="14"/>
      <c r="H154" s="99"/>
      <c r="I154" s="99"/>
      <c r="K154" t="str">
        <f t="shared" si="2"/>
        <v>"H154":"parcelassessmentwithdats_fertilizersusageinformation_averagepotassiumquantity_7"</v>
      </c>
    </row>
    <row r="155" spans="1:11">
      <c r="A155" t="s">
        <v>925</v>
      </c>
      <c r="B155" s="149">
        <v>128</v>
      </c>
      <c r="C155" s="86" t="s">
        <v>651</v>
      </c>
      <c r="D155" s="86" t="s">
        <v>658</v>
      </c>
      <c r="E155" t="s">
        <v>997</v>
      </c>
      <c r="F155" s="14" t="s">
        <v>1486</v>
      </c>
      <c r="G155" s="14"/>
      <c r="H155" s="99"/>
      <c r="I155" s="99"/>
      <c r="K155" t="str">
        <f t="shared" si="2"/>
        <v>"H155":"parcelassessmentwithdats_fertilizersusageinformation_productname_8"</v>
      </c>
    </row>
    <row r="156" spans="1:11">
      <c r="A156" t="s">
        <v>925</v>
      </c>
      <c r="B156" s="149">
        <v>129</v>
      </c>
      <c r="C156" s="86" t="s">
        <v>651</v>
      </c>
      <c r="D156" s="86" t="s">
        <v>581</v>
      </c>
      <c r="E156" t="s">
        <v>1035</v>
      </c>
      <c r="F156" s="14" t="s">
        <v>1487</v>
      </c>
      <c r="G156" s="14"/>
      <c r="H156" s="99"/>
      <c r="I156" s="99"/>
      <c r="K156" t="str">
        <f t="shared" si="2"/>
        <v>"H156":"parcelassessmentwithdats_fertilizersusageinformation_producttype_8"</v>
      </c>
    </row>
    <row r="157" spans="1:11">
      <c r="A157" t="s">
        <v>925</v>
      </c>
      <c r="B157" s="149">
        <v>130</v>
      </c>
      <c r="C157" s="86" t="s">
        <v>651</v>
      </c>
      <c r="D157" s="86" t="s">
        <v>7</v>
      </c>
      <c r="E157" t="s">
        <v>998</v>
      </c>
      <c r="F157" s="14" t="s">
        <v>1488</v>
      </c>
      <c r="G157" s="14"/>
      <c r="H157" s="99"/>
      <c r="I157" s="99"/>
      <c r="K157" t="str">
        <f t="shared" si="2"/>
        <v>"H157":"parcelassessmentwithdats_fertilizersusageinformation_numberoftreatments_8"</v>
      </c>
    </row>
    <row r="158" spans="1:11">
      <c r="A158" t="s">
        <v>925</v>
      </c>
      <c r="B158" s="149">
        <v>131</v>
      </c>
      <c r="C158" s="86" t="s">
        <v>651</v>
      </c>
      <c r="D158" s="86" t="s">
        <v>453</v>
      </c>
      <c r="E158" t="s">
        <v>999</v>
      </c>
      <c r="F158" s="14" t="s">
        <v>1489</v>
      </c>
      <c r="G158" s="14"/>
      <c r="H158" s="99"/>
      <c r="I158" s="99"/>
      <c r="K158" t="str">
        <f t="shared" si="2"/>
        <v>"H158":"parcelassessmentwithdats_fertilizersusageinformation_averagequantity_8"</v>
      </c>
    </row>
    <row r="159" spans="1:11">
      <c r="A159" t="s">
        <v>925</v>
      </c>
      <c r="B159" s="149">
        <v>132</v>
      </c>
      <c r="C159" s="86" t="s">
        <v>651</v>
      </c>
      <c r="D159" s="86" t="s">
        <v>454</v>
      </c>
      <c r="E159" t="s">
        <v>1036</v>
      </c>
      <c r="F159" s="14" t="s">
        <v>1490</v>
      </c>
      <c r="G159" s="14"/>
      <c r="H159" s="99"/>
      <c r="I159" s="99"/>
      <c r="K159" t="str">
        <f t="shared" si="2"/>
        <v>"H159":"parcelassessmentwithdats_fertilizersusageinformation_averagenitrogenquantity_8"</v>
      </c>
    </row>
    <row r="160" spans="1:11">
      <c r="A160" t="s">
        <v>925</v>
      </c>
      <c r="B160" s="149">
        <v>133</v>
      </c>
      <c r="C160" s="86" t="s">
        <v>651</v>
      </c>
      <c r="D160" s="86" t="s">
        <v>455</v>
      </c>
      <c r="E160" t="s">
        <v>1037</v>
      </c>
      <c r="F160" s="14" t="s">
        <v>1491</v>
      </c>
      <c r="G160" s="14"/>
      <c r="H160" s="99"/>
      <c r="I160" s="99"/>
      <c r="K160" t="str">
        <f t="shared" si="2"/>
        <v>"H160":"parcelassessmentwithdats_fertilizersusageinformation_averagephosphorusquantity_8"</v>
      </c>
    </row>
    <row r="161" spans="1:11">
      <c r="A161" t="s">
        <v>925</v>
      </c>
      <c r="B161" s="149">
        <v>134</v>
      </c>
      <c r="C161" s="86" t="s">
        <v>651</v>
      </c>
      <c r="D161" s="86" t="s">
        <v>456</v>
      </c>
      <c r="E161" t="s">
        <v>1038</v>
      </c>
      <c r="F161" s="14" t="s">
        <v>1492</v>
      </c>
      <c r="G161" s="14"/>
      <c r="H161" s="99"/>
      <c r="I161" s="99"/>
      <c r="K161" t="str">
        <f t="shared" si="2"/>
        <v>"H161":"parcelassessmentwithdats_fertilizersusageinformation_averagepotassiumquantity_8"</v>
      </c>
    </row>
    <row r="162" spans="1:11">
      <c r="A162" t="s">
        <v>925</v>
      </c>
      <c r="B162" s="149">
        <v>135</v>
      </c>
      <c r="C162" s="86" t="s">
        <v>652</v>
      </c>
      <c r="D162" s="86" t="s">
        <v>659</v>
      </c>
      <c r="E162" t="s">
        <v>1000</v>
      </c>
      <c r="F162" s="14" t="s">
        <v>1493</v>
      </c>
      <c r="G162" s="14"/>
      <c r="H162" s="99"/>
      <c r="I162" s="99"/>
      <c r="K162" t="str">
        <f t="shared" si="2"/>
        <v>"H162":"parcelassessmentwithdats_fertilizersusageinformation_productname_9"</v>
      </c>
    </row>
    <row r="163" spans="1:11">
      <c r="A163" t="s">
        <v>925</v>
      </c>
      <c r="B163" s="149">
        <v>136</v>
      </c>
      <c r="C163" s="86" t="s">
        <v>652</v>
      </c>
      <c r="D163" s="86" t="s">
        <v>581</v>
      </c>
      <c r="E163" t="s">
        <v>1039</v>
      </c>
      <c r="F163" s="14" t="s">
        <v>1494</v>
      </c>
      <c r="G163" s="14"/>
      <c r="H163" s="99"/>
      <c r="I163" s="99"/>
      <c r="K163" t="str">
        <f t="shared" si="2"/>
        <v>"H163":"parcelassessmentwithdats_fertilizersusageinformation_producttype_9"</v>
      </c>
    </row>
    <row r="164" spans="1:11">
      <c r="A164" t="s">
        <v>925</v>
      </c>
      <c r="B164" s="149">
        <v>137</v>
      </c>
      <c r="C164" s="86" t="s">
        <v>652</v>
      </c>
      <c r="D164" s="86" t="s">
        <v>7</v>
      </c>
      <c r="E164" t="s">
        <v>1001</v>
      </c>
      <c r="F164" s="14" t="s">
        <v>1495</v>
      </c>
      <c r="G164" s="14"/>
      <c r="H164" s="99"/>
      <c r="I164" s="99"/>
      <c r="K164" t="str">
        <f t="shared" si="2"/>
        <v>"H164":"parcelassessmentwithdats_fertilizersusageinformation_numberoftreatments_9"</v>
      </c>
    </row>
    <row r="165" spans="1:11">
      <c r="A165" t="s">
        <v>925</v>
      </c>
      <c r="B165" s="149">
        <v>138</v>
      </c>
      <c r="C165" s="86" t="s">
        <v>652</v>
      </c>
      <c r="D165" s="86" t="s">
        <v>453</v>
      </c>
      <c r="E165" t="s">
        <v>1002</v>
      </c>
      <c r="F165" s="14" t="s">
        <v>1496</v>
      </c>
      <c r="G165" s="14"/>
      <c r="H165" s="99"/>
      <c r="I165" s="99"/>
      <c r="K165" t="str">
        <f t="shared" si="2"/>
        <v>"H165":"parcelassessmentwithdats_fertilizersusageinformation_averagequantity_9"</v>
      </c>
    </row>
    <row r="166" spans="1:11">
      <c r="A166" t="s">
        <v>925</v>
      </c>
      <c r="B166" s="149">
        <v>139</v>
      </c>
      <c r="C166" s="86" t="s">
        <v>652</v>
      </c>
      <c r="D166" s="86" t="s">
        <v>454</v>
      </c>
      <c r="E166" t="s">
        <v>1040</v>
      </c>
      <c r="F166" s="14" t="s">
        <v>1497</v>
      </c>
      <c r="G166" s="14"/>
      <c r="H166" s="99"/>
      <c r="I166" s="99"/>
      <c r="K166" t="str">
        <f t="shared" si="2"/>
        <v>"H166":"parcelassessmentwithdats_fertilizersusageinformation_averagenitrogenquantity_9"</v>
      </c>
    </row>
    <row r="167" spans="1:11">
      <c r="A167" t="s">
        <v>925</v>
      </c>
      <c r="B167" s="149">
        <v>140</v>
      </c>
      <c r="C167" s="86" t="s">
        <v>652</v>
      </c>
      <c r="D167" s="86" t="s">
        <v>455</v>
      </c>
      <c r="E167" t="s">
        <v>1041</v>
      </c>
      <c r="F167" s="14" t="s">
        <v>1498</v>
      </c>
      <c r="G167" s="14"/>
      <c r="H167" s="99"/>
      <c r="I167" s="99"/>
      <c r="K167" t="str">
        <f t="shared" si="2"/>
        <v>"H167":"parcelassessmentwithdats_fertilizersusageinformation_averagephosphorusquantity_9"</v>
      </c>
    </row>
    <row r="168" spans="1:11">
      <c r="A168" t="s">
        <v>925</v>
      </c>
      <c r="B168" s="149">
        <v>141</v>
      </c>
      <c r="C168" s="86" t="s">
        <v>652</v>
      </c>
      <c r="D168" s="86" t="s">
        <v>456</v>
      </c>
      <c r="E168" t="s">
        <v>1042</v>
      </c>
      <c r="F168" s="14" t="s">
        <v>1499</v>
      </c>
      <c r="G168" s="14"/>
      <c r="H168" s="99"/>
      <c r="I168" s="99"/>
      <c r="K168" t="str">
        <f t="shared" si="2"/>
        <v>"H168":"parcelassessmentwithdats_fertilizersusageinformation_averagepotassiumquantity_9"</v>
      </c>
    </row>
    <row r="169" spans="1:11">
      <c r="F169" s="14" t="s">
        <v>1500</v>
      </c>
      <c r="G169" s="14"/>
      <c r="H169" s="81"/>
      <c r="I169" s="109"/>
      <c r="K169" t="str">
        <f t="shared" si="2"/>
        <v>"H169":"parcelassessmentwithdats__"</v>
      </c>
    </row>
    <row r="170" spans="1:11">
      <c r="B170" s="120" t="s">
        <v>9</v>
      </c>
      <c r="C170" s="121"/>
      <c r="D170" s="122"/>
      <c r="F170" s="14" t="s">
        <v>1501</v>
      </c>
      <c r="G170" s="14"/>
      <c r="H170" s="212" t="s">
        <v>107</v>
      </c>
      <c r="I170" s="213"/>
      <c r="K170" t="str">
        <f t="shared" si="2"/>
        <v>"H170":"parcelassessmentwithdats__"</v>
      </c>
    </row>
    <row r="171" spans="1:11">
      <c r="B171" s="135" t="s">
        <v>110</v>
      </c>
      <c r="C171" s="123" t="s">
        <v>108</v>
      </c>
      <c r="D171" s="123"/>
      <c r="F171" s="14" t="s">
        <v>1502</v>
      </c>
      <c r="G171" s="14"/>
      <c r="H171" s="82" t="s">
        <v>493</v>
      </c>
      <c r="I171" s="82" t="s">
        <v>100</v>
      </c>
      <c r="K171" t="str">
        <f t="shared" si="2"/>
        <v>"H171":"parcelassessmentwithdats__"</v>
      </c>
    </row>
    <row r="172" spans="1:11">
      <c r="A172" t="s">
        <v>926</v>
      </c>
      <c r="B172" s="149">
        <v>72</v>
      </c>
      <c r="C172" s="86" t="s">
        <v>582</v>
      </c>
      <c r="D172" s="86" t="s">
        <v>584</v>
      </c>
      <c r="E172" t="s">
        <v>961</v>
      </c>
      <c r="F172" s="14" t="s">
        <v>1503</v>
      </c>
      <c r="G172" s="14"/>
      <c r="H172" s="134"/>
      <c r="I172" s="99"/>
      <c r="K172" t="str">
        <f t="shared" si="2"/>
        <v>"H172":"parcelassessmentwithdats_feedusageinformation_productname_0"</v>
      </c>
    </row>
    <row r="173" spans="1:11">
      <c r="A173" t="s">
        <v>926</v>
      </c>
      <c r="B173" s="149">
        <v>73</v>
      </c>
      <c r="C173" s="86" t="s">
        <v>582</v>
      </c>
      <c r="D173" s="86" t="s">
        <v>585</v>
      </c>
      <c r="E173" t="s">
        <v>962</v>
      </c>
      <c r="F173" s="14" t="s">
        <v>1504</v>
      </c>
      <c r="G173" s="14"/>
      <c r="H173" s="99"/>
      <c r="I173" s="99"/>
      <c r="K173" t="str">
        <f t="shared" si="2"/>
        <v>"H173":"parcelassessmentwithdats_feedusageinformation_quantity_0"</v>
      </c>
    </row>
    <row r="174" spans="1:11">
      <c r="A174" t="s">
        <v>926</v>
      </c>
      <c r="B174" s="149">
        <v>74</v>
      </c>
      <c r="C174" s="86" t="s">
        <v>583</v>
      </c>
      <c r="D174" s="86" t="s">
        <v>586</v>
      </c>
      <c r="E174" t="s">
        <v>963</v>
      </c>
      <c r="F174" s="14" t="s">
        <v>1505</v>
      </c>
      <c r="G174" s="14"/>
      <c r="H174" s="134"/>
      <c r="I174" s="99"/>
      <c r="K174" t="str">
        <f t="shared" si="2"/>
        <v>"H174":"parcelassessmentwithdats_feedusageinformation_productname_1"</v>
      </c>
    </row>
    <row r="175" spans="1:11">
      <c r="A175" t="s">
        <v>926</v>
      </c>
      <c r="B175" s="149">
        <v>75</v>
      </c>
      <c r="C175" s="86" t="s">
        <v>583</v>
      </c>
      <c r="D175" s="86" t="s">
        <v>587</v>
      </c>
      <c r="E175" t="s">
        <v>964</v>
      </c>
      <c r="F175" s="14" t="s">
        <v>1506</v>
      </c>
      <c r="G175" s="14"/>
      <c r="H175" s="99"/>
      <c r="I175" s="99"/>
      <c r="K175" t="str">
        <f t="shared" si="2"/>
        <v>"H175":"parcelassessmentwithdats_feedusageinformation_quantity_1"</v>
      </c>
    </row>
    <row r="176" spans="1:11">
      <c r="A176" t="s">
        <v>926</v>
      </c>
      <c r="B176" s="149">
        <v>76</v>
      </c>
      <c r="C176" s="86" t="s">
        <v>660</v>
      </c>
      <c r="D176" s="86" t="s">
        <v>663</v>
      </c>
      <c r="E176" t="s">
        <v>965</v>
      </c>
      <c r="F176" s="14" t="s">
        <v>1507</v>
      </c>
      <c r="G176" s="14"/>
      <c r="H176" s="134"/>
      <c r="I176" s="99"/>
      <c r="K176" t="str">
        <f t="shared" si="2"/>
        <v>"H176":"parcelassessmentwithdats_feedusageinformation_productname_2"</v>
      </c>
    </row>
    <row r="177" spans="1:11">
      <c r="A177" t="s">
        <v>926</v>
      </c>
      <c r="B177" s="149">
        <v>77</v>
      </c>
      <c r="C177" s="86" t="s">
        <v>660</v>
      </c>
      <c r="D177" s="86" t="s">
        <v>664</v>
      </c>
      <c r="E177" t="s">
        <v>966</v>
      </c>
      <c r="F177" s="14" t="s">
        <v>1508</v>
      </c>
      <c r="G177" s="14"/>
      <c r="H177" s="99"/>
      <c r="I177" s="99"/>
      <c r="K177" t="str">
        <f t="shared" si="2"/>
        <v>"H177":"parcelassessmentwithdats_feedusageinformation_quantity_2"</v>
      </c>
    </row>
    <row r="178" spans="1:11">
      <c r="A178" t="s">
        <v>926</v>
      </c>
      <c r="B178" s="149">
        <v>76</v>
      </c>
      <c r="C178" s="86" t="s">
        <v>661</v>
      </c>
      <c r="D178" s="86" t="s">
        <v>665</v>
      </c>
      <c r="E178" t="s">
        <v>967</v>
      </c>
      <c r="F178" s="14" t="s">
        <v>1509</v>
      </c>
      <c r="G178" s="14"/>
      <c r="H178" s="134"/>
      <c r="I178" s="99"/>
      <c r="K178" t="str">
        <f t="shared" si="2"/>
        <v>"H178":"parcelassessmentwithdats_feedusageinformation_productname_3"</v>
      </c>
    </row>
    <row r="179" spans="1:11">
      <c r="A179" t="s">
        <v>926</v>
      </c>
      <c r="B179" s="149">
        <v>77</v>
      </c>
      <c r="C179" s="86" t="s">
        <v>661</v>
      </c>
      <c r="D179" s="86" t="s">
        <v>666</v>
      </c>
      <c r="E179" t="s">
        <v>968</v>
      </c>
      <c r="F179" s="14" t="s">
        <v>1510</v>
      </c>
      <c r="G179" s="14"/>
      <c r="H179" s="99"/>
      <c r="I179" s="99"/>
      <c r="K179" t="str">
        <f t="shared" si="2"/>
        <v>"H179":"parcelassessmentwithdats_feedusageinformation_quantity_3"</v>
      </c>
    </row>
    <row r="180" spans="1:11">
      <c r="A180" t="s">
        <v>926</v>
      </c>
      <c r="B180" s="149">
        <v>76</v>
      </c>
      <c r="C180" s="86" t="s">
        <v>662</v>
      </c>
      <c r="D180" s="86" t="s">
        <v>667</v>
      </c>
      <c r="E180" t="s">
        <v>969</v>
      </c>
      <c r="F180" s="14" t="s">
        <v>1511</v>
      </c>
      <c r="G180" s="14"/>
      <c r="H180" s="134"/>
      <c r="I180" s="99"/>
      <c r="K180" t="str">
        <f t="shared" si="2"/>
        <v>"H180":"parcelassessmentwithdats_feedusageinformation_productname_4"</v>
      </c>
    </row>
    <row r="181" spans="1:11">
      <c r="A181" t="s">
        <v>926</v>
      </c>
      <c r="B181" s="149">
        <v>77</v>
      </c>
      <c r="C181" s="86" t="s">
        <v>662</v>
      </c>
      <c r="D181" s="86" t="s">
        <v>668</v>
      </c>
      <c r="E181" t="s">
        <v>970</v>
      </c>
      <c r="F181" s="14" t="s">
        <v>1512</v>
      </c>
      <c r="G181" s="14"/>
      <c r="H181" s="99"/>
      <c r="I181" s="99"/>
      <c r="K181" t="str">
        <f t="shared" si="2"/>
        <v>"H181":"parcelassessmentwithdats_feedusageinformation_quantity_4"</v>
      </c>
    </row>
    <row r="182" spans="1:11">
      <c r="F182" s="14" t="s">
        <v>1513</v>
      </c>
      <c r="G182" s="14"/>
      <c r="H182" s="81"/>
      <c r="I182" s="81"/>
      <c r="K182" t="str">
        <f t="shared" si="2"/>
        <v>"H182":"parcelassessmentwithdats__"</v>
      </c>
    </row>
    <row r="183" spans="1:11" ht="12" customHeight="1">
      <c r="B183" s="124" t="s">
        <v>12</v>
      </c>
      <c r="C183" s="125"/>
      <c r="D183" s="125"/>
      <c r="F183" s="14" t="s">
        <v>1514</v>
      </c>
      <c r="G183" s="14"/>
      <c r="H183" s="212" t="s">
        <v>107</v>
      </c>
      <c r="I183" s="213"/>
      <c r="K183" t="str">
        <f t="shared" si="2"/>
        <v>"H183":"parcelassessmentwithdats__"</v>
      </c>
    </row>
    <row r="184" spans="1:11">
      <c r="B184" s="136" t="s">
        <v>110</v>
      </c>
      <c r="C184" s="136" t="s">
        <v>108</v>
      </c>
      <c r="D184" s="136"/>
      <c r="F184" s="14" t="s">
        <v>1515</v>
      </c>
      <c r="G184" s="14"/>
      <c r="H184" s="82" t="s">
        <v>493</v>
      </c>
      <c r="I184" s="82" t="s">
        <v>100</v>
      </c>
      <c r="K184" t="str">
        <f t="shared" si="2"/>
        <v>"H184":"parcelassessmentwithdats__"</v>
      </c>
    </row>
    <row r="185" spans="1:11">
      <c r="A185" t="s">
        <v>927</v>
      </c>
      <c r="B185" s="149">
        <v>78</v>
      </c>
      <c r="C185" s="86" t="s">
        <v>589</v>
      </c>
      <c r="D185" s="86" t="s">
        <v>565</v>
      </c>
      <c r="E185" t="s">
        <v>961</v>
      </c>
      <c r="F185" s="14" t="s">
        <v>1516</v>
      </c>
      <c r="G185" s="14"/>
      <c r="H185" s="134"/>
      <c r="I185" s="99"/>
      <c r="K185" t="str">
        <f t="shared" si="2"/>
        <v>"H185":"parcelassessmentwithdats_drugsusageinformation_productname_0"</v>
      </c>
    </row>
    <row r="186" spans="1:11">
      <c r="A186" t="s">
        <v>927</v>
      </c>
      <c r="B186" s="149">
        <v>79</v>
      </c>
      <c r="C186" s="86" t="s">
        <v>589</v>
      </c>
      <c r="D186" s="86" t="s">
        <v>670</v>
      </c>
      <c r="E186" t="s">
        <v>962</v>
      </c>
      <c r="F186" s="14" t="s">
        <v>1517</v>
      </c>
      <c r="G186" s="14"/>
      <c r="H186" s="99"/>
      <c r="I186" s="99"/>
      <c r="K186" t="str">
        <f t="shared" si="2"/>
        <v>"H186":"parcelassessmentwithdats_drugsusageinformation_quantity_0"</v>
      </c>
    </row>
    <row r="187" spans="1:11">
      <c r="A187" t="s">
        <v>927</v>
      </c>
      <c r="B187" s="149">
        <v>80</v>
      </c>
      <c r="C187" s="86" t="s">
        <v>590</v>
      </c>
      <c r="D187" s="86" t="s">
        <v>565</v>
      </c>
      <c r="E187" t="s">
        <v>963</v>
      </c>
      <c r="F187" s="14" t="s">
        <v>1518</v>
      </c>
      <c r="G187" s="14"/>
      <c r="H187" s="134"/>
      <c r="I187" s="99"/>
      <c r="K187" t="str">
        <f t="shared" si="2"/>
        <v>"H187":"parcelassessmentwithdats_drugsusageinformation_productname_1"</v>
      </c>
    </row>
    <row r="188" spans="1:11">
      <c r="A188" t="s">
        <v>927</v>
      </c>
      <c r="B188" s="149">
        <v>81</v>
      </c>
      <c r="C188" s="86" t="s">
        <v>590</v>
      </c>
      <c r="D188" s="86" t="s">
        <v>671</v>
      </c>
      <c r="E188" t="s">
        <v>964</v>
      </c>
      <c r="F188" s="14" t="s">
        <v>1519</v>
      </c>
      <c r="G188" s="14"/>
      <c r="H188" s="99"/>
      <c r="I188" s="99"/>
      <c r="K188" t="str">
        <f t="shared" si="2"/>
        <v>"H188":"parcelassessmentwithdats_drugsusageinformation_quantity_1"</v>
      </c>
    </row>
    <row r="189" spans="1:11">
      <c r="A189" t="s">
        <v>927</v>
      </c>
      <c r="B189" s="149">
        <v>82</v>
      </c>
      <c r="C189" s="86" t="s">
        <v>669</v>
      </c>
      <c r="D189" s="86" t="s">
        <v>565</v>
      </c>
      <c r="E189" t="s">
        <v>965</v>
      </c>
      <c r="F189" s="14" t="s">
        <v>1520</v>
      </c>
      <c r="G189" s="14"/>
      <c r="H189" s="134"/>
      <c r="I189" s="99"/>
      <c r="K189" t="str">
        <f t="shared" si="2"/>
        <v>"H189":"parcelassessmentwithdats_drugsusageinformation_productname_2"</v>
      </c>
    </row>
    <row r="190" spans="1:11">
      <c r="A190" t="s">
        <v>927</v>
      </c>
      <c r="B190" s="149">
        <v>83</v>
      </c>
      <c r="C190" s="86" t="s">
        <v>669</v>
      </c>
      <c r="D190" s="86" t="s">
        <v>672</v>
      </c>
      <c r="E190" t="s">
        <v>966</v>
      </c>
      <c r="F190" s="14" t="s">
        <v>1521</v>
      </c>
      <c r="G190" s="14"/>
      <c r="H190" s="99"/>
      <c r="I190" s="99"/>
      <c r="K190" t="str">
        <f t="shared" si="2"/>
        <v>"H190":"parcelassessmentwithdats_drugsusageinformation_quantity_2"</v>
      </c>
    </row>
    <row r="191" spans="1:11">
      <c r="F191" s="14" t="s">
        <v>1522</v>
      </c>
      <c r="G191" s="14"/>
      <c r="H191" s="81"/>
      <c r="I191" s="81"/>
      <c r="K191" t="str">
        <f t="shared" si="2"/>
        <v>"H191":"parcelassessmentwithdats__"</v>
      </c>
    </row>
    <row r="192" spans="1:11">
      <c r="B192" s="126" t="s">
        <v>6</v>
      </c>
      <c r="C192" s="127"/>
      <c r="D192" s="128"/>
      <c r="F192" s="14" t="s">
        <v>1523</v>
      </c>
      <c r="G192" s="14"/>
      <c r="H192" s="212" t="s">
        <v>107</v>
      </c>
      <c r="I192" s="213"/>
      <c r="K192" t="str">
        <f t="shared" si="2"/>
        <v>"H192":"parcelassessmentwithdats__"</v>
      </c>
    </row>
    <row r="193" spans="1:11">
      <c r="B193" s="129" t="s">
        <v>110</v>
      </c>
      <c r="C193" s="129" t="s">
        <v>108</v>
      </c>
      <c r="D193" s="129" t="s">
        <v>98</v>
      </c>
      <c r="F193" s="14" t="s">
        <v>1524</v>
      </c>
      <c r="G193" s="14"/>
      <c r="H193" s="82" t="s">
        <v>493</v>
      </c>
      <c r="I193" s="82" t="s">
        <v>100</v>
      </c>
      <c r="K193" t="str">
        <f t="shared" si="2"/>
        <v>"H193":"parcelassessmentwithdats__"</v>
      </c>
    </row>
    <row r="194" spans="1:11">
      <c r="A194" t="s">
        <v>928</v>
      </c>
      <c r="B194" s="100">
        <v>84</v>
      </c>
      <c r="C194" s="100" t="s">
        <v>691</v>
      </c>
      <c r="D194" s="86" t="s">
        <v>483</v>
      </c>
      <c r="E194" s="225" t="s">
        <v>1043</v>
      </c>
      <c r="F194" s="14" t="s">
        <v>1525</v>
      </c>
      <c r="G194" s="14"/>
      <c r="H194" s="99">
        <v>10</v>
      </c>
      <c r="I194" s="99"/>
      <c r="K194" t="str">
        <f t="shared" si="2"/>
        <v>"H194":"parcelassessmentwithdats_labourinformation_labourforirrigation"</v>
      </c>
    </row>
    <row r="195" spans="1:11">
      <c r="A195" t="s">
        <v>928</v>
      </c>
      <c r="B195" s="100">
        <v>85</v>
      </c>
      <c r="C195" s="100" t="s">
        <v>692</v>
      </c>
      <c r="D195" s="86" t="s">
        <v>483</v>
      </c>
      <c r="E195" s="225" t="s">
        <v>1044</v>
      </c>
      <c r="F195" s="14" t="s">
        <v>1526</v>
      </c>
      <c r="G195" s="14"/>
      <c r="H195" s="99"/>
      <c r="I195" s="99"/>
      <c r="K195" t="str">
        <f t="shared" si="2"/>
        <v>"H195":"parcelassessmentwithdats_labourinformation_labourforpesticides"</v>
      </c>
    </row>
    <row r="196" spans="1:11">
      <c r="A196" t="s">
        <v>928</v>
      </c>
      <c r="B196" s="100">
        <v>86</v>
      </c>
      <c r="C196" s="100" t="s">
        <v>693</v>
      </c>
      <c r="D196" s="86" t="s">
        <v>483</v>
      </c>
      <c r="E196" s="225" t="s">
        <v>1045</v>
      </c>
      <c r="F196" s="14" t="s">
        <v>1527</v>
      </c>
      <c r="G196" s="14"/>
      <c r="H196" s="99"/>
      <c r="I196" s="99"/>
      <c r="K196" t="str">
        <f t="shared" si="2"/>
        <v>"H196":"parcelassessmentwithdats_labourinformation_labourforfertilisation"</v>
      </c>
    </row>
    <row r="197" spans="1:11">
      <c r="A197" t="s">
        <v>928</v>
      </c>
      <c r="B197" s="100">
        <v>87</v>
      </c>
      <c r="C197" s="100" t="s">
        <v>694</v>
      </c>
      <c r="D197" s="86" t="s">
        <v>483</v>
      </c>
      <c r="E197" s="225" t="s">
        <v>1046</v>
      </c>
      <c r="F197" s="14" t="s">
        <v>1528</v>
      </c>
      <c r="G197" s="14"/>
      <c r="H197" s="99"/>
      <c r="I197" s="99"/>
      <c r="K197" t="str">
        <f t="shared" si="2"/>
        <v>"H197":"parcelassessmentwithdats_labourinformation_labourforsowingorplanting"</v>
      </c>
    </row>
    <row r="198" spans="1:11">
      <c r="A198" t="s">
        <v>928</v>
      </c>
      <c r="B198" s="100">
        <v>88</v>
      </c>
      <c r="C198" s="100" t="s">
        <v>695</v>
      </c>
      <c r="D198" s="86" t="s">
        <v>483</v>
      </c>
      <c r="E198" s="225" t="s">
        <v>1047</v>
      </c>
      <c r="F198" s="14" t="s">
        <v>1529</v>
      </c>
      <c r="G198" s="14"/>
      <c r="H198" s="99"/>
      <c r="I198" s="99"/>
      <c r="K198" t="str">
        <f t="shared" si="2"/>
        <v>"H198":"parcelassessmentwithdats_labourinformation_labourforpruning"</v>
      </c>
    </row>
    <row r="199" spans="1:11">
      <c r="A199" t="s">
        <v>928</v>
      </c>
      <c r="B199" s="100">
        <v>89</v>
      </c>
      <c r="C199" s="100" t="s">
        <v>696</v>
      </c>
      <c r="D199" s="86" t="s">
        <v>483</v>
      </c>
      <c r="E199" s="225" t="s">
        <v>1048</v>
      </c>
      <c r="F199" s="14" t="s">
        <v>1530</v>
      </c>
      <c r="G199" s="14"/>
      <c r="H199" s="99"/>
      <c r="I199" s="99"/>
      <c r="K199" t="str">
        <f t="shared" si="2"/>
        <v>"H199":"parcelassessmentwithdats_labourinformation_labourforfieldvisits"</v>
      </c>
    </row>
    <row r="200" spans="1:11">
      <c r="A200" t="s">
        <v>928</v>
      </c>
      <c r="B200" s="100">
        <v>90</v>
      </c>
      <c r="C200" s="100" t="s">
        <v>697</v>
      </c>
      <c r="D200" s="86" t="s">
        <v>483</v>
      </c>
      <c r="E200" s="225" t="s">
        <v>1049</v>
      </c>
      <c r="F200" s="14" t="s">
        <v>1531</v>
      </c>
      <c r="G200" s="14"/>
      <c r="H200" s="99"/>
      <c r="I200" s="99"/>
      <c r="K200" t="str">
        <f t="shared" si="2"/>
        <v>"H200":"parcelassessmentwithdats_labourinformation_labourforgreenhousemanagement"</v>
      </c>
    </row>
    <row r="201" spans="1:11">
      <c r="A201" t="s">
        <v>928</v>
      </c>
      <c r="B201" s="100">
        <v>91</v>
      </c>
      <c r="C201" s="100" t="s">
        <v>698</v>
      </c>
      <c r="D201" s="86" t="s">
        <v>483</v>
      </c>
      <c r="E201" s="225" t="s">
        <v>1050</v>
      </c>
      <c r="F201" s="14" t="s">
        <v>1532</v>
      </c>
      <c r="G201" s="14"/>
      <c r="H201" s="99"/>
      <c r="I201" s="99"/>
      <c r="K201" t="str">
        <f t="shared" si="2"/>
        <v>"H201":"parcelassessmentwithdats_labourinformation_labourforquantitytracking"</v>
      </c>
    </row>
    <row r="202" spans="1:11">
      <c r="A202" t="s">
        <v>928</v>
      </c>
      <c r="B202" s="100">
        <v>92</v>
      </c>
      <c r="C202" s="100" t="s">
        <v>699</v>
      </c>
      <c r="D202" s="86" t="s">
        <v>483</v>
      </c>
      <c r="E202" s="225" t="s">
        <v>1051</v>
      </c>
      <c r="F202" s="14" t="s">
        <v>1533</v>
      </c>
      <c r="G202" s="14"/>
      <c r="H202" s="99"/>
      <c r="I202" s="99"/>
      <c r="K202" t="str">
        <f t="shared" si="2"/>
        <v>"H202":"parcelassessmentwithdats_labourinformation_labourforgrainqualityassessment"</v>
      </c>
    </row>
    <row r="203" spans="1:11">
      <c r="A203" t="s">
        <v>928</v>
      </c>
      <c r="B203" s="100">
        <v>93</v>
      </c>
      <c r="C203" s="100" t="s">
        <v>700</v>
      </c>
      <c r="D203" s="86" t="s">
        <v>483</v>
      </c>
      <c r="E203" s="225" t="s">
        <v>1052</v>
      </c>
      <c r="F203" s="14" t="s">
        <v>1534</v>
      </c>
      <c r="G203" s="14"/>
      <c r="H203" s="99"/>
      <c r="I203" s="99"/>
      <c r="K203" t="str">
        <f t="shared" ref="K203:K256" si="3">CONCATENATE("""",F203,"""",":","""","parcelassessmentwithdats_",LOWER($A203),"_",LOWER($E203),"""")</f>
        <v>"H203":"parcelassessmentwithdats_labourinformation_labourforcontrollingpricesandquantities"</v>
      </c>
    </row>
    <row r="204" spans="1:11">
      <c r="A204" t="s">
        <v>928</v>
      </c>
      <c r="B204" s="100">
        <v>94</v>
      </c>
      <c r="C204" s="100" t="s">
        <v>701</v>
      </c>
      <c r="D204" s="86" t="s">
        <v>483</v>
      </c>
      <c r="E204" s="225" t="s">
        <v>1053</v>
      </c>
      <c r="F204" s="14" t="s">
        <v>1535</v>
      </c>
      <c r="G204" s="14"/>
      <c r="H204" s="99"/>
      <c r="I204" s="99"/>
      <c r="K204" t="str">
        <f t="shared" si="3"/>
        <v>"H204":"parcelassessmentwithdats_labourinformation_labourfororganisinglogistics"</v>
      </c>
    </row>
    <row r="205" spans="1:11">
      <c r="A205" t="s">
        <v>928</v>
      </c>
      <c r="B205" s="100">
        <v>95</v>
      </c>
      <c r="C205" s="100" t="s">
        <v>702</v>
      </c>
      <c r="D205" s="86" t="s">
        <v>483</v>
      </c>
      <c r="E205" s="225" t="s">
        <v>1054</v>
      </c>
      <c r="F205" s="14" t="s">
        <v>1536</v>
      </c>
      <c r="G205" s="14"/>
      <c r="H205" s="99"/>
      <c r="I205" s="99"/>
      <c r="K205" t="str">
        <f t="shared" si="3"/>
        <v>"H205":"parcelassessmentwithdats_labourinformation_labourforcleaning"</v>
      </c>
    </row>
    <row r="206" spans="1:11">
      <c r="A206" t="s">
        <v>928</v>
      </c>
      <c r="B206" s="100">
        <v>96</v>
      </c>
      <c r="C206" s="100" t="s">
        <v>703</v>
      </c>
      <c r="D206" s="86" t="s">
        <v>483</v>
      </c>
      <c r="E206" s="225" t="s">
        <v>1055</v>
      </c>
      <c r="F206" s="14" t="s">
        <v>1537</v>
      </c>
      <c r="G206" s="14"/>
      <c r="H206" s="99"/>
      <c r="I206" s="99"/>
      <c r="K206" t="str">
        <f t="shared" si="3"/>
        <v>"H206":"parcelassessmentwithdats_labourinformation_labourforstablevisits"</v>
      </c>
    </row>
    <row r="207" spans="1:11">
      <c r="A207" t="s">
        <v>928</v>
      </c>
      <c r="B207" s="100">
        <v>97</v>
      </c>
      <c r="C207" s="100" t="s">
        <v>704</v>
      </c>
      <c r="D207" s="86" t="s">
        <v>483</v>
      </c>
      <c r="E207" s="225" t="s">
        <v>1056</v>
      </c>
      <c r="F207" s="14" t="s">
        <v>1538</v>
      </c>
      <c r="G207" s="14"/>
      <c r="H207" s="99"/>
      <c r="I207" s="99"/>
      <c r="K207" t="str">
        <f t="shared" si="3"/>
        <v>"H207":"parcelassessmentwithdats_labourinformation_labourforheatdetection"</v>
      </c>
    </row>
    <row r="208" spans="1:11">
      <c r="A208" t="s">
        <v>928</v>
      </c>
      <c r="B208" s="100">
        <v>98</v>
      </c>
      <c r="C208" s="100" t="s">
        <v>705</v>
      </c>
      <c r="D208" s="86" t="s">
        <v>483</v>
      </c>
      <c r="E208" s="225" t="s">
        <v>1057</v>
      </c>
      <c r="F208" s="14" t="s">
        <v>1539</v>
      </c>
      <c r="G208" s="14"/>
      <c r="H208" s="99"/>
      <c r="I208" s="99"/>
      <c r="K208" t="str">
        <f t="shared" si="3"/>
        <v>"H208":"parcelassessmentwithdats_labourinformation_labourforcalvingdetection"</v>
      </c>
    </row>
    <row r="209" spans="1:11">
      <c r="A209" t="s">
        <v>928</v>
      </c>
      <c r="B209" s="100">
        <v>99</v>
      </c>
      <c r="C209" s="100" t="s">
        <v>709</v>
      </c>
      <c r="D209" s="86" t="s">
        <v>483</v>
      </c>
      <c r="E209" s="225" t="s">
        <v>1058</v>
      </c>
      <c r="F209" s="14" t="s">
        <v>1540</v>
      </c>
      <c r="G209" s="14"/>
      <c r="H209" s="99"/>
      <c r="I209" s="99"/>
      <c r="K209" t="str">
        <f t="shared" si="3"/>
        <v>"H209":"parcelassessmentwithdats_labourinformation_labourforpigstymanagement"</v>
      </c>
    </row>
    <row r="210" spans="1:11">
      <c r="A210" t="s">
        <v>928</v>
      </c>
      <c r="B210" s="100">
        <v>100</v>
      </c>
      <c r="C210" s="100" t="s">
        <v>714</v>
      </c>
      <c r="D210" s="86" t="s">
        <v>483</v>
      </c>
      <c r="E210" s="225" t="s">
        <v>1059</v>
      </c>
      <c r="F210" s="14" t="s">
        <v>1541</v>
      </c>
      <c r="G210" s="14"/>
      <c r="H210" s="99"/>
      <c r="I210" s="99"/>
      <c r="K210" t="str">
        <f t="shared" si="3"/>
        <v>"H210":"parcelassessmentwithdats_labourinformation_labourformilking"</v>
      </c>
    </row>
    <row r="211" spans="1:11">
      <c r="A211" t="s">
        <v>928</v>
      </c>
      <c r="B211" s="100">
        <v>101</v>
      </c>
      <c r="C211" s="100" t="s">
        <v>710</v>
      </c>
      <c r="D211" s="86" t="s">
        <v>483</v>
      </c>
      <c r="E211" s="225" t="s">
        <v>1060</v>
      </c>
      <c r="F211" s="14" t="s">
        <v>1542</v>
      </c>
      <c r="G211" s="14"/>
      <c r="H211" s="99"/>
      <c r="I211" s="99"/>
      <c r="K211" t="str">
        <f t="shared" si="3"/>
        <v>"H211":"parcelassessmentwithdats_labourinformation_labourformilkqualityassessment"</v>
      </c>
    </row>
    <row r="212" spans="1:11">
      <c r="A212" t="s">
        <v>928</v>
      </c>
      <c r="B212" s="100">
        <v>102</v>
      </c>
      <c r="C212" s="100" t="s">
        <v>711</v>
      </c>
      <c r="D212" s="86" t="s">
        <v>483</v>
      </c>
      <c r="E212" s="225" t="s">
        <v>1061</v>
      </c>
      <c r="F212" s="14" t="s">
        <v>1543</v>
      </c>
      <c r="G212" s="14"/>
      <c r="H212" s="99"/>
      <c r="I212" s="99"/>
      <c r="K212" t="str">
        <f t="shared" si="3"/>
        <v>"H212":"parcelassessmentwithdats_labourinformation_labourforfeeding"</v>
      </c>
    </row>
    <row r="213" spans="1:11">
      <c r="A213" t="s">
        <v>928</v>
      </c>
      <c r="B213" s="100">
        <v>103</v>
      </c>
      <c r="C213" s="100" t="s">
        <v>712</v>
      </c>
      <c r="D213" s="86" t="s">
        <v>483</v>
      </c>
      <c r="E213" s="225" t="s">
        <v>1062</v>
      </c>
      <c r="F213" s="14" t="s">
        <v>1544</v>
      </c>
      <c r="G213" s="14"/>
      <c r="H213" s="99"/>
      <c r="I213" s="99"/>
      <c r="K213" t="str">
        <f t="shared" si="3"/>
        <v>"H213":"parcelassessmentwithdats_labourinformation_labourforbeehivevisits"</v>
      </c>
    </row>
    <row r="214" spans="1:11">
      <c r="A214" t="s">
        <v>928</v>
      </c>
      <c r="B214" s="100">
        <v>104</v>
      </c>
      <c r="C214" s="100" t="s">
        <v>713</v>
      </c>
      <c r="D214" s="86" t="s">
        <v>483</v>
      </c>
      <c r="E214" s="225" t="s">
        <v>1063</v>
      </c>
      <c r="F214" s="14" t="s">
        <v>1545</v>
      </c>
      <c r="G214" s="14"/>
      <c r="H214" s="99"/>
      <c r="I214" s="99"/>
      <c r="K214" t="str">
        <f t="shared" si="3"/>
        <v>"H214":"parcelassessmentwithdats_labourinformation_labourforoystersampling"</v>
      </c>
    </row>
    <row r="215" spans="1:11">
      <c r="A215" t="s">
        <v>928</v>
      </c>
      <c r="B215" s="100">
        <v>105</v>
      </c>
      <c r="C215" s="100" t="s">
        <v>708</v>
      </c>
      <c r="D215" s="86" t="s">
        <v>483</v>
      </c>
      <c r="E215" s="225" t="s">
        <v>1064</v>
      </c>
      <c r="F215" s="14" t="s">
        <v>1546</v>
      </c>
      <c r="G215" s="14"/>
      <c r="H215" s="99"/>
      <c r="I215" s="99"/>
      <c r="K215" t="str">
        <f t="shared" si="3"/>
        <v>"H215":"parcelassessmentwithdats_labourinformation_labourforoystertransportation"</v>
      </c>
    </row>
    <row r="216" spans="1:11">
      <c r="A216" t="s">
        <v>928</v>
      </c>
      <c r="B216" s="100">
        <v>106</v>
      </c>
      <c r="C216" s="100" t="s">
        <v>707</v>
      </c>
      <c r="D216" s="86" t="s">
        <v>483</v>
      </c>
      <c r="E216" s="225" t="s">
        <v>1065</v>
      </c>
      <c r="F216" s="14" t="s">
        <v>1547</v>
      </c>
      <c r="G216" s="14"/>
      <c r="H216" s="99"/>
      <c r="I216" s="99"/>
      <c r="K216" t="str">
        <f t="shared" si="3"/>
        <v>"H216":"parcelassessmentwithdats_labourinformation_labourforharvesting"</v>
      </c>
    </row>
    <row r="217" spans="1:11">
      <c r="A217" t="s">
        <v>928</v>
      </c>
      <c r="B217" s="100">
        <v>107</v>
      </c>
      <c r="C217" s="100" t="s">
        <v>706</v>
      </c>
      <c r="D217" s="86" t="s">
        <v>483</v>
      </c>
      <c r="E217" s="225" t="s">
        <v>1066</v>
      </c>
      <c r="F217" s="14" t="s">
        <v>1548</v>
      </c>
      <c r="G217" s="14"/>
      <c r="H217" s="99"/>
      <c r="I217" s="99"/>
      <c r="K217" t="str">
        <f t="shared" si="3"/>
        <v>"H217":"parcelassessmentwithdats_labourinformation_labourforstorage"</v>
      </c>
    </row>
    <row r="218" spans="1:11">
      <c r="A218" t="s">
        <v>928</v>
      </c>
      <c r="B218" s="100">
        <v>108</v>
      </c>
      <c r="C218" s="100" t="s">
        <v>715</v>
      </c>
      <c r="D218" s="86" t="s">
        <v>483</v>
      </c>
      <c r="E218" s="225" t="s">
        <v>1067</v>
      </c>
      <c r="F218" s="14" t="s">
        <v>1549</v>
      </c>
      <c r="G218" s="14"/>
      <c r="H218" s="99"/>
      <c r="I218" s="99"/>
      <c r="K218" t="str">
        <f t="shared" si="3"/>
        <v>"H218":"parcelassessmentwithdats_labourinformation_labourforadministration"</v>
      </c>
    </row>
    <row r="219" spans="1:11">
      <c r="F219" s="14" t="s">
        <v>1550</v>
      </c>
      <c r="G219" s="14"/>
      <c r="H219" s="81"/>
      <c r="I219" s="81"/>
      <c r="K219" t="str">
        <f t="shared" si="3"/>
        <v>"H219":"parcelassessmentwithdats__"</v>
      </c>
    </row>
    <row r="220" spans="1:11">
      <c r="B220" s="124" t="s">
        <v>331</v>
      </c>
      <c r="C220" s="125"/>
      <c r="D220" s="125"/>
      <c r="F220" s="14" t="s">
        <v>1551</v>
      </c>
      <c r="G220" s="14"/>
      <c r="H220" s="212" t="s">
        <v>107</v>
      </c>
      <c r="I220" s="213"/>
      <c r="K220" t="str">
        <f t="shared" si="3"/>
        <v>"H220":"parcelassessmentwithdats__"</v>
      </c>
    </row>
    <row r="221" spans="1:11">
      <c r="B221" s="103" t="s">
        <v>110</v>
      </c>
      <c r="C221" s="103" t="s">
        <v>108</v>
      </c>
      <c r="D221" s="103" t="s">
        <v>98</v>
      </c>
      <c r="F221" s="14" t="s">
        <v>1552</v>
      </c>
      <c r="G221" s="14"/>
      <c r="H221" s="82" t="s">
        <v>493</v>
      </c>
      <c r="I221" s="82" t="s">
        <v>100</v>
      </c>
      <c r="K221" t="str">
        <f t="shared" si="3"/>
        <v>"H221":"parcelassessmentwithdats__"</v>
      </c>
    </row>
    <row r="222" spans="1:11">
      <c r="A222" t="s">
        <v>929</v>
      </c>
      <c r="B222" s="149">
        <v>109</v>
      </c>
      <c r="C222" s="86" t="s">
        <v>354</v>
      </c>
      <c r="D222" s="86" t="s">
        <v>111</v>
      </c>
      <c r="E222" s="225" t="s">
        <v>1068</v>
      </c>
      <c r="F222" s="14" t="s">
        <v>1553</v>
      </c>
      <c r="G222" s="14"/>
      <c r="H222" s="99"/>
      <c r="I222" s="99"/>
      <c r="K222" t="str">
        <f t="shared" si="3"/>
        <v>"H222":"parcelassessmentwithdats_economicinformation_numberoffulfilledorders"</v>
      </c>
    </row>
    <row r="223" spans="1:11">
      <c r="A223" t="s">
        <v>929</v>
      </c>
      <c r="B223" s="149">
        <v>110</v>
      </c>
      <c r="C223" s="86" t="s">
        <v>355</v>
      </c>
      <c r="D223" s="86" t="s">
        <v>111</v>
      </c>
      <c r="E223" s="225" t="s">
        <v>1069</v>
      </c>
      <c r="F223" s="14" t="s">
        <v>1554</v>
      </c>
      <c r="G223" s="14"/>
      <c r="H223" s="99"/>
      <c r="I223" s="99"/>
      <c r="K223" t="str">
        <f t="shared" si="3"/>
        <v>"H223":"parcelassessmentwithdats_economicinformation_numberofordersreceived"</v>
      </c>
    </row>
    <row r="224" spans="1:11">
      <c r="A224" t="s">
        <v>929</v>
      </c>
      <c r="B224" s="149">
        <v>111</v>
      </c>
      <c r="C224" s="86" t="s">
        <v>356</v>
      </c>
      <c r="D224" s="86" t="s">
        <v>111</v>
      </c>
      <c r="E224" s="225" t="s">
        <v>1070</v>
      </c>
      <c r="F224" s="14" t="s">
        <v>1555</v>
      </c>
      <c r="G224" s="14"/>
      <c r="H224" s="99"/>
      <c r="I224" s="99"/>
      <c r="K224" t="str">
        <f t="shared" si="3"/>
        <v>"H224":"parcelassessmentwithdats_economicinformation_numberofwrongorders"</v>
      </c>
    </row>
    <row r="225" spans="1:11">
      <c r="A225" t="s">
        <v>929</v>
      </c>
      <c r="B225" s="149">
        <v>112</v>
      </c>
      <c r="C225" s="86" t="s">
        <v>276</v>
      </c>
      <c r="D225" s="86" t="str">
        <f>IFERROR(VLOOKUP('General Information'!$D$6, Validations!$L$2:$M$8, 2,FALSE), "")</f>
        <v>€/ha</v>
      </c>
      <c r="E225" s="225" t="s">
        <v>1071</v>
      </c>
      <c r="F225" s="14" t="s">
        <v>1556</v>
      </c>
      <c r="G225" s="14"/>
      <c r="H225" s="99"/>
      <c r="I225" s="99"/>
      <c r="K225" t="str">
        <f t="shared" si="3"/>
        <v>"H225":"parcelassessmentwithdats_economicinformation_additionalrevenues"</v>
      </c>
    </row>
    <row r="226" spans="1:11">
      <c r="A226" t="s">
        <v>929</v>
      </c>
      <c r="B226" s="149">
        <v>113</v>
      </c>
      <c r="C226" s="86" t="s">
        <v>604</v>
      </c>
      <c r="D226" s="86" t="s">
        <v>105</v>
      </c>
      <c r="E226" s="225" t="s">
        <v>1072</v>
      </c>
      <c r="F226" s="14" t="s">
        <v>1557</v>
      </c>
      <c r="G226" s="14"/>
      <c r="H226" s="99"/>
      <c r="I226" s="99"/>
      <c r="K226" t="str">
        <f t="shared" si="3"/>
        <v>"H226":"parcelassessmentwithdats_economicinformation_percentageproteinindrymatter"</v>
      </c>
    </row>
    <row r="227" spans="1:11">
      <c r="A227" t="s">
        <v>929</v>
      </c>
      <c r="B227" s="149">
        <v>114</v>
      </c>
      <c r="C227" s="86" t="s">
        <v>358</v>
      </c>
      <c r="D227" s="86" t="s">
        <v>105</v>
      </c>
      <c r="E227" s="225" t="s">
        <v>1073</v>
      </c>
      <c r="F227" s="14" t="s">
        <v>1558</v>
      </c>
      <c r="G227" s="14"/>
      <c r="H227" s="99"/>
      <c r="I227" s="99"/>
      <c r="K227" t="str">
        <f t="shared" si="3"/>
        <v>"H227":"parcelassessmentwithdats_economicinformation_humidity"</v>
      </c>
    </row>
    <row r="228" spans="1:11">
      <c r="A228" t="s">
        <v>929</v>
      </c>
      <c r="B228" s="149">
        <v>115</v>
      </c>
      <c r="C228" s="86" t="s">
        <v>359</v>
      </c>
      <c r="D228" s="86" t="s">
        <v>360</v>
      </c>
      <c r="E228" s="225" t="s">
        <v>1074</v>
      </c>
      <c r="F228" s="14" t="s">
        <v>1559</v>
      </c>
      <c r="G228" s="14"/>
      <c r="H228" s="99"/>
      <c r="I228" s="99"/>
      <c r="K228" t="str">
        <f t="shared" si="3"/>
        <v>"H228":"parcelassessmentwithdats_economicinformation_testweight"</v>
      </c>
    </row>
    <row r="229" spans="1:11">
      <c r="F229" s="14" t="s">
        <v>1560</v>
      </c>
      <c r="G229" s="14"/>
      <c r="H229" s="81"/>
      <c r="I229" s="81"/>
      <c r="K229" t="str">
        <f t="shared" si="3"/>
        <v>"H229":"parcelassessmentwithdats__"</v>
      </c>
    </row>
    <row r="230" spans="1:11">
      <c r="B230" s="117" t="s">
        <v>273</v>
      </c>
      <c r="C230" s="118"/>
      <c r="D230" s="118"/>
      <c r="F230" s="14" t="s">
        <v>1561</v>
      </c>
      <c r="G230" s="14"/>
      <c r="H230" s="212" t="s">
        <v>107</v>
      </c>
      <c r="I230" s="213"/>
      <c r="K230" t="str">
        <f t="shared" si="3"/>
        <v>"H230":"parcelassessmentwithdats__"</v>
      </c>
    </row>
    <row r="231" spans="1:11">
      <c r="B231" s="119" t="s">
        <v>110</v>
      </c>
      <c r="C231" s="119" t="s">
        <v>108</v>
      </c>
      <c r="D231" s="119" t="s">
        <v>98</v>
      </c>
      <c r="F231" s="14" t="s">
        <v>1562</v>
      </c>
      <c r="G231" s="14"/>
      <c r="H231" s="82" t="s">
        <v>493</v>
      </c>
      <c r="I231" s="82" t="s">
        <v>100</v>
      </c>
      <c r="K231" t="str">
        <f t="shared" si="3"/>
        <v>"H231":"parcelassessmentwithdats__"</v>
      </c>
    </row>
    <row r="232" spans="1:11">
      <c r="A232" t="s">
        <v>930</v>
      </c>
      <c r="B232" s="149">
        <v>116</v>
      </c>
      <c r="C232" s="86" t="s">
        <v>554</v>
      </c>
      <c r="D232" s="86" t="s">
        <v>111</v>
      </c>
      <c r="E232" s="225" t="s">
        <v>1075</v>
      </c>
      <c r="F232" s="14" t="s">
        <v>1563</v>
      </c>
      <c r="G232" s="14"/>
      <c r="H232" s="99"/>
      <c r="I232" s="99"/>
      <c r="K232" t="str">
        <f t="shared" si="3"/>
        <v>"H232":"parcelassessmentwithdats_additionalanimalinformation_numberofdeathanimals"</v>
      </c>
    </row>
    <row r="233" spans="1:11">
      <c r="A233" t="s">
        <v>930</v>
      </c>
      <c r="B233" s="149">
        <v>117</v>
      </c>
      <c r="C233" s="86" t="s">
        <v>112</v>
      </c>
      <c r="D233" s="86" t="s">
        <v>111</v>
      </c>
      <c r="E233" s="225" t="s">
        <v>1076</v>
      </c>
      <c r="F233" s="14" t="s">
        <v>1564</v>
      </c>
      <c r="G233" s="14"/>
      <c r="H233" s="99"/>
      <c r="I233" s="99"/>
      <c r="K233" t="str">
        <f t="shared" si="3"/>
        <v>"H233":"parcelassessmentwithdats_additionalanimalinformation_calvesdiedinfirst24hours"</v>
      </c>
    </row>
    <row r="234" spans="1:11">
      <c r="A234" t="s">
        <v>930</v>
      </c>
      <c r="B234" s="149">
        <v>118</v>
      </c>
      <c r="C234" s="86" t="s">
        <v>122</v>
      </c>
      <c r="D234" s="86" t="s">
        <v>111</v>
      </c>
      <c r="E234" s="225" t="s">
        <v>1077</v>
      </c>
      <c r="F234" s="14" t="s">
        <v>1565</v>
      </c>
      <c r="G234" s="14"/>
      <c r="H234" s="99"/>
      <c r="I234" s="99"/>
      <c r="K234" t="str">
        <f t="shared" si="3"/>
        <v>"H234":"parcelassessmentwithdats_additionalanimalinformation_totalnumberofcalvesborn"</v>
      </c>
    </row>
    <row r="235" spans="1:11">
      <c r="A235" t="s">
        <v>930</v>
      </c>
      <c r="B235" s="149">
        <v>119</v>
      </c>
      <c r="C235" s="86" t="s">
        <v>129</v>
      </c>
      <c r="D235" s="86" t="s">
        <v>111</v>
      </c>
      <c r="E235" s="225" t="s">
        <v>1078</v>
      </c>
      <c r="F235" s="14" t="s">
        <v>1566</v>
      </c>
      <c r="G235" s="14"/>
      <c r="H235" s="99"/>
      <c r="I235" s="99"/>
      <c r="K235" t="str">
        <f t="shared" si="3"/>
        <v>"H235":"parcelassessmentwithdats_additionalanimalinformation_numberofdayswithpastureaccess"</v>
      </c>
    </row>
    <row r="236" spans="1:11">
      <c r="A236" t="s">
        <v>930</v>
      </c>
      <c r="B236" s="149">
        <v>120</v>
      </c>
      <c r="C236" s="86" t="s">
        <v>128</v>
      </c>
      <c r="D236" s="86" t="s">
        <v>62</v>
      </c>
      <c r="E236" s="225" t="s">
        <v>1079</v>
      </c>
      <c r="F236" s="14" t="s">
        <v>1567</v>
      </c>
      <c r="G236" s="14"/>
      <c r="H236" s="99"/>
      <c r="I236" s="99"/>
      <c r="K236" t="str">
        <f t="shared" si="3"/>
        <v>"H236":"parcelassessmentwithdats_additionalanimalinformation_outdoorloafingarea"</v>
      </c>
    </row>
    <row r="237" spans="1:11">
      <c r="A237" t="s">
        <v>930</v>
      </c>
      <c r="B237" s="149">
        <v>121</v>
      </c>
      <c r="C237" s="86" t="s">
        <v>322</v>
      </c>
      <c r="D237" s="87" t="s">
        <v>111</v>
      </c>
      <c r="E237" s="225" t="s">
        <v>1080</v>
      </c>
      <c r="F237" s="14" t="s">
        <v>1568</v>
      </c>
      <c r="G237" s="14"/>
      <c r="H237" s="99"/>
      <c r="I237" s="99"/>
      <c r="K237" t="str">
        <f t="shared" si="3"/>
        <v>"H237":"parcelassessmentwithdats_additionalanimalinformation_numberofcowswithhighsccmilk"</v>
      </c>
    </row>
    <row r="238" spans="1:11" ht="18">
      <c r="C238" s="130"/>
      <c r="F238" s="14" t="s">
        <v>1569</v>
      </c>
      <c r="G238" s="14"/>
      <c r="H238" s="81"/>
      <c r="I238" s="81"/>
      <c r="K238" t="str">
        <f t="shared" si="3"/>
        <v>"H238":"parcelassessmentwithdats__"</v>
      </c>
    </row>
    <row r="239" spans="1:11">
      <c r="B239" s="110" t="s">
        <v>274</v>
      </c>
      <c r="C239" s="111"/>
      <c r="D239" s="112"/>
      <c r="F239" s="14" t="s">
        <v>1570</v>
      </c>
      <c r="G239" s="14"/>
      <c r="H239" s="212" t="s">
        <v>107</v>
      </c>
      <c r="I239" s="213"/>
      <c r="K239" t="str">
        <f t="shared" si="3"/>
        <v>"H239":"parcelassessmentwithdats__"</v>
      </c>
    </row>
    <row r="240" spans="1:11">
      <c r="B240" s="113" t="s">
        <v>110</v>
      </c>
      <c r="C240" s="113" t="s">
        <v>108</v>
      </c>
      <c r="D240" s="113" t="s">
        <v>98</v>
      </c>
      <c r="F240" s="14" t="s">
        <v>1571</v>
      </c>
      <c r="G240" s="14"/>
      <c r="H240" s="82" t="s">
        <v>493</v>
      </c>
      <c r="I240" s="82" t="s">
        <v>100</v>
      </c>
      <c r="K240" t="str">
        <f t="shared" si="3"/>
        <v>"H240":"parcelassessmentwithdats__"</v>
      </c>
    </row>
    <row r="241" spans="1:11">
      <c r="A241" t="s">
        <v>931</v>
      </c>
      <c r="B241" s="149">
        <v>122</v>
      </c>
      <c r="C241" s="86" t="s">
        <v>130</v>
      </c>
      <c r="D241" s="86" t="s">
        <v>111</v>
      </c>
      <c r="E241" s="225" t="s">
        <v>1081</v>
      </c>
      <c r="F241" s="14" t="s">
        <v>1572</v>
      </c>
      <c r="G241" s="14"/>
      <c r="H241" s="99"/>
      <c r="I241" s="99"/>
      <c r="K241" t="str">
        <f t="shared" si="3"/>
        <v>"H241":"parcelassessmentwithdats_additionallabourinformation_numberofnewinjurycases"</v>
      </c>
    </row>
    <row r="242" spans="1:11">
      <c r="A242" t="s">
        <v>931</v>
      </c>
      <c r="B242" s="149">
        <v>123</v>
      </c>
      <c r="C242" s="86" t="s">
        <v>113</v>
      </c>
      <c r="D242" s="86" t="s">
        <v>111</v>
      </c>
      <c r="E242" s="225" t="s">
        <v>1082</v>
      </c>
      <c r="F242" s="14" t="s">
        <v>1573</v>
      </c>
      <c r="G242" s="14"/>
      <c r="H242" s="99"/>
      <c r="I242" s="99"/>
      <c r="K242" t="str">
        <f t="shared" si="3"/>
        <v>"H242":"parcelassessmentwithdats_additionallabourinformation_totalnumberoflostworkinghours"</v>
      </c>
    </row>
    <row r="243" spans="1:11">
      <c r="A243" t="s">
        <v>931</v>
      </c>
      <c r="B243" s="149">
        <v>124</v>
      </c>
      <c r="C243" s="86" t="s">
        <v>131</v>
      </c>
      <c r="D243" s="86" t="s">
        <v>60</v>
      </c>
      <c r="E243" s="225" t="s">
        <v>1083</v>
      </c>
      <c r="F243" s="14" t="s">
        <v>1574</v>
      </c>
      <c r="G243" s="14"/>
      <c r="H243" s="99"/>
      <c r="I243" s="99"/>
      <c r="K243" t="str">
        <f t="shared" si="3"/>
        <v>"H243":"parcelassessmentwithdats_additionallabourinformation_totalnumberofworkinghours"</v>
      </c>
    </row>
    <row r="244" spans="1:11">
      <c r="A244" t="s">
        <v>931</v>
      </c>
      <c r="B244" s="149">
        <v>125</v>
      </c>
      <c r="C244" s="86" t="s">
        <v>272</v>
      </c>
      <c r="D244" s="86" t="s">
        <v>111</v>
      </c>
      <c r="E244" s="225" t="s">
        <v>1084</v>
      </c>
      <c r="F244" s="14" t="s">
        <v>1575</v>
      </c>
      <c r="G244" s="14"/>
      <c r="H244" s="99"/>
      <c r="I244" s="99"/>
      <c r="K244" t="str">
        <f t="shared" si="3"/>
        <v>"H244":"parcelassessmentwithdats_additionallabourinformation_numberofworkingweeks"</v>
      </c>
    </row>
    <row r="245" spans="1:11">
      <c r="A245" t="s">
        <v>931</v>
      </c>
      <c r="B245" s="149">
        <v>126</v>
      </c>
      <c r="C245" s="86" t="s">
        <v>132</v>
      </c>
      <c r="D245" s="86" t="s">
        <v>111</v>
      </c>
      <c r="E245" s="225" t="s">
        <v>1085</v>
      </c>
      <c r="F245" s="14" t="s">
        <v>1576</v>
      </c>
      <c r="G245" s="14"/>
      <c r="H245" s="99"/>
      <c r="I245" s="99"/>
      <c r="K245" t="str">
        <f t="shared" si="3"/>
        <v>"H245":"parcelassessmentwithdats_additionallabourinformation_numberofnewlocalemployeeshired"</v>
      </c>
    </row>
    <row r="246" spans="1:11">
      <c r="A246" t="s">
        <v>931</v>
      </c>
      <c r="B246" s="149">
        <v>127</v>
      </c>
      <c r="C246" s="86" t="s">
        <v>133</v>
      </c>
      <c r="D246" s="86" t="s">
        <v>111</v>
      </c>
      <c r="E246" s="225" t="s">
        <v>1086</v>
      </c>
      <c r="F246" s="14" t="s">
        <v>1577</v>
      </c>
      <c r="G246" s="14"/>
      <c r="H246" s="99"/>
      <c r="I246" s="99"/>
      <c r="K246" t="str">
        <f t="shared" si="3"/>
        <v>"H246":"parcelassessmentwithdats_additionallabourinformation_numberofnewemployeeshired"</v>
      </c>
    </row>
    <row r="247" spans="1:11">
      <c r="F247" s="14" t="s">
        <v>1578</v>
      </c>
      <c r="G247" s="14"/>
      <c r="H247" s="81"/>
      <c r="I247" s="81"/>
      <c r="K247" t="str">
        <f t="shared" si="3"/>
        <v>"H247":"parcelassessmentwithdats__"</v>
      </c>
    </row>
    <row r="248" spans="1:11">
      <c r="B248" s="126" t="s">
        <v>114</v>
      </c>
      <c r="C248" s="127"/>
      <c r="D248" s="128"/>
      <c r="F248" s="14" t="s">
        <v>1579</v>
      </c>
      <c r="G248" s="14"/>
      <c r="H248" s="212" t="s">
        <v>107</v>
      </c>
      <c r="I248" s="213"/>
      <c r="K248" t="str">
        <f t="shared" si="3"/>
        <v>"H248":"parcelassessmentwithdats__"</v>
      </c>
    </row>
    <row r="249" spans="1:11">
      <c r="B249" s="129" t="s">
        <v>110</v>
      </c>
      <c r="C249" s="129" t="s">
        <v>108</v>
      </c>
      <c r="D249" s="129" t="s">
        <v>98</v>
      </c>
      <c r="F249" s="14" t="s">
        <v>1580</v>
      </c>
      <c r="G249" s="14"/>
      <c r="H249" s="82" t="s">
        <v>493</v>
      </c>
      <c r="I249" s="82" t="s">
        <v>100</v>
      </c>
      <c r="K249" t="str">
        <f t="shared" si="3"/>
        <v>"H249":"parcelassessmentwithdats__"</v>
      </c>
    </row>
    <row r="250" spans="1:11">
      <c r="A250" t="s">
        <v>932</v>
      </c>
      <c r="B250" s="149">
        <v>128</v>
      </c>
      <c r="C250" s="131" t="s">
        <v>412</v>
      </c>
      <c r="D250" s="131" t="s">
        <v>88</v>
      </c>
      <c r="E250" t="s">
        <v>1087</v>
      </c>
      <c r="F250" s="14" t="s">
        <v>1581</v>
      </c>
      <c r="G250" s="14"/>
      <c r="H250" s="99">
        <v>213.2</v>
      </c>
      <c r="I250" s="99"/>
      <c r="K250" t="str">
        <f t="shared" si="3"/>
        <v>"H250":"parcelassessmentwithdats_outputinformation_cropproduction"</v>
      </c>
    </row>
    <row r="251" spans="1:11" ht="18">
      <c r="A251" t="s">
        <v>932</v>
      </c>
      <c r="B251" s="149">
        <v>129</v>
      </c>
      <c r="C251" s="86" t="s">
        <v>115</v>
      </c>
      <c r="D251" s="86" t="s">
        <v>781</v>
      </c>
      <c r="E251" t="s">
        <v>1088</v>
      </c>
      <c r="F251" s="14" t="s">
        <v>1582</v>
      </c>
      <c r="G251" s="14"/>
      <c r="H251" s="99"/>
      <c r="I251" s="99"/>
      <c r="K251" t="str">
        <f t="shared" si="3"/>
        <v>"H251":"parcelassessmentwithdats_outputinformation_milkproduction"</v>
      </c>
    </row>
    <row r="252" spans="1:11" ht="15" customHeight="1">
      <c r="A252" t="s">
        <v>932</v>
      </c>
      <c r="B252" s="149">
        <v>130</v>
      </c>
      <c r="C252" s="86" t="s">
        <v>116</v>
      </c>
      <c r="D252" s="86" t="s">
        <v>780</v>
      </c>
      <c r="E252" t="s">
        <v>1089</v>
      </c>
      <c r="F252" s="14" t="s">
        <v>1583</v>
      </c>
      <c r="G252" s="14"/>
      <c r="H252" s="99"/>
      <c r="I252" s="99"/>
      <c r="K252" t="str">
        <f t="shared" si="3"/>
        <v>"H252":"parcelassessmentwithdats_outputinformation_meatproduction"</v>
      </c>
    </row>
    <row r="253" spans="1:11" ht="15" customHeight="1">
      <c r="A253" t="s">
        <v>932</v>
      </c>
      <c r="B253" s="149">
        <v>131</v>
      </c>
      <c r="C253" s="86" t="s">
        <v>515</v>
      </c>
      <c r="D253" s="86" t="s">
        <v>111</v>
      </c>
      <c r="E253" s="228" t="s">
        <v>1093</v>
      </c>
      <c r="F253" s="14" t="s">
        <v>1584</v>
      </c>
      <c r="G253" s="14"/>
      <c r="H253" s="99"/>
      <c r="I253" s="99"/>
      <c r="K253" t="str">
        <f t="shared" si="3"/>
        <v>"H253":"parcelassessmentwithdats_outputinformation_animal_number"</v>
      </c>
    </row>
    <row r="254" spans="1:11">
      <c r="A254" t="s">
        <v>932</v>
      </c>
      <c r="B254" s="149">
        <v>132</v>
      </c>
      <c r="C254" s="86" t="s">
        <v>117</v>
      </c>
      <c r="D254" s="86" t="s">
        <v>350</v>
      </c>
      <c r="E254" t="s">
        <v>1090</v>
      </c>
      <c r="F254" s="14" t="s">
        <v>1585</v>
      </c>
      <c r="G254" s="14"/>
      <c r="H254" s="99"/>
      <c r="I254" s="99"/>
      <c r="K254" t="str">
        <f t="shared" si="3"/>
        <v>"H254":"parcelassessmentwithdats_outputinformation_oysterproduction"</v>
      </c>
    </row>
    <row r="255" spans="1:11">
      <c r="A255" t="s">
        <v>932</v>
      </c>
      <c r="B255" s="149">
        <v>133</v>
      </c>
      <c r="C255" s="86" t="s">
        <v>118</v>
      </c>
      <c r="D255" s="86" t="s">
        <v>68</v>
      </c>
      <c r="E255" t="s">
        <v>1091</v>
      </c>
      <c r="F255" s="14" t="s">
        <v>1586</v>
      </c>
      <c r="G255" s="14"/>
      <c r="H255" s="99"/>
      <c r="I255" s="99"/>
      <c r="K255" t="str">
        <f t="shared" si="3"/>
        <v>"H255":"parcelassessmentwithdats_outputinformation_honeyproduction"</v>
      </c>
    </row>
    <row r="256" spans="1:11">
      <c r="A256" t="s">
        <v>932</v>
      </c>
      <c r="B256" s="149">
        <v>134</v>
      </c>
      <c r="C256" s="86" t="s">
        <v>518</v>
      </c>
      <c r="D256" s="86" t="s">
        <v>88</v>
      </c>
      <c r="E256" t="s">
        <v>1092</v>
      </c>
      <c r="F256" s="14" t="s">
        <v>1587</v>
      </c>
      <c r="G256" s="14"/>
      <c r="H256" s="99"/>
      <c r="I256" s="99"/>
      <c r="K256" t="str">
        <f t="shared" si="3"/>
        <v>"H256":"parcelassessmentwithdats_outputinformation_silosproduction"</v>
      </c>
    </row>
    <row r="258" spans="3:4">
      <c r="C258" s="175" t="s">
        <v>724</v>
      </c>
      <c r="D258" s="175">
        <v>97.5</v>
      </c>
    </row>
  </sheetData>
  <sheetProtection selectLockedCells="1"/>
  <mergeCells count="16">
    <mergeCell ref="H220:I220"/>
    <mergeCell ref="H230:I230"/>
    <mergeCell ref="H2:I6"/>
    <mergeCell ref="H8:I8"/>
    <mergeCell ref="H9:I9"/>
    <mergeCell ref="H22:I22"/>
    <mergeCell ref="H31:I31"/>
    <mergeCell ref="H45:I45"/>
    <mergeCell ref="H64:I64"/>
    <mergeCell ref="H54:I54"/>
    <mergeCell ref="H97:I97"/>
    <mergeCell ref="H170:I170"/>
    <mergeCell ref="H183:I183"/>
    <mergeCell ref="H192:I192"/>
    <mergeCell ref="H239:I239"/>
    <mergeCell ref="H248:I248"/>
  </mergeCells>
  <phoneticPr fontId="2" type="noConversion"/>
  <dataValidations disablePrompts="1" count="11">
    <dataValidation type="decimal" allowBlank="1" showInputMessage="1" showErrorMessage="1" sqref="H15" xr:uid="{BEBE22B3-84D4-4EB3-9555-8C3DF4A18D04}">
      <formula1>0</formula1>
      <formula2>1000000000</formula2>
    </dataValidation>
    <dataValidation type="decimal" allowBlank="1" showInputMessage="1" showErrorMessage="1" sqref="H12:H14 H16 H138:H168 H226:H227 H131:H134 H103:H105 H110:H113 H124:H126 H122 H115 H117:H120" xr:uid="{78F8EBBB-B9F5-9E43-8726-A36369A9F3E7}">
      <formula1>0</formula1>
      <formula2>100</formula2>
    </dataValidation>
    <dataValidation type="whole" allowBlank="1" showInputMessage="1" showErrorMessage="1" sqref="H11 H19 H17" xr:uid="{1AD19AC6-7B6B-4393-A0FD-FA825EF856F6}">
      <formula1>1</formula1>
      <formula2>1000000000000</formula2>
    </dataValidation>
    <dataValidation type="decimal" allowBlank="1" showInputMessage="1" showErrorMessage="1" sqref="H10 H18 H20" xr:uid="{2F7690DE-BC78-433C-943D-2F1A94F93FFC}">
      <formula1>0</formula1>
      <formula2>1000000</formula2>
    </dataValidation>
    <dataValidation type="textLength" allowBlank="1" showInputMessage="1" showErrorMessage="1" sqref="I24:I29 I33:I43 I47:I52 I56:I62 I66:I96 H136 I99:I168 I185:I191 I194:I218 I222:I228 I232:I237 I241:I246 I250:I256 I172:I182 I10:I20" xr:uid="{209536F5-1869-2949-B556-1717D11567E1}">
      <formula1>1</formula1>
      <formula2>1000</formula2>
    </dataValidation>
    <dataValidation type="decimal" allowBlank="1" showInputMessage="1" showErrorMessage="1" sqref="H179 H48 H194:H218 H33:H43 H177 H68 H181 H83:H96 H71 H175 H190 H137 H173 H52 H186 H188 H50 H56:H62 H74 H24:H29 H102 H109 H130" xr:uid="{E71BD53F-68C8-E246-B385-2D6CB363B4EA}">
      <formula1>0</formula1>
      <formula2>10000000000000</formula2>
    </dataValidation>
    <dataValidation type="textLength" allowBlank="1" showInputMessage="1" showErrorMessage="1" sqref="H51 H75:H80 H66 H69 H47 H72 H49 H135 H99:H100 H121 H114 H106:H107 H127:H128" xr:uid="{54F605EA-1750-9C4B-BBC5-F317723D1D71}">
      <formula1>1</formula1>
      <formula2>50</formula2>
    </dataValidation>
    <dataValidation type="whole" allowBlank="1" showInputMessage="1" showErrorMessage="1" sqref="H70 H73 H67 H82 H101 H108 H129" xr:uid="{6A85C208-492D-3F43-A1FC-D6B7AEA8BDD9}">
      <formula1>0</formula1>
      <formula2>100</formula2>
    </dataValidation>
    <dataValidation type="decimal" allowBlank="1" showInputMessage="1" showErrorMessage="1" sqref="H228 H236 H225 H250:H256" xr:uid="{42A37D42-8B06-E74E-AC3B-423268F34ED5}">
      <formula1>0</formula1>
      <formula2>100000000</formula2>
    </dataValidation>
    <dataValidation type="textLength" allowBlank="1" showInputMessage="1" showErrorMessage="1" sqref="H174 H185 H172 H176 H187 H189 H178 H180" xr:uid="{C6F51758-46F0-BA46-A611-743E8FC3CC62}">
      <formula1>0</formula1>
      <formula2>100</formula2>
    </dataValidation>
    <dataValidation type="whole" allowBlank="1" showInputMessage="1" showErrorMessage="1" sqref="H232:H235 H237 H222:H224 H241:H246" xr:uid="{4C570F8F-9A85-044F-A23B-1ADEE2A84777}">
      <formula1>0</formula1>
      <formula2>10000</formula2>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9678-5166-9E4B-93EB-DD1F0DF3C8F7}">
  <sheetPr codeName="Sheet5"/>
  <dimension ref="A1:M49"/>
  <sheetViews>
    <sheetView zoomScaleNormal="100" workbookViewId="0">
      <selection activeCell="E5" sqref="E5"/>
    </sheetView>
  </sheetViews>
  <sheetFormatPr defaultColWidth="11.25" defaultRowHeight="15.75"/>
  <cols>
    <col min="1" max="1" width="20.5" bestFit="1" customWidth="1"/>
    <col min="2" max="2" width="31.5" bestFit="1" customWidth="1"/>
    <col min="3" max="3" width="10.625" bestFit="1" customWidth="1"/>
    <col min="4" max="4" width="8.875" bestFit="1" customWidth="1"/>
    <col min="5" max="5" width="11.375" style="4" bestFit="1" customWidth="1"/>
    <col min="6" max="6" width="44.75" bestFit="1" customWidth="1"/>
    <col min="7" max="7" width="93.375" customWidth="1"/>
    <col min="8" max="8" width="3.875" bestFit="1" customWidth="1"/>
    <col min="9" max="10" width="26.75" customWidth="1"/>
    <col min="11" max="11" width="20.75" customWidth="1"/>
    <col min="12" max="12" width="25.25" customWidth="1"/>
    <col min="13" max="13" width="25" style="21" customWidth="1"/>
    <col min="15" max="15" width="22.25" customWidth="1"/>
  </cols>
  <sheetData>
    <row r="1" spans="1:13" s="4" customFormat="1">
      <c r="A1" s="46" t="s">
        <v>178</v>
      </c>
      <c r="M1" s="38"/>
    </row>
    <row r="2" spans="1:13" s="4" customFormat="1">
      <c r="A2" s="47" t="s">
        <v>163</v>
      </c>
      <c r="B2" s="47" t="s">
        <v>136</v>
      </c>
      <c r="C2" s="47" t="s">
        <v>137</v>
      </c>
      <c r="D2" s="47" t="s">
        <v>138</v>
      </c>
      <c r="E2" s="47" t="s">
        <v>191</v>
      </c>
      <c r="F2" s="47" t="s">
        <v>190</v>
      </c>
      <c r="G2" s="50"/>
    </row>
    <row r="3" spans="1:13" s="24" customFormat="1" ht="47.25">
      <c r="A3" s="33" t="s">
        <v>0</v>
      </c>
      <c r="B3" s="34" t="s">
        <v>139</v>
      </c>
      <c r="C3" s="35" t="s">
        <v>155</v>
      </c>
      <c r="D3" s="36" t="str">
        <f>IFERROR(VLOOKUP('General Information'!$D$6, Validations!$L$2:$M$8, 2,FALSE), "")</f>
        <v>€/ha</v>
      </c>
      <c r="E3" s="24">
        <f>('Parcel 1 with DATSs'!G29*'General Information'!D32)/(IF('General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3" s="37" t="s">
        <v>423</v>
      </c>
      <c r="G3" s="39" t="str">
        <f>CONCATENATE("cost revenue dats","_",$A$1,"_",A3,"_",B3)</f>
        <v>cost revenue dats_COST ANALYSIS_WATER _Cost of water</v>
      </c>
      <c r="H3" s="24" t="s">
        <v>1599</v>
      </c>
    </row>
    <row r="4" spans="1:13" s="4" customFormat="1" ht="78.75">
      <c r="A4" s="33" t="s">
        <v>164</v>
      </c>
      <c r="B4" s="34" t="s">
        <v>142</v>
      </c>
      <c r="C4" s="35" t="s">
        <v>155</v>
      </c>
      <c r="D4" s="36" t="str">
        <f>IFERROR(VLOOKUP('General Information'!$D$6, Validations!$L$2:$M$8, 2,FALSE), "")</f>
        <v>€/ha</v>
      </c>
      <c r="E4" s="24">
        <f>'Parcel 1 with DATSs'!G43*'General Information'!D33/(IF('General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 s="37" t="s">
        <v>424</v>
      </c>
      <c r="G4" s="39" t="str">
        <f t="shared" ref="G4:G37" si="0">CONCATENATE("cost revenue dats","_",$A$1,"_",A4,"_",B4)</f>
        <v>cost revenue dats_COST ANALYSIS_FUEL _Cost of  fuel</v>
      </c>
      <c r="H4" s="24" t="s">
        <v>1600</v>
      </c>
    </row>
    <row r="5" spans="1:13" s="4" customFormat="1" ht="47.25">
      <c r="A5" s="33" t="s">
        <v>165</v>
      </c>
      <c r="B5" s="44" t="s">
        <v>158</v>
      </c>
      <c r="C5" s="35" t="s">
        <v>155</v>
      </c>
      <c r="D5" s="36" t="str">
        <f>IFERROR(VLOOKUP('General Information'!$D$6, Validations!$L$2:$M$8, 2,FALSE), "")</f>
        <v>€/ha</v>
      </c>
      <c r="E5" s="24">
        <f>'Parcel 1 with DATSs'!G62*'General Information'!D38/(IF('General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2.5609756097560976</v>
      </c>
      <c r="F5" s="37" t="s">
        <v>425</v>
      </c>
      <c r="G5" s="39" t="str">
        <f t="shared" si="0"/>
        <v>cost revenue dats_COST ANALYSIS_ELECTRICITY_Cost of electricity</v>
      </c>
      <c r="H5" s="24" t="s">
        <v>1601</v>
      </c>
    </row>
    <row r="6" spans="1:13" s="4" customFormat="1" ht="78.75">
      <c r="A6" s="33" t="s">
        <v>174</v>
      </c>
      <c r="B6" s="44" t="s">
        <v>175</v>
      </c>
      <c r="C6" s="35" t="s">
        <v>155</v>
      </c>
      <c r="D6" s="36" t="str">
        <f>IFERROR(VLOOKUP('General Information'!$D$6, Validations!$L$2:$M$8, 2,FALSE), "")</f>
        <v>€/ha</v>
      </c>
      <c r="E6" s="24">
        <f>('Parcel 1 with DATSs'!G67*'Parcel 1 with DATSs'!G68*'General Information'!D43)+
('Parcel 1 with DATSs'!G70*'Parcel 1 with DATSs'!G71*'General Information'!D44)+
('Parcel 1 with DATSs'!G73*'Parcel 1 with DATSs'!G74*'General Information'!D45)+
('Parcel 1 with DATSs'!G76*'Parcel 1 with DATSs'!G77*'General Information'!D46)+
('Parcel 1 with DATSs'!G79*'Parcel 1 with DATSs'!G80*'General Information'!D47)+
('Parcel 1 with DATSs'!G82*'Parcel 1 with DATSs'!G83*'General Information'!D48)+
('Parcel 1 with DATSs'!G85*'Parcel 1 with DATSs'!G86*'General Information'!D49)+
('Parcel 1 with DATSs'!G88*'Parcel 1 with DATSs'!G89*'General Information'!D50)+
('Parcel 1 with DATSs'!G91*'Parcel 1 with DATSs'!G92*'General Information'!D51)+
('Parcel 1 with DATSs'!G94*'Parcel 1 with DATSs'!G95*'General Information'!D52)</f>
        <v>0</v>
      </c>
      <c r="F6" s="37" t="s">
        <v>415</v>
      </c>
      <c r="G6" s="39" t="str">
        <f t="shared" si="0"/>
        <v xml:space="preserve">cost revenue dats_COST ANALYSIS_PESTICIDE _Cost for pesticide </v>
      </c>
      <c r="H6" s="24" t="s">
        <v>1602</v>
      </c>
    </row>
    <row r="7" spans="1:13" s="4" customFormat="1" ht="94.5">
      <c r="A7" s="33" t="s">
        <v>176</v>
      </c>
      <c r="B7" s="44" t="s">
        <v>177</v>
      </c>
      <c r="C7" s="35" t="s">
        <v>155</v>
      </c>
      <c r="D7" s="36" t="str">
        <f>IFERROR(VLOOKUP('General Information'!$D$6, Validations!$L$2:$M$8, 2,FALSE), "")</f>
        <v>€/ha</v>
      </c>
      <c r="E7" s="24">
        <f>('Parcel 1 with DATSs'!G101*'Parcel 1 with DATSs'!G102*'General Information'!D54)+
('Parcel 1 with DATSs'!G108*'Parcel 1 with DATSs'!G109*'General Information'!D55)+
('Parcel 1 with DATSs'!G115*'Parcel 1 with DATSs'!G116*'General Information'!D56)+
('Parcel 1 with DATSs'!G122*'Parcel 1 with DATSs'!G123*'General Information'!D57)+
('Parcel 1 with DATSs'!G129*'Parcel 1 with DATSs'!G130*'General Information'!D58)+
('Parcel 1 with DATSs'!G136*'Parcel 1 with DATSs'!G137*'General Information'!D59)+
('Parcel 1 with DATSs'!G143*'Parcel 1 with DATSs'!G144*'General Information'!D60)+
('Parcel 1 with DATSs'!G150*'Parcel 1 with DATSs'!G151*'General Information'!D61)+
('Parcel 1 with DATSs'!G157*'Parcel 1 with DATSs'!G158*'General Information'!D62)+
('Parcel 1 with DATSs'!G164*'Parcel 1 with DATSs'!G165*'General Information'!D63)</f>
        <v>1371.47</v>
      </c>
      <c r="F7" s="37" t="s">
        <v>416</v>
      </c>
      <c r="G7" s="39" t="str">
        <f t="shared" si="0"/>
        <v xml:space="preserve">cost revenue dats_COST ANALYSIS_FERTILISER_Cost of fertiliser </v>
      </c>
      <c r="H7" s="24" t="s">
        <v>1603</v>
      </c>
    </row>
    <row r="8" spans="1:13" s="4" customFormat="1" ht="31.5">
      <c r="A8" s="33" t="s">
        <v>9</v>
      </c>
      <c r="B8" s="44" t="s">
        <v>214</v>
      </c>
      <c r="C8" s="35" t="s">
        <v>155</v>
      </c>
      <c r="D8" s="36" t="str">
        <f>IFERROR(VLOOKUP('General Information'!$D$6, Validations!$L$2:$M$8, 2,FALSE), "")</f>
        <v>€/ha</v>
      </c>
      <c r="E8" s="24">
        <f>(('General Information'!D65*'Parcel 1 with DATSs'!G173)+('General Information'!D66*'Parcel 1 with DATSs'!G175)+('General Information'!D69*'Parcel 1 with DATSs'!G177))/(IF('General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8" s="37" t="s">
        <v>363</v>
      </c>
      <c r="G8" s="39" t="str">
        <f t="shared" si="0"/>
        <v>cost revenue dats_COST ANALYSIS_FEED_Cost of feed</v>
      </c>
      <c r="H8" s="24" t="s">
        <v>1604</v>
      </c>
    </row>
    <row r="9" spans="1:13" s="4" customFormat="1" ht="47.25">
      <c r="A9" s="33" t="s">
        <v>12</v>
      </c>
      <c r="B9" s="44" t="s">
        <v>215</v>
      </c>
      <c r="C9" s="35" t="s">
        <v>155</v>
      </c>
      <c r="D9" s="36" t="str">
        <f>IFERROR(VLOOKUP('General Information'!$D$6, Validations!$L$2:$M$8, 2,FALSE), "")</f>
        <v>€/ha</v>
      </c>
      <c r="E9" s="24">
        <f>(('General Information'!D71*'Parcel 1 with DATSs'!G186)+('General Information'!D72*'Parcel 1 with DATSs'!G188)+('General Information'!D73*'Parcel 1 with DATSs'!G190))/(IF('General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9" s="37" t="s">
        <v>381</v>
      </c>
      <c r="G9" s="39" t="str">
        <f t="shared" si="0"/>
        <v>cost revenue dats_COST ANALYSIS_DRUGS _ Cost of drugs</v>
      </c>
      <c r="H9" s="24" t="s">
        <v>1605</v>
      </c>
      <c r="I9" s="50"/>
      <c r="J9" s="50"/>
    </row>
    <row r="10" spans="1:13" s="4" customFormat="1" ht="31.5">
      <c r="A10" s="33" t="s">
        <v>189</v>
      </c>
      <c r="B10" s="44" t="s">
        <v>169</v>
      </c>
      <c r="C10" s="35" t="s">
        <v>155</v>
      </c>
      <c r="D10" s="36" t="str">
        <f>IFERROR(VLOOKUP('General Information'!$D$6, Validations!$L$2:$M$8, 2,FALSE), "")</f>
        <v>€/ha</v>
      </c>
      <c r="E10" s="24">
        <f>'Parcel 1 with DATSs'!G194*'General Information'!D39/'Parcel 1 with DATSs'!G10</f>
        <v>134.14634146341464</v>
      </c>
      <c r="F10" s="37" t="s">
        <v>364</v>
      </c>
      <c r="G10" s="39" t="str">
        <f t="shared" si="0"/>
        <v>cost revenue dats_COST ANALYSIS_LABOUR_Cost of labour for irrigation</v>
      </c>
      <c r="H10" s="24" t="s">
        <v>1606</v>
      </c>
    </row>
    <row r="11" spans="1:13" s="4" customFormat="1" ht="31.5">
      <c r="A11" s="33" t="s">
        <v>189</v>
      </c>
      <c r="B11" s="44" t="s">
        <v>516</v>
      </c>
      <c r="C11" s="35" t="s">
        <v>155</v>
      </c>
      <c r="D11" s="36" t="str">
        <f>IFERROR(VLOOKUP('General Information'!$D$6, Validations!$L$2:$M$8, 2,FALSE), "")</f>
        <v>€/ha</v>
      </c>
      <c r="E11" s="24">
        <f>'Parcel 1 with DATSs'!G195*'General Information'!D39/'Parcel 1 with DATSs'!G10</f>
        <v>0</v>
      </c>
      <c r="F11" s="37" t="s">
        <v>361</v>
      </c>
      <c r="G11" s="39" t="str">
        <f t="shared" si="0"/>
        <v>cost revenue dats_COST ANALYSIS_LABOUR_Cost of labour for pesticide application</v>
      </c>
      <c r="H11" s="24" t="s">
        <v>1607</v>
      </c>
    </row>
    <row r="12" spans="1:13" s="4" customFormat="1" ht="31.5">
      <c r="A12" s="33" t="s">
        <v>189</v>
      </c>
      <c r="B12" s="44" t="s">
        <v>166</v>
      </c>
      <c r="C12" s="35" t="s">
        <v>155</v>
      </c>
      <c r="D12" s="36" t="str">
        <f>IFERROR(VLOOKUP('General Information'!$D$6, Validations!$L$2:$M$8, 2,FALSE), "")</f>
        <v>€/ha</v>
      </c>
      <c r="E12" s="24">
        <f>'Parcel 1 with DATSs'!G196*'General Information'!D39/'Parcel 1 with DATSs'!G10</f>
        <v>0</v>
      </c>
      <c r="F12" s="37" t="s">
        <v>365</v>
      </c>
      <c r="G12" s="39" t="str">
        <f t="shared" si="0"/>
        <v>cost revenue dats_COST ANALYSIS_LABOUR_Cost of labour for fertilisation</v>
      </c>
      <c r="H12" s="24" t="s">
        <v>1608</v>
      </c>
    </row>
    <row r="13" spans="1:13" s="4" customFormat="1" ht="31.5">
      <c r="A13" s="33" t="s">
        <v>189</v>
      </c>
      <c r="B13" s="44" t="s">
        <v>171</v>
      </c>
      <c r="C13" s="35" t="s">
        <v>155</v>
      </c>
      <c r="D13" s="36" t="str">
        <f>IFERROR(VLOOKUP('General Information'!$D$6, Validations!$L$2:$M$8, 2,FALSE), "")</f>
        <v>€/ha</v>
      </c>
      <c r="E13" s="24">
        <f>'Parcel 1 with DATSs'!G197*'General Information'!D39/'Parcel 1 with DATSs'!G10</f>
        <v>0</v>
      </c>
      <c r="F13" s="37" t="s">
        <v>366</v>
      </c>
      <c r="G13" s="39" t="str">
        <f t="shared" si="0"/>
        <v xml:space="preserve">cost revenue dats_COST ANALYSIS_LABOUR_Cost of labour for sowing_planting </v>
      </c>
      <c r="H13" s="24" t="s">
        <v>1609</v>
      </c>
    </row>
    <row r="14" spans="1:13" s="4" customFormat="1" ht="31.5">
      <c r="A14" s="33" t="s">
        <v>189</v>
      </c>
      <c r="B14" s="44" t="s">
        <v>172</v>
      </c>
      <c r="C14" s="35" t="s">
        <v>155</v>
      </c>
      <c r="D14" s="36" t="str">
        <f>IFERROR(VLOOKUP('General Information'!$D$6, Validations!$L$2:$M$8, 2,FALSE), "")</f>
        <v>€/ha</v>
      </c>
      <c r="E14" s="24">
        <f>'Parcel 1 with DATSs'!G198*'General Information'!D39/'Parcel 1 with DATSs'!G10</f>
        <v>0</v>
      </c>
      <c r="F14" s="37" t="s">
        <v>367</v>
      </c>
      <c r="G14" s="39" t="str">
        <f t="shared" si="0"/>
        <v>cost revenue dats_COST ANALYSIS_LABOUR_Cost of labour for pruning</v>
      </c>
      <c r="H14" s="24" t="s">
        <v>1610</v>
      </c>
    </row>
    <row r="15" spans="1:13" s="4" customFormat="1" ht="31.5">
      <c r="A15" s="33" t="s">
        <v>189</v>
      </c>
      <c r="B15" s="44" t="s">
        <v>173</v>
      </c>
      <c r="C15" s="35" t="s">
        <v>155</v>
      </c>
      <c r="D15" s="36" t="str">
        <f>IFERROR(VLOOKUP('General Information'!$D$6, Validations!$L$2:$M$8, 2,FALSE), "")</f>
        <v>€/ha</v>
      </c>
      <c r="E15" s="24">
        <f>'Parcel 1 with DATSs'!G199*'General Information'!D39/'Parcel 1 with DATSs'!G10</f>
        <v>0</v>
      </c>
      <c r="F15" s="37" t="s">
        <v>362</v>
      </c>
      <c r="G15" s="39" t="str">
        <f t="shared" si="0"/>
        <v xml:space="preserve">cost revenue dats_COST ANALYSIS_LABOUR_Cost of labour for field visits </v>
      </c>
      <c r="H15" s="24" t="s">
        <v>1611</v>
      </c>
    </row>
    <row r="16" spans="1:13" s="4" customFormat="1" ht="31.5">
      <c r="A16" s="33" t="s">
        <v>189</v>
      </c>
      <c r="B16" s="44" t="s">
        <v>192</v>
      </c>
      <c r="C16" s="35" t="s">
        <v>155</v>
      </c>
      <c r="D16" s="36" t="str">
        <f>IFERROR(VLOOKUP('General Information'!$D$6, Validations!$L$2:$M$8, 2,FALSE), "")</f>
        <v>€/ha</v>
      </c>
      <c r="E16" s="24">
        <f>'Parcel 1 with DATSs'!G200*'General Information'!D39/'Parcel 1 with DATSs'!G10</f>
        <v>0</v>
      </c>
      <c r="F16" s="37" t="s">
        <v>368</v>
      </c>
      <c r="G16" s="39" t="str">
        <f t="shared" si="0"/>
        <v>cost revenue dats_COST ANALYSIS_LABOUR_Cost of labour for greenhouse maintenance</v>
      </c>
      <c r="H16" s="24" t="s">
        <v>1612</v>
      </c>
    </row>
    <row r="17" spans="1:8" s="4" customFormat="1" ht="31.5">
      <c r="A17" s="33" t="s">
        <v>189</v>
      </c>
      <c r="B17" s="44" t="s">
        <v>193</v>
      </c>
      <c r="C17" s="35" t="s">
        <v>155</v>
      </c>
      <c r="D17" s="36" t="str">
        <f>IFERROR(VLOOKUP('General Information'!$D$6, Validations!$L$2:$M$8, 2,FALSE), "")</f>
        <v>€/ha</v>
      </c>
      <c r="E17" s="24" t="e">
        <f>'Parcel 1 with DATSs'!G201*'General Information'!D39/'Parcel 1 with DATSs'!G256</f>
        <v>#DIV/0!</v>
      </c>
      <c r="F17" s="37" t="s">
        <v>345</v>
      </c>
      <c r="G17" s="39" t="str">
        <f t="shared" si="0"/>
        <v xml:space="preserve">cost revenue dats_COST ANALYSIS_LABOUR_Cost of labour for tracking the quantity of grain available in the silo </v>
      </c>
      <c r="H17" s="24" t="s">
        <v>1613</v>
      </c>
    </row>
    <row r="18" spans="1:8" s="4" customFormat="1" ht="31.5">
      <c r="A18" s="33" t="s">
        <v>189</v>
      </c>
      <c r="B18" s="44" t="s">
        <v>517</v>
      </c>
      <c r="C18" s="35" t="s">
        <v>155</v>
      </c>
      <c r="D18" s="36" t="str">
        <f>IFERROR(VLOOKUP('General Information'!$D$6, Validations!$L$2:$M$8, 2,FALSE), "")</f>
        <v>€/ha</v>
      </c>
      <c r="E18" s="24">
        <f>'Parcel 1 with DATSs'!G202*'General Information'!D39/(IF('General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18" s="37" t="s">
        <v>346</v>
      </c>
      <c r="G18" s="39" t="str">
        <f t="shared" si="0"/>
        <v>cost revenue dats_COST ANALYSIS_LABOUR_Cost of labour for assessing product quality</v>
      </c>
      <c r="H18" s="24" t="s">
        <v>1614</v>
      </c>
    </row>
    <row r="19" spans="1:8" s="4" customFormat="1" ht="31.5">
      <c r="A19" s="33" t="s">
        <v>189</v>
      </c>
      <c r="B19" s="44" t="s">
        <v>194</v>
      </c>
      <c r="C19" s="35" t="s">
        <v>155</v>
      </c>
      <c r="D19" s="36" t="str">
        <f>IFERROR(VLOOKUP('General Information'!$D$6, Validations!$L$2:$M$8, 2,FALSE), "")</f>
        <v>€/ha</v>
      </c>
      <c r="E19" s="24">
        <f>'Parcel 1 with DATSs'!G203*'General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19" s="37" t="s">
        <v>347</v>
      </c>
      <c r="G19" s="39" t="str">
        <f t="shared" si="0"/>
        <v>cost revenue dats_COST ANALYSIS_LABOUR_Cost of labour for controlling purchase and sale prices and quantities</v>
      </c>
      <c r="H19" s="24" t="s">
        <v>1615</v>
      </c>
    </row>
    <row r="20" spans="1:8" s="4" customFormat="1" ht="31.5">
      <c r="A20" s="33" t="s">
        <v>189</v>
      </c>
      <c r="B20" s="44" t="s">
        <v>195</v>
      </c>
      <c r="C20" s="35" t="s">
        <v>155</v>
      </c>
      <c r="D20" s="36" t="str">
        <f>IFERROR(VLOOKUP('General Information'!$D$6, Validations!$L$2:$M$8, 2,FALSE), "")</f>
        <v>€/ha</v>
      </c>
      <c r="E20" s="24">
        <f>'Parcel 1 with DATSs'!G204*'General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0" s="37" t="s">
        <v>348</v>
      </c>
      <c r="G20" s="39" t="str">
        <f t="shared" si="0"/>
        <v xml:space="preserve">cost revenue dats_COST ANALYSIS_LABOUR_Cost of labour for organise logistics </v>
      </c>
      <c r="H20" s="24" t="s">
        <v>1616</v>
      </c>
    </row>
    <row r="21" spans="1:8" s="4" customFormat="1" ht="31.5">
      <c r="A21" s="33" t="s">
        <v>189</v>
      </c>
      <c r="B21" s="44" t="s">
        <v>196</v>
      </c>
      <c r="C21" s="35" t="s">
        <v>155</v>
      </c>
      <c r="D21" s="36" t="str">
        <f>IFERROR(VLOOKUP('General Information'!$D$6, Validations!$L$2:$M$8, 2,FALSE), "")</f>
        <v>€/ha</v>
      </c>
      <c r="E21" s="24">
        <f>'Parcel 1 with DATSs'!G205*'General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1" s="37" t="s">
        <v>369</v>
      </c>
      <c r="G21" s="39" t="str">
        <f t="shared" si="0"/>
        <v>cost revenue dats_COST ANALYSIS_LABOUR_Cost of labour for cleaning</v>
      </c>
      <c r="H21" s="24" t="s">
        <v>1617</v>
      </c>
    </row>
    <row r="22" spans="1:8" s="4" customFormat="1" ht="31.5">
      <c r="A22" s="33" t="s">
        <v>189</v>
      </c>
      <c r="B22" s="44" t="s">
        <v>197</v>
      </c>
      <c r="C22" s="35" t="s">
        <v>155</v>
      </c>
      <c r="D22" s="36" t="str">
        <f>IFERROR(VLOOKUP('General Information'!$D$6, Validations!$L$2:$M$8, 2,FALSE), "")</f>
        <v>€/ha</v>
      </c>
      <c r="E22" s="24">
        <f>'Parcel 1 with DATSs'!G206*'General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2" s="37" t="s">
        <v>370</v>
      </c>
      <c r="G22" s="39" t="str">
        <f t="shared" si="0"/>
        <v xml:space="preserve">cost revenue dats_COST ANALYSIS_LABOUR_Cost of labour for stable visits </v>
      </c>
      <c r="H22" s="24" t="s">
        <v>1618</v>
      </c>
    </row>
    <row r="23" spans="1:8" s="4" customFormat="1" ht="31.5">
      <c r="A23" s="33" t="s">
        <v>189</v>
      </c>
      <c r="B23" s="44" t="s">
        <v>198</v>
      </c>
      <c r="C23" s="35" t="s">
        <v>155</v>
      </c>
      <c r="D23" s="36" t="str">
        <f>IFERROR(VLOOKUP('General Information'!$D$6, Validations!$L$2:$M$8, 2,FALSE), "")</f>
        <v>€/ha</v>
      </c>
      <c r="E23" s="24">
        <f>'Parcel 1 with DATSs'!G207*'General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3" s="37" t="s">
        <v>371</v>
      </c>
      <c r="G23" s="39" t="str">
        <f t="shared" si="0"/>
        <v xml:space="preserve">cost revenue dats_COST ANALYSIS_LABOUR_Cost of labour for heat detection </v>
      </c>
      <c r="H23" s="24" t="s">
        <v>1619</v>
      </c>
    </row>
    <row r="24" spans="1:8" s="4" customFormat="1" ht="31.5">
      <c r="A24" s="33" t="s">
        <v>189</v>
      </c>
      <c r="B24" s="44" t="s">
        <v>199</v>
      </c>
      <c r="C24" s="35" t="s">
        <v>155</v>
      </c>
      <c r="D24" s="36" t="str">
        <f>IFERROR(VLOOKUP('General Information'!$D$6, Validations!$L$2:$M$8, 2,FALSE), "")</f>
        <v>€/ha</v>
      </c>
      <c r="E24" s="24">
        <f>'Parcel 1 with DATSs'!G208*'General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4" s="37" t="s">
        <v>372</v>
      </c>
      <c r="G24" s="39" t="str">
        <f t="shared" si="0"/>
        <v xml:space="preserve">cost revenue dats_COST ANALYSIS_LABOUR_Cost of labour for calving detection </v>
      </c>
      <c r="H24" s="24" t="s">
        <v>1620</v>
      </c>
    </row>
    <row r="25" spans="1:8" s="4" customFormat="1" ht="31.5">
      <c r="A25" s="33" t="s">
        <v>189</v>
      </c>
      <c r="B25" s="44" t="s">
        <v>200</v>
      </c>
      <c r="C25" s="35" t="s">
        <v>155</v>
      </c>
      <c r="D25" s="36" t="str">
        <f>IFERROR(VLOOKUP('General Information'!$D$6, Validations!$L$2:$M$8, 2,FALSE), "")</f>
        <v>€/ha</v>
      </c>
      <c r="E25" s="24">
        <f>'Parcel 1 with DATSs'!G209*'General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5" s="37" t="s">
        <v>373</v>
      </c>
      <c r="G25" s="39" t="str">
        <f t="shared" si="0"/>
        <v xml:space="preserve">cost revenue dats_COST ANALYSIS_LABOUR_Cost of labour for pigsty management </v>
      </c>
      <c r="H25" s="24" t="s">
        <v>1621</v>
      </c>
    </row>
    <row r="26" spans="1:8" s="4" customFormat="1">
      <c r="A26" s="33" t="s">
        <v>189</v>
      </c>
      <c r="B26" s="44" t="s">
        <v>413</v>
      </c>
      <c r="C26" s="35" t="s">
        <v>155</v>
      </c>
      <c r="D26" s="36" t="str">
        <f>IFERROR(VLOOKUP('General Information'!$D$6, Validations!$L$2:$M$8, 2,FALSE), "")</f>
        <v>€/ha</v>
      </c>
      <c r="E26" s="24">
        <f>'Parcel 1 with DATSs'!G210*'General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6" s="37" t="s">
        <v>414</v>
      </c>
      <c r="G26" s="39" t="str">
        <f t="shared" si="0"/>
        <v xml:space="preserve">cost revenue dats_COST ANALYSIS_LABOUR_Cost of milking </v>
      </c>
      <c r="H26" s="24" t="s">
        <v>1622</v>
      </c>
    </row>
    <row r="27" spans="1:8" s="4" customFormat="1" ht="31.5">
      <c r="A27" s="33" t="s">
        <v>189</v>
      </c>
      <c r="B27" s="44" t="s">
        <v>201</v>
      </c>
      <c r="C27" s="35" t="s">
        <v>155</v>
      </c>
      <c r="D27" s="36" t="str">
        <f>IFERROR(VLOOKUP('General Information'!$D$6, Validations!$L$2:$M$8, 2,FALSE), "")</f>
        <v>€/ha</v>
      </c>
      <c r="E27" s="24">
        <f>'Parcel 1 with DATSs'!G211*'General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7" s="37" t="s">
        <v>374</v>
      </c>
      <c r="G27" s="39" t="str">
        <f t="shared" si="0"/>
        <v>cost revenue dats_COST ANALYSIS_LABOUR_Cost of labour for (milk) quality assessment</v>
      </c>
      <c r="H27" s="24" t="s">
        <v>1623</v>
      </c>
    </row>
    <row r="28" spans="1:8" s="4" customFormat="1">
      <c r="A28" s="33" t="s">
        <v>189</v>
      </c>
      <c r="B28" s="44" t="s">
        <v>202</v>
      </c>
      <c r="C28" s="35" t="s">
        <v>155</v>
      </c>
      <c r="D28" s="36" t="str">
        <f>IFERROR(VLOOKUP('General Information'!$D$6, Validations!$L$2:$M$8, 2,FALSE), "")</f>
        <v>€/ha</v>
      </c>
      <c r="E28" s="24">
        <f>'Parcel 1 with DATSs'!G212*'General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28" s="37" t="s">
        <v>375</v>
      </c>
      <c r="G28" s="39" t="str">
        <f t="shared" si="0"/>
        <v xml:space="preserve">cost revenue dats_COST ANALYSIS_LABOUR_Cost of labour for feeding </v>
      </c>
      <c r="H28" s="24" t="s">
        <v>1624</v>
      </c>
    </row>
    <row r="29" spans="1:8" s="4" customFormat="1" ht="31.5">
      <c r="A29" s="33" t="s">
        <v>189</v>
      </c>
      <c r="B29" s="44" t="s">
        <v>203</v>
      </c>
      <c r="C29" s="35" t="s">
        <v>155</v>
      </c>
      <c r="D29" s="36" t="str">
        <f>IFERROR(VLOOKUP('General Information'!$D$6, Validations!$L$2:$M$8, 2,FALSE), "")</f>
        <v>€/ha</v>
      </c>
      <c r="E29" s="24" t="e">
        <f>'Parcel 1 with DATSs'!G213*'General Information'!D39/'Parcel 1 with DATSs'!G255</f>
        <v>#DIV/0!</v>
      </c>
      <c r="F29" s="37" t="s">
        <v>376</v>
      </c>
      <c r="G29" s="39" t="str">
        <f t="shared" si="0"/>
        <v xml:space="preserve">cost revenue dats_COST ANALYSIS_LABOUR_Cost of labour for beehives visits </v>
      </c>
      <c r="H29" s="24" t="s">
        <v>1625</v>
      </c>
    </row>
    <row r="30" spans="1:8" s="4" customFormat="1" ht="31.5">
      <c r="A30" s="33" t="s">
        <v>189</v>
      </c>
      <c r="B30" s="44" t="s">
        <v>204</v>
      </c>
      <c r="C30" s="35" t="s">
        <v>155</v>
      </c>
      <c r="D30" s="36" t="str">
        <f>IFERROR(VLOOKUP('General Information'!$D$6, Validations!$L$2:$M$8, 2,FALSE), "")</f>
        <v>€/ha</v>
      </c>
      <c r="E30" s="24" t="e">
        <f>'Parcel 1 with DATSs'!G214*'General Information'!D39/'Parcel 1 with DATSs'!G254</f>
        <v>#DIV/0!</v>
      </c>
      <c r="F30" s="37" t="s">
        <v>377</v>
      </c>
      <c r="G30" s="39" t="str">
        <f t="shared" si="0"/>
        <v xml:space="preserve">cost revenue dats_COST ANALYSIS_LABOUR_Cost of labour for sampling of oysters </v>
      </c>
      <c r="H30" s="24" t="s">
        <v>1626</v>
      </c>
    </row>
    <row r="31" spans="1:8" s="4" customFormat="1" ht="31.5">
      <c r="A31" s="33" t="s">
        <v>189</v>
      </c>
      <c r="B31" s="44" t="s">
        <v>205</v>
      </c>
      <c r="C31" s="35" t="s">
        <v>155</v>
      </c>
      <c r="D31" s="36" t="str">
        <f>IFERROR(VLOOKUP('General Information'!$D$6, Validations!$L$2:$M$8, 2,FALSE), "")</f>
        <v>€/ha</v>
      </c>
      <c r="E31" s="24" t="e">
        <f>'Parcel 1 with DATSs'!G215*'General Information'!D39/'Parcel 1 with DATSs'!G254</f>
        <v>#DIV/0!</v>
      </c>
      <c r="F31" s="37" t="s">
        <v>378</v>
      </c>
      <c r="G31" s="39" t="str">
        <f t="shared" si="0"/>
        <v xml:space="preserve">cost revenue dats_COST ANALYSIS_LABOUR_Cost of labour for transporting oysters to the laboratory  </v>
      </c>
      <c r="H31" s="24" t="s">
        <v>1627</v>
      </c>
    </row>
    <row r="32" spans="1:8" s="4" customFormat="1" ht="31.5">
      <c r="A32" s="33" t="s">
        <v>189</v>
      </c>
      <c r="B32" s="44" t="s">
        <v>418</v>
      </c>
      <c r="C32" s="35" t="s">
        <v>155</v>
      </c>
      <c r="D32" s="36" t="str">
        <f>IFERROR(VLOOKUP('General Information'!$D$6, Validations!$L$2:$M$8, 2,FALSE), "")</f>
        <v>€/ha</v>
      </c>
      <c r="E32" s="24">
        <f>'Parcel 1 with DATSs'!G216*'General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2" s="37" t="s">
        <v>379</v>
      </c>
      <c r="G32" s="39" t="str">
        <f t="shared" si="0"/>
        <v xml:space="preserve">cost revenue dats_COST ANALYSIS_LABOUR_Cost of labour for harvesting </v>
      </c>
      <c r="H32" s="24" t="s">
        <v>1628</v>
      </c>
    </row>
    <row r="33" spans="1:13" s="4" customFormat="1">
      <c r="A33" s="33" t="s">
        <v>189</v>
      </c>
      <c r="B33" s="44" t="s">
        <v>341</v>
      </c>
      <c r="C33" s="35" t="s">
        <v>155</v>
      </c>
      <c r="D33" s="36" t="str">
        <f>IFERROR(VLOOKUP('General Information'!$D$6, Validations!$L$2:$M$8, 2,FALSE), "")</f>
        <v>€/ha</v>
      </c>
      <c r="E33" s="24">
        <f>'Parcel 1 with DATSs'!G217*'General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3" s="37" t="s">
        <v>380</v>
      </c>
      <c r="G33" s="39" t="str">
        <f t="shared" si="0"/>
        <v xml:space="preserve">cost revenue dats_COST ANALYSIS_LABOUR_Cost of labour for storage </v>
      </c>
      <c r="H33" s="24" t="s">
        <v>1629</v>
      </c>
    </row>
    <row r="34" spans="1:13" s="4" customFormat="1" ht="47.25">
      <c r="A34" s="33" t="s">
        <v>189</v>
      </c>
      <c r="B34" s="44" t="s">
        <v>591</v>
      </c>
      <c r="C34" s="35" t="s">
        <v>155</v>
      </c>
      <c r="D34" s="36" t="str">
        <f>IFERROR(VLOOKUP('General Information'!$D$6, Validations!$L$2:$M$8, 2,FALSE), "")</f>
        <v>€/ha</v>
      </c>
      <c r="E34" s="24">
        <f>'Parcel 1 with DATSs'!G218*'General Information'!$D$39/(IF('General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4" s="37" t="s">
        <v>382</v>
      </c>
      <c r="G34" s="39" t="str">
        <f t="shared" si="0"/>
        <v xml:space="preserve">cost revenue dats_COST ANALYSIS_LABOUR_Cost of administrative activities, data collection, etc. </v>
      </c>
      <c r="H34" s="24" t="s">
        <v>1630</v>
      </c>
    </row>
    <row r="35" spans="1:13" s="4" customFormat="1" ht="47.25">
      <c r="A35" s="33" t="s">
        <v>498</v>
      </c>
      <c r="B35" s="45" t="s">
        <v>426</v>
      </c>
      <c r="C35" s="35" t="s">
        <v>155</v>
      </c>
      <c r="D35" s="36" t="str">
        <f>IFERROR(VLOOKUP('General Information'!$D$6, Validations!$L$2:$M$8, 2,FALSE), "")</f>
        <v>€/ha</v>
      </c>
      <c r="E35" s="24">
        <f>_xlfn.AGGREGATE(9,6,E3:E34)</f>
        <v>1508.1773170731708</v>
      </c>
      <c r="F35" s="37" t="s">
        <v>383</v>
      </c>
      <c r="G35" s="39" t="str">
        <f t="shared" si="0"/>
        <v xml:space="preserve">cost revenue dats_COST ANALYSIS_COST_TOT Cost </v>
      </c>
      <c r="H35" s="24" t="s">
        <v>1631</v>
      </c>
    </row>
    <row r="36" spans="1:13" ht="31.5">
      <c r="A36" s="40" t="s">
        <v>500</v>
      </c>
      <c r="B36" s="41" t="s">
        <v>499</v>
      </c>
      <c r="C36" s="35" t="s">
        <v>155</v>
      </c>
      <c r="D36" s="36" t="str">
        <f>IFERROR(VLOOKUP('General Information'!$D$6, Validations!$L$2:$M$8, 2,FALSE), "")</f>
        <v>€/ha</v>
      </c>
      <c r="E36" s="24">
        <f>(('General Information'!D23+'General Information'!D24)+('General Information'!I23+'General Information'!I24)+('General Information'!M23+'General Information'!M24))/(IF('General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73.170731707317074</v>
      </c>
      <c r="F36" s="37" t="s">
        <v>384</v>
      </c>
      <c r="G36" s="39" t="str">
        <f t="shared" si="0"/>
        <v>cost revenue dats_COST ANALYSIS_DATSs_Cost of DATSs</v>
      </c>
      <c r="H36" s="24" t="s">
        <v>1632</v>
      </c>
      <c r="M36"/>
    </row>
    <row r="37" spans="1:13" ht="47.25">
      <c r="A37" s="40" t="s">
        <v>500</v>
      </c>
      <c r="B37" s="41" t="s">
        <v>349</v>
      </c>
      <c r="C37" s="35" t="s">
        <v>155</v>
      </c>
      <c r="D37" s="36" t="str">
        <f>IFERROR(VLOOKUP('General Information'!$D$6, Validations!$L$2:$M$8, 2,FALSE), "")</f>
        <v>€/ha</v>
      </c>
      <c r="E37" s="24">
        <f>'General Information'!D27/(IF('General Information'!D6="crop",'Parcel 1 with DATSs'!G10,IF('General Information'!D6="milk",'Parcel 1 with DATSs'!G251,IF('General Information'!D6="meat",'Parcel 1 with DATSs'!G252,IF('General Information'!D6="animal",'Parcel 1 with DATSs'!G253, IF('General Information'!D6="oyster",'Parcel 1 with DATSs'!G254,IF('General Information'!D6="honey",'Parcel 1 with DATSs'!G255,'Parcel 1 with DATSs'!G256)))))))</f>
        <v>0</v>
      </c>
      <c r="F37" s="37" t="s">
        <v>385</v>
      </c>
      <c r="G37" s="39" t="str">
        <f t="shared" si="0"/>
        <v xml:space="preserve">cost revenue dats_COST ANALYSIS_DATSs_Cost of Training </v>
      </c>
      <c r="H37" s="24" t="s">
        <v>1633</v>
      </c>
      <c r="M37"/>
    </row>
    <row r="38" spans="1:13">
      <c r="A38" s="51"/>
      <c r="B38" s="3"/>
      <c r="C38" s="51"/>
      <c r="D38" s="1"/>
      <c r="E38" s="24"/>
      <c r="F38" s="31"/>
      <c r="G38" s="39"/>
      <c r="H38" s="24"/>
      <c r="M38"/>
    </row>
    <row r="39" spans="1:13" s="4" customFormat="1">
      <c r="A39" s="46" t="s">
        <v>179</v>
      </c>
      <c r="C39" s="51"/>
      <c r="F39" s="31"/>
      <c r="G39" s="39"/>
      <c r="H39" s="24"/>
      <c r="M39" s="38"/>
    </row>
    <row r="40" spans="1:13" s="4" customFormat="1">
      <c r="A40" s="47" t="s">
        <v>353</v>
      </c>
      <c r="B40" s="47" t="s">
        <v>136</v>
      </c>
      <c r="C40" s="47" t="s">
        <v>137</v>
      </c>
      <c r="D40" s="47" t="s">
        <v>138</v>
      </c>
      <c r="E40" s="47" t="s">
        <v>191</v>
      </c>
      <c r="F40" s="47" t="s">
        <v>190</v>
      </c>
      <c r="G40" s="39"/>
      <c r="H40" s="24"/>
    </row>
    <row r="41" spans="1:13">
      <c r="A41" s="40" t="s">
        <v>114</v>
      </c>
      <c r="B41" s="41" t="s">
        <v>592</v>
      </c>
      <c r="C41" s="35" t="s">
        <v>155</v>
      </c>
      <c r="D41" s="43" t="s">
        <v>141</v>
      </c>
      <c r="E41" s="24">
        <f>'Parcel 1 with DATSs'!G250/'Parcel 1 with DATSs'!G10*'General Information'!$D$41</f>
        <v>12070.000000000002</v>
      </c>
      <c r="F41" s="37" t="s">
        <v>180</v>
      </c>
      <c r="G41" s="39" t="str">
        <f>CONCATENATE("cost revenue dats","_",$A$39,"_",A41,"_",B41)</f>
        <v>cost revenue dats_REVENUES ANALYSIS_OUTPUT_Crop revenue</v>
      </c>
      <c r="H41" s="24" t="s">
        <v>1637</v>
      </c>
      <c r="M41"/>
    </row>
    <row r="42" spans="1:13">
      <c r="A42" s="40" t="s">
        <v>114</v>
      </c>
      <c r="B42" s="41" t="s">
        <v>593</v>
      </c>
      <c r="C42" s="35" t="s">
        <v>155</v>
      </c>
      <c r="D42" s="43" t="str">
        <f>IFERROR(VLOOKUP('General Information'!$D$6, Validations!$L$2:$M$8, 2,FALSE), "")</f>
        <v>€/ha</v>
      </c>
      <c r="E42" s="24">
        <f>('Parcel 1 with DATSs'!G251*'General Information'!$D$41/(IF('General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DATSs'!G256))))))))*1000</f>
        <v>0</v>
      </c>
      <c r="F42" s="37" t="s">
        <v>216</v>
      </c>
      <c r="G42" s="39" t="str">
        <f t="shared" ref="G42:G47" si="1">CONCATENATE("cost revenue dats","_",$A$39,"_",A42,"_",B42)</f>
        <v>cost revenue dats_REVENUES ANALYSIS_OUTPUT_Milk revenue</v>
      </c>
      <c r="H42" s="24" t="s">
        <v>1638</v>
      </c>
      <c r="M42"/>
    </row>
    <row r="43" spans="1:13">
      <c r="A43" s="40" t="s">
        <v>114</v>
      </c>
      <c r="B43" s="41" t="s">
        <v>594</v>
      </c>
      <c r="C43" s="35" t="s">
        <v>155</v>
      </c>
      <c r="D43" s="43" t="str">
        <f>IFERROR(VLOOKUP('General Information'!$D$6, Validations!$L$2:$M$8, 2,FALSE), "")</f>
        <v>€/ha</v>
      </c>
      <c r="E43" s="24">
        <f>('Parcel 1 with DATSs'!G252*'General Information'!D41/(IF('General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DATSs'!G256))))))))/10</f>
        <v>0</v>
      </c>
      <c r="F43" s="37" t="s">
        <v>217</v>
      </c>
      <c r="G43" s="39" t="str">
        <f t="shared" si="1"/>
        <v>cost revenue dats_REVENUES ANALYSIS_OUTPUT_Meat revenue</v>
      </c>
      <c r="H43" s="24" t="s">
        <v>1639</v>
      </c>
      <c r="M43"/>
    </row>
    <row r="44" spans="1:13">
      <c r="A44" s="40" t="s">
        <v>114</v>
      </c>
      <c r="B44" s="41" t="s">
        <v>595</v>
      </c>
      <c r="C44" s="35" t="s">
        <v>155</v>
      </c>
      <c r="D44" s="43" t="s">
        <v>557</v>
      </c>
      <c r="E44" s="24" t="e">
        <f>'Parcel 1 with DATSs'!G254*'General Information'!$I$41/'Parcel 1 with DATSs'!G20</f>
        <v>#DIV/0!</v>
      </c>
      <c r="F44" s="37" t="s">
        <v>218</v>
      </c>
      <c r="G44" s="39" t="str">
        <f t="shared" si="1"/>
        <v>cost revenue dats_REVENUES ANALYSIS_OUTPUT_Oyster revenue</v>
      </c>
      <c r="H44" s="24" t="s">
        <v>1640</v>
      </c>
      <c r="M44"/>
    </row>
    <row r="45" spans="1:13">
      <c r="A45" s="40" t="s">
        <v>114</v>
      </c>
      <c r="B45" s="41" t="s">
        <v>596</v>
      </c>
      <c r="C45" s="35" t="s">
        <v>155</v>
      </c>
      <c r="D45" s="43" t="s">
        <v>558</v>
      </c>
      <c r="E45" s="24" t="e">
        <f>'Parcel 1 with DATSs'!G255*'General Information'!$I$41/'Parcel 1 with DATSs'!G19</f>
        <v>#DIV/0!</v>
      </c>
      <c r="F45" s="37" t="s">
        <v>219</v>
      </c>
      <c r="G45" s="39" t="str">
        <f t="shared" si="1"/>
        <v>cost revenue dats_REVENUES ANALYSIS_OUTPUT_Honey revenue</v>
      </c>
      <c r="H45" s="24" t="s">
        <v>1641</v>
      </c>
      <c r="M45"/>
    </row>
    <row r="46" spans="1:13">
      <c r="A46" s="40" t="s">
        <v>114</v>
      </c>
      <c r="B46" s="41" t="s">
        <v>597</v>
      </c>
      <c r="C46" s="35" t="s">
        <v>155</v>
      </c>
      <c r="D46" s="43" t="s">
        <v>457</v>
      </c>
      <c r="E46" s="24">
        <f>'Parcel 1 with DATSs'!G256*'General Information'!D41</f>
        <v>0</v>
      </c>
      <c r="F46" s="37"/>
      <c r="G46" s="39" t="str">
        <f t="shared" si="1"/>
        <v>cost revenue dats_REVENUES ANALYSIS_OUTPUT_Grain (silos) revenue</v>
      </c>
      <c r="H46" s="24" t="s">
        <v>1642</v>
      </c>
      <c r="M46"/>
    </row>
    <row r="47" spans="1:13">
      <c r="A47" s="40" t="s">
        <v>352</v>
      </c>
      <c r="B47" s="41" t="s">
        <v>276</v>
      </c>
      <c r="C47" s="35" t="s">
        <v>155</v>
      </c>
      <c r="D47" s="43" t="str">
        <f>IFERROR(VLOOKUP('General Information'!$D$6, Validations!$L$2:$M$8, 2,FALSE), "")</f>
        <v>€/ha</v>
      </c>
      <c r="E47" s="24">
        <f>'Parcel 1 with DATSs'!G225</f>
        <v>0</v>
      </c>
      <c r="F47" s="41" t="s">
        <v>276</v>
      </c>
      <c r="G47" s="39" t="str">
        <f t="shared" si="1"/>
        <v xml:space="preserve">cost revenue dats_REVENUES ANALYSIS_ADDITIONAL REVENUES_Additional revenues </v>
      </c>
      <c r="H47" s="24" t="s">
        <v>1643</v>
      </c>
      <c r="M47"/>
    </row>
    <row r="48" spans="1:13">
      <c r="A48" s="51"/>
      <c r="B48" s="3"/>
      <c r="C48" s="32"/>
      <c r="D48" s="1"/>
      <c r="E48" s="24"/>
      <c r="F48" s="31"/>
      <c r="G48" s="56"/>
      <c r="M48"/>
    </row>
    <row r="49" spans="1:13">
      <c r="A49" s="51"/>
      <c r="B49" s="51"/>
      <c r="C49" s="52"/>
      <c r="D49" s="51"/>
      <c r="E49" s="51"/>
      <c r="F49" s="51"/>
      <c r="M49"/>
    </row>
  </sheetData>
  <phoneticPr fontId="2" type="noConversion"/>
  <conditionalFormatting sqref="C2:C37 C40:C49">
    <cfRule type="containsText" dxfId="173" priority="6" operator="containsText" text="Without DATs">
      <formula>NOT(ISERROR(SEARCH("Without DATs",C2)))</formula>
    </cfRule>
  </conditionalFormatting>
  <conditionalFormatting sqref="C3:C37 C41:C49">
    <cfRule type="containsText" dxfId="172" priority="7" operator="containsText" text="With DATs">
      <formula>NOT(ISERROR(SEARCH("With DATs",C3)))</formula>
    </cfRule>
    <cfRule type="containsText" dxfId="171" priority="8" operator="containsText" text="With out DATs">
      <formula>NOT(ISERROR(SEARCH("With out DATs",C3)))</formula>
    </cfRule>
    <cfRule type="containsText" dxfId="170" priority="9" operator="containsText" text="TO-BE">
      <formula>NOT(ISERROR(SEARCH("TO-BE",C3)))</formula>
    </cfRule>
    <cfRule type="containsText" dxfId="169" priority="10" operator="containsText" text="AS-IS">
      <formula>NOT(ISERROR(SEARCH("AS-IS",C3)))</formula>
    </cfRule>
  </conditionalFormatting>
  <conditionalFormatting sqref="D1 D50:D1048576">
    <cfRule type="containsText" dxfId="168" priority="33" operator="containsText" text="Without DATs">
      <formula>NOT(ISERROR(SEARCH("Without DATs",D1)))</formula>
    </cfRule>
  </conditionalFormatting>
  <conditionalFormatting sqref="D39">
    <cfRule type="containsText" dxfId="167" priority="81" operator="containsText" text="Without DATs">
      <formula>NOT(ISERROR(SEARCH("Without DATs",D39)))</formula>
    </cfRule>
  </conditionalFormatting>
  <conditionalFormatting sqref="G3:G1048576">
    <cfRule type="cellIs" dxfId="166" priority="42" operator="lessThan">
      <formula>0</formula>
    </cfRule>
    <cfRule type="cellIs" dxfId="165" priority="43" operator="greaterThan">
      <formula>0</formula>
    </cfRule>
  </conditionalFormatting>
  <conditionalFormatting sqref="I9">
    <cfRule type="containsText" dxfId="164" priority="69" operator="containsText" text="Without DATs">
      <formula>NOT(ISERROR(SEARCH("Without DATs",I9)))</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15DC-441F-B64F-BA7D-AF39B5EA85C5}">
  <sheetPr codeName="Sheet6"/>
  <dimension ref="A1:M49"/>
  <sheetViews>
    <sheetView tabSelected="1" topLeftCell="A28" zoomScaleNormal="100" workbookViewId="0">
      <selection activeCell="B35" sqref="B35"/>
    </sheetView>
  </sheetViews>
  <sheetFormatPr defaultColWidth="11.25" defaultRowHeight="15.75"/>
  <cols>
    <col min="1" max="1" width="20.5" customWidth="1"/>
    <col min="2" max="2" width="31.25" bestFit="1" customWidth="1"/>
    <col min="3" max="3" width="12.625" bestFit="1" customWidth="1"/>
    <col min="4" max="4" width="9.125" bestFit="1" customWidth="1"/>
    <col min="5" max="5" width="11.125" style="4" customWidth="1"/>
    <col min="6" max="6" width="71.125" bestFit="1" customWidth="1"/>
    <col min="7" max="7" width="73.625" customWidth="1"/>
    <col min="8" max="8" width="4.125" bestFit="1" customWidth="1"/>
    <col min="9" max="10" width="26.75" customWidth="1"/>
    <col min="11" max="11" width="20.75" customWidth="1"/>
    <col min="12" max="12" width="25.25" customWidth="1"/>
    <col min="13" max="13" width="25" style="21" customWidth="1"/>
    <col min="15" max="15" width="22.25" customWidth="1"/>
  </cols>
  <sheetData>
    <row r="1" spans="1:13" s="4" customFormat="1">
      <c r="A1" s="46" t="s">
        <v>178</v>
      </c>
      <c r="M1" s="38"/>
    </row>
    <row r="2" spans="1:13" s="4" customFormat="1">
      <c r="A2" s="47" t="s">
        <v>163</v>
      </c>
      <c r="B2" s="47" t="s">
        <v>136</v>
      </c>
      <c r="C2" s="47" t="s">
        <v>137</v>
      </c>
      <c r="D2" s="47" t="s">
        <v>138</v>
      </c>
      <c r="E2" s="47" t="s">
        <v>191</v>
      </c>
      <c r="F2" s="47" t="s">
        <v>190</v>
      </c>
    </row>
    <row r="3" spans="1:13" s="24" customFormat="1" ht="31.5">
      <c r="A3" s="33" t="s">
        <v>0</v>
      </c>
      <c r="B3" s="34" t="s">
        <v>139</v>
      </c>
      <c r="C3" s="35" t="s">
        <v>140</v>
      </c>
      <c r="D3" s="36" t="str">
        <f>IFERROR(VLOOKUP('General Information'!$D$6, Validations!$L$2:$M$8, 2,FALSE), "")</f>
        <v>€/ha</v>
      </c>
      <c r="E3" s="24" t="e">
        <f>('Parcel 1 without DATSs'!H29*'General Information'!I32)/(IF('General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3" s="37" t="s">
        <v>423</v>
      </c>
      <c r="G3" s="39" t="str">
        <f>CONCATENATE("cost revenue no dats","_",$A$1,"_",A3,"_",B3)</f>
        <v>cost revenue no dats_COST ANALYSIS_WATER _Cost of water</v>
      </c>
      <c r="H3" s="24" t="s">
        <v>1599</v>
      </c>
    </row>
    <row r="4" spans="1:13" s="4" customFormat="1" ht="31.5">
      <c r="A4" s="33" t="s">
        <v>164</v>
      </c>
      <c r="B4" s="34" t="s">
        <v>142</v>
      </c>
      <c r="C4" s="35" t="s">
        <v>140</v>
      </c>
      <c r="D4" s="36" t="str">
        <f>IFERROR(VLOOKUP('General Information'!$D$6, Validations!$L$2:$M$8, 2,FALSE), "")</f>
        <v>€/ha</v>
      </c>
      <c r="E4" s="24" t="e">
        <f>'Parcel 1 without DATSs'!H43*'General Information'!I33/(IF('General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4" s="37" t="s">
        <v>424</v>
      </c>
      <c r="G4" s="39" t="str">
        <f t="shared" ref="G4:G37" si="0">CONCATENATE("cost revenue no dats","_",$A$1,"_",A4,"_",B4)</f>
        <v>cost revenue no dats_COST ANALYSIS_FUEL _Cost of  fuel</v>
      </c>
      <c r="H4" s="24" t="s">
        <v>1600</v>
      </c>
    </row>
    <row r="5" spans="1:13" s="4" customFormat="1" ht="31.5">
      <c r="A5" s="33" t="s">
        <v>165</v>
      </c>
      <c r="B5" s="44" t="s">
        <v>158</v>
      </c>
      <c r="C5" s="35" t="s">
        <v>140</v>
      </c>
      <c r="D5" s="36" t="str">
        <f>IFERROR(VLOOKUP('General Information'!$D$6, Validations!$L$2:$M$8, 2,FALSE), "")</f>
        <v>€/ha</v>
      </c>
      <c r="E5" s="24" t="e">
        <f>'Parcel 1 without DATSs'!H62*'General Information'!I38/(IF('General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5" s="37" t="s">
        <v>425</v>
      </c>
      <c r="G5" s="39" t="str">
        <f t="shared" si="0"/>
        <v>cost revenue no dats_COST ANALYSIS_ELECTRICITY_Cost of electricity</v>
      </c>
      <c r="H5" s="24" t="s">
        <v>1601</v>
      </c>
    </row>
    <row r="6" spans="1:13" s="4" customFormat="1" ht="47.25">
      <c r="A6" s="33" t="s">
        <v>174</v>
      </c>
      <c r="B6" s="44" t="s">
        <v>175</v>
      </c>
      <c r="C6" s="35" t="s">
        <v>140</v>
      </c>
      <c r="D6" s="36" t="str">
        <f>IFERROR(VLOOKUP('General Information'!$D$6, Validations!$L$2:$M$8, 2,FALSE), "")</f>
        <v>€/ha</v>
      </c>
      <c r="E6" s="24">
        <f>('Parcel 1 without DATSs'!H67*'Parcel 1 without DATSs'!H68*'General Information'!I43)+
('Parcel 1 without DATSs'!H70*'Parcel 1 without DATSs'!H71*'General Information'!I44)+
('Parcel 1 without DATSs'!H73*'Parcel 1 without DATSs'!H74*'General Information'!I45)+
('Parcel 1 without DATSs'!H76*'Parcel 1 without DATSs'!H77*'General Information'!I46)+
('Parcel 1 without DATSs'!H79*'Parcel 1 without DATSs'!H80*'General Information'!I47)+
('Parcel 1 without DATSs'!H82*'Parcel 1 without DATSs'!H83*'General Information'!I48)+
('Parcel 1 without DATSs'!H85*'Parcel 1 without DATSs'!H86*'General Information'!I49)+
('Parcel 1 without DATSs'!H88*'Parcel 1 without DATSs'!H89*'General Information'!I50)+
('Parcel 1 without DATSs'!H91*'Parcel 1 without DATSs'!H92*'General Information'!I51)+
('Parcel 1 without DATSs'!H94*'Parcel 1 without DATSs'!H95*'General Information'!I52)</f>
        <v>0</v>
      </c>
      <c r="F6" s="37" t="s">
        <v>415</v>
      </c>
      <c r="G6" s="39" t="str">
        <f t="shared" si="0"/>
        <v xml:space="preserve">cost revenue no dats_COST ANALYSIS_PESTICIDE _Cost for pesticide </v>
      </c>
      <c r="H6" s="24" t="s">
        <v>1602</v>
      </c>
    </row>
    <row r="7" spans="1:13" s="4" customFormat="1" ht="63">
      <c r="A7" s="33" t="s">
        <v>176</v>
      </c>
      <c r="B7" s="44" t="s">
        <v>177</v>
      </c>
      <c r="C7" s="35" t="s">
        <v>140</v>
      </c>
      <c r="D7" s="36" t="str">
        <f>IFERROR(VLOOKUP('General Information'!$D$6, Validations!$L$2:$M$8, 2,FALSE), "")</f>
        <v>€/ha</v>
      </c>
      <c r="E7" s="24">
        <f>('Parcel 1 without DATSs'!H101*'Parcel 1 without DATSs'!H102*'General Information'!I54)+
('Parcel 1 without DATSs'!H108*'Parcel 1 without DATSs'!H109*'General Information'!I55)+
('Parcel 1 without DATSs'!H115*'Parcel 1 without DATSs'!H116*'General Information'!I56)+
('Parcel 1 without DATSs'!H122*'Parcel 1 without DATSs'!H123*'General Information'!I57)+
('Parcel 1 without DATSs'!H129*'Parcel 1 without DATSs'!H130*'General Information'!I58)+
('Parcel 1 without DATSs'!H136*'Parcel 1 without DATSs'!H137*'General Information'!I59)+
('Parcel 1 without DATSs'!H143*'Parcel 1 without DATSs'!H144*'General Information'!I60)+
('Parcel 1 without DATSs'!H150*'Parcel 1 without DATSs'!H151*'General Information'!I61)+
('Parcel 1 without DATSs'!H157*'Parcel 1 without DATSs'!H158*'General Information'!I62)+
('Parcel 1 without DATSs'!H164*'Parcel 1 without DATSs'!H165*'General Information'!I63)</f>
        <v>1371.47</v>
      </c>
      <c r="F7" s="37" t="s">
        <v>416</v>
      </c>
      <c r="G7" s="39" t="str">
        <f t="shared" si="0"/>
        <v xml:space="preserve">cost revenue no dats_COST ANALYSIS_FERTILISER_Cost of fertiliser </v>
      </c>
      <c r="H7" s="24" t="s">
        <v>1603</v>
      </c>
    </row>
    <row r="8" spans="1:13" s="4" customFormat="1" ht="28.5">
      <c r="A8" s="33" t="s">
        <v>9</v>
      </c>
      <c r="B8" s="44" t="s">
        <v>214</v>
      </c>
      <c r="C8" s="35" t="s">
        <v>140</v>
      </c>
      <c r="D8" s="36" t="str">
        <f>IFERROR(VLOOKUP('General Information'!$D$6, Validations!$L$2:$M$8, 2,FALSE), "")</f>
        <v>€/ha</v>
      </c>
      <c r="E8" s="24" t="e">
        <f>('General Information'!I65*'Parcel 1 without DATSs'!H173+'General Information'!I66*'Parcel 1 without DATSs'!H175+'General Information'!I69*'Parcel 1 without DATSs'!H177)/(IF('General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8" s="37" t="s">
        <v>363</v>
      </c>
      <c r="G8" s="39" t="str">
        <f t="shared" si="0"/>
        <v>cost revenue no dats_COST ANALYSIS_FEED_Cost of feed</v>
      </c>
      <c r="H8" s="24" t="s">
        <v>1604</v>
      </c>
    </row>
    <row r="9" spans="1:13" s="4" customFormat="1" ht="31.5">
      <c r="A9" s="33" t="s">
        <v>12</v>
      </c>
      <c r="B9" s="44" t="s">
        <v>215</v>
      </c>
      <c r="C9" s="35" t="s">
        <v>140</v>
      </c>
      <c r="D9" s="36" t="str">
        <f>IFERROR(VLOOKUP('General Information'!$D$6, Validations!$L$2:$M$8, 2,FALSE), "")</f>
        <v>€/ha</v>
      </c>
      <c r="E9" s="24" t="e">
        <f>('General Information'!I71*'Parcel 1 without DATSs'!H186+'General Information'!I72*'Parcel 1 without DATSs'!H188+'General Information'!I73*'Parcel 1 without DATSs'!H190)/(IF('General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9" s="37" t="s">
        <v>381</v>
      </c>
      <c r="G9" s="39" t="str">
        <f t="shared" si="0"/>
        <v>cost revenue no dats_COST ANALYSIS_DRUGS _ Cost of drugs</v>
      </c>
      <c r="H9" s="24" t="s">
        <v>1605</v>
      </c>
      <c r="I9" s="50"/>
      <c r="J9" s="50"/>
    </row>
    <row r="10" spans="1:13" s="4" customFormat="1" ht="28.5">
      <c r="A10" s="33" t="s">
        <v>189</v>
      </c>
      <c r="B10" s="44" t="s">
        <v>169</v>
      </c>
      <c r="C10" s="35" t="s">
        <v>140</v>
      </c>
      <c r="D10" s="36" t="str">
        <f>IFERROR(VLOOKUP('General Information'!$D$6, Validations!$L$2:$M$8, 2,FALSE), "")</f>
        <v>€/ha</v>
      </c>
      <c r="E10" s="24" t="e">
        <f>'Parcel 1 without DATSs'!H194*'General Information'!I39/'Parcel 1 without DATSs'!E10</f>
        <v>#VALUE!</v>
      </c>
      <c r="F10" s="37" t="s">
        <v>364</v>
      </c>
      <c r="G10" s="39" t="str">
        <f t="shared" si="0"/>
        <v>cost revenue no dats_COST ANALYSIS_LABOUR_Cost of labour for irrigation</v>
      </c>
      <c r="H10" s="24" t="s">
        <v>1606</v>
      </c>
    </row>
    <row r="11" spans="1:13" s="4" customFormat="1" ht="28.5">
      <c r="A11" s="33" t="s">
        <v>189</v>
      </c>
      <c r="B11" s="44" t="s">
        <v>170</v>
      </c>
      <c r="C11" s="35" t="s">
        <v>140</v>
      </c>
      <c r="D11" s="36" t="str">
        <f>IFERROR(VLOOKUP('General Information'!$D$6, Validations!$L$2:$M$8, 2,FALSE), "")</f>
        <v>€/ha</v>
      </c>
      <c r="E11" s="24" t="e">
        <f>'Parcel 1 without DATSs'!H195*'General Information'!I39/'Parcel 1 without DATSs'!E10</f>
        <v>#VALUE!</v>
      </c>
      <c r="F11" s="37" t="s">
        <v>361</v>
      </c>
      <c r="G11" s="39" t="str">
        <f t="shared" si="0"/>
        <v>cost revenue no dats_COST ANALYSIS_LABOUR_Cost of labour for pesticide</v>
      </c>
      <c r="H11" s="24" t="s">
        <v>1607</v>
      </c>
    </row>
    <row r="12" spans="1:13" s="4" customFormat="1" ht="28.5">
      <c r="A12" s="33" t="s">
        <v>189</v>
      </c>
      <c r="B12" s="44" t="s">
        <v>166</v>
      </c>
      <c r="C12" s="35" t="s">
        <v>140</v>
      </c>
      <c r="D12" s="36" t="str">
        <f>IFERROR(VLOOKUP('General Information'!$D$6, Validations!$L$2:$M$8, 2,FALSE), "")</f>
        <v>€/ha</v>
      </c>
      <c r="E12" s="24" t="e">
        <f>'Parcel 1 without DATSs'!H196*'General Information'!I39/'Parcel 1 without DATSs'!E10</f>
        <v>#VALUE!</v>
      </c>
      <c r="F12" s="37" t="s">
        <v>365</v>
      </c>
      <c r="G12" s="39" t="str">
        <f t="shared" si="0"/>
        <v>cost revenue no dats_COST ANALYSIS_LABOUR_Cost of labour for fertilisation</v>
      </c>
      <c r="H12" s="24" t="s">
        <v>1608</v>
      </c>
    </row>
    <row r="13" spans="1:13" s="4" customFormat="1" ht="28.5">
      <c r="A13" s="33" t="s">
        <v>189</v>
      </c>
      <c r="B13" s="44" t="s">
        <v>171</v>
      </c>
      <c r="C13" s="35" t="s">
        <v>140</v>
      </c>
      <c r="D13" s="36" t="str">
        <f>IFERROR(VLOOKUP('General Information'!$D$6, Validations!$L$2:$M$8, 2,FALSE), "")</f>
        <v>€/ha</v>
      </c>
      <c r="E13" s="24" t="e">
        <f>'Parcel 1 without DATSs'!H197*'General Information'!I39/'Parcel 1 without DATSs'!E10</f>
        <v>#VALUE!</v>
      </c>
      <c r="F13" s="37" t="s">
        <v>366</v>
      </c>
      <c r="G13" s="39" t="str">
        <f t="shared" si="0"/>
        <v xml:space="preserve">cost revenue no dats_COST ANALYSIS_LABOUR_Cost of labour for sowing_planting </v>
      </c>
      <c r="H13" s="24" t="s">
        <v>1609</v>
      </c>
    </row>
    <row r="14" spans="1:13" s="4" customFormat="1" ht="28.5">
      <c r="A14" s="33" t="s">
        <v>189</v>
      </c>
      <c r="B14" s="44" t="s">
        <v>172</v>
      </c>
      <c r="C14" s="35" t="s">
        <v>140</v>
      </c>
      <c r="D14" s="36" t="str">
        <f>IFERROR(VLOOKUP('General Information'!$D$6, Validations!$L$2:$M$8, 2,FALSE), "")</f>
        <v>€/ha</v>
      </c>
      <c r="E14" s="24" t="e">
        <f>'Parcel 1 without DATSs'!H198*'General Information'!I39/'Parcel 1 without DATSs'!E10</f>
        <v>#VALUE!</v>
      </c>
      <c r="F14" s="37" t="s">
        <v>367</v>
      </c>
      <c r="G14" s="39" t="str">
        <f t="shared" si="0"/>
        <v>cost revenue no dats_COST ANALYSIS_LABOUR_Cost of labour for pruning</v>
      </c>
      <c r="H14" s="24" t="s">
        <v>1610</v>
      </c>
    </row>
    <row r="15" spans="1:13" s="4" customFormat="1" ht="31.5">
      <c r="A15" s="33" t="s">
        <v>189</v>
      </c>
      <c r="B15" s="44" t="s">
        <v>173</v>
      </c>
      <c r="C15" s="35" t="s">
        <v>140</v>
      </c>
      <c r="D15" s="36" t="str">
        <f>IFERROR(VLOOKUP('General Information'!$D$6, Validations!$L$2:$M$8, 2,FALSE), "")</f>
        <v>€/ha</v>
      </c>
      <c r="E15" s="24" t="e">
        <f>'Parcel 1 without DATSs'!H199*'General Information'!I39/'Parcel 1 without DATSs'!E10</f>
        <v>#VALUE!</v>
      </c>
      <c r="F15" s="37" t="s">
        <v>362</v>
      </c>
      <c r="G15" s="39" t="str">
        <f t="shared" si="0"/>
        <v xml:space="preserve">cost revenue no dats_COST ANALYSIS_LABOUR_Cost of labour for field visits </v>
      </c>
      <c r="H15" s="24" t="s">
        <v>1611</v>
      </c>
    </row>
    <row r="16" spans="1:13" s="4" customFormat="1" ht="30">
      <c r="A16" s="33" t="s">
        <v>189</v>
      </c>
      <c r="B16" s="44" t="s">
        <v>285</v>
      </c>
      <c r="C16" s="35" t="s">
        <v>140</v>
      </c>
      <c r="D16" s="36" t="str">
        <f>IFERROR(VLOOKUP('General Information'!$D$6, Validations!$L$2:$M$8, 2,FALSE), "")</f>
        <v>€/ha</v>
      </c>
      <c r="E16" s="24" t="e">
        <f>'Parcel 1 without DATSs'!H200*'General Information'!I39/'Parcel 1 without DATSs'!E10</f>
        <v>#VALUE!</v>
      </c>
      <c r="F16" s="37" t="s">
        <v>368</v>
      </c>
      <c r="G16" s="39" t="str">
        <f t="shared" si="0"/>
        <v xml:space="preserve">cost revenue no dats_COST ANALYSIS_LABOUR_Cost of labour for greenhouse management </v>
      </c>
      <c r="H16" s="24" t="s">
        <v>1612</v>
      </c>
    </row>
    <row r="17" spans="1:8" s="4" customFormat="1" ht="31.5">
      <c r="A17" s="33" t="s">
        <v>189</v>
      </c>
      <c r="B17" s="44" t="s">
        <v>193</v>
      </c>
      <c r="C17" s="35" t="s">
        <v>140</v>
      </c>
      <c r="D17" s="36" t="str">
        <f>IFERROR(VLOOKUP('General Information'!$D$6, Validations!$L$2:$M$8, 2,FALSE), "")</f>
        <v>€/ha</v>
      </c>
      <c r="E17" s="24" t="e">
        <f>'Parcel 1 without DATSs'!H201*'General Information'!I39/'Parcel 1 without DATSs'!E10</f>
        <v>#VALUE!</v>
      </c>
      <c r="F17" s="37" t="s">
        <v>345</v>
      </c>
      <c r="G17" s="39" t="str">
        <f t="shared" si="0"/>
        <v xml:space="preserve">cost revenue no dats_COST ANALYSIS_LABOUR_Cost of labour for tracking the quantity of grain available in the silo </v>
      </c>
      <c r="H17" s="24" t="s">
        <v>1613</v>
      </c>
    </row>
    <row r="18" spans="1:8" s="4" customFormat="1" ht="30">
      <c r="A18" s="33" t="s">
        <v>189</v>
      </c>
      <c r="B18" s="44" t="s">
        <v>517</v>
      </c>
      <c r="C18" s="35" t="s">
        <v>140</v>
      </c>
      <c r="D18" s="36" t="str">
        <f>IFERROR(VLOOKUP('General Information'!$D$6, Validations!$L$2:$M$8, 2,FALSE), "")</f>
        <v>€/ha</v>
      </c>
      <c r="E18" s="24" t="e">
        <f>'Parcel 1 without DATSs'!H202*'General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18" s="37" t="s">
        <v>346</v>
      </c>
      <c r="G18" s="39" t="str">
        <f t="shared" si="0"/>
        <v>cost revenue no dats_COST ANALYSIS_LABOUR_Cost of labour for assessing product quality</v>
      </c>
      <c r="H18" s="24" t="s">
        <v>1614</v>
      </c>
    </row>
    <row r="19" spans="1:8" s="4" customFormat="1" ht="31.5">
      <c r="A19" s="33" t="s">
        <v>189</v>
      </c>
      <c r="B19" s="44" t="s">
        <v>194</v>
      </c>
      <c r="C19" s="35" t="s">
        <v>140</v>
      </c>
      <c r="D19" s="36" t="str">
        <f>IFERROR(VLOOKUP('General Information'!$D$6, Validations!$L$2:$M$8, 2,FALSE), "")</f>
        <v>€/ha</v>
      </c>
      <c r="E19" s="24" t="e">
        <f>'Parcel 1 without DATSs'!H203*'General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19" s="37" t="s">
        <v>347</v>
      </c>
      <c r="G19" s="39" t="str">
        <f t="shared" si="0"/>
        <v>cost revenue no dats_COST ANALYSIS_LABOUR_Cost of labour for controlling purchase and sale prices and quantities</v>
      </c>
      <c r="H19" s="24" t="s">
        <v>1615</v>
      </c>
    </row>
    <row r="20" spans="1:8" s="4" customFormat="1" ht="28.5">
      <c r="A20" s="33" t="s">
        <v>189</v>
      </c>
      <c r="B20" s="44" t="s">
        <v>275</v>
      </c>
      <c r="C20" s="35" t="s">
        <v>140</v>
      </c>
      <c r="D20" s="36" t="str">
        <f>IFERROR(VLOOKUP('General Information'!$D$6, Validations!$L$2:$M$8, 2,FALSE), "")</f>
        <v>€/ha</v>
      </c>
      <c r="E20" s="24" t="e">
        <f>'Parcel 1 without DATSs'!H204*'General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0" s="37" t="s">
        <v>348</v>
      </c>
      <c r="G20" s="39" t="str">
        <f t="shared" si="0"/>
        <v xml:space="preserve">cost revenue no dats_COST ANALYSIS_LABOUR_Cost of labour for organising logistics </v>
      </c>
      <c r="H20" s="24" t="s">
        <v>1616</v>
      </c>
    </row>
    <row r="21" spans="1:8" s="4" customFormat="1" ht="28.5">
      <c r="A21" s="33" t="s">
        <v>189</v>
      </c>
      <c r="B21" s="44" t="s">
        <v>196</v>
      </c>
      <c r="C21" s="35" t="s">
        <v>140</v>
      </c>
      <c r="D21" s="36" t="str">
        <f>IFERROR(VLOOKUP('General Information'!$D$6, Validations!$L$2:$M$8, 2,FALSE), "")</f>
        <v>€/ha</v>
      </c>
      <c r="E21" s="24" t="e">
        <f>'Parcel 1 without DATSs'!H205*'General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1" s="37" t="s">
        <v>369</v>
      </c>
      <c r="G21" s="39" t="str">
        <f t="shared" si="0"/>
        <v>cost revenue no dats_COST ANALYSIS_LABOUR_Cost of labour for cleaning</v>
      </c>
      <c r="H21" s="24" t="s">
        <v>1617</v>
      </c>
    </row>
    <row r="22" spans="1:8" s="4" customFormat="1" ht="28.5">
      <c r="A22" s="33" t="s">
        <v>189</v>
      </c>
      <c r="B22" s="44" t="s">
        <v>197</v>
      </c>
      <c r="C22" s="35" t="s">
        <v>140</v>
      </c>
      <c r="D22" s="36" t="str">
        <f>IFERROR(VLOOKUP('General Information'!$D$6, Validations!$L$2:$M$8, 2,FALSE), "")</f>
        <v>€/ha</v>
      </c>
      <c r="E22" s="24" t="e">
        <f>'Parcel 1 without DATSs'!H206*'General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2" s="37" t="s">
        <v>370</v>
      </c>
      <c r="G22" s="39" t="str">
        <f t="shared" si="0"/>
        <v xml:space="preserve">cost revenue no dats_COST ANALYSIS_LABOUR_Cost of labour for stable visits </v>
      </c>
      <c r="H22" s="24" t="s">
        <v>1618</v>
      </c>
    </row>
    <row r="23" spans="1:8" s="4" customFormat="1" ht="28.5">
      <c r="A23" s="33" t="s">
        <v>189</v>
      </c>
      <c r="B23" s="44" t="s">
        <v>198</v>
      </c>
      <c r="C23" s="35" t="s">
        <v>140</v>
      </c>
      <c r="D23" s="36" t="str">
        <f>IFERROR(VLOOKUP('General Information'!$D$6, Validations!$L$2:$M$8, 2,FALSE), "")</f>
        <v>€/ha</v>
      </c>
      <c r="E23" s="24" t="e">
        <f>'Parcel 1 without DATSs'!H207*'General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3" s="37" t="s">
        <v>371</v>
      </c>
      <c r="G23" s="39" t="str">
        <f t="shared" si="0"/>
        <v xml:space="preserve">cost revenue no dats_COST ANALYSIS_LABOUR_Cost of labour for heat detection </v>
      </c>
      <c r="H23" s="24" t="s">
        <v>1619</v>
      </c>
    </row>
    <row r="24" spans="1:8" s="4" customFormat="1" ht="28.5">
      <c r="A24" s="33" t="s">
        <v>189</v>
      </c>
      <c r="B24" s="44" t="s">
        <v>199</v>
      </c>
      <c r="C24" s="35" t="s">
        <v>140</v>
      </c>
      <c r="D24" s="36" t="str">
        <f>IFERROR(VLOOKUP('General Information'!$D$6, Validations!$L$2:$M$8, 2,FALSE), "")</f>
        <v>€/ha</v>
      </c>
      <c r="E24" s="24" t="e">
        <f>'Parcel 1 without DATSs'!H208*'General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4" s="37" t="s">
        <v>372</v>
      </c>
      <c r="G24" s="39" t="str">
        <f t="shared" si="0"/>
        <v xml:space="preserve">cost revenue no dats_COST ANALYSIS_LABOUR_Cost of labour for calving detection </v>
      </c>
      <c r="H24" s="24" t="s">
        <v>1620</v>
      </c>
    </row>
    <row r="25" spans="1:8" s="4" customFormat="1" ht="28.5">
      <c r="A25" s="33" t="s">
        <v>189</v>
      </c>
      <c r="B25" s="44" t="s">
        <v>200</v>
      </c>
      <c r="C25" s="35" t="s">
        <v>140</v>
      </c>
      <c r="D25" s="36" t="str">
        <f>IFERROR(VLOOKUP('General Information'!$D$6, Validations!$L$2:$M$8, 2,FALSE), "")</f>
        <v>€/ha</v>
      </c>
      <c r="E25" s="24" t="e">
        <f>'Parcel 1 without DATSs'!H209*'General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5" s="37" t="s">
        <v>373</v>
      </c>
      <c r="G25" s="39" t="str">
        <f t="shared" si="0"/>
        <v xml:space="preserve">cost revenue no dats_COST ANALYSIS_LABOUR_Cost of labour for pigsty management </v>
      </c>
      <c r="H25" s="24" t="s">
        <v>1621</v>
      </c>
    </row>
    <row r="26" spans="1:8" s="4" customFormat="1" ht="28.5">
      <c r="A26" s="33" t="s">
        <v>189</v>
      </c>
      <c r="B26" s="44" t="s">
        <v>413</v>
      </c>
      <c r="C26" s="35" t="s">
        <v>140</v>
      </c>
      <c r="D26" s="36" t="str">
        <f>IFERROR(VLOOKUP('General Information'!$D$6, Validations!$L$2:$M$8, 2,FALSE), "")</f>
        <v>€/ha</v>
      </c>
      <c r="E26" s="24" t="e">
        <f>'Parcel 1 without DATSs'!H210*'General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6" s="37" t="s">
        <v>414</v>
      </c>
      <c r="G26" s="39" t="str">
        <f t="shared" si="0"/>
        <v xml:space="preserve">cost revenue no dats_COST ANALYSIS_LABOUR_Cost of milking </v>
      </c>
      <c r="H26" s="24" t="s">
        <v>1622</v>
      </c>
    </row>
    <row r="27" spans="1:8" s="4" customFormat="1" ht="30">
      <c r="A27" s="33" t="s">
        <v>189</v>
      </c>
      <c r="B27" s="44" t="s">
        <v>201</v>
      </c>
      <c r="C27" s="35" t="s">
        <v>140</v>
      </c>
      <c r="D27" s="36" t="str">
        <f>IFERROR(VLOOKUP('General Information'!$D$6, Validations!$L$2:$M$8, 2,FALSE), "")</f>
        <v>€/ha</v>
      </c>
      <c r="E27" s="24" t="e">
        <f>'Parcel 1 without DATSs'!H211*'General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7" s="37" t="s">
        <v>374</v>
      </c>
      <c r="G27" s="39" t="str">
        <f t="shared" si="0"/>
        <v>cost revenue no dats_COST ANALYSIS_LABOUR_Cost of labour for (milk) quality assessment</v>
      </c>
      <c r="H27" s="24" t="s">
        <v>1623</v>
      </c>
    </row>
    <row r="28" spans="1:8" s="4" customFormat="1" ht="28.5">
      <c r="A28" s="33" t="s">
        <v>189</v>
      </c>
      <c r="B28" s="44" t="s">
        <v>202</v>
      </c>
      <c r="C28" s="35" t="s">
        <v>140</v>
      </c>
      <c r="D28" s="36" t="str">
        <f>IFERROR(VLOOKUP('General Information'!$D$6, Validations!$L$2:$M$8, 2,FALSE), "")</f>
        <v>€/ha</v>
      </c>
      <c r="E28" s="24" t="e">
        <f>'Parcel 1 without DATSs'!H212*'General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28" s="37" t="s">
        <v>375</v>
      </c>
      <c r="G28" s="39" t="str">
        <f t="shared" si="0"/>
        <v xml:space="preserve">cost revenue no dats_COST ANALYSIS_LABOUR_Cost of labour for feeding </v>
      </c>
      <c r="H28" s="24" t="s">
        <v>1624</v>
      </c>
    </row>
    <row r="29" spans="1:8" s="4" customFormat="1" ht="28.5">
      <c r="A29" s="33" t="s">
        <v>189</v>
      </c>
      <c r="B29" s="44" t="s">
        <v>203</v>
      </c>
      <c r="C29" s="35" t="s">
        <v>140</v>
      </c>
      <c r="D29" s="36" t="str">
        <f>IFERROR(VLOOKUP('General Information'!$D$6, Validations!$L$2:$M$8, 2,FALSE), "")</f>
        <v>€/ha</v>
      </c>
      <c r="E29" s="24" t="e">
        <f>'Parcel 1 without DATSs'!H213*'General Information'!I39/'Parcel 1 without DATSs'!E19</f>
        <v>#VALUE!</v>
      </c>
      <c r="F29" s="37" t="s">
        <v>376</v>
      </c>
      <c r="G29" s="39" t="str">
        <f t="shared" si="0"/>
        <v xml:space="preserve">cost revenue no dats_COST ANALYSIS_LABOUR_Cost of labour for beehives visits </v>
      </c>
      <c r="H29" s="24" t="s">
        <v>1625</v>
      </c>
    </row>
    <row r="30" spans="1:8" s="4" customFormat="1" ht="28.5">
      <c r="A30" s="33" t="s">
        <v>189</v>
      </c>
      <c r="B30" s="44" t="s">
        <v>204</v>
      </c>
      <c r="C30" s="35" t="s">
        <v>140</v>
      </c>
      <c r="D30" s="36" t="str">
        <f>IFERROR(VLOOKUP('General Information'!$D$6, Validations!$L$2:$M$8, 2,FALSE), "")</f>
        <v>€/ha</v>
      </c>
      <c r="E30" s="24" t="e">
        <f>'Parcel 1 without DATSs'!H214*'General Information'!I39/'Parcel 1 without DATSs'!H254</f>
        <v>#DIV/0!</v>
      </c>
      <c r="F30" s="37" t="s">
        <v>377</v>
      </c>
      <c r="G30" s="39" t="str">
        <f t="shared" si="0"/>
        <v xml:space="preserve">cost revenue no dats_COST ANALYSIS_LABOUR_Cost of labour for sampling of oysters </v>
      </c>
      <c r="H30" s="24" t="s">
        <v>1626</v>
      </c>
    </row>
    <row r="31" spans="1:8" s="4" customFormat="1" ht="30">
      <c r="A31" s="33" t="s">
        <v>189</v>
      </c>
      <c r="B31" s="44" t="s">
        <v>205</v>
      </c>
      <c r="C31" s="35" t="s">
        <v>140</v>
      </c>
      <c r="D31" s="36" t="str">
        <f>IFERROR(VLOOKUP('General Information'!$D$6, Validations!$L$2:$M$8, 2,FALSE), "")</f>
        <v>€/ha</v>
      </c>
      <c r="E31" s="24" t="e">
        <f>'Parcel 1 without DATSs'!H215*'General Information'!I39/'Parcel 1 without DATSs'!H254</f>
        <v>#DIV/0!</v>
      </c>
      <c r="F31" s="37" t="s">
        <v>378</v>
      </c>
      <c r="G31" s="39" t="str">
        <f t="shared" si="0"/>
        <v xml:space="preserve">cost revenue no dats_COST ANALYSIS_LABOUR_Cost of labour for transporting oysters to the laboratory  </v>
      </c>
      <c r="H31" s="24" t="s">
        <v>1627</v>
      </c>
    </row>
    <row r="32" spans="1:8" s="4" customFormat="1" ht="28.5">
      <c r="A32" s="33" t="s">
        <v>189</v>
      </c>
      <c r="B32" s="44" t="s">
        <v>417</v>
      </c>
      <c r="C32" s="35" t="s">
        <v>140</v>
      </c>
      <c r="D32" s="36" t="str">
        <f>IFERROR(VLOOKUP('General Information'!$D$6, Validations!$L$2:$M$8, 2,FALSE), "")</f>
        <v>€/ha</v>
      </c>
      <c r="E32" s="24" t="e">
        <f>'Parcel 1 without DATSs'!H216*'General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32" s="37" t="s">
        <v>379</v>
      </c>
      <c r="G32" s="39" t="str">
        <f t="shared" si="0"/>
        <v>cost revenue no dats_COST ANALYSIS_LABOUR_Cost of labour for harvesting</v>
      </c>
      <c r="H32" s="24" t="s">
        <v>1628</v>
      </c>
    </row>
    <row r="33" spans="1:13" s="4" customFormat="1" ht="28.5">
      <c r="A33" s="33" t="s">
        <v>189</v>
      </c>
      <c r="B33" s="44" t="s">
        <v>341</v>
      </c>
      <c r="C33" s="35" t="s">
        <v>140</v>
      </c>
      <c r="D33" s="36" t="str">
        <f>IFERROR(VLOOKUP('General Information'!$D$6, Validations!$L$2:$M$8, 2,FALSE), "")</f>
        <v>€/ha</v>
      </c>
      <c r="E33" s="24" t="e">
        <f>'Parcel 1 without DATSs'!H217*'General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33" s="37" t="s">
        <v>380</v>
      </c>
      <c r="G33" s="39" t="str">
        <f t="shared" si="0"/>
        <v xml:space="preserve">cost revenue no dats_COST ANALYSIS_LABOUR_Cost of labour for storage </v>
      </c>
      <c r="H33" s="24" t="s">
        <v>1629</v>
      </c>
    </row>
    <row r="34" spans="1:13" s="4" customFormat="1" ht="31.5">
      <c r="A34" s="33" t="s">
        <v>189</v>
      </c>
      <c r="B34" s="44" t="s">
        <v>591</v>
      </c>
      <c r="C34" s="35" t="s">
        <v>140</v>
      </c>
      <c r="D34" s="36" t="str">
        <f>IFERROR(VLOOKUP('General Information'!$D$6, Validations!$L$2:$M$8, 2,FALSE), "")</f>
        <v>€/ha</v>
      </c>
      <c r="E34" s="24" t="e">
        <f>'Parcel 1 without DATSs'!H218*'General Information'!I39/(IF('General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34" s="37" t="s">
        <v>382</v>
      </c>
      <c r="G34" s="39" t="str">
        <f t="shared" si="0"/>
        <v xml:space="preserve">cost revenue no dats_COST ANALYSIS_LABOUR_Cost of administrative activities, data collection, etc. </v>
      </c>
      <c r="H34" s="24" t="s">
        <v>1630</v>
      </c>
    </row>
    <row r="35" spans="1:13" s="4" customFormat="1" ht="31.5">
      <c r="A35" s="33" t="s">
        <v>498</v>
      </c>
      <c r="B35" s="45" t="s">
        <v>426</v>
      </c>
      <c r="C35" s="35" t="s">
        <v>140</v>
      </c>
      <c r="D35" s="36" t="str">
        <f>IFERROR(VLOOKUP('General Information'!$D$6, Validations!$L$2:$M$8, 2,FALSE), "")</f>
        <v>€/ha</v>
      </c>
      <c r="E35" s="24">
        <f>_xlfn.AGGREGATE(9,6,E3:E34)</f>
        <v>1371.47</v>
      </c>
      <c r="F35" s="37" t="s">
        <v>383</v>
      </c>
      <c r="G35" s="39" t="str">
        <f t="shared" si="0"/>
        <v xml:space="preserve">cost revenue no dats_COST ANALYSIS_COST_TOT Cost </v>
      </c>
      <c r="H35" s="24" t="s">
        <v>1631</v>
      </c>
    </row>
    <row r="36" spans="1:13" ht="28.5">
      <c r="A36" s="40" t="s">
        <v>291</v>
      </c>
      <c r="B36" s="41" t="s">
        <v>292</v>
      </c>
      <c r="C36" s="35" t="s">
        <v>140</v>
      </c>
      <c r="D36" s="36"/>
      <c r="E36" s="24">
        <v>0</v>
      </c>
      <c r="F36" s="37"/>
      <c r="G36" s="39" t="str">
        <f t="shared" si="0"/>
        <v>cost revenue no dats_COST ANALYSIS_DAT_Cost of DAT</v>
      </c>
      <c r="H36" s="24" t="s">
        <v>1632</v>
      </c>
      <c r="M36"/>
    </row>
    <row r="37" spans="1:13" ht="28.5">
      <c r="A37" s="40" t="s">
        <v>291</v>
      </c>
      <c r="B37" s="41" t="s">
        <v>349</v>
      </c>
      <c r="C37" s="35" t="s">
        <v>140</v>
      </c>
      <c r="D37" s="36"/>
      <c r="E37" s="24">
        <v>0</v>
      </c>
      <c r="F37" s="37"/>
      <c r="G37" s="39" t="str">
        <f t="shared" si="0"/>
        <v xml:space="preserve">cost revenue no dats_COST ANALYSIS_DAT_Cost of Training </v>
      </c>
      <c r="H37" s="24" t="s">
        <v>1633</v>
      </c>
      <c r="M37"/>
    </row>
    <row r="38" spans="1:13">
      <c r="A38" s="51"/>
      <c r="B38" s="3"/>
      <c r="C38" s="32"/>
      <c r="D38" s="1"/>
      <c r="E38" s="24"/>
      <c r="F38" s="31"/>
      <c r="G38" s="39"/>
      <c r="H38" s="24"/>
      <c r="M38"/>
    </row>
    <row r="39" spans="1:13" s="4" customFormat="1">
      <c r="A39" s="46" t="s">
        <v>179</v>
      </c>
      <c r="F39" s="31"/>
      <c r="G39" s="39"/>
      <c r="H39" s="24"/>
      <c r="M39" s="38"/>
    </row>
    <row r="40" spans="1:13" s="4" customFormat="1">
      <c r="A40" s="47" t="s">
        <v>353</v>
      </c>
      <c r="B40" s="47" t="s">
        <v>136</v>
      </c>
      <c r="C40" s="47" t="s">
        <v>137</v>
      </c>
      <c r="D40" s="47" t="s">
        <v>138</v>
      </c>
      <c r="E40" s="47" t="s">
        <v>191</v>
      </c>
      <c r="F40" s="47" t="s">
        <v>190</v>
      </c>
      <c r="G40" s="39"/>
      <c r="H40" s="24"/>
    </row>
    <row r="41" spans="1:13" ht="28.5">
      <c r="A41" s="40" t="s">
        <v>114</v>
      </c>
      <c r="B41" s="41" t="s">
        <v>592</v>
      </c>
      <c r="C41" s="42" t="s">
        <v>140</v>
      </c>
      <c r="D41" s="43" t="s">
        <v>141</v>
      </c>
      <c r="E41" s="24" t="e">
        <f>'Parcel 1 without DATSs'!H250/'Parcel 1 without DATSs'!E10*'General Information'!I41</f>
        <v>#VALUE!</v>
      </c>
      <c r="F41" s="37" t="s">
        <v>180</v>
      </c>
      <c r="G41" s="39" t="str">
        <f>CONCATENATE("cost revenue no dats","_",$A$39,"_",A41,"_",B41)</f>
        <v>cost revenue no dats_REVENUES ANALYSIS_OUTPUT_Crop revenue</v>
      </c>
      <c r="H41" s="24" t="s">
        <v>1637</v>
      </c>
      <c r="M41"/>
    </row>
    <row r="42" spans="1:13" ht="28.5">
      <c r="A42" s="40" t="s">
        <v>114</v>
      </c>
      <c r="B42" s="41" t="s">
        <v>593</v>
      </c>
      <c r="C42" s="42" t="s">
        <v>140</v>
      </c>
      <c r="D42" s="43" t="str">
        <f>IFERROR(VLOOKUP('General Information'!$D$6, Validations!$L$2:$M$8, 2,FALSE), "")</f>
        <v>€/ha</v>
      </c>
      <c r="E42" s="24" t="e">
        <f>('Parcel 1 without DATSs'!H251*'General Information'!I41/(IF('General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DATSs'!H256))))))))*1000</f>
        <v>#VALUE!</v>
      </c>
      <c r="F42" s="37" t="s">
        <v>216</v>
      </c>
      <c r="G42" s="39" t="str">
        <f t="shared" ref="G42:G47" si="1">CONCATENATE("cost revenue no dats","_",$A$39,"_",A42,"_",B42)</f>
        <v>cost revenue no dats_REVENUES ANALYSIS_OUTPUT_Milk revenue</v>
      </c>
      <c r="H42" s="24" t="s">
        <v>1638</v>
      </c>
      <c r="M42"/>
    </row>
    <row r="43" spans="1:13" ht="28.5">
      <c r="A43" s="40" t="s">
        <v>114</v>
      </c>
      <c r="B43" s="41" t="s">
        <v>594</v>
      </c>
      <c r="C43" s="42" t="s">
        <v>140</v>
      </c>
      <c r="D43" s="43" t="str">
        <f>IFERROR(VLOOKUP('General Information'!$D$6, Validations!$L$2:$M$8, 2,FALSE), "")</f>
        <v>€/ha</v>
      </c>
      <c r="E43" s="24" t="e">
        <f>('Parcel 1 without DATSs'!H252*'General Information'!I41/(IF('General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DATSs'!H256))))))))/10</f>
        <v>#VALUE!</v>
      </c>
      <c r="F43" s="37" t="s">
        <v>217</v>
      </c>
      <c r="G43" s="39" t="str">
        <f t="shared" si="1"/>
        <v>cost revenue no dats_REVENUES ANALYSIS_OUTPUT_Meat revenue</v>
      </c>
      <c r="H43" s="24" t="s">
        <v>1639</v>
      </c>
      <c r="M43"/>
    </row>
    <row r="44" spans="1:13" ht="28.5">
      <c r="A44" s="40" t="s">
        <v>114</v>
      </c>
      <c r="B44" s="41" t="s">
        <v>595</v>
      </c>
      <c r="C44" s="42" t="s">
        <v>140</v>
      </c>
      <c r="D44" s="43" t="s">
        <v>557</v>
      </c>
      <c r="E44" s="24" t="e">
        <f>'Parcel 1 without DATSs'!H254*'General Information'!I41/'Parcel 1 without DATSs'!E20</f>
        <v>#VALUE!</v>
      </c>
      <c r="F44" s="37" t="s">
        <v>218</v>
      </c>
      <c r="G44" s="39" t="str">
        <f t="shared" si="1"/>
        <v>cost revenue no dats_REVENUES ANALYSIS_OUTPUT_Oyster revenue</v>
      </c>
      <c r="H44" s="24" t="s">
        <v>1640</v>
      </c>
      <c r="M44"/>
    </row>
    <row r="45" spans="1:13" ht="28.5">
      <c r="A45" s="40" t="s">
        <v>114</v>
      </c>
      <c r="B45" s="41" t="s">
        <v>596</v>
      </c>
      <c r="C45" s="42" t="s">
        <v>140</v>
      </c>
      <c r="D45" s="43" t="s">
        <v>558</v>
      </c>
      <c r="E45" s="24" t="e">
        <f>'Parcel 1 without DATSs'!H255/'Parcel 1 without DATSs'!E19*'General Information'!I41</f>
        <v>#VALUE!</v>
      </c>
      <c r="F45" s="37" t="s">
        <v>219</v>
      </c>
      <c r="G45" s="39" t="str">
        <f t="shared" si="1"/>
        <v>cost revenue no dats_REVENUES ANALYSIS_OUTPUT_Honey revenue</v>
      </c>
      <c r="H45" s="24" t="s">
        <v>1641</v>
      </c>
      <c r="M45"/>
    </row>
    <row r="46" spans="1:13" ht="28.5">
      <c r="A46" s="40" t="s">
        <v>114</v>
      </c>
      <c r="B46" s="41" t="s">
        <v>597</v>
      </c>
      <c r="C46" s="42" t="s">
        <v>140</v>
      </c>
      <c r="D46" s="43" t="s">
        <v>457</v>
      </c>
      <c r="E46" s="24">
        <f>'Parcel 1 without DATSs'!H256*'General Information'!I41</f>
        <v>0</v>
      </c>
      <c r="F46" s="37"/>
      <c r="G46" s="39" t="str">
        <f t="shared" si="1"/>
        <v>cost revenue no dats_REVENUES ANALYSIS_OUTPUT_Grain (silos) revenue</v>
      </c>
      <c r="H46" s="24" t="s">
        <v>1642</v>
      </c>
      <c r="M46"/>
    </row>
    <row r="47" spans="1:13" ht="28.5">
      <c r="A47" s="40" t="s">
        <v>352</v>
      </c>
      <c r="B47" s="41" t="s">
        <v>276</v>
      </c>
      <c r="C47" s="42" t="s">
        <v>140</v>
      </c>
      <c r="D47" s="43" t="str">
        <f>IFERROR(VLOOKUP('General Information'!$D$6, Validations!$L$2:$M$8, 2,FALSE), "")</f>
        <v>€/ha</v>
      </c>
      <c r="E47" s="24">
        <f>'Parcel 1 without DATSs'!H225</f>
        <v>0</v>
      </c>
      <c r="F47" s="41" t="s">
        <v>276</v>
      </c>
      <c r="G47" s="39" t="str">
        <f t="shared" si="1"/>
        <v xml:space="preserve">cost revenue no dats_REVENUES ANALYSIS_ADDITIONAL REVENUES_Additional revenues </v>
      </c>
      <c r="H47" s="24" t="s">
        <v>1643</v>
      </c>
      <c r="M47"/>
    </row>
    <row r="48" spans="1:13">
      <c r="A48" s="51"/>
      <c r="B48" s="3"/>
      <c r="C48" s="52"/>
      <c r="D48" s="1"/>
      <c r="E48" s="24"/>
      <c r="F48" s="31"/>
      <c r="M48"/>
    </row>
    <row r="49" spans="1:13">
      <c r="A49" s="51"/>
      <c r="B49" s="3"/>
      <c r="C49" s="52"/>
      <c r="D49" s="51"/>
      <c r="E49" s="24"/>
      <c r="F49" s="31"/>
      <c r="M49"/>
    </row>
  </sheetData>
  <phoneticPr fontId="2" type="noConversion"/>
  <conditionalFormatting sqref="C2:C38 C40:C49">
    <cfRule type="containsText" dxfId="163" priority="112" operator="containsText" text="Without DATs">
      <formula>NOT(ISERROR(SEARCH("Without DATs",C2)))</formula>
    </cfRule>
  </conditionalFormatting>
  <conditionalFormatting sqref="C3:C38 C41:C49">
    <cfRule type="containsText" dxfId="162" priority="23" operator="containsText" text="With DATs">
      <formula>NOT(ISERROR(SEARCH("With DATs",C3)))</formula>
    </cfRule>
    <cfRule type="containsText" dxfId="161" priority="24" operator="containsText" text="With out DATs">
      <formula>NOT(ISERROR(SEARCH("With out DATs",C3)))</formula>
    </cfRule>
    <cfRule type="containsText" dxfId="160" priority="25" operator="containsText" text="TO-BE">
      <formula>NOT(ISERROR(SEARCH("TO-BE",C3)))</formula>
    </cfRule>
    <cfRule type="containsText" dxfId="159" priority="26" operator="containsText" text="AS-IS">
      <formula>NOT(ISERROR(SEARCH("AS-IS",C3)))</formula>
    </cfRule>
  </conditionalFormatting>
  <conditionalFormatting sqref="D1 D50:D1048576">
    <cfRule type="containsText" dxfId="158" priority="1" operator="containsText" text="Without DATs">
      <formula>NOT(ISERROR(SEARCH("Without DATs",D1)))</formula>
    </cfRule>
  </conditionalFormatting>
  <conditionalFormatting sqref="D39">
    <cfRule type="containsText" dxfId="157" priority="2" operator="containsText" text="Without DATs">
      <formula>NOT(ISERROR(SEARCH("Without DATs",D39)))</formula>
    </cfRule>
  </conditionalFormatting>
  <conditionalFormatting sqref="G50:G1048576">
    <cfRule type="cellIs" dxfId="156" priority="58" operator="lessThan">
      <formula>0</formula>
    </cfRule>
    <cfRule type="cellIs" dxfId="155" priority="59" operator="greaterThan">
      <formula>0</formula>
    </cfRule>
  </conditionalFormatting>
  <conditionalFormatting sqref="I9">
    <cfRule type="containsText" dxfId="154" priority="94" operator="containsText" text="Without DATs">
      <formula>NOT(ISERROR(SEARCH("Without DATs",I9)))</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8134-1FCE-9F4D-8F3E-A29C58584939}">
  <sheetPr codeName="Sheet7"/>
  <dimension ref="A1:M110"/>
  <sheetViews>
    <sheetView topLeftCell="A19" zoomScale="70" zoomScaleNormal="70" workbookViewId="0">
      <selection activeCell="E39" sqref="E39"/>
    </sheetView>
  </sheetViews>
  <sheetFormatPr defaultColWidth="11.25" defaultRowHeight="15.75"/>
  <cols>
    <col min="1" max="1" width="29.875" bestFit="1" customWidth="1"/>
    <col min="2" max="2" width="44.125" bestFit="1" customWidth="1"/>
    <col min="3" max="3" width="11.875" bestFit="1" customWidth="1"/>
    <col min="4" max="4" width="65" bestFit="1" customWidth="1"/>
    <col min="5" max="5" width="11.375" style="4" bestFit="1" customWidth="1"/>
    <col min="6" max="6" width="38.75" bestFit="1" customWidth="1"/>
    <col min="7" max="7" width="65.875" bestFit="1" customWidth="1"/>
    <col min="8" max="8" width="4" bestFit="1" customWidth="1"/>
    <col min="9" max="9" width="2.125" bestFit="1" customWidth="1"/>
    <col min="10" max="10" width="26.75" customWidth="1"/>
    <col min="11" max="11" width="20.75" customWidth="1"/>
    <col min="12" max="12" width="25.25" customWidth="1"/>
    <col min="13" max="13" width="25" style="21" customWidth="1"/>
    <col min="15" max="15" width="22.25" customWidth="1"/>
  </cols>
  <sheetData>
    <row r="1" spans="1:13" s="4" customFormat="1">
      <c r="A1" s="68" t="s">
        <v>332</v>
      </c>
      <c r="F1" s="31"/>
      <c r="M1" s="38"/>
    </row>
    <row r="2" spans="1:13" s="4" customFormat="1">
      <c r="A2" s="47"/>
      <c r="B2" s="47" t="s">
        <v>136</v>
      </c>
      <c r="C2" s="47" t="s">
        <v>137</v>
      </c>
      <c r="D2" s="47" t="s">
        <v>138</v>
      </c>
      <c r="E2" s="47" t="s">
        <v>191</v>
      </c>
      <c r="F2" s="47" t="s">
        <v>190</v>
      </c>
    </row>
    <row r="3" spans="1:13">
      <c r="A3" s="68" t="s">
        <v>277</v>
      </c>
      <c r="B3" s="41" t="s">
        <v>522</v>
      </c>
      <c r="C3" s="35" t="s">
        <v>155</v>
      </c>
      <c r="D3" s="43" t="s">
        <v>311</v>
      </c>
      <c r="E3" s="24">
        <f>'Parcel 1 with DATSs'!G250/'Parcel 1 with DATSs'!G10</f>
        <v>71.000000000000014</v>
      </c>
      <c r="F3" s="37" t="s">
        <v>390</v>
      </c>
      <c r="G3" t="str">
        <f>CONCATENATE("sust kpis dats","_",A3,"_",B3)</f>
        <v>sust kpis dats_PRODUCTIVITY _Yield</v>
      </c>
      <c r="H3" t="s">
        <v>1599</v>
      </c>
      <c r="M3"/>
    </row>
    <row r="4" spans="1:13">
      <c r="A4" s="68" t="s">
        <v>277</v>
      </c>
      <c r="B4" s="41" t="s">
        <v>394</v>
      </c>
      <c r="C4" s="35" t="s">
        <v>155</v>
      </c>
      <c r="D4" s="43" t="s">
        <v>310</v>
      </c>
      <c r="E4" s="24">
        <f>'Parcel 1 with DATSs'!G250/SUM('Parcel 1 with DATSs'!G194:G218)</f>
        <v>26.463636363636365</v>
      </c>
      <c r="F4" s="37" t="s">
        <v>303</v>
      </c>
      <c r="G4" t="str">
        <f t="shared" ref="G4:G67" si="0">CONCATENATE("sust kpis dats","_",A4,"_",B4)</f>
        <v>sust kpis dats_PRODUCTIVITY _Labour productivity (arable and horticulture)</v>
      </c>
      <c r="H4" t="s">
        <v>1600</v>
      </c>
      <c r="M4"/>
    </row>
    <row r="5" spans="1:13">
      <c r="A5" s="68" t="s">
        <v>277</v>
      </c>
      <c r="B5" s="41" t="s">
        <v>395</v>
      </c>
      <c r="C5" s="35" t="s">
        <v>155</v>
      </c>
      <c r="D5" s="43" t="s">
        <v>526</v>
      </c>
      <c r="E5" s="24">
        <f>'Parcel 1 with DATSs'!G251/SUM('Parcel 1 with DATSs'!G194:G218)</f>
        <v>0</v>
      </c>
      <c r="F5" s="37" t="s">
        <v>303</v>
      </c>
      <c r="G5" t="str">
        <f t="shared" si="0"/>
        <v>sust kpis dats_PRODUCTIVITY _Labour productivity (dairy livestock)</v>
      </c>
      <c r="H5" t="s">
        <v>1601</v>
      </c>
      <c r="M5"/>
    </row>
    <row r="6" spans="1:13">
      <c r="A6" s="68" t="s">
        <v>277</v>
      </c>
      <c r="B6" s="41" t="s">
        <v>396</v>
      </c>
      <c r="C6" s="35" t="s">
        <v>155</v>
      </c>
      <c r="D6" s="43" t="s">
        <v>525</v>
      </c>
      <c r="E6" s="24">
        <f>'Parcel 1 with DATSs'!G252/SUM('Parcel 1 with DATSs'!G194:G218)</f>
        <v>0</v>
      </c>
      <c r="F6" s="37" t="s">
        <v>303</v>
      </c>
      <c r="G6" t="str">
        <f t="shared" si="0"/>
        <v>sust kpis dats_PRODUCTIVITY _Labour productivity  (meat livestock)</v>
      </c>
      <c r="H6" t="s">
        <v>1602</v>
      </c>
      <c r="M6"/>
    </row>
    <row r="7" spans="1:13">
      <c r="A7" s="68" t="s">
        <v>277</v>
      </c>
      <c r="B7" s="41" t="s">
        <v>397</v>
      </c>
      <c r="C7" s="35" t="s">
        <v>155</v>
      </c>
      <c r="D7" s="43" t="s">
        <v>527</v>
      </c>
      <c r="E7" s="24">
        <f>'Parcel 1 with DATSs'!G254/SUM('Parcel 1 with DATSs'!G194:G218)</f>
        <v>0</v>
      </c>
      <c r="F7" s="37" t="s">
        <v>303</v>
      </c>
      <c r="G7" t="str">
        <f t="shared" si="0"/>
        <v>sust kpis dats_PRODUCTIVITY _Labour productivity  (aquaculture)</v>
      </c>
      <c r="H7" t="s">
        <v>1603</v>
      </c>
      <c r="M7"/>
    </row>
    <row r="8" spans="1:13">
      <c r="A8" s="68" t="s">
        <v>277</v>
      </c>
      <c r="B8" s="41" t="s">
        <v>398</v>
      </c>
      <c r="C8" s="35" t="s">
        <v>155</v>
      </c>
      <c r="D8" s="43" t="s">
        <v>528</v>
      </c>
      <c r="E8" s="24">
        <f>'Parcel 1 with DATSs'!G255/SUM('Parcel 1 with DATSs'!G194:G218)</f>
        <v>0</v>
      </c>
      <c r="F8" s="37" t="s">
        <v>303</v>
      </c>
      <c r="G8" t="str">
        <f t="shared" si="0"/>
        <v>sust kpis dats_PRODUCTIVITY _Labour productivity  (apiculture)</v>
      </c>
      <c r="H8" t="s">
        <v>1604</v>
      </c>
      <c r="M8"/>
    </row>
    <row r="9" spans="1:13">
      <c r="A9" s="68" t="s">
        <v>277</v>
      </c>
      <c r="B9" s="41" t="s">
        <v>598</v>
      </c>
      <c r="C9" s="35" t="s">
        <v>155</v>
      </c>
      <c r="D9" s="43" t="s">
        <v>599</v>
      </c>
      <c r="E9" s="24">
        <f>'Parcel 1 with DATSs'!G256/SUM('Parcel 1 with DATSs'!G194:G218)</f>
        <v>0</v>
      </c>
      <c r="F9" s="37"/>
      <c r="G9" t="str">
        <f t="shared" si="0"/>
        <v>sust kpis dats_PRODUCTIVITY _Labour productivity (silos)</v>
      </c>
      <c r="H9" t="s">
        <v>1605</v>
      </c>
      <c r="M9"/>
    </row>
    <row r="10" spans="1:13">
      <c r="A10" s="68" t="s">
        <v>277</v>
      </c>
      <c r="B10" s="41" t="s">
        <v>304</v>
      </c>
      <c r="C10" s="35" t="s">
        <v>155</v>
      </c>
      <c r="D10" s="43" t="s">
        <v>600</v>
      </c>
      <c r="E10" s="24" t="e">
        <f>'Parcel 1 with DATSs'!G251/'Parcel 1 with DATSs'!G17/365</f>
        <v>#DIV/0!</v>
      </c>
      <c r="F10" s="37" t="s">
        <v>305</v>
      </c>
      <c r="G10" t="str">
        <f t="shared" si="0"/>
        <v>sust kpis dats_PRODUCTIVITY _Milk productivity</v>
      </c>
      <c r="H10" t="s">
        <v>1606</v>
      </c>
      <c r="M10"/>
    </row>
    <row r="11" spans="1:13">
      <c r="A11" s="68" t="s">
        <v>277</v>
      </c>
      <c r="B11" s="41" t="s">
        <v>309</v>
      </c>
      <c r="C11" s="35" t="s">
        <v>155</v>
      </c>
      <c r="D11" s="43" t="s">
        <v>603</v>
      </c>
      <c r="E11" s="24" t="e">
        <f>'Parcel 1 with DATSs'!G252/'Parcel 1 with DATSs'!G17/365</f>
        <v>#DIV/0!</v>
      </c>
      <c r="F11" s="37" t="s">
        <v>388</v>
      </c>
      <c r="G11" t="str">
        <f t="shared" si="0"/>
        <v xml:space="preserve">sust kpis dats_PRODUCTIVITY _Meat productivity </v>
      </c>
      <c r="H11" t="s">
        <v>1607</v>
      </c>
      <c r="M11"/>
    </row>
    <row r="12" spans="1:13">
      <c r="A12" s="68" t="s">
        <v>277</v>
      </c>
      <c r="B12" s="41" t="s">
        <v>306</v>
      </c>
      <c r="C12" s="35" t="s">
        <v>155</v>
      </c>
      <c r="D12" s="43" t="s">
        <v>523</v>
      </c>
      <c r="E12" s="24" t="e">
        <f>'Parcel 1 with DATSs'!G255/'Parcel 1 with DATSs'!G19</f>
        <v>#DIV/0!</v>
      </c>
      <c r="F12" s="37" t="s">
        <v>387</v>
      </c>
      <c r="G12" t="str">
        <f t="shared" si="0"/>
        <v>sust kpis dats_PRODUCTIVITY _Bees productivity</v>
      </c>
      <c r="H12" t="s">
        <v>1608</v>
      </c>
      <c r="M12"/>
    </row>
    <row r="13" spans="1:13">
      <c r="A13" s="68" t="s">
        <v>277</v>
      </c>
      <c r="B13" s="41" t="s">
        <v>307</v>
      </c>
      <c r="C13" s="35" t="s">
        <v>155</v>
      </c>
      <c r="D13" s="43" t="s">
        <v>524</v>
      </c>
      <c r="E13" s="24" t="e">
        <f>'Parcel 1 with DATSs'!G254/'Parcel 1 with DATSs'!G20</f>
        <v>#DIV/0!</v>
      </c>
      <c r="F13" s="37" t="s">
        <v>308</v>
      </c>
      <c r="G13" t="str">
        <f t="shared" si="0"/>
        <v>sust kpis dats_PRODUCTIVITY _Oyster productivity</v>
      </c>
      <c r="H13" t="s">
        <v>1609</v>
      </c>
      <c r="M13"/>
    </row>
    <row r="14" spans="1:13">
      <c r="A14" s="51"/>
      <c r="B14" s="3"/>
      <c r="C14" s="52"/>
      <c r="D14" s="1"/>
      <c r="E14" s="24"/>
      <c r="M14"/>
    </row>
    <row r="15" spans="1:13" s="4" customFormat="1">
      <c r="A15" s="68" t="s">
        <v>333</v>
      </c>
      <c r="F15" s="31"/>
      <c r="G15"/>
      <c r="H15"/>
      <c r="M15" s="38"/>
    </row>
    <row r="16" spans="1:13" s="4" customFormat="1">
      <c r="A16" s="47"/>
      <c r="B16" s="47" t="s">
        <v>136</v>
      </c>
      <c r="C16" s="47" t="s">
        <v>137</v>
      </c>
      <c r="D16" s="47" t="s">
        <v>138</v>
      </c>
      <c r="E16" s="47" t="s">
        <v>191</v>
      </c>
      <c r="F16" s="47" t="s">
        <v>190</v>
      </c>
      <c r="G16"/>
      <c r="H16"/>
    </row>
    <row r="17" spans="1:13" ht="31.5">
      <c r="A17" s="33" t="s">
        <v>312</v>
      </c>
      <c r="B17" s="41" t="s">
        <v>313</v>
      </c>
      <c r="C17" s="35" t="s">
        <v>155</v>
      </c>
      <c r="D17" s="43" t="s">
        <v>105</v>
      </c>
      <c r="E17" s="24" t="e">
        <f>('Parcel 1 with DATSs'!G202/SUM('Parcel 1 with DATSs'!G201:G204))*100</f>
        <v>#DIV/0!</v>
      </c>
      <c r="F17" s="37" t="s">
        <v>314</v>
      </c>
      <c r="G17" t="str">
        <f t="shared" si="0"/>
        <v>sust kpis dats_EFFICIENCY _Rate of time for quality analysis</v>
      </c>
      <c r="H17" t="s">
        <v>1613</v>
      </c>
      <c r="M17"/>
    </row>
    <row r="18" spans="1:13" ht="31.5">
      <c r="A18" s="33" t="s">
        <v>312</v>
      </c>
      <c r="B18" s="41" t="s">
        <v>315</v>
      </c>
      <c r="C18" s="35" t="s">
        <v>155</v>
      </c>
      <c r="D18" s="43" t="s">
        <v>105</v>
      </c>
      <c r="E18" s="24" t="e">
        <f>('Parcel 1 with DATSs'!G222/'Parcel 1 with DATSs'!G223)*100</f>
        <v>#DIV/0!</v>
      </c>
      <c r="F18" s="37" t="s">
        <v>316</v>
      </c>
      <c r="G18" t="str">
        <f t="shared" si="0"/>
        <v>sust kpis dats_EFFICIENCY _Rate of on-time fulfilled orders</v>
      </c>
      <c r="H18" t="s">
        <v>1614</v>
      </c>
      <c r="M18"/>
    </row>
    <row r="19" spans="1:13">
      <c r="A19" s="33" t="s">
        <v>312</v>
      </c>
      <c r="B19" s="41" t="s">
        <v>317</v>
      </c>
      <c r="C19" s="35" t="s">
        <v>155</v>
      </c>
      <c r="D19" s="43" t="s">
        <v>111</v>
      </c>
      <c r="E19" s="24">
        <f>'Parcel 1 with DATSs'!G224</f>
        <v>0</v>
      </c>
      <c r="F19" s="37" t="s">
        <v>317</v>
      </c>
      <c r="G19" t="str">
        <f t="shared" si="0"/>
        <v>sust kpis dats_EFFICIENCY _Number of wrong orders</v>
      </c>
      <c r="H19" t="s">
        <v>1615</v>
      </c>
      <c r="M19"/>
    </row>
    <row r="20" spans="1:13">
      <c r="A20" s="51"/>
      <c r="B20" s="3"/>
      <c r="C20" s="52"/>
      <c r="D20" s="1"/>
      <c r="E20" s="31"/>
      <c r="M20"/>
    </row>
    <row r="21" spans="1:13" s="4" customFormat="1">
      <c r="A21" s="46" t="s">
        <v>318</v>
      </c>
      <c r="F21" s="31"/>
      <c r="G21"/>
      <c r="H21"/>
      <c r="M21" s="38"/>
    </row>
    <row r="22" spans="1:13" s="4" customFormat="1">
      <c r="A22" s="47" t="s">
        <v>163</v>
      </c>
      <c r="B22" s="47" t="s">
        <v>136</v>
      </c>
      <c r="C22" s="47" t="s">
        <v>137</v>
      </c>
      <c r="D22" s="47" t="s">
        <v>138</v>
      </c>
      <c r="E22" s="47" t="s">
        <v>191</v>
      </c>
      <c r="F22" s="47" t="s">
        <v>190</v>
      </c>
      <c r="G22"/>
      <c r="H22"/>
    </row>
    <row r="23" spans="1:13">
      <c r="A23" s="46" t="s">
        <v>318</v>
      </c>
      <c r="B23" s="41" t="s">
        <v>319</v>
      </c>
      <c r="C23" s="35" t="s">
        <v>155</v>
      </c>
      <c r="D23" s="43"/>
      <c r="E23" s="39"/>
      <c r="F23" s="37"/>
      <c r="G23" t="str">
        <f t="shared" si="0"/>
        <v xml:space="preserve">sust kpis dats_PRODUCT QUALITY  _Intrinsic product quality </v>
      </c>
      <c r="H23" t="s">
        <v>1619</v>
      </c>
      <c r="M23"/>
    </row>
    <row r="24" spans="1:13">
      <c r="A24" s="46" t="s">
        <v>318</v>
      </c>
      <c r="B24" s="41" t="s">
        <v>357</v>
      </c>
      <c r="C24" s="35" t="s">
        <v>155</v>
      </c>
      <c r="D24" s="43" t="s">
        <v>105</v>
      </c>
      <c r="E24" s="24">
        <f>'Parcel 1 with DATSs'!G226</f>
        <v>0</v>
      </c>
      <c r="F24" s="37"/>
      <c r="G24" t="str">
        <f t="shared" si="0"/>
        <v>sust kpis dats_PRODUCT QUALITY  _Protein % DRY MATTER</v>
      </c>
      <c r="H24" t="s">
        <v>1620</v>
      </c>
      <c r="M24"/>
    </row>
    <row r="25" spans="1:13">
      <c r="A25" s="46" t="s">
        <v>318</v>
      </c>
      <c r="B25" s="41" t="s">
        <v>358</v>
      </c>
      <c r="C25" s="35" t="s">
        <v>155</v>
      </c>
      <c r="D25" s="43" t="s">
        <v>105</v>
      </c>
      <c r="E25" s="24">
        <f>'Parcel 1 with DATSs'!G227</f>
        <v>0</v>
      </c>
      <c r="F25" s="37"/>
      <c r="G25" t="str">
        <f t="shared" si="0"/>
        <v>sust kpis dats_PRODUCT QUALITY  _Humidity</v>
      </c>
      <c r="H25" t="s">
        <v>1621</v>
      </c>
      <c r="M25"/>
    </row>
    <row r="26" spans="1:13">
      <c r="A26" s="46" t="s">
        <v>318</v>
      </c>
      <c r="B26" s="41" t="s">
        <v>359</v>
      </c>
      <c r="C26" s="35" t="s">
        <v>155</v>
      </c>
      <c r="D26" s="43" t="s">
        <v>360</v>
      </c>
      <c r="E26" s="24">
        <f>'Parcel 1 with DATSs'!G228</f>
        <v>0</v>
      </c>
      <c r="F26" s="37"/>
      <c r="G26" t="str">
        <f t="shared" si="0"/>
        <v xml:space="preserve">sust kpis dats_PRODUCT QUALITY  _Test Weight </v>
      </c>
      <c r="H26" t="s">
        <v>1622</v>
      </c>
      <c r="M26"/>
    </row>
    <row r="27" spans="1:13">
      <c r="A27" s="51"/>
      <c r="B27" s="3"/>
      <c r="C27" s="52"/>
      <c r="D27" s="1"/>
      <c r="E27" s="31"/>
      <c r="M27"/>
    </row>
    <row r="28" spans="1:13" s="24" customFormat="1" ht="16.5" thickBot="1">
      <c r="A28" s="49" t="s">
        <v>334</v>
      </c>
      <c r="G28"/>
      <c r="H28"/>
      <c r="M28" s="48"/>
    </row>
    <row r="29" spans="1:13" s="24" customFormat="1">
      <c r="A29" s="47" t="s">
        <v>221</v>
      </c>
      <c r="B29" s="47" t="s">
        <v>143</v>
      </c>
      <c r="C29" s="47" t="s">
        <v>137</v>
      </c>
      <c r="D29" s="47" t="s">
        <v>138</v>
      </c>
      <c r="E29" s="47" t="s">
        <v>191</v>
      </c>
      <c r="F29" s="47" t="s">
        <v>144</v>
      </c>
      <c r="G29"/>
      <c r="H29"/>
      <c r="I29" s="50"/>
      <c r="J29" s="50"/>
      <c r="K29" s="50"/>
      <c r="L29" s="50"/>
      <c r="M29" s="50"/>
    </row>
    <row r="30" spans="1:13">
      <c r="A30" s="33" t="s">
        <v>176</v>
      </c>
      <c r="B30" s="41" t="s">
        <v>17</v>
      </c>
      <c r="C30" s="35" t="s">
        <v>155</v>
      </c>
      <c r="D30" s="43" t="s">
        <v>145</v>
      </c>
      <c r="E30" s="24">
        <f>('Parcel 1 with DATSs'!G101*'Parcel 1 with DATSs'!G102*('Parcel 1 with DATSs'!G103/100))+
('Parcel 1 with DATSs'!G108*'Parcel 1 with DATSs'!G109*('Parcel 1 with DATSs'!G110/100))+
('Parcel 1 with DATSs'!G115*'Parcel 1 with DATSs'!G116*('Parcel 1 with DATSs'!G117/100))+
('Parcel 1 with DATSs'!G122*'Parcel 1 with DATSs'!G123*('Parcel 1 with DATSs'!G124/100))+
('Parcel 1 with DATSs'!G129*'Parcel 1 with DATSs'!G130*('Parcel 1 with DATSs'!G131/100))+
('Parcel 1 with DATSs'!G136*'Parcel 1 with DATSs'!G137*('Parcel 1 with DATSs'!G138/100))+
('Parcel 1 with DATSs'!G143*'Parcel 1 with DATSs'!G144*('Parcel 1 with DATSs'!G145/100))+
('Parcel 1 with DATSs'!G150*'Parcel 1 with DATSs'!G151*('Parcel 1 with DATSs'!G152/100))+
('Parcel 1 with DATSs'!G157*'Parcel 1 with DATSs'!G158*('Parcel 1 with DATSs'!G159/100))+
('Parcel 1 with DATSs'!G164*'Parcel 1 with DATSs'!G165*('Parcel 1 with DATSs'!G166/100))</f>
        <v>522.41200000000003</v>
      </c>
      <c r="F30" s="37" t="s">
        <v>182</v>
      </c>
      <c r="G30" t="str">
        <f t="shared" si="0"/>
        <v>sust kpis dats_FERTILISER_Nitrogen applied</v>
      </c>
      <c r="H30" t="s">
        <v>1626</v>
      </c>
      <c r="M30"/>
    </row>
    <row r="31" spans="1:13" ht="31.5">
      <c r="A31" s="33" t="s">
        <v>176</v>
      </c>
      <c r="B31" s="41" t="s">
        <v>18</v>
      </c>
      <c r="C31" s="35" t="s">
        <v>155</v>
      </c>
      <c r="D31" s="43" t="s">
        <v>105</v>
      </c>
      <c r="E31" s="24">
        <f>((('Parcel 1 with DATSs'!G250*1000/'Parcel 1 with DATSs'!G10)*C100)/(E30)*100)</f>
        <v>40.772417172653</v>
      </c>
      <c r="F31" s="37" t="s">
        <v>529</v>
      </c>
      <c r="G31" t="str">
        <f t="shared" si="0"/>
        <v>sust kpis dats_FERTILISER_Nitrogen use efficiency</v>
      </c>
      <c r="H31" t="s">
        <v>1627</v>
      </c>
      <c r="M31"/>
    </row>
    <row r="32" spans="1:13">
      <c r="A32" s="33" t="s">
        <v>176</v>
      </c>
      <c r="B32" s="41" t="s">
        <v>19</v>
      </c>
      <c r="C32" s="35" t="s">
        <v>155</v>
      </c>
      <c r="D32" s="43" t="s">
        <v>145</v>
      </c>
      <c r="E32" s="24">
        <f>('Parcel 1 with DATSs'!G101*'Parcel 1 with DATSs'!G102*('Parcel 1 with DATSs'!G104/100))+
('Parcel 1 with DATSs'!G108*'Parcel 1 with DATSs'!G109*('Parcel 1 with DATSs'!G111/100))+
('Parcel 1 with DATSs'!G115*'Parcel 1 with DATSs'!G116*('Parcel 1 with DATSs'!G118/100))+
('Parcel 1 with DATSs'!G122*'Parcel 1 with DATSs'!G123*('Parcel 1 with DATSs'!G125/100))+
('Parcel 1 with DATSs'!G129*'Parcel 1 with DATSs'!G130*('Parcel 1 with DATSs'!G132/100))+
('Parcel 1 with DATSs'!G136*'Parcel 1 with DATSs'!G137*('Parcel 1 with DATSs'!G139/100))+
('Parcel 1 with DATSs'!G143*'Parcel 1 with DATSs'!G144*('Parcel 1 with DATSs'!G146/100))+
('Parcel 1 with DATSs'!G150*'Parcel 1 with DATSs'!G151*('Parcel 1 with DATSs'!G153/100))+
('Parcel 1 with DATSs'!G157*'Parcel 1 with DATSs'!G158*('Parcel 1 with DATSs'!G160/100))+
('Parcel 1 with DATSs'!G164*'Parcel 1 with DATSs'!G165*('Parcel 1 with DATSs'!G167/100))</f>
        <v>39.97</v>
      </c>
      <c r="F32" s="37" t="s">
        <v>183</v>
      </c>
      <c r="G32" t="str">
        <f t="shared" si="0"/>
        <v>sust kpis dats_FERTILISER_Phosphorus applied</v>
      </c>
      <c r="H32" t="s">
        <v>1628</v>
      </c>
      <c r="M32"/>
    </row>
    <row r="33" spans="1:13" ht="31.5">
      <c r="A33" s="33" t="s">
        <v>176</v>
      </c>
      <c r="B33" s="41" t="s">
        <v>20</v>
      </c>
      <c r="C33" s="35" t="s">
        <v>155</v>
      </c>
      <c r="D33" s="43" t="s">
        <v>105</v>
      </c>
      <c r="E33" s="24">
        <f>((('Parcel 1 with DATSs'!G250*1000/'Parcel 1 with DATSs'!G10)*C101)/E32*100)</f>
        <v>213.15986990242681</v>
      </c>
      <c r="F33" s="37" t="s">
        <v>530</v>
      </c>
      <c r="G33" t="str">
        <f t="shared" si="0"/>
        <v>sust kpis dats_FERTILISER_Phosphorus use efficiency</v>
      </c>
      <c r="H33" t="s">
        <v>1629</v>
      </c>
      <c r="M33"/>
    </row>
    <row r="34" spans="1:13">
      <c r="A34" s="33" t="s">
        <v>176</v>
      </c>
      <c r="B34" s="41" t="s">
        <v>281</v>
      </c>
      <c r="C34" s="153" t="s">
        <v>155</v>
      </c>
      <c r="D34" s="43" t="s">
        <v>105</v>
      </c>
      <c r="E34" s="154">
        <f>('Parcel 1 with DATSs'!G101*'Parcel 1 with DATSs'!G102*('Parcel 1 with DATSs'!G105/100))+
('Parcel 1 with DATSs'!G108*'Parcel 1 with DATSs'!G109*('Parcel 1 with DATSs'!G112/100))+
('Parcel 1 with DATSs'!G115*'Parcel 1 with DATSs'!G116*('Parcel 1 with DATSs'!G119/100))+
('Parcel 1 with DATSs'!G122*'Parcel 1 with DATSs'!G123*('Parcel 1 with DATSs'!G126/100))+
('Parcel 1 with DATSs'!G129*'Parcel 1 with DATSs'!G130*('Parcel 1 with DATSs'!G133/100))+
('Parcel 1 with DATSs'!G136*'Parcel 1 with DATSs'!G137*('Parcel 1 with DATSs'!G140/100))+
('Parcel 1 with DATSs'!G143*'Parcel 1 with DATSs'!G144*('Parcel 1 with DATSs'!G147/100))+
('Parcel 1 with DATSs'!G150*'Parcel 1 with DATSs'!G151*('Parcel 1 with DATSs'!G154/100))+
('Parcel 1 with DATSs'!G157*'Parcel 1 with DATSs'!G158*('Parcel 1 with DATSs'!G161/100))+
('Parcel 1 with DATSs'!G164*'Parcel 1 with DATSs'!G165*('Parcel 1 with DATSs'!G168/100))</f>
        <v>198.05199999999999</v>
      </c>
      <c r="F34" s="37" t="s">
        <v>283</v>
      </c>
      <c r="G34" t="str">
        <f t="shared" si="0"/>
        <v>sust kpis dats_FERTILISER_ Potassium applied</v>
      </c>
      <c r="H34" t="s">
        <v>1630</v>
      </c>
      <c r="M34"/>
    </row>
    <row r="35" spans="1:13" ht="31.5">
      <c r="A35" s="33" t="s">
        <v>176</v>
      </c>
      <c r="B35" s="41" t="s">
        <v>282</v>
      </c>
      <c r="C35" s="153" t="s">
        <v>155</v>
      </c>
      <c r="D35" s="43" t="s">
        <v>105</v>
      </c>
      <c r="E35" s="154">
        <f>(((('Parcel 1 with DATSs'!G250*1000)/'Parcel 1 with DATSs'!G10)*'sust. impact KPIs DATS'!C102)/E34*100)</f>
        <v>143.39668369923052</v>
      </c>
      <c r="F35" s="37" t="s">
        <v>531</v>
      </c>
      <c r="G35" t="str">
        <f t="shared" si="0"/>
        <v>sust kpis dats_FERTILISER_Potassium use efficiency</v>
      </c>
      <c r="H35" t="s">
        <v>1631</v>
      </c>
      <c r="M35"/>
    </row>
    <row r="36" spans="1:13" ht="31.5">
      <c r="A36" s="33" t="s">
        <v>174</v>
      </c>
      <c r="B36" s="41" t="s">
        <v>294</v>
      </c>
      <c r="C36" s="35" t="s">
        <v>155</v>
      </c>
      <c r="D36" s="43" t="s">
        <v>145</v>
      </c>
      <c r="E36" s="24">
        <f>('Parcel 1 with DATSs'!G67*'Parcel 1 with DATSs'!G68)+
('Parcel 1 with DATSs'!G70*'Parcel 1 with DATSs'!G71)+
('Parcel 1 with DATSs'!G73*'Parcel 1 with DATSs'!G74)+
('Parcel 1 with DATSs'!G76*'Parcel 1 with DATSs'!G77)+
('Parcel 1 with DATSs'!G79*'Parcel 1 with DATSs'!G80)+
('Parcel 1 with DATSs'!G82*'Parcel 1 with DATSs'!G83)+
('Parcel 1 with DATSs'!G85*'Parcel 1 with DATSs'!G86)+
('Parcel 1 with DATSs'!G88*'Parcel 1 with DATSs'!G89)+
('Parcel 1 with DATSs'!G91*'Parcel 1 with DATSs'!G92)+
('Parcel 1 with DATSs'!G94*'Parcel 1 with DATSs'!G95)</f>
        <v>0</v>
      </c>
      <c r="F36" s="37" t="s">
        <v>295</v>
      </c>
      <c r="G36" t="str">
        <f t="shared" si="0"/>
        <v>sust kpis dats_PESTICIDE _pesticides, herbicides and fungicides use</v>
      </c>
      <c r="H36" t="s">
        <v>1632</v>
      </c>
      <c r="M36"/>
    </row>
    <row r="37" spans="1:13">
      <c r="A37" s="33" t="s">
        <v>0</v>
      </c>
      <c r="B37" s="41" t="s">
        <v>764</v>
      </c>
      <c r="C37" s="35" t="s">
        <v>155</v>
      </c>
      <c r="D37" s="43" t="str">
        <f>IFERROR(VLOOKUP('General Information'!$D$6, Validations!$J$2:$K$8, 2,FALSE), "")</f>
        <v>m3/ha</v>
      </c>
      <c r="E37" s="24">
        <f>'Parcel 1 with DATSs'!G29/(IF('General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318.53658536585368</v>
      </c>
      <c r="F37" s="37" t="s">
        <v>185</v>
      </c>
      <c r="G37" t="str">
        <f t="shared" si="0"/>
        <v xml:space="preserve">sust kpis dats_WATER _Water consumption </v>
      </c>
      <c r="H37" t="s">
        <v>1633</v>
      </c>
      <c r="M37"/>
    </row>
    <row r="38" spans="1:13">
      <c r="A38" s="33" t="s">
        <v>0</v>
      </c>
      <c r="B38" s="41" t="s">
        <v>392</v>
      </c>
      <c r="C38" s="35" t="s">
        <v>155</v>
      </c>
      <c r="D38" s="43" t="s">
        <v>393</v>
      </c>
      <c r="E38" s="24"/>
      <c r="F38" s="37" t="s">
        <v>280</v>
      </c>
      <c r="G38" t="str">
        <f t="shared" si="0"/>
        <v xml:space="preserve">sust kpis dats_WATER _Aquaculture water productivity </v>
      </c>
      <c r="H38" t="s">
        <v>1634</v>
      </c>
      <c r="M38"/>
    </row>
    <row r="39" spans="1:13">
      <c r="A39" s="33" t="s">
        <v>0</v>
      </c>
      <c r="B39" s="41" t="s">
        <v>21</v>
      </c>
      <c r="C39" s="35" t="s">
        <v>155</v>
      </c>
      <c r="D39" s="43" t="s">
        <v>422</v>
      </c>
      <c r="E39" s="24">
        <f>(('Parcel 1 with DATSs'!G250)*1000)/(IF(('Parcel 1 with DATSs'!G24+'Parcel 1 with DATSs'!G25)&gt;0,('Parcel 1 with DATSs'!G24+'Parcel 1 with DATSs'!G25),'Parcel 1 with DATSs'!G29))</f>
        <v>222.89433384379785</v>
      </c>
      <c r="F39" s="37" t="s">
        <v>186</v>
      </c>
      <c r="G39" t="str">
        <f t="shared" si="0"/>
        <v>sust kpis dats_WATER _Irrigation water productivity</v>
      </c>
      <c r="H39" t="s">
        <v>1635</v>
      </c>
      <c r="M39"/>
    </row>
    <row r="40" spans="1:13" ht="31.5">
      <c r="A40" s="33" t="s">
        <v>165</v>
      </c>
      <c r="B40" s="41" t="s">
        <v>22</v>
      </c>
      <c r="C40" s="35" t="s">
        <v>155</v>
      </c>
      <c r="D40" s="43" t="str">
        <f>IFERROR(VLOOKUP('General Information'!$D$6, Validations!$W$2:$X$8, 2,FALSE), "")</f>
        <v>kWh/ha</v>
      </c>
      <c r="E40" s="24">
        <f>'Parcel 1 with DATSs'!G62/(IF('General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17.073170731707318</v>
      </c>
      <c r="F40" s="37" t="s">
        <v>401</v>
      </c>
      <c r="G40" t="str">
        <f t="shared" si="0"/>
        <v>sust kpis dats_ELECTRICITY_Electricity consumption</v>
      </c>
      <c r="H40" t="s">
        <v>1636</v>
      </c>
      <c r="M40"/>
    </row>
    <row r="41" spans="1:13" s="22" customFormat="1" ht="31.5">
      <c r="A41" s="33" t="s">
        <v>339</v>
      </c>
      <c r="B41" s="41" t="s">
        <v>35</v>
      </c>
      <c r="C41" s="35" t="s">
        <v>155</v>
      </c>
      <c r="D41" s="43" t="s">
        <v>159</v>
      </c>
      <c r="E41" s="24" t="e">
        <f>'Parcel 1 with DATSs'!G235/'Parcel 1 with DATSs'!G236</f>
        <v>#DIV/0!</v>
      </c>
      <c r="F41" s="37" t="s">
        <v>127</v>
      </c>
      <c r="G41" t="str">
        <f t="shared" si="0"/>
        <v xml:space="preserve">sust kpis dats_ANIMAL _Ease of movement </v>
      </c>
      <c r="H41" t="s">
        <v>1637</v>
      </c>
      <c r="J41" s="31"/>
      <c r="K41" s="3"/>
      <c r="M41" s="3"/>
    </row>
    <row r="42" spans="1:13" s="22" customFormat="1" ht="31.5">
      <c r="A42" s="33" t="s">
        <v>339</v>
      </c>
      <c r="B42" s="41" t="s">
        <v>402</v>
      </c>
      <c r="C42" s="35" t="s">
        <v>155</v>
      </c>
      <c r="D42" s="43" t="s">
        <v>105</v>
      </c>
      <c r="E42" s="24" t="e">
        <f>'Parcel 1 with DATSs'!G232/'Parcel 1 with DATSs'!G17*100</f>
        <v>#DIV/0!</v>
      </c>
      <c r="F42" s="37" t="s">
        <v>160</v>
      </c>
      <c r="G42" t="str">
        <f t="shared" si="0"/>
        <v>sust kpis dats_ANIMAL _Mortality rate (livestock)</v>
      </c>
      <c r="H42" t="s">
        <v>1638</v>
      </c>
      <c r="J42" s="31"/>
      <c r="K42" s="3"/>
      <c r="M42" s="3"/>
    </row>
    <row r="43" spans="1:13" s="22" customFormat="1" ht="17.25">
      <c r="A43" s="33" t="s">
        <v>339</v>
      </c>
      <c r="B43" s="41" t="s">
        <v>403</v>
      </c>
      <c r="C43" s="35" t="s">
        <v>155</v>
      </c>
      <c r="D43" s="43" t="s">
        <v>555</v>
      </c>
      <c r="E43" s="24" t="e">
        <f>'Parcel 1 with DATSs'!G232/'Parcel 1 with DATSs'!G20</f>
        <v>#DIV/0!</v>
      </c>
      <c r="F43" s="37" t="s">
        <v>405</v>
      </c>
      <c r="G43" t="str">
        <f t="shared" si="0"/>
        <v>sust kpis dats_ANIMAL _Mortality rate (aquaculture)</v>
      </c>
      <c r="H43" t="s">
        <v>1639</v>
      </c>
      <c r="J43" s="31"/>
      <c r="K43" s="3"/>
      <c r="M43" s="3"/>
    </row>
    <row r="44" spans="1:13" s="22" customFormat="1">
      <c r="A44" s="33" t="s">
        <v>339</v>
      </c>
      <c r="B44" s="41" t="s">
        <v>404</v>
      </c>
      <c r="C44" s="35" t="s">
        <v>155</v>
      </c>
      <c r="D44" s="43" t="s">
        <v>105</v>
      </c>
      <c r="E44" s="24" t="e">
        <f>'Parcel 1 with DATSs'!G232/'Parcel 1 with DATSs'!G19*100</f>
        <v>#DIV/0!</v>
      </c>
      <c r="F44" s="37" t="s">
        <v>405</v>
      </c>
      <c r="G44" t="str">
        <f t="shared" si="0"/>
        <v>sust kpis dats_ANIMAL _Mortality rate (apiculture)</v>
      </c>
      <c r="H44" t="s">
        <v>1640</v>
      </c>
      <c r="J44" s="31"/>
      <c r="K44" s="3"/>
      <c r="M44" s="3"/>
    </row>
    <row r="45" spans="1:13" s="22" customFormat="1" ht="31.5">
      <c r="A45" s="33" t="s">
        <v>339</v>
      </c>
      <c r="B45" s="41" t="s">
        <v>36</v>
      </c>
      <c r="C45" s="35" t="s">
        <v>155</v>
      </c>
      <c r="D45" s="43" t="s">
        <v>105</v>
      </c>
      <c r="E45" s="24" t="e">
        <f>'Parcel 1 with DATSs'!G233/'Parcel 1 with DATSs'!G234</f>
        <v>#DIV/0!</v>
      </c>
      <c r="F45" s="37" t="s">
        <v>161</v>
      </c>
      <c r="G45" t="str">
        <f t="shared" si="0"/>
        <v>sust kpis dats_ANIMAL _Mortality rate at birth</v>
      </c>
      <c r="H45" t="s">
        <v>1641</v>
      </c>
      <c r="J45" s="31"/>
      <c r="K45" s="3"/>
      <c r="M45" s="3"/>
    </row>
    <row r="46" spans="1:13" s="22" customFormat="1" ht="31.5">
      <c r="A46" s="33" t="s">
        <v>339</v>
      </c>
      <c r="B46" s="41" t="s">
        <v>320</v>
      </c>
      <c r="C46" s="67" t="s">
        <v>155</v>
      </c>
      <c r="D46" s="43" t="s">
        <v>105</v>
      </c>
      <c r="E46" s="24" t="e">
        <f>'Parcel 1 with DATSs'!G237/'Parcel 1 with DATSs'!G17</f>
        <v>#DIV/0!</v>
      </c>
      <c r="F46" s="37" t="s">
        <v>321</v>
      </c>
      <c r="G46" t="str">
        <f t="shared" si="0"/>
        <v>sust kpis dats_ANIMAL _Cows with high SCC</v>
      </c>
      <c r="H46" t="s">
        <v>1642</v>
      </c>
      <c r="J46" s="31"/>
      <c r="K46" s="3"/>
      <c r="M46" s="3"/>
    </row>
    <row r="47" spans="1:13" s="22" customFormat="1">
      <c r="A47" s="33" t="s">
        <v>12</v>
      </c>
      <c r="B47" s="41" t="s">
        <v>278</v>
      </c>
      <c r="C47" s="35" t="s">
        <v>155</v>
      </c>
      <c r="D47" s="43">
        <f>IFERROR(VLOOKUP('General Information'!$D$6, Validations!$AA$2:$AB$8, 2,FALSE), "")</f>
        <v>0</v>
      </c>
      <c r="E47" s="24">
        <f>('Parcel 1 with DATSs'!G186+'Parcel 1 with DATSs'!G188+'Parcel 1 with DATSs'!G190)/(IF('General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7" s="37" t="s">
        <v>271</v>
      </c>
      <c r="G47" t="str">
        <f t="shared" si="0"/>
        <v xml:space="preserve">sust kpis dats_DRUGS _Drugs use in dairy livestock </v>
      </c>
      <c r="H47" t="s">
        <v>1643</v>
      </c>
      <c r="J47" s="31"/>
      <c r="K47" s="3"/>
      <c r="M47" s="3"/>
    </row>
    <row r="48" spans="1:13" s="22" customFormat="1">
      <c r="A48" s="33" t="s">
        <v>12</v>
      </c>
      <c r="B48" s="41" t="s">
        <v>279</v>
      </c>
      <c r="C48" s="35" t="s">
        <v>155</v>
      </c>
      <c r="D48" s="43">
        <f>IFERROR(VLOOKUP('General Information'!$D$6, Validations!$AA$2:$AB$8, 2,FALSE), "")</f>
        <v>0</v>
      </c>
      <c r="E48" s="24">
        <f>('Parcel 1 with DATSs'!G186+'Parcel 1 with DATSs'!G188+'Parcel 1 with DATSs'!G190)/(IF('General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8" s="37" t="s">
        <v>271</v>
      </c>
      <c r="G48" t="str">
        <f t="shared" si="0"/>
        <v xml:space="preserve">sust kpis dats_DRUGS _Drugs use in meat livestock   </v>
      </c>
      <c r="H48" t="s">
        <v>1644</v>
      </c>
      <c r="J48" s="31"/>
      <c r="K48" s="3"/>
      <c r="M48" s="3"/>
    </row>
    <row r="49" spans="1:13" s="22" customFormat="1">
      <c r="A49" s="33" t="s">
        <v>12</v>
      </c>
      <c r="B49" s="41" t="s">
        <v>270</v>
      </c>
      <c r="C49" s="35" t="s">
        <v>155</v>
      </c>
      <c r="D49" s="43" t="s">
        <v>556</v>
      </c>
      <c r="E49" s="24" t="e">
        <f>('Parcel 1 with DATSs'!G187+'Parcel 1 with DATSs'!G189+'Parcel 1 with DATSs'!#REF!)/'Parcel 1 with DATSs'!G20</f>
        <v>#REF!</v>
      </c>
      <c r="F49" s="37" t="s">
        <v>271</v>
      </c>
      <c r="G49" t="str">
        <f t="shared" si="0"/>
        <v xml:space="preserve">sust kpis dats_DRUGS _Drugs use in aquaculture </v>
      </c>
      <c r="H49" t="s">
        <v>1645</v>
      </c>
      <c r="J49" s="31"/>
      <c r="K49" s="3"/>
      <c r="M49" s="3"/>
    </row>
    <row r="50" spans="1:13" s="22" customFormat="1">
      <c r="A50" s="33" t="s">
        <v>12</v>
      </c>
      <c r="B50" s="41" t="s">
        <v>269</v>
      </c>
      <c r="C50" s="35" t="s">
        <v>155</v>
      </c>
      <c r="D50" s="43" t="s">
        <v>481</v>
      </c>
      <c r="E50" s="24" t="e">
        <f>('Parcel 1 with DATSs'!G187+'Parcel 1 with DATSs'!G189+'Parcel 1 with DATSs'!#REF!)/'Parcel 1 with DATSs'!G19</f>
        <v>#REF!</v>
      </c>
      <c r="F50" s="37" t="s">
        <v>271</v>
      </c>
      <c r="G50" t="str">
        <f t="shared" si="0"/>
        <v xml:space="preserve">sust kpis dats_DRUGS _Drugs use in apiculture </v>
      </c>
      <c r="H50" t="s">
        <v>1646</v>
      </c>
      <c r="J50" s="31"/>
      <c r="K50" s="3"/>
      <c r="M50" s="3"/>
    </row>
    <row r="51" spans="1:13" ht="31.5">
      <c r="A51" s="33" t="s">
        <v>164</v>
      </c>
      <c r="B51" s="41" t="s">
        <v>23</v>
      </c>
      <c r="C51" s="35" t="s">
        <v>155</v>
      </c>
      <c r="D51" s="43" t="str">
        <f>IFERROR(VLOOKUP('General Information'!$D$6, Validations!$AA$2:$AC$8, 3,FALSE), "")</f>
        <v>kg CO2 eq/ha</v>
      </c>
      <c r="E51" s="24">
        <f>('Parcel 1 with DATSs'!G43*'sust. impact KPIs DATS'!C96*'sust. impact KPIs DATS'!C97)/(IF('General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51" s="37" t="s">
        <v>188</v>
      </c>
      <c r="G51" t="str">
        <f t="shared" si="0"/>
        <v xml:space="preserve">sust kpis dats_FUEL _Fuel GHG emission </v>
      </c>
      <c r="H51" t="s">
        <v>1647</v>
      </c>
      <c r="M51"/>
    </row>
    <row r="52" spans="1:13">
      <c r="A52" s="33" t="s">
        <v>164</v>
      </c>
      <c r="B52" s="41" t="s">
        <v>297</v>
      </c>
      <c r="C52" s="35" t="s">
        <v>155</v>
      </c>
      <c r="D52" s="43" t="s">
        <v>222</v>
      </c>
      <c r="E52" s="24">
        <f>'Parcel 1 with DATSs'!G43/'Parcel 1 with DATSs'!G10</f>
        <v>0</v>
      </c>
      <c r="F52" s="37" t="s">
        <v>323</v>
      </c>
      <c r="G52" t="str">
        <f t="shared" si="0"/>
        <v xml:space="preserve">sust kpis dats_FUEL _Arable and horticulture fuel consumption </v>
      </c>
      <c r="H52" t="s">
        <v>1648</v>
      </c>
      <c r="M52"/>
    </row>
    <row r="53" spans="1:13">
      <c r="A53" s="33" t="s">
        <v>164</v>
      </c>
      <c r="B53" s="41" t="s">
        <v>298</v>
      </c>
      <c r="C53" s="35" t="s">
        <v>155</v>
      </c>
      <c r="D53" s="43" t="str">
        <f>IFERROR(VLOOKUP('General Information'!$D$6, Validations!$AA$2:$AD$8, 4,FALSE), "")</f>
        <v>l/ha</v>
      </c>
      <c r="E53" s="24" t="e">
        <f>'Parcel 1 with DATSs'!G43/'Parcel 1 with DATSs'!G17</f>
        <v>#DIV/0!</v>
      </c>
      <c r="F53" s="37" t="s">
        <v>324</v>
      </c>
      <c r="G53" t="str">
        <f t="shared" si="0"/>
        <v xml:space="preserve">sust kpis dats_FUEL _Livestock fuel consumption </v>
      </c>
      <c r="H53" t="s">
        <v>1649</v>
      </c>
      <c r="M53"/>
    </row>
    <row r="54" spans="1:13" ht="31.5">
      <c r="A54" s="33" t="s">
        <v>164</v>
      </c>
      <c r="B54" s="41" t="s">
        <v>299</v>
      </c>
      <c r="C54" s="35" t="s">
        <v>155</v>
      </c>
      <c r="D54" s="43" t="s">
        <v>326</v>
      </c>
      <c r="E54" s="24" t="e">
        <f>'Parcel 1 with DATSs'!G43/'Parcel 1 with DATSs'!G20</f>
        <v>#DIV/0!</v>
      </c>
      <c r="F54" s="37" t="s">
        <v>325</v>
      </c>
      <c r="G54" t="str">
        <f t="shared" si="0"/>
        <v xml:space="preserve">sust kpis dats_FUEL _Aquaculture fuel consumption </v>
      </c>
      <c r="H54" t="s">
        <v>1650</v>
      </c>
      <c r="M54"/>
    </row>
    <row r="55" spans="1:13">
      <c r="A55" s="33" t="s">
        <v>164</v>
      </c>
      <c r="B55" s="41" t="s">
        <v>300</v>
      </c>
      <c r="C55" s="35" t="s">
        <v>155</v>
      </c>
      <c r="D55" s="43" t="s">
        <v>450</v>
      </c>
      <c r="E55" s="24" t="e">
        <f>'Parcel 1 with DATSs'!G43/'Parcel 1 with DATSs'!G19</f>
        <v>#DIV/0!</v>
      </c>
      <c r="F55" s="37" t="s">
        <v>328</v>
      </c>
      <c r="G55" t="str">
        <f t="shared" si="0"/>
        <v xml:space="preserve">sust kpis dats_FUEL _Apiculture fuel consumption </v>
      </c>
      <c r="H55" t="s">
        <v>1651</v>
      </c>
      <c r="M55"/>
    </row>
    <row r="56" spans="1:13" ht="31.5">
      <c r="A56" s="33" t="s">
        <v>176</v>
      </c>
      <c r="B56" s="27" t="s">
        <v>407</v>
      </c>
      <c r="C56" s="35" t="s">
        <v>155</v>
      </c>
      <c r="D56" s="231"/>
      <c r="E56" s="78">
        <f>E30*C89*C91</f>
        <v>1.3791676800000001</v>
      </c>
      <c r="F56" s="37" t="s">
        <v>408</v>
      </c>
      <c r="G56" t="str">
        <f t="shared" si="0"/>
        <v>sust kpis dats_FERTILISER_indirect leaching/runoff</v>
      </c>
      <c r="H56" t="s">
        <v>1652</v>
      </c>
      <c r="M56"/>
    </row>
    <row r="57" spans="1:13" ht="63">
      <c r="A57" s="33" t="s">
        <v>176</v>
      </c>
      <c r="B57" s="27" t="s">
        <v>150</v>
      </c>
      <c r="C57" s="35" t="s">
        <v>155</v>
      </c>
      <c r="D57" s="231"/>
      <c r="E57" s="79">
        <f>((((IF('Parcel 1 with DATSs'!G100="Mineral",'Parcel 1 with DATSs'!G101*'Parcel 1 with DATSs'!G102*'Parcel 1 with DATSs'!G103/100,0))+
(IF('Parcel 1 with DATSs'!G107="Mineral",'Parcel 1 with DATSs'!G108*'Parcel 1 with DATSs'!G109*'Parcel 1 with DATSs'!G110/100,0))+
(IF('Parcel 1 with DATSs'!G114="Mineral",'Parcel 1 with DATSs'!G115*'Parcel 1 with DATSs'!G116*'Parcel 1 with DATSs'!G117/100,0))+
(IF('Parcel 1 with DATSs'!G121="Mineral",'Parcel 1 with DATSs'!G122*'Parcel 1 with DATSs'!G123*'Parcel 1 with DATSs'!G124/100,0))+
(IF('Parcel 1 with DATSs'!G128="Mineral",'Parcel 1 with DATSs'!G129*'Parcel 1 with DATSs'!G130*'Parcel 1 with DATSs'!G131/100,0))+
(IF('Parcel 1 with DATSs'!G135="Mineral",'Parcel 1 with DATSs'!G136*'Parcel 1 with DATSs'!G137*'Parcel 1 with DATSs'!G138/100,0))+
(IF('Parcel 1 with DATSs'!G142="Mineral",'Parcel 1 with DATSs'!G143*'Parcel 1 with DATSs'!G144*'Parcel 1 with DATSs'!G145/100,0))+
(IF('Parcel 1 with DATSs'!G149="Mineral",'Parcel 1 with DATSs'!G150*'Parcel 1 with DATSs'!G151*'Parcel 1 with DATSs'!G152/100,0))+
(IF('Parcel 1 with DATSs'!G156="Mineral",'Parcel 1 with DATSs'!G157*'Parcel 1 with DATSs'!G158*'Parcel 1 with DATSs'!G159/100,0))+
(IF('Parcel 1 with DATSs'!G163="Mineral",'Parcel 1 with DATSs'!G164*'Parcel 1 with DATSs'!G165*'Parcel 1 with DATSs'!G166/100,0)))
*'sust. impact KPIs DATS'!C87) + (((IF('Parcel 1 with DATSs'!G100="Organic",'Parcel 1 with DATSs'!G101*'Parcel 1 with DATSs'!G102*'Parcel 1 with DATSs'!G103/100,0))+
(IF('Parcel 1 with DATSs'!G107="Organic",'Parcel 1 with DATSs'!G108*'Parcel 1 with DATSs'!G109*'Parcel 1 with DATSs'!G110/100,0))+
(IF('Parcel 1 with DATSs'!G114="Organic",'Parcel 1 with DATSs'!G115*'Parcel 1 with DATSs'!G116*'Parcel 1 with DATSs'!G117/100,0))+
(IF('Parcel 1 with DATSs'!G121="Organic",'Parcel 1 with DATSs'!G122*'Parcel 1 with DATSs'!G123*'Parcel 1 with DATSs'!G124/100,0))+
(IF('Parcel 1 with DATSs'!G128="Organic",'Parcel 1 with DATSs'!G129*'Parcel 1 with DATSs'!G130*'Parcel 1 with DATSs'!G131/100,0))+
(IF('Parcel 1 with DATSs'!G135="Organic",'Parcel 1 with DATSs'!G136*'Parcel 1 with DATSs'!G137*'Parcel 1 with DATSs'!G138/100,0))+
(IF('Parcel 1 with DATSs'!G142="Organic",'Parcel 1 with DATSs'!G143*'Parcel 1 with DATSs'!G144*'Parcel 1 with DATSs'!G145/100,0))+
(IF('Parcel 1 with DATSs'!G149="Organic",'Parcel 1 with DATSs'!G150*'Parcel 1 with DATSs'!G151*'Parcel 1 with DATSs'!G152/100,0))+
(IF('Parcel 1 with DATSs'!G156="Organic",'Parcel 1 with DATSs'!G157*'Parcel 1 with DATSs'!G158*'Parcel 1 with DATSs'!G159/100,0))+
(IF('Parcel 1 with DATSs'!G163="Organic",'Parcel 1 with DATSs'!G164*'Parcel 1 with DATSs'!G165*'Parcel 1 with DATSs'!G166/100,0)))
*'sust. impact KPIs DATS'!C88))
*'sust. impact KPIs DATS'!C84</f>
        <v>0.57465320000000009</v>
      </c>
      <c r="F57" s="37" t="s">
        <v>409</v>
      </c>
      <c r="G57" t="str">
        <f t="shared" si="0"/>
        <v>sust kpis dats_FERTILISER_indirect volatilisation</v>
      </c>
      <c r="H57" t="s">
        <v>1653</v>
      </c>
      <c r="M57"/>
    </row>
    <row r="58" spans="1:13" s="22" customFormat="1" ht="31.5">
      <c r="A58" s="33" t="s">
        <v>176</v>
      </c>
      <c r="B58" s="27" t="s">
        <v>149</v>
      </c>
      <c r="C58" s="35" t="s">
        <v>155</v>
      </c>
      <c r="D58" s="26"/>
      <c r="E58" s="79">
        <f>E30*C79</f>
        <v>5.2241200000000001</v>
      </c>
      <c r="F58" s="37" t="s">
        <v>410</v>
      </c>
      <c r="G58" t="str">
        <f t="shared" si="0"/>
        <v>sust kpis dats_FERTILISER_direct</v>
      </c>
      <c r="H58" t="s">
        <v>1654</v>
      </c>
      <c r="I58" s="53"/>
      <c r="K58" s="27"/>
    </row>
    <row r="59" spans="1:13" s="51" customFormat="1">
      <c r="A59" s="33" t="s">
        <v>176</v>
      </c>
      <c r="B59" s="40" t="s">
        <v>24</v>
      </c>
      <c r="C59" s="35" t="s">
        <v>155</v>
      </c>
      <c r="D59" s="40" t="s">
        <v>147</v>
      </c>
      <c r="E59" s="75">
        <f>(E58+E57+E56)*C92*C93</f>
        <v>3079.3366375200003</v>
      </c>
      <c r="F59" s="37" t="s">
        <v>148</v>
      </c>
      <c r="G59" t="str">
        <f t="shared" si="0"/>
        <v xml:space="preserve">sust kpis dats_FERTILISER_N2O GHG emission </v>
      </c>
      <c r="H59" t="s">
        <v>1655</v>
      </c>
      <c r="M59" s="3"/>
    </row>
    <row r="60" spans="1:13" s="22" customFormat="1">
      <c r="A60" s="33" t="s">
        <v>612</v>
      </c>
      <c r="B60" s="40" t="s">
        <v>614</v>
      </c>
      <c r="C60" s="35" t="s">
        <v>155</v>
      </c>
      <c r="D60" s="40" t="str">
        <f>D51</f>
        <v>kg CO2 eq/ha</v>
      </c>
      <c r="E60" s="54">
        <f>E59+E51</f>
        <v>3079.3366375200003</v>
      </c>
      <c r="F60" s="40" t="s">
        <v>614</v>
      </c>
      <c r="G60" t="str">
        <f t="shared" si="0"/>
        <v>sust kpis dats_GHG_total ghg emissions</v>
      </c>
      <c r="H60" t="s">
        <v>1656</v>
      </c>
      <c r="I60" s="3">
        <f>IF(ISERR((((('Parcel 1 with DATSs'!G101*'Parcel 1 with DATSs'!G102*100/'Parcel 1 with DATSs'!G103)+('Parcel 1 with DATSs'!G108*'Parcel 1 with DATSs'!G109*100/'Parcel 1 with DATSs'!G110))*'sust. impact KPIs DATS'!C87)+(('Parcel 1 with DATSs'!G115*'Parcel 1 with DATSs'!G116*100/'Parcel 1 with DATSs'!G117)*'sust. impact KPIs DATS'!C88))*C84),0,(((('Parcel 1 with DATSs'!G101*'Parcel 1 with DATSs'!G102*100/'Parcel 1 with DATSs'!G103)+('Parcel 1 with DATSs'!G108*'Parcel 1 with DATSs'!G109*100/'Parcel 1 with DATSs'!G110))*'sust. impact KPIs DATS'!C87)+(('Parcel 1 with DATSs'!G115*'Parcel 1 with DATSs'!G116*100/'Parcel 1 with DATSs'!G117)*'sust. impact KPIs DATS'!C88))*C84)</f>
        <v>0</v>
      </c>
      <c r="J60" s="3"/>
      <c r="K60" s="3"/>
      <c r="L60" s="3"/>
      <c r="M60" s="3"/>
    </row>
    <row r="61" spans="1:13" ht="16.5" thickBot="1">
      <c r="A61" s="28" t="s">
        <v>335</v>
      </c>
      <c r="B61" s="22"/>
      <c r="C61" s="22"/>
      <c r="D61" s="22"/>
      <c r="E61" s="24"/>
      <c r="F61" s="22"/>
      <c r="I61" s="22"/>
      <c r="J61" s="22"/>
      <c r="K61" s="22"/>
      <c r="L61" s="22"/>
      <c r="M61" s="23"/>
    </row>
    <row r="62" spans="1:13">
      <c r="A62" s="47"/>
      <c r="B62" s="47" t="s">
        <v>143</v>
      </c>
      <c r="C62" s="47" t="s">
        <v>137</v>
      </c>
      <c r="D62" s="47" t="s">
        <v>138</v>
      </c>
      <c r="E62" s="47" t="s">
        <v>191</v>
      </c>
      <c r="F62" s="47" t="s">
        <v>144</v>
      </c>
      <c r="I62" s="30"/>
      <c r="J62" s="30"/>
      <c r="K62" s="30"/>
      <c r="M62"/>
    </row>
    <row r="63" spans="1:13" ht="32.25" thickBot="1">
      <c r="A63" s="28" t="s">
        <v>335</v>
      </c>
      <c r="B63" s="41" t="s">
        <v>25</v>
      </c>
      <c r="C63" s="29" t="s">
        <v>155</v>
      </c>
      <c r="D63" s="43" t="s">
        <v>156</v>
      </c>
      <c r="E63" s="24" t="e">
        <f>'General Information'!D25/'General Information'!D14</f>
        <v>#DIV/0!</v>
      </c>
      <c r="F63" s="37" t="s">
        <v>157</v>
      </c>
      <c r="G63" t="str">
        <f t="shared" si="0"/>
        <v>sust kpis dats_SOCIAL KPIs_Training hours (for the use of DATs)</v>
      </c>
      <c r="H63" t="s">
        <v>1659</v>
      </c>
      <c r="I63" s="23"/>
      <c r="J63" s="25"/>
      <c r="K63" s="3"/>
      <c r="M63"/>
    </row>
    <row r="64" spans="1:13" ht="32.25" thickBot="1">
      <c r="A64" s="28" t="s">
        <v>335</v>
      </c>
      <c r="B64" s="41" t="s">
        <v>26</v>
      </c>
      <c r="C64" s="35" t="s">
        <v>155</v>
      </c>
      <c r="D64" s="43" t="str">
        <f>IFERROR(VLOOKUP('General Information'!$D$6, Validations!$L$2:$N$8, 3,FALSE), "")</f>
        <v>h/ha</v>
      </c>
      <c r="E64" s="24" cm="1">
        <f t="array" ref="E64">(SUM(SUMIFS('Parcel 1 with DATSs'!G194:G218,'Parcel 1 with DATSs'!C194:C218,'Analysis DATS vs. NO DATS'!C12:C36,'Analysis DATS vs. NO DATS'!J12:J36,1)))/(IF('General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2.6829268292682928</v>
      </c>
      <c r="F64" s="37" t="s">
        <v>716</v>
      </c>
      <c r="G64" t="str">
        <f t="shared" si="0"/>
        <v>sust kpis dats_SOCIAL KPIs_Working time</v>
      </c>
      <c r="H64" t="s">
        <v>1660</v>
      </c>
      <c r="I64" s="23"/>
      <c r="J64" s="25"/>
      <c r="K64" s="3"/>
      <c r="M64"/>
    </row>
    <row r="65" spans="1:13" ht="32.25" thickBot="1">
      <c r="A65" s="28" t="s">
        <v>335</v>
      </c>
      <c r="B65" s="41" t="s">
        <v>27</v>
      </c>
      <c r="C65" s="35" t="s">
        <v>155</v>
      </c>
      <c r="D65" s="43" t="s">
        <v>151</v>
      </c>
      <c r="E65" s="24" t="e">
        <f>'Parcel 1 with DATSs'!G241/'Parcel 1 with DATSs'!G243</f>
        <v>#DIV/0!</v>
      </c>
      <c r="F65" s="37" t="s">
        <v>152</v>
      </c>
      <c r="G65" t="str">
        <f t="shared" si="0"/>
        <v xml:space="preserve">sust kpis dats_SOCIAL KPIs_Frequency rate of occupational injuries </v>
      </c>
      <c r="H65" t="s">
        <v>1661</v>
      </c>
      <c r="I65" s="23"/>
      <c r="J65" s="25"/>
      <c r="K65" s="3"/>
      <c r="M65"/>
    </row>
    <row r="66" spans="1:13" ht="48" thickBot="1">
      <c r="A66" s="28" t="s">
        <v>335</v>
      </c>
      <c r="B66" s="41" t="s">
        <v>28</v>
      </c>
      <c r="C66" s="35" t="s">
        <v>155</v>
      </c>
      <c r="D66" s="43" t="s">
        <v>105</v>
      </c>
      <c r="E66" s="24" t="e">
        <f>'Parcel 1 with DATSs'!G242/'Parcel 1 with DATSs'!G243</f>
        <v>#DIV/0!</v>
      </c>
      <c r="F66" s="37" t="s">
        <v>153</v>
      </c>
      <c r="G66" t="str">
        <f t="shared" si="0"/>
        <v xml:space="preserve">sust kpis dats_SOCIAL KPIs_Incidence of occupational injuries </v>
      </c>
      <c r="H66" t="s">
        <v>1662</v>
      </c>
      <c r="I66" s="23"/>
      <c r="J66" s="25"/>
      <c r="K66" s="3"/>
      <c r="M66"/>
    </row>
    <row r="67" spans="1:13" ht="32.25" thickBot="1">
      <c r="A67" s="28" t="s">
        <v>335</v>
      </c>
      <c r="B67" s="41" t="s">
        <v>29</v>
      </c>
      <c r="C67" s="35" t="s">
        <v>155</v>
      </c>
      <c r="D67" s="43" t="s">
        <v>105</v>
      </c>
      <c r="E67" s="24" t="e">
        <f>'Parcel 1 with DATSs'!G245/'Parcel 1 with DATSs'!G246</f>
        <v>#DIV/0!</v>
      </c>
      <c r="F67" s="37" t="s">
        <v>154</v>
      </c>
      <c r="G67" t="str">
        <f t="shared" si="0"/>
        <v>sust kpis dats_SOCIAL KPIs_Contribution to local employment</v>
      </c>
      <c r="H67" t="s">
        <v>1663</v>
      </c>
      <c r="I67" s="23"/>
      <c r="J67" s="25"/>
      <c r="K67" s="3"/>
      <c r="M67"/>
    </row>
    <row r="69" spans="1:13">
      <c r="E69" s="169" cm="1">
        <f t="array" ref="E69">SUM(SUMIFS('Parcel 1 with DATSs'!G194:G218,'Parcel 1 with DATSs'!C194:C218,'Analysis DATS vs. NO DATS'!C12:C36,'Analysis DATS vs. NO DATS'!J12:J36,1))</f>
        <v>11</v>
      </c>
    </row>
    <row r="76" spans="1:13">
      <c r="A76" s="57"/>
      <c r="B76" s="63" t="s">
        <v>223</v>
      </c>
      <c r="C76" s="64"/>
      <c r="D76" s="57" t="s">
        <v>290</v>
      </c>
      <c r="E76" s="57"/>
      <c r="F76" s="57"/>
      <c r="M76"/>
    </row>
    <row r="77" spans="1:13">
      <c r="A77" s="65" t="s">
        <v>224</v>
      </c>
      <c r="B77" s="66" t="s">
        <v>138</v>
      </c>
      <c r="C77" s="66" t="s">
        <v>99</v>
      </c>
      <c r="D77" s="66" t="s">
        <v>225</v>
      </c>
      <c r="E77" s="57"/>
      <c r="F77" s="57"/>
      <c r="M77"/>
    </row>
    <row r="78" spans="1:13">
      <c r="A78" s="58" t="s">
        <v>226</v>
      </c>
      <c r="B78" s="57"/>
      <c r="C78" s="57"/>
      <c r="D78" s="57"/>
      <c r="E78" s="57"/>
      <c r="F78" s="57"/>
      <c r="M78"/>
    </row>
    <row r="79" spans="1:13">
      <c r="A79" s="137" t="s">
        <v>227</v>
      </c>
      <c r="B79" s="138" t="s">
        <v>228</v>
      </c>
      <c r="C79" s="138">
        <v>0.01</v>
      </c>
      <c r="D79" s="137" t="s">
        <v>229</v>
      </c>
      <c r="E79" s="57"/>
      <c r="F79" s="57"/>
      <c r="M79"/>
    </row>
    <row r="80" spans="1:13">
      <c r="A80" s="57" t="s">
        <v>230</v>
      </c>
      <c r="B80" s="59" t="s">
        <v>228</v>
      </c>
      <c r="C80" s="59">
        <v>1.6E-2</v>
      </c>
      <c r="D80" s="57" t="s">
        <v>231</v>
      </c>
      <c r="E80" s="57"/>
      <c r="F80" s="57"/>
      <c r="M80"/>
    </row>
    <row r="81" spans="1:13">
      <c r="A81" s="57" t="s">
        <v>232</v>
      </c>
      <c r="B81" s="59" t="s">
        <v>228</v>
      </c>
      <c r="C81" s="59">
        <v>6.0000000000000001E-3</v>
      </c>
      <c r="D81" s="57" t="s">
        <v>233</v>
      </c>
      <c r="E81" s="57"/>
      <c r="F81" s="57"/>
      <c r="M81"/>
    </row>
    <row r="82" spans="1:13">
      <c r="A82" s="57" t="s">
        <v>234</v>
      </c>
      <c r="B82" s="59" t="s">
        <v>228</v>
      </c>
      <c r="C82" s="59">
        <v>6.0000000000000001E-3</v>
      </c>
      <c r="D82" s="57" t="s">
        <v>235</v>
      </c>
      <c r="E82" s="57"/>
      <c r="F82" s="57"/>
      <c r="M82"/>
    </row>
    <row r="83" spans="1:13">
      <c r="A83" s="58" t="s">
        <v>236</v>
      </c>
      <c r="B83" s="57"/>
      <c r="C83" s="57"/>
      <c r="D83" s="57"/>
      <c r="E83" s="57"/>
      <c r="F83" s="57"/>
      <c r="M83"/>
    </row>
    <row r="84" spans="1:13">
      <c r="A84" s="137" t="s">
        <v>237</v>
      </c>
      <c r="B84" s="138" t="s">
        <v>238</v>
      </c>
      <c r="C84" s="138">
        <v>0.01</v>
      </c>
      <c r="D84" s="137" t="s">
        <v>239</v>
      </c>
      <c r="E84" s="57"/>
      <c r="F84" s="57"/>
      <c r="M84"/>
    </row>
    <row r="85" spans="1:13">
      <c r="A85" s="57" t="s">
        <v>240</v>
      </c>
      <c r="B85" s="59" t="s">
        <v>238</v>
      </c>
      <c r="C85" s="59">
        <v>1.4E-2</v>
      </c>
      <c r="D85" s="57" t="s">
        <v>241</v>
      </c>
      <c r="E85" s="57"/>
      <c r="F85" s="57"/>
      <c r="M85"/>
    </row>
    <row r="86" spans="1:13">
      <c r="A86" s="57" t="s">
        <v>242</v>
      </c>
      <c r="B86" s="59" t="s">
        <v>238</v>
      </c>
      <c r="C86" s="59">
        <v>5.0000000000000001E-3</v>
      </c>
      <c r="D86" s="57" t="s">
        <v>243</v>
      </c>
      <c r="E86" s="57"/>
      <c r="F86" s="57"/>
      <c r="M86"/>
    </row>
    <row r="87" spans="1:13">
      <c r="A87" s="137" t="s">
        <v>244</v>
      </c>
      <c r="B87" s="138" t="s">
        <v>245</v>
      </c>
      <c r="C87" s="138">
        <v>0.11</v>
      </c>
      <c r="D87" s="137" t="s">
        <v>246</v>
      </c>
      <c r="E87" s="57"/>
      <c r="F87" s="57"/>
      <c r="M87"/>
    </row>
    <row r="88" spans="1:13">
      <c r="A88" s="137" t="s">
        <v>247</v>
      </c>
      <c r="B88" s="138" t="s">
        <v>245</v>
      </c>
      <c r="C88" s="138">
        <v>0.21</v>
      </c>
      <c r="D88" s="137" t="s">
        <v>248</v>
      </c>
      <c r="E88" s="57"/>
      <c r="F88" s="57"/>
      <c r="M88"/>
    </row>
    <row r="89" spans="1:13">
      <c r="A89" s="137" t="s">
        <v>249</v>
      </c>
      <c r="B89" s="138" t="s">
        <v>250</v>
      </c>
      <c r="C89" s="138">
        <v>0.24</v>
      </c>
      <c r="D89" s="137" t="s">
        <v>251</v>
      </c>
      <c r="E89" s="57"/>
      <c r="F89" s="57"/>
      <c r="M89"/>
    </row>
    <row r="90" spans="1:13">
      <c r="A90" s="57" t="s">
        <v>252</v>
      </c>
      <c r="B90" s="59" t="s">
        <v>250</v>
      </c>
      <c r="C90" s="59">
        <v>0</v>
      </c>
      <c r="D90" s="57" t="s">
        <v>253</v>
      </c>
      <c r="E90" s="57"/>
      <c r="F90" s="57"/>
      <c r="M90"/>
    </row>
    <row r="91" spans="1:13">
      <c r="A91" s="137" t="s">
        <v>254</v>
      </c>
      <c r="B91" s="137" t="s">
        <v>255</v>
      </c>
      <c r="C91" s="138">
        <v>1.0999999999999999E-2</v>
      </c>
      <c r="D91" s="137" t="s">
        <v>256</v>
      </c>
      <c r="E91" s="137"/>
      <c r="F91" s="57"/>
      <c r="M91"/>
    </row>
    <row r="92" spans="1:13">
      <c r="A92" s="137" t="s">
        <v>257</v>
      </c>
      <c r="B92" s="138" t="s">
        <v>258</v>
      </c>
      <c r="C92" s="137">
        <f>44/28</f>
        <v>1.5714285714285714</v>
      </c>
      <c r="D92" s="137" t="s">
        <v>259</v>
      </c>
      <c r="E92" s="137"/>
      <c r="F92" s="57"/>
      <c r="M92"/>
    </row>
    <row r="93" spans="1:13">
      <c r="A93" s="137" t="s">
        <v>260</v>
      </c>
      <c r="B93" s="137"/>
      <c r="C93" s="144">
        <v>273</v>
      </c>
      <c r="D93" s="137" t="s">
        <v>411</v>
      </c>
      <c r="E93" s="137"/>
      <c r="F93" s="57"/>
      <c r="M93"/>
    </row>
    <row r="94" spans="1:13">
      <c r="A94" s="57"/>
      <c r="B94" s="57"/>
      <c r="C94" s="57"/>
      <c r="D94" s="57"/>
      <c r="E94" s="57"/>
      <c r="F94" s="57"/>
      <c r="M94"/>
    </row>
    <row r="95" spans="1:13">
      <c r="A95" s="65" t="s">
        <v>261</v>
      </c>
      <c r="B95" s="57"/>
      <c r="C95" s="57"/>
      <c r="D95" s="57"/>
      <c r="E95" s="57"/>
      <c r="F95" s="57"/>
      <c r="M95"/>
    </row>
    <row r="96" spans="1:13">
      <c r="A96" s="137" t="s">
        <v>262</v>
      </c>
      <c r="B96" s="138" t="s">
        <v>605</v>
      </c>
      <c r="C96" s="137">
        <v>35.9</v>
      </c>
      <c r="D96" s="137" t="s">
        <v>264</v>
      </c>
      <c r="E96" s="57"/>
      <c r="F96" s="57"/>
      <c r="M96"/>
    </row>
    <row r="97" spans="1:13">
      <c r="A97" s="137" t="s">
        <v>265</v>
      </c>
      <c r="B97" s="138" t="s">
        <v>266</v>
      </c>
      <c r="C97" s="137">
        <v>7.4099999999999999E-2</v>
      </c>
      <c r="D97" s="137" t="s">
        <v>267</v>
      </c>
      <c r="E97" s="57"/>
      <c r="F97" s="57"/>
      <c r="M97"/>
    </row>
    <row r="98" spans="1:13">
      <c r="A98" s="57"/>
      <c r="B98" s="57"/>
      <c r="C98" s="57"/>
      <c r="D98" s="57"/>
      <c r="E98" s="57"/>
      <c r="F98" s="57"/>
      <c r="M98"/>
    </row>
    <row r="99" spans="1:13">
      <c r="A99" s="65" t="s">
        <v>427</v>
      </c>
      <c r="B99" s="62"/>
      <c r="C99" s="57"/>
      <c r="D99" s="57"/>
      <c r="E99" s="57"/>
      <c r="F99" s="57"/>
      <c r="M99"/>
    </row>
    <row r="100" spans="1:13">
      <c r="A100" s="139" t="str">
        <f>'General Information'!D7</f>
        <v xml:space="preserve">Onion </v>
      </c>
      <c r="B100" s="139" t="s">
        <v>419</v>
      </c>
      <c r="C100" s="142">
        <f>IFERROR(VLOOKUP('General Information'!$D$7, Validations!$P$2:$Q$18, 2,FALSE), "")</f>
        <v>3.0000000000000001E-3</v>
      </c>
      <c r="D100" s="57"/>
      <c r="E100" s="57"/>
      <c r="F100" s="57"/>
      <c r="M100"/>
    </row>
    <row r="101" spans="1:13">
      <c r="A101" s="139" t="str">
        <f>'General Information'!D7</f>
        <v xml:space="preserve">Onion </v>
      </c>
      <c r="B101" s="143" t="s">
        <v>420</v>
      </c>
      <c r="C101" s="139">
        <f>IFERROR(VLOOKUP('General Information'!$D$7, Validations!$R$2:$S$18, 2,FALSE), "")</f>
        <v>1.1999999999999999E-3</v>
      </c>
      <c r="D101" s="57"/>
      <c r="E101" s="57"/>
      <c r="F101" s="57"/>
      <c r="M101"/>
    </row>
    <row r="102" spans="1:13">
      <c r="A102" s="139" t="str">
        <f>'General Information'!D7</f>
        <v xml:space="preserve">Onion </v>
      </c>
      <c r="B102" s="143" t="s">
        <v>421</v>
      </c>
      <c r="C102" s="139">
        <f>IFERROR(VLOOKUP('General Information'!$D$7, Validations!$T$2:$U$18, 2,FALSE), "")</f>
        <v>4.0000000000000001E-3</v>
      </c>
      <c r="D102" s="61"/>
      <c r="E102" s="61"/>
      <c r="F102" s="61"/>
    </row>
    <row r="103" spans="1:13">
      <c r="A103" s="60"/>
      <c r="B103" s="71"/>
      <c r="C103" s="60"/>
      <c r="D103" s="60"/>
      <c r="E103" s="60"/>
      <c r="F103" s="60"/>
    </row>
    <row r="104" spans="1:13">
      <c r="A104" s="60"/>
      <c r="B104" s="71"/>
      <c r="C104" s="60"/>
      <c r="D104" s="60"/>
      <c r="E104" s="60"/>
      <c r="F104" s="60"/>
    </row>
    <row r="105" spans="1:13">
      <c r="A105" s="61"/>
      <c r="B105" s="72"/>
      <c r="C105" s="61"/>
      <c r="D105" s="61"/>
      <c r="E105" s="61"/>
      <c r="F105" s="61"/>
    </row>
    <row r="106" spans="1:13">
      <c r="A106" s="60"/>
      <c r="B106" s="72"/>
      <c r="C106" s="61"/>
      <c r="D106" s="60"/>
      <c r="E106" s="60"/>
      <c r="F106" s="60"/>
    </row>
    <row r="107" spans="1:13">
      <c r="A107" s="60"/>
      <c r="B107" s="72"/>
      <c r="C107" s="61"/>
      <c r="D107" s="60"/>
      <c r="E107" s="60"/>
      <c r="F107" s="60"/>
    </row>
    <row r="108" spans="1:13">
      <c r="A108" s="61"/>
      <c r="B108" s="72"/>
      <c r="C108" s="61"/>
      <c r="D108" s="60"/>
      <c r="E108" s="61"/>
      <c r="F108" s="61"/>
    </row>
    <row r="109" spans="1:13">
      <c r="A109" s="60"/>
      <c r="B109" s="60"/>
      <c r="C109" s="60"/>
      <c r="D109" s="60"/>
      <c r="E109" s="60"/>
      <c r="F109" s="60"/>
    </row>
    <row r="110" spans="1:13">
      <c r="A110" s="60"/>
      <c r="B110" s="60"/>
      <c r="C110" s="60"/>
      <c r="D110" s="60"/>
      <c r="E110" s="60"/>
      <c r="F110" s="60"/>
    </row>
  </sheetData>
  <phoneticPr fontId="2" type="noConversion"/>
  <conditionalFormatting sqref="C2:C14">
    <cfRule type="containsText" dxfId="153" priority="45" operator="containsText" text="Without DATs">
      <formula>NOT(ISERROR(SEARCH("Without DATs",C2)))</formula>
    </cfRule>
  </conditionalFormatting>
  <conditionalFormatting sqref="C3:C13 C30:C60 I58 K58 B56:C58">
    <cfRule type="containsText" dxfId="152" priority="40" operator="containsText" text="Without DATs">
      <formula>NOT(ISERROR(SEARCH("Without DATs",B3)))</formula>
    </cfRule>
    <cfRule type="containsText" dxfId="151" priority="41" operator="containsText" text="With DATs">
      <formula>NOT(ISERROR(SEARCH("With DATs",B3)))</formula>
    </cfRule>
    <cfRule type="containsText" dxfId="150" priority="42" operator="containsText" text="With out DATs">
      <formula>NOT(ISERROR(SEARCH("With out DATs",B3)))</formula>
    </cfRule>
    <cfRule type="containsText" dxfId="149" priority="43" operator="containsText" text="TO-BE">
      <formula>NOT(ISERROR(SEARCH("TO-BE",B3)))</formula>
    </cfRule>
    <cfRule type="containsText" dxfId="148" priority="44" operator="containsText" text="AS-IS">
      <formula>NOT(ISERROR(SEARCH("AS-IS",B3)))</formula>
    </cfRule>
  </conditionalFormatting>
  <conditionalFormatting sqref="C14">
    <cfRule type="containsText" dxfId="147" priority="176" operator="containsText" text="With DATs">
      <formula>NOT(ISERROR(SEARCH("With DATs",C14)))</formula>
    </cfRule>
    <cfRule type="containsText" dxfId="146" priority="177" operator="containsText" text="With out DATs">
      <formula>NOT(ISERROR(SEARCH("With out DATs",C14)))</formula>
    </cfRule>
    <cfRule type="containsText" dxfId="145" priority="178" operator="containsText" text="TO-BE">
      <formula>NOT(ISERROR(SEARCH("TO-BE",C14)))</formula>
    </cfRule>
    <cfRule type="containsText" dxfId="144" priority="179" operator="containsText" text="AS-IS">
      <formula>NOT(ISERROR(SEARCH("AS-IS",C14)))</formula>
    </cfRule>
  </conditionalFormatting>
  <conditionalFormatting sqref="C17:C20">
    <cfRule type="containsText" dxfId="143" priority="21" operator="containsText" text="Without DATs">
      <formula>NOT(ISERROR(SEARCH("Without DATs",C17)))</formula>
    </cfRule>
    <cfRule type="containsText" dxfId="142" priority="22" operator="containsText" text="With DATs">
      <formula>NOT(ISERROR(SEARCH("With DATs",C17)))</formula>
    </cfRule>
    <cfRule type="containsText" dxfId="141" priority="23" operator="containsText" text="With out DATs">
      <formula>NOT(ISERROR(SEARCH("With out DATs",C17)))</formula>
    </cfRule>
    <cfRule type="containsText" dxfId="140" priority="24" operator="containsText" text="TO-BE">
      <formula>NOT(ISERROR(SEARCH("TO-BE",C17)))</formula>
    </cfRule>
    <cfRule type="containsText" dxfId="139" priority="25" operator="containsText" text="AS-IS">
      <formula>NOT(ISERROR(SEARCH("AS-IS",C17)))</formula>
    </cfRule>
  </conditionalFormatting>
  <conditionalFormatting sqref="C22:C27">
    <cfRule type="containsText" dxfId="138" priority="20" operator="containsText" text="Without DATs">
      <formula>NOT(ISERROR(SEARCH("Without DATs",C22)))</formula>
    </cfRule>
  </conditionalFormatting>
  <conditionalFormatting sqref="C23:C26 C16:C19">
    <cfRule type="containsText" dxfId="137" priority="36" operator="containsText" text="Without DATs">
      <formula>NOT(ISERROR(SEARCH("Without DATs",C16)))</formula>
    </cfRule>
  </conditionalFormatting>
  <conditionalFormatting sqref="C23:C27">
    <cfRule type="containsText" dxfId="136" priority="27" operator="containsText" text="With DATs">
      <formula>NOT(ISERROR(SEARCH("With DATs",C23)))</formula>
    </cfRule>
    <cfRule type="containsText" dxfId="135" priority="28" operator="containsText" text="With out DATs">
      <formula>NOT(ISERROR(SEARCH("With out DATs",C23)))</formula>
    </cfRule>
    <cfRule type="containsText" dxfId="134" priority="29" operator="containsText" text="TO-BE">
      <formula>NOT(ISERROR(SEARCH("TO-BE",C23)))</formula>
    </cfRule>
    <cfRule type="containsText" dxfId="133" priority="30" operator="containsText" text="AS-IS">
      <formula>NOT(ISERROR(SEARCH("AS-IS",C23)))</formula>
    </cfRule>
  </conditionalFormatting>
  <conditionalFormatting sqref="C30:C50 A29:D29 F29 A62:D62 F62">
    <cfRule type="containsText" dxfId="132" priority="142" operator="containsText" text="Without DATs">
      <formula>NOT(ISERROR(SEARCH("Without DATs",A29)))</formula>
    </cfRule>
  </conditionalFormatting>
  <conditionalFormatting sqref="C59:C60">
    <cfRule type="containsText" dxfId="131" priority="134" operator="containsText" text="Without DATs">
      <formula>NOT(ISERROR(SEARCH("Without DATs",C59)))</formula>
    </cfRule>
  </conditionalFormatting>
  <conditionalFormatting sqref="C63:C67">
    <cfRule type="containsText" dxfId="130" priority="114" operator="containsText" text="Without DATs">
      <formula>NOT(ISERROR(SEARCH("Without DATs",C63)))</formula>
    </cfRule>
    <cfRule type="containsText" dxfId="129" priority="115" operator="containsText" text="With DATs">
      <formula>NOT(ISERROR(SEARCH("With DATs",C63)))</formula>
    </cfRule>
    <cfRule type="containsText" dxfId="128" priority="116" operator="containsText" text="With out DATs">
      <formula>NOT(ISERROR(SEARCH("With out DATs",C63)))</formula>
    </cfRule>
    <cfRule type="containsText" dxfId="127" priority="117" operator="containsText" text="TO-BE">
      <formula>NOT(ISERROR(SEARCH("TO-BE",C63)))</formula>
    </cfRule>
    <cfRule type="containsText" dxfId="126" priority="118" operator="containsText" text="AS-IS">
      <formula>NOT(ISERROR(SEARCH("AS-IS",C63)))</formula>
    </cfRule>
  </conditionalFormatting>
  <conditionalFormatting sqref="C64:C67">
    <cfRule type="containsText" dxfId="125" priority="129" operator="containsText" text="Without DATs">
      <formula>NOT(ISERROR(SEARCH("Without DATs",C64)))</formula>
    </cfRule>
  </conditionalFormatting>
  <conditionalFormatting sqref="D1">
    <cfRule type="containsText" dxfId="124" priority="103" operator="containsText" text="Without DATs">
      <formula>NOT(ISERROR(SEARCH("Without DATs",D1)))</formula>
    </cfRule>
  </conditionalFormatting>
  <conditionalFormatting sqref="D15">
    <cfRule type="containsText" dxfId="123" priority="39" operator="containsText" text="Without DATs">
      <formula>NOT(ISERROR(SEARCH("Without DATs",D15)))</formula>
    </cfRule>
  </conditionalFormatting>
  <conditionalFormatting sqref="D21">
    <cfRule type="containsText" dxfId="122" priority="19" operator="containsText" text="Without DATs">
      <formula>NOT(ISERROR(SEARCH("Without DATs",D21)))</formula>
    </cfRule>
  </conditionalFormatting>
  <conditionalFormatting sqref="D68:D102 D109:D1048576">
    <cfRule type="containsText" dxfId="121" priority="97" operator="containsText" text="Without DATs">
      <formula>NOT(ISERROR(SEARCH("Without DATs",D68)))</formula>
    </cfRule>
  </conditionalFormatting>
  <conditionalFormatting sqref="E23">
    <cfRule type="cellIs" dxfId="120" priority="1" operator="lessThan">
      <formula>0</formula>
    </cfRule>
    <cfRule type="cellIs" dxfId="119" priority="2" operator="greaterThan">
      <formula>0</formula>
    </cfRule>
  </conditionalFormatting>
  <conditionalFormatting sqref="G68:G1048576">
    <cfRule type="cellIs" dxfId="118" priority="98" operator="lessThan">
      <formula>0</formula>
    </cfRule>
    <cfRule type="cellIs" dxfId="117" priority="99" operator="greaterThan">
      <formula>0</formula>
    </cfRule>
  </conditionalFormatting>
  <conditionalFormatting sqref="I63:I67">
    <cfRule type="containsText" dxfId="116" priority="144" operator="containsText" text="Without DATs">
      <formula>NOT(ISERROR(SEARCH("Without DATs",I63)))</formula>
    </cfRule>
    <cfRule type="containsText" dxfId="115" priority="145" operator="containsText" text="With DATs">
      <formula>NOT(ISERROR(SEARCH("With DATs",I63)))</formula>
    </cfRule>
    <cfRule type="containsText" dxfId="114" priority="146" operator="containsText" text="With out DATs">
      <formula>NOT(ISERROR(SEARCH("With out DATs",I63)))</formula>
    </cfRule>
    <cfRule type="containsText" dxfId="113" priority="147" operator="containsText" text="TO-BE">
      <formula>NOT(ISERROR(SEARCH("TO-BE",I63)))</formula>
    </cfRule>
    <cfRule type="containsText" dxfId="112" priority="148" operator="containsText" text="AS-IS">
      <formula>NOT(ISERROR(SEARCH("AS-IS",I63)))</formula>
    </cfRule>
  </conditionalFormatting>
  <conditionalFormatting sqref="M28:M29 K62:K67">
    <cfRule type="containsText" dxfId="111" priority="150" operator="containsText" text="Without DATs">
      <formula>NOT(ISERROR(SEARCH("Without DATs",K28)))</formula>
    </cfRule>
    <cfRule type="containsText" dxfId="110" priority="151" operator="containsText" text="With DATs">
      <formula>NOT(ISERROR(SEARCH("With DATs",K28)))</formula>
    </cfRule>
    <cfRule type="containsText" dxfId="109" priority="152" operator="containsText" text="With out DATs">
      <formula>NOT(ISERROR(SEARCH("With out DATs",K28)))</formula>
    </cfRule>
    <cfRule type="containsText" dxfId="108" priority="153" operator="containsText" text="TO-BE">
      <formula>NOT(ISERROR(SEARCH("TO-BE",K28)))</formula>
    </cfRule>
    <cfRule type="containsText" dxfId="107" priority="154" operator="containsText" text="AS-IS">
      <formula>NOT(ISERROR(SEARCH("AS-IS",K28)))</formula>
    </cfRule>
  </conditionalFormatting>
  <conditionalFormatting sqref="M41:M50">
    <cfRule type="containsText" dxfId="106" priority="67" operator="containsText" text="Without DATs">
      <formula>NOT(ISERROR(SEARCH("Without DATs",M41)))</formula>
    </cfRule>
    <cfRule type="containsText" dxfId="105" priority="73" operator="containsText" text="With DATs">
      <formula>NOT(ISERROR(SEARCH("With DATs",M41)))</formula>
    </cfRule>
    <cfRule type="containsText" dxfId="104" priority="74" operator="containsText" text="With out DATs">
      <formula>NOT(ISERROR(SEARCH("With out DATs",M41)))</formula>
    </cfRule>
    <cfRule type="containsText" dxfId="103" priority="75" operator="containsText" text="TO-BE">
      <formula>NOT(ISERROR(SEARCH("TO-BE",M41)))</formula>
    </cfRule>
    <cfRule type="containsText" dxfId="102" priority="76" operator="containsText" text="AS-IS">
      <formula>NOT(ISERROR(SEARCH("AS-IS",M41)))</formula>
    </cfRule>
  </conditionalFormatting>
  <conditionalFormatting sqref="M59:M61">
    <cfRule type="containsText" dxfId="101" priority="137" operator="containsText" text="Without DATs">
      <formula>NOT(ISERROR(SEARCH("Without DATs",M59)))</formula>
    </cfRule>
    <cfRule type="containsText" dxfId="100" priority="138" operator="containsText" text="With DATs">
      <formula>NOT(ISERROR(SEARCH("With DATs",M59)))</formula>
    </cfRule>
    <cfRule type="containsText" dxfId="99" priority="139" operator="containsText" text="With out DATs">
      <formula>NOT(ISERROR(SEARCH("With out DATs",M59)))</formula>
    </cfRule>
    <cfRule type="containsText" dxfId="98" priority="140" operator="containsText" text="TO-BE">
      <formula>NOT(ISERROR(SEARCH("TO-BE",M59)))</formula>
    </cfRule>
    <cfRule type="containsText" dxfId="97" priority="141" operator="containsText" text="AS-IS">
      <formula>NOT(ISERROR(SEARCH("AS-IS",M59)))</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7EAC-2DB7-A944-BCDA-D3C1A0C6AEE9}">
  <sheetPr codeName="Sheet8"/>
  <dimension ref="A1:M110"/>
  <sheetViews>
    <sheetView topLeftCell="A19" zoomScale="80" zoomScaleNormal="80" workbookViewId="0">
      <selection activeCell="E39" sqref="E39"/>
    </sheetView>
  </sheetViews>
  <sheetFormatPr defaultColWidth="11.25" defaultRowHeight="15.75"/>
  <cols>
    <col min="1" max="1" width="28.875" bestFit="1" customWidth="1"/>
    <col min="2" max="2" width="45.5" bestFit="1" customWidth="1"/>
    <col min="3" max="3" width="13.25" bestFit="1" customWidth="1"/>
    <col min="4" max="4" width="63" bestFit="1" customWidth="1"/>
    <col min="5" max="5" width="12.5" style="4" bestFit="1" customWidth="1"/>
    <col min="6" max="6" width="47.75" bestFit="1" customWidth="1"/>
    <col min="7" max="7" width="64.375" bestFit="1" customWidth="1"/>
    <col min="8" max="8" width="4.25" bestFit="1" customWidth="1"/>
    <col min="9" max="10" width="26.75" customWidth="1"/>
    <col min="11" max="11" width="20.75" customWidth="1"/>
    <col min="12" max="12" width="25.25" customWidth="1"/>
    <col min="13" max="13" width="25" style="21" customWidth="1"/>
    <col min="15" max="15" width="22.25" customWidth="1"/>
  </cols>
  <sheetData>
    <row r="1" spans="1:13" s="4" customFormat="1">
      <c r="A1" s="46" t="s">
        <v>277</v>
      </c>
      <c r="F1" s="31"/>
      <c r="M1" s="38"/>
    </row>
    <row r="2" spans="1:13" s="4" customFormat="1">
      <c r="A2" s="47" t="s">
        <v>163</v>
      </c>
      <c r="B2" s="47" t="s">
        <v>136</v>
      </c>
      <c r="C2" s="47" t="s">
        <v>137</v>
      </c>
      <c r="D2" s="47" t="s">
        <v>138</v>
      </c>
      <c r="E2" s="47" t="s">
        <v>191</v>
      </c>
      <c r="F2" s="47" t="s">
        <v>190</v>
      </c>
    </row>
    <row r="3" spans="1:13">
      <c r="A3" s="46" t="s">
        <v>277</v>
      </c>
      <c r="B3" s="41" t="s">
        <v>302</v>
      </c>
      <c r="C3" s="42" t="s">
        <v>140</v>
      </c>
      <c r="D3" s="43" t="s">
        <v>478</v>
      </c>
      <c r="E3" s="24" t="e">
        <f>'Parcel 1 without DATSs'!H250/'Parcel 1 without DATSs'!E10</f>
        <v>#VALUE!</v>
      </c>
      <c r="F3" s="37" t="s">
        <v>390</v>
      </c>
      <c r="G3" s="39" t="str">
        <f>CONCATENATE("sust kpis no dats","_",A3,"_",B3)</f>
        <v>sust kpis no dats_PRODUCTIVITY _Land Productivity</v>
      </c>
      <c r="H3" t="s">
        <v>1599</v>
      </c>
      <c r="M3"/>
    </row>
    <row r="4" spans="1:13">
      <c r="A4" s="46" t="s">
        <v>277</v>
      </c>
      <c r="B4" s="41" t="s">
        <v>394</v>
      </c>
      <c r="C4" s="42" t="s">
        <v>140</v>
      </c>
      <c r="D4" s="43" t="s">
        <v>599</v>
      </c>
      <c r="E4" s="24">
        <f>'Parcel 1 without DATSs'!H250/SUM('Parcel 1 without DATSs'!H194:H218)</f>
        <v>21.32</v>
      </c>
      <c r="F4" s="37" t="s">
        <v>303</v>
      </c>
      <c r="G4" s="39" t="str">
        <f t="shared" ref="G4:G67" si="0">CONCATENATE("sust kpis no dats","_",A4,"_",B4)</f>
        <v>sust kpis no dats_PRODUCTIVITY _Labour productivity (arable and horticulture)</v>
      </c>
      <c r="H4" t="s">
        <v>1600</v>
      </c>
      <c r="M4"/>
    </row>
    <row r="5" spans="1:13">
      <c r="A5" s="46" t="s">
        <v>277</v>
      </c>
      <c r="B5" s="41" t="s">
        <v>395</v>
      </c>
      <c r="C5" s="42" t="s">
        <v>140</v>
      </c>
      <c r="D5" s="43" t="s">
        <v>399</v>
      </c>
      <c r="E5" s="24">
        <f>'Parcel 1 without DATSs'!H251/SUM('Parcel 1 without DATSs'!H194:H218)</f>
        <v>0</v>
      </c>
      <c r="F5" s="37" t="s">
        <v>303</v>
      </c>
      <c r="G5" s="39" t="str">
        <f t="shared" si="0"/>
        <v>sust kpis no dats_PRODUCTIVITY _Labour productivity (dairy livestock)</v>
      </c>
      <c r="H5" t="s">
        <v>1601</v>
      </c>
      <c r="M5"/>
    </row>
    <row r="6" spans="1:13">
      <c r="A6" s="46" t="s">
        <v>277</v>
      </c>
      <c r="B6" s="41" t="s">
        <v>396</v>
      </c>
      <c r="C6" s="42" t="s">
        <v>140</v>
      </c>
      <c r="D6" s="43" t="s">
        <v>400</v>
      </c>
      <c r="E6" s="24">
        <f>'Parcel 1 without DATSs'!H252/SUM('Parcel 1 without DATSs'!H194:H218)</f>
        <v>0</v>
      </c>
      <c r="F6" s="37" t="s">
        <v>303</v>
      </c>
      <c r="G6" s="39" t="str">
        <f t="shared" si="0"/>
        <v>sust kpis no dats_PRODUCTIVITY _Labour productivity  (meat livestock)</v>
      </c>
      <c r="H6" t="s">
        <v>1602</v>
      </c>
      <c r="M6"/>
    </row>
    <row r="7" spans="1:13">
      <c r="A7" s="46" t="s">
        <v>277</v>
      </c>
      <c r="B7" s="41" t="s">
        <v>397</v>
      </c>
      <c r="C7" s="42" t="s">
        <v>140</v>
      </c>
      <c r="D7" s="43" t="s">
        <v>527</v>
      </c>
      <c r="E7" s="24">
        <f>'Parcel 1 without DATSs'!H254/SUM('Parcel 1 without DATSs'!H194:H218)</f>
        <v>0</v>
      </c>
      <c r="F7" s="37" t="s">
        <v>303</v>
      </c>
      <c r="G7" s="39" t="str">
        <f t="shared" si="0"/>
        <v>sust kpis no dats_PRODUCTIVITY _Labour productivity  (aquaculture)</v>
      </c>
      <c r="H7" t="s">
        <v>1603</v>
      </c>
      <c r="M7"/>
    </row>
    <row r="8" spans="1:13">
      <c r="A8" s="46" t="s">
        <v>277</v>
      </c>
      <c r="B8" s="41" t="s">
        <v>398</v>
      </c>
      <c r="C8" s="42" t="s">
        <v>140</v>
      </c>
      <c r="D8" s="43" t="s">
        <v>400</v>
      </c>
      <c r="E8" s="24">
        <f>'Parcel 1 without DATSs'!H255/SUM('Parcel 1 without DATSs'!H194:H218)</f>
        <v>0</v>
      </c>
      <c r="F8" s="37" t="s">
        <v>303</v>
      </c>
      <c r="G8" s="39" t="str">
        <f t="shared" si="0"/>
        <v>sust kpis no dats_PRODUCTIVITY _Labour productivity  (apiculture)</v>
      </c>
      <c r="H8" t="s">
        <v>1604</v>
      </c>
      <c r="M8"/>
    </row>
    <row r="9" spans="1:13">
      <c r="A9" s="46" t="s">
        <v>277</v>
      </c>
      <c r="B9" s="41" t="s">
        <v>598</v>
      </c>
      <c r="C9" s="42" t="s">
        <v>140</v>
      </c>
      <c r="D9" s="43" t="s">
        <v>599</v>
      </c>
      <c r="E9" s="24">
        <f>'Parcel 1 without DATSs'!H256/SUM('Parcel 1 without DATSs'!H194:H218)</f>
        <v>0</v>
      </c>
      <c r="F9" s="37"/>
      <c r="G9" s="39" t="str">
        <f t="shared" si="0"/>
        <v>sust kpis no dats_PRODUCTIVITY _Labour productivity (silos)</v>
      </c>
      <c r="H9" t="s">
        <v>1605</v>
      </c>
      <c r="M9"/>
    </row>
    <row r="10" spans="1:13">
      <c r="A10" s="46" t="s">
        <v>277</v>
      </c>
      <c r="B10" s="41" t="s">
        <v>304</v>
      </c>
      <c r="C10" s="42" t="s">
        <v>140</v>
      </c>
      <c r="D10" s="43" t="s">
        <v>600</v>
      </c>
      <c r="E10" s="24" t="e">
        <f>'Parcel 1 without DATSs'!H251/'Parcel 1 without DATSs'!E17/365</f>
        <v>#VALUE!</v>
      </c>
      <c r="F10" s="37" t="s">
        <v>305</v>
      </c>
      <c r="G10" s="39" t="str">
        <f t="shared" si="0"/>
        <v>sust kpis no dats_PRODUCTIVITY _Milk productivity</v>
      </c>
      <c r="H10" t="s">
        <v>1606</v>
      </c>
      <c r="M10"/>
    </row>
    <row r="11" spans="1:13">
      <c r="A11" s="46" t="s">
        <v>277</v>
      </c>
      <c r="B11" s="41" t="s">
        <v>309</v>
      </c>
      <c r="C11" s="42" t="s">
        <v>140</v>
      </c>
      <c r="D11" s="43" t="s">
        <v>389</v>
      </c>
      <c r="E11" s="24" t="e">
        <f>'Parcel 1 without DATSs'!H252/'Parcel 1 without DATSs'!E17/365</f>
        <v>#VALUE!</v>
      </c>
      <c r="F11" s="37" t="s">
        <v>388</v>
      </c>
      <c r="G11" s="39" t="str">
        <f t="shared" si="0"/>
        <v xml:space="preserve">sust kpis no dats_PRODUCTIVITY _Meat productivity </v>
      </c>
      <c r="H11" t="s">
        <v>1607</v>
      </c>
      <c r="M11"/>
    </row>
    <row r="12" spans="1:13">
      <c r="A12" s="46" t="s">
        <v>277</v>
      </c>
      <c r="B12" s="41" t="s">
        <v>306</v>
      </c>
      <c r="C12" s="42" t="s">
        <v>140</v>
      </c>
      <c r="D12" s="43" t="s">
        <v>386</v>
      </c>
      <c r="E12" s="24" t="e">
        <f>'Parcel 1 without DATSs'!H255/'Parcel 1 without DATSs'!E19</f>
        <v>#VALUE!</v>
      </c>
      <c r="F12" s="37" t="s">
        <v>387</v>
      </c>
      <c r="G12" s="39" t="str">
        <f t="shared" si="0"/>
        <v>sust kpis no dats_PRODUCTIVITY _Bees productivity</v>
      </c>
      <c r="H12" t="s">
        <v>1608</v>
      </c>
      <c r="M12"/>
    </row>
    <row r="13" spans="1:13">
      <c r="A13" s="46" t="s">
        <v>277</v>
      </c>
      <c r="B13" s="41" t="s">
        <v>307</v>
      </c>
      <c r="C13" s="42" t="s">
        <v>140</v>
      </c>
      <c r="D13" s="43" t="s">
        <v>524</v>
      </c>
      <c r="E13" s="24" t="e">
        <f>'Parcel 1 without DATSs'!H254/'Parcel 1 without DATSs'!E20</f>
        <v>#VALUE!</v>
      </c>
      <c r="F13" s="37" t="s">
        <v>308</v>
      </c>
      <c r="G13" s="39" t="str">
        <f t="shared" si="0"/>
        <v>sust kpis no dats_PRODUCTIVITY _Oyster productivity</v>
      </c>
      <c r="H13" t="s">
        <v>1609</v>
      </c>
      <c r="M13"/>
    </row>
    <row r="14" spans="1:13">
      <c r="A14" s="51"/>
      <c r="B14" s="3"/>
      <c r="C14" s="52"/>
      <c r="D14" s="1"/>
      <c r="E14" s="31"/>
      <c r="G14" s="39"/>
      <c r="M14"/>
    </row>
    <row r="15" spans="1:13" s="4" customFormat="1">
      <c r="A15" s="46" t="s">
        <v>312</v>
      </c>
      <c r="F15" s="31"/>
      <c r="G15" s="39"/>
      <c r="H15"/>
      <c r="M15" s="38"/>
    </row>
    <row r="16" spans="1:13" s="4" customFormat="1">
      <c r="A16" s="47" t="s">
        <v>163</v>
      </c>
      <c r="B16" s="47" t="s">
        <v>136</v>
      </c>
      <c r="C16" s="47" t="s">
        <v>137</v>
      </c>
      <c r="D16" s="47" t="s">
        <v>138</v>
      </c>
      <c r="E16" s="47" t="s">
        <v>191</v>
      </c>
      <c r="F16" s="47" t="s">
        <v>190</v>
      </c>
      <c r="G16" s="39"/>
      <c r="H16"/>
    </row>
    <row r="17" spans="1:13" ht="31.5">
      <c r="A17" s="46" t="s">
        <v>312</v>
      </c>
      <c r="B17" s="41" t="s">
        <v>313</v>
      </c>
      <c r="C17" s="42" t="s">
        <v>140</v>
      </c>
      <c r="D17" s="43" t="s">
        <v>105</v>
      </c>
      <c r="E17" s="24" t="e">
        <f>('Parcel 1 without DATSs'!H202/SUM('Parcel 1 without DATSs'!H201:H204))*100</f>
        <v>#DIV/0!</v>
      </c>
      <c r="F17" s="37" t="s">
        <v>330</v>
      </c>
      <c r="G17" s="39" t="str">
        <f t="shared" si="0"/>
        <v>sust kpis no dats_EFFICIENCY _Rate of time for quality analysis</v>
      </c>
      <c r="H17" t="s">
        <v>1613</v>
      </c>
      <c r="M17"/>
    </row>
    <row r="18" spans="1:13" ht="31.5">
      <c r="A18" s="46" t="s">
        <v>312</v>
      </c>
      <c r="B18" s="41" t="s">
        <v>315</v>
      </c>
      <c r="C18" s="42" t="s">
        <v>140</v>
      </c>
      <c r="D18" s="43" t="s">
        <v>105</v>
      </c>
      <c r="E18" s="24" t="e">
        <f>('Parcel 1 without DATSs'!H222/'Parcel 1 without DATSs'!H223)*100</f>
        <v>#DIV/0!</v>
      </c>
      <c r="F18" s="37" t="s">
        <v>316</v>
      </c>
      <c r="G18" s="39" t="str">
        <f t="shared" si="0"/>
        <v>sust kpis no dats_EFFICIENCY _Rate of on-time fulfilled orders</v>
      </c>
      <c r="H18" t="s">
        <v>1614</v>
      </c>
      <c r="M18"/>
    </row>
    <row r="19" spans="1:13">
      <c r="A19" s="46" t="s">
        <v>312</v>
      </c>
      <c r="B19" s="41" t="s">
        <v>317</v>
      </c>
      <c r="C19" s="42" t="s">
        <v>140</v>
      </c>
      <c r="D19" s="43" t="s">
        <v>111</v>
      </c>
      <c r="E19" s="24">
        <f>'Parcel 1 without DATSs'!H224</f>
        <v>0</v>
      </c>
      <c r="F19" s="37" t="s">
        <v>317</v>
      </c>
      <c r="G19" s="39" t="str">
        <f t="shared" si="0"/>
        <v>sust kpis no dats_EFFICIENCY _Number of wrong orders</v>
      </c>
      <c r="H19" t="s">
        <v>1615</v>
      </c>
      <c r="M19"/>
    </row>
    <row r="20" spans="1:13">
      <c r="A20" s="51"/>
      <c r="B20" s="3"/>
      <c r="C20" s="52"/>
      <c r="D20" s="1"/>
      <c r="E20" s="31"/>
      <c r="G20" s="39"/>
      <c r="M20"/>
    </row>
    <row r="21" spans="1:13" s="4" customFormat="1">
      <c r="A21" s="46" t="s">
        <v>318</v>
      </c>
      <c r="F21" s="31"/>
      <c r="G21" s="39"/>
      <c r="H21"/>
      <c r="M21" s="38"/>
    </row>
    <row r="22" spans="1:13" s="4" customFormat="1">
      <c r="A22" s="47" t="s">
        <v>163</v>
      </c>
      <c r="B22" s="47" t="s">
        <v>136</v>
      </c>
      <c r="C22" s="47" t="s">
        <v>137</v>
      </c>
      <c r="D22" s="47" t="s">
        <v>138</v>
      </c>
      <c r="E22" s="47" t="s">
        <v>191</v>
      </c>
      <c r="F22" s="47" t="s">
        <v>190</v>
      </c>
      <c r="G22" s="39"/>
      <c r="H22"/>
    </row>
    <row r="23" spans="1:13">
      <c r="A23" s="46" t="s">
        <v>318</v>
      </c>
      <c r="B23" s="41" t="s">
        <v>319</v>
      </c>
      <c r="C23" s="42" t="s">
        <v>140</v>
      </c>
      <c r="D23" s="43"/>
      <c r="E23" s="24"/>
      <c r="F23" s="43"/>
      <c r="G23" s="39" t="str">
        <f t="shared" si="0"/>
        <v xml:space="preserve">sust kpis no dats_PRODUCT QUALITY  _Intrinsic product quality </v>
      </c>
      <c r="H23" t="s">
        <v>1619</v>
      </c>
      <c r="M23"/>
    </row>
    <row r="24" spans="1:13">
      <c r="A24" s="46" t="s">
        <v>318</v>
      </c>
      <c r="B24" s="41" t="s">
        <v>357</v>
      </c>
      <c r="C24" s="42" t="s">
        <v>140</v>
      </c>
      <c r="D24" s="43" t="s">
        <v>105</v>
      </c>
      <c r="E24" s="24">
        <f>'Parcel 1 without DATSs'!H226</f>
        <v>0</v>
      </c>
      <c r="F24" s="37"/>
      <c r="G24" s="39" t="str">
        <f t="shared" si="0"/>
        <v>sust kpis no dats_PRODUCT QUALITY  _Protein % DRY MATTER</v>
      </c>
      <c r="H24" t="s">
        <v>1620</v>
      </c>
      <c r="M24"/>
    </row>
    <row r="25" spans="1:13">
      <c r="A25" s="46" t="s">
        <v>318</v>
      </c>
      <c r="B25" s="41" t="s">
        <v>358</v>
      </c>
      <c r="C25" s="42" t="s">
        <v>140</v>
      </c>
      <c r="D25" s="43" t="s">
        <v>105</v>
      </c>
      <c r="E25" s="24">
        <f>'Parcel 1 without DATSs'!H227</f>
        <v>0</v>
      </c>
      <c r="F25" s="37"/>
      <c r="G25" s="39" t="str">
        <f t="shared" si="0"/>
        <v>sust kpis no dats_PRODUCT QUALITY  _Humidity</v>
      </c>
      <c r="H25" t="s">
        <v>1621</v>
      </c>
      <c r="M25"/>
    </row>
    <row r="26" spans="1:13" ht="28.5">
      <c r="A26" s="46" t="s">
        <v>318</v>
      </c>
      <c r="B26" s="41" t="s">
        <v>359</v>
      </c>
      <c r="C26" s="42" t="s">
        <v>140</v>
      </c>
      <c r="D26" s="43" t="s">
        <v>360</v>
      </c>
      <c r="E26" s="24">
        <f>'Parcel 1 without DATSs'!H228</f>
        <v>0</v>
      </c>
      <c r="F26" s="37"/>
      <c r="G26" s="39" t="str">
        <f t="shared" si="0"/>
        <v xml:space="preserve">sust kpis no dats_PRODUCT QUALITY  _Test Weight </v>
      </c>
      <c r="H26" t="s">
        <v>1622</v>
      </c>
      <c r="M26"/>
    </row>
    <row r="27" spans="1:13">
      <c r="A27" s="51"/>
      <c r="B27" s="3"/>
      <c r="C27" s="52"/>
      <c r="D27" s="51"/>
      <c r="E27" s="51"/>
      <c r="F27" s="51"/>
      <c r="G27" s="39"/>
      <c r="M27"/>
    </row>
    <row r="28" spans="1:13" s="24" customFormat="1" ht="16.5" thickBot="1">
      <c r="A28" s="49" t="s">
        <v>220</v>
      </c>
      <c r="G28" s="39"/>
      <c r="H28"/>
      <c r="M28" s="48"/>
    </row>
    <row r="29" spans="1:13" s="24" customFormat="1">
      <c r="A29" s="47" t="s">
        <v>221</v>
      </c>
      <c r="B29" s="47" t="s">
        <v>143</v>
      </c>
      <c r="C29" s="47" t="s">
        <v>137</v>
      </c>
      <c r="D29" s="47" t="s">
        <v>138</v>
      </c>
      <c r="E29" s="47" t="s">
        <v>191</v>
      </c>
      <c r="F29" s="47" t="s">
        <v>144</v>
      </c>
      <c r="G29" s="39"/>
      <c r="H29"/>
      <c r="I29" s="50"/>
      <c r="J29" s="50"/>
      <c r="K29" s="50"/>
      <c r="L29" s="50"/>
      <c r="M29" s="50"/>
    </row>
    <row r="30" spans="1:13">
      <c r="A30" s="33" t="s">
        <v>176</v>
      </c>
      <c r="B30" s="41" t="s">
        <v>17</v>
      </c>
      <c r="C30" s="42" t="s">
        <v>140</v>
      </c>
      <c r="D30" s="43" t="s">
        <v>145</v>
      </c>
      <c r="E30" s="24">
        <f>('Parcel 1 without DATSs'!H101*'Parcel 1 without DATSs'!H102*('Parcel 1 without DATSs'!H103/100))+
('Parcel 1 without DATSs'!H108*'Parcel 1 without DATSs'!H109*('Parcel 1 without DATSs'!H110/100))+
('Parcel 1 without DATSs'!H115*'Parcel 1 without DATSs'!H116*('Parcel 1 without DATSs'!H117/100))+
('Parcel 1 without DATSs'!H122*'Parcel 1 without DATSs'!H123*('Parcel 1 without DATSs'!H124/100))+
('Parcel 1 without DATSs'!H129*'Parcel 1 without DATSs'!H130*('Parcel 1 without DATSs'!H131/100))+
('Parcel 1 without DATSs'!H136*'Parcel 1 without DATSs'!H137*('Parcel 1 without DATSs'!H138/100))+
('Parcel 1 without DATSs'!H143*'Parcel 1 without DATSs'!H144*('Parcel 1 without DATSs'!H145/100))+
('Parcel 1 without DATSs'!H150*'Parcel 1 without DATSs'!H151*('Parcel 1 without DATSs'!H152/100))+
('Parcel 1 without DATSs'!H157*'Parcel 1 without DATSs'!H158*('Parcel 1 without DATSs'!H159/100))+
('Parcel 1 without DATSs'!H164*'Parcel 1 without DATSs'!H165*('Parcel 1 without DATSs'!H166/100))</f>
        <v>522.41200000000003</v>
      </c>
      <c r="F30" s="37" t="s">
        <v>182</v>
      </c>
      <c r="G30" s="39" t="str">
        <f t="shared" si="0"/>
        <v>sust kpis no dats_FERTILISER_Nitrogen applied</v>
      </c>
      <c r="H30" t="s">
        <v>1626</v>
      </c>
      <c r="M30"/>
    </row>
    <row r="31" spans="1:13" ht="31.5">
      <c r="A31" s="33" t="s">
        <v>176</v>
      </c>
      <c r="B31" s="41" t="s">
        <v>18</v>
      </c>
      <c r="C31" s="42" t="s">
        <v>140</v>
      </c>
      <c r="D31" s="43" t="s">
        <v>105</v>
      </c>
      <c r="E31" s="24" t="e">
        <f>(('Parcel 1 without DATSs'!H250*1000/'Parcel 1 without DATSs'!E10)*'sust. impact KPIs NO DATS'!C100)/E30*100</f>
        <v>#VALUE!</v>
      </c>
      <c r="F31" s="37" t="s">
        <v>181</v>
      </c>
      <c r="G31" s="39" t="str">
        <f t="shared" si="0"/>
        <v>sust kpis no dats_FERTILISER_Nitrogen use efficiency</v>
      </c>
      <c r="H31" t="s">
        <v>1627</v>
      </c>
      <c r="M31"/>
    </row>
    <row r="32" spans="1:13">
      <c r="A32" s="33" t="s">
        <v>176</v>
      </c>
      <c r="B32" s="41" t="s">
        <v>19</v>
      </c>
      <c r="C32" s="42" t="s">
        <v>140</v>
      </c>
      <c r="D32" s="43" t="s">
        <v>145</v>
      </c>
      <c r="E32" s="24">
        <f>('Parcel 1 without DATSs'!H101*'Parcel 1 without DATSs'!H102*('Parcel 1 without DATSs'!H104/100))+
('Parcel 1 without DATSs'!H108*'Parcel 1 without DATSs'!H109*('Parcel 1 without DATSs'!H111/100))+
('Parcel 1 without DATSs'!H115*'Parcel 1 without DATSs'!H116*('Parcel 1 without DATSs'!H118/100))+
('Parcel 1 without DATSs'!H122*'Parcel 1 without DATSs'!H123*('Parcel 1 without DATSs'!H125/100))+
('Parcel 1 without DATSs'!H129*'Parcel 1 without DATSs'!H130*('Parcel 1 without DATSs'!H132/100))+
('Parcel 1 without DATSs'!H136*'Parcel 1 without DATSs'!H137*('Parcel 1 without DATSs'!H139/100))+
('Parcel 1 without DATSs'!H143*'Parcel 1 without DATSs'!H144*('Parcel 1 without DATSs'!H146/100))+
('Parcel 1 without DATSs'!H150*'Parcel 1 without DATSs'!H151*('Parcel 1 without DATSs'!H153/100))+
('Parcel 1 without DATSs'!H157*'Parcel 1 without DATSs'!H158*('Parcel 1 without DATSs'!H160/100))+
('Parcel 1 without DATSs'!H164*'Parcel 1 without DATSs'!H165*('Parcel 1 without DATSs'!H167/100))</f>
        <v>39.97</v>
      </c>
      <c r="F32" s="37" t="s">
        <v>183</v>
      </c>
      <c r="G32" s="39" t="str">
        <f t="shared" si="0"/>
        <v>sust kpis no dats_FERTILISER_Phosphorus applied</v>
      </c>
      <c r="H32" t="s">
        <v>1628</v>
      </c>
      <c r="M32"/>
    </row>
    <row r="33" spans="1:13" ht="31.5">
      <c r="A33" s="33" t="s">
        <v>176</v>
      </c>
      <c r="B33" s="41" t="s">
        <v>20</v>
      </c>
      <c r="C33" s="42" t="s">
        <v>140</v>
      </c>
      <c r="D33" s="43" t="s">
        <v>105</v>
      </c>
      <c r="E33" s="24" t="e">
        <f>(('Parcel 1 without DATSs'!H250*1000/'Parcel 1 without DATSs'!E10)*'sust. impact KPIs NO DATS'!C101)/E32*100</f>
        <v>#VALUE!</v>
      </c>
      <c r="F33" s="37" t="s">
        <v>184</v>
      </c>
      <c r="G33" s="39" t="str">
        <f t="shared" si="0"/>
        <v>sust kpis no dats_FERTILISER_Phosphorus use efficiency</v>
      </c>
      <c r="H33" t="s">
        <v>1629</v>
      </c>
      <c r="M33"/>
    </row>
    <row r="34" spans="1:13">
      <c r="A34" s="33" t="s">
        <v>176</v>
      </c>
      <c r="B34" s="41" t="s">
        <v>293</v>
      </c>
      <c r="C34" s="155" t="s">
        <v>140</v>
      </c>
      <c r="D34" s="43" t="s">
        <v>145</v>
      </c>
      <c r="E34" s="154">
        <f>('Parcel 1 without DATSs'!H101*'Parcel 1 without DATSs'!H102*('Parcel 1 without DATSs'!H105/100))+
('Parcel 1 without DATSs'!H108*'Parcel 1 without DATSs'!H109*('Parcel 1 without DATSs'!H112/100))+
('Parcel 1 without DATSs'!H115*'Parcel 1 without DATSs'!H116*('Parcel 1 without DATSs'!H119/100))+
('Parcel 1 without DATSs'!H122*'Parcel 1 without DATSs'!H123*('Parcel 1 without DATSs'!H126/100))+
('Parcel 1 without DATSs'!H129*'Parcel 1 without DATSs'!H130*('Parcel 1 without DATSs'!H133/100))+
('Parcel 1 without DATSs'!H136*'Parcel 1 without DATSs'!H137*('Parcel 1 without DATSs'!H140/100))+
('Parcel 1 without DATSs'!H143*'Parcel 1 without DATSs'!H144*('Parcel 1 without DATSs'!H147/100))+
('Parcel 1 without DATSs'!H150*'Parcel 1 without DATSs'!H151*('Parcel 1 without DATSs'!H154/100))+
('Parcel 1 without DATSs'!H157*'Parcel 1 without DATSs'!H158*('Parcel 1 without DATSs'!H161/100))+
('Parcel 1 without DATSs'!H164*'Parcel 1 without DATSs'!H165*('Parcel 1 without DATSs'!H168/100))</f>
        <v>198.05199999999999</v>
      </c>
      <c r="F34" s="37" t="s">
        <v>283</v>
      </c>
      <c r="G34" s="39" t="str">
        <f t="shared" si="0"/>
        <v>sust kpis no dats_FERTILISER_Potassium applied</v>
      </c>
      <c r="H34" t="s">
        <v>1630</v>
      </c>
      <c r="M34"/>
    </row>
    <row r="35" spans="1:13" ht="31.5">
      <c r="A35" s="33" t="s">
        <v>176</v>
      </c>
      <c r="B35" s="41" t="s">
        <v>282</v>
      </c>
      <c r="C35" s="155" t="s">
        <v>140</v>
      </c>
      <c r="D35" s="43" t="s">
        <v>105</v>
      </c>
      <c r="E35" s="154" t="e">
        <f>(('Parcel 1 without DATSs'!H250*1000/'Parcel 1 without DATSs'!E10)*'sust. impact KPIs NO DATS'!C102)/E34*100</f>
        <v>#VALUE!</v>
      </c>
      <c r="F35" s="37" t="s">
        <v>284</v>
      </c>
      <c r="G35" s="39" t="str">
        <f t="shared" si="0"/>
        <v>sust kpis no dats_FERTILISER_Potassium use efficiency</v>
      </c>
      <c r="H35" t="s">
        <v>1631</v>
      </c>
      <c r="M35"/>
    </row>
    <row r="36" spans="1:13" ht="31.5">
      <c r="A36" s="33" t="s">
        <v>174</v>
      </c>
      <c r="B36" s="41" t="s">
        <v>391</v>
      </c>
      <c r="C36" s="42" t="s">
        <v>140</v>
      </c>
      <c r="D36" s="43" t="s">
        <v>145</v>
      </c>
      <c r="E36" s="24">
        <f>('Parcel 1 without DATSs'!H67*'Parcel 1 without DATSs'!H68)+
('Parcel 1 without DATSs'!H70*'Parcel 1 without DATSs'!H71)+
('Parcel 1 without DATSs'!H73*'Parcel 1 without DATSs'!H74)+
('Parcel 1 without DATSs'!H76*'Parcel 1 without DATSs'!H77)+
('Parcel 1 without DATSs'!H79*'Parcel 1 without DATSs'!H80)+
('Parcel 1 without DATSs'!H82*'Parcel 1 without DATSs'!H83)+
('Parcel 1 without DATSs'!H85*'Parcel 1 without DATSs'!H86)+
('Parcel 1 without DATSs'!H88*'Parcel 1 without DATSs'!H89)+
('Parcel 1 without DATSs'!H91*'Parcel 1 without DATSs'!H92)+
('Parcel 1 without DATSs'!H94*'Parcel 1 without DATSs'!H95)</f>
        <v>0</v>
      </c>
      <c r="F36" s="37" t="s">
        <v>296</v>
      </c>
      <c r="G36" s="39" t="str">
        <f t="shared" si="0"/>
        <v>sust kpis no dats_PESTICIDE _Pesticides, herbicides and fungicides use</v>
      </c>
      <c r="H36" t="s">
        <v>1632</v>
      </c>
      <c r="M36"/>
    </row>
    <row r="37" spans="1:13" ht="28.5">
      <c r="A37" s="33" t="s">
        <v>0</v>
      </c>
      <c r="B37" s="41" t="s">
        <v>764</v>
      </c>
      <c r="C37" s="42" t="s">
        <v>140</v>
      </c>
      <c r="D37" s="43" t="str">
        <f>IFERROR(VLOOKUP('General Information'!$D$6, Validations!$J$2:$K$8, 2,FALSE), "")</f>
        <v>m3/ha</v>
      </c>
      <c r="E37" s="24" t="e">
        <f>'Parcel 1 without DATSs'!H29/(IF('General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37" s="37" t="s">
        <v>185</v>
      </c>
      <c r="G37" s="39" t="str">
        <f t="shared" si="0"/>
        <v xml:space="preserve">sust kpis no dats_WATER _Water consumption </v>
      </c>
      <c r="H37" t="s">
        <v>1633</v>
      </c>
      <c r="M37"/>
    </row>
    <row r="38" spans="1:13">
      <c r="A38" s="33" t="s">
        <v>0</v>
      </c>
      <c r="B38" s="41" t="s">
        <v>392</v>
      </c>
      <c r="C38" s="42" t="s">
        <v>140</v>
      </c>
      <c r="D38" s="43" t="s">
        <v>393</v>
      </c>
      <c r="E38" s="24"/>
      <c r="F38" s="37" t="s">
        <v>280</v>
      </c>
      <c r="G38" s="39" t="str">
        <f t="shared" si="0"/>
        <v xml:space="preserve">sust kpis no dats_WATER _Aquaculture water productivity </v>
      </c>
      <c r="H38" t="s">
        <v>1634</v>
      </c>
      <c r="M38"/>
    </row>
    <row r="39" spans="1:13">
      <c r="A39" s="33" t="s">
        <v>0</v>
      </c>
      <c r="B39" s="41" t="s">
        <v>21</v>
      </c>
      <c r="C39" s="42" t="s">
        <v>140</v>
      </c>
      <c r="D39" s="43" t="s">
        <v>422</v>
      </c>
      <c r="E39" s="24">
        <f>(('Parcel 1 without DATSs'!H250)*1000)/(IF(('Parcel 1 without DATSs'!H24+'Parcel 1 without DATSs'!H25)&gt;0,('Parcel 1 without DATSs'!H24+'Parcel 1 without DATSs'!H25),'Parcel 1 without DATSs'!H29))</f>
        <v>58.539264140582098</v>
      </c>
      <c r="F39" s="37" t="s">
        <v>186</v>
      </c>
      <c r="G39" s="39" t="str">
        <f t="shared" si="0"/>
        <v>sust kpis no dats_WATER _Irrigation water productivity</v>
      </c>
      <c r="H39" t="s">
        <v>1635</v>
      </c>
      <c r="M39"/>
    </row>
    <row r="40" spans="1:13">
      <c r="A40" s="33" t="s">
        <v>165</v>
      </c>
      <c r="B40" s="41" t="s">
        <v>22</v>
      </c>
      <c r="C40" s="42" t="s">
        <v>140</v>
      </c>
      <c r="D40" s="43" t="str">
        <f>IFERROR(VLOOKUP('General Information'!$D$6, Validations!$W$2:$X$8, 2,FALSE), "")</f>
        <v>kWh/ha</v>
      </c>
      <c r="E40" s="24" t="e">
        <f>'Parcel 1 without DATSs'!H62/(IF('General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40" s="37" t="s">
        <v>187</v>
      </c>
      <c r="G40" s="39" t="str">
        <f t="shared" si="0"/>
        <v>sust kpis no dats_ELECTRICITY_Electricity consumption</v>
      </c>
      <c r="H40" t="s">
        <v>1636</v>
      </c>
      <c r="M40"/>
    </row>
    <row r="41" spans="1:13" s="22" customFormat="1" ht="31.5">
      <c r="A41" s="33" t="s">
        <v>339</v>
      </c>
      <c r="B41" s="41" t="s">
        <v>35</v>
      </c>
      <c r="C41" s="42" t="s">
        <v>140</v>
      </c>
      <c r="D41" s="43" t="s">
        <v>159</v>
      </c>
      <c r="E41" s="24" t="e">
        <f>'Parcel 1 without DATSs'!H235/'Parcel 1 without DATSs'!H236</f>
        <v>#DIV/0!</v>
      </c>
      <c r="F41" s="37" t="s">
        <v>127</v>
      </c>
      <c r="G41" s="39" t="str">
        <f t="shared" si="0"/>
        <v xml:space="preserve">sust kpis no dats_ANIMAL _Ease of movement </v>
      </c>
      <c r="H41" t="s">
        <v>1637</v>
      </c>
      <c r="J41" s="31"/>
      <c r="K41" s="3"/>
      <c r="M41" s="3"/>
    </row>
    <row r="42" spans="1:13" s="22" customFormat="1">
      <c r="A42" s="33" t="s">
        <v>339</v>
      </c>
      <c r="B42" s="41" t="s">
        <v>406</v>
      </c>
      <c r="C42" s="42" t="s">
        <v>140</v>
      </c>
      <c r="D42" s="43" t="s">
        <v>105</v>
      </c>
      <c r="E42" s="24" t="e">
        <f>'Parcel 1 without DATSs'!H232/'Parcel 1 without DATSs'!E17*100</f>
        <v>#VALUE!</v>
      </c>
      <c r="F42" s="37" t="s">
        <v>160</v>
      </c>
      <c r="G42" s="39" t="str">
        <f t="shared" si="0"/>
        <v xml:space="preserve">sust kpis no dats_ANIMAL _Mortality rate (livestock) </v>
      </c>
      <c r="H42" t="s">
        <v>1638</v>
      </c>
      <c r="J42" s="31"/>
      <c r="K42" s="3"/>
      <c r="M42" s="3"/>
    </row>
    <row r="43" spans="1:13" s="22" customFormat="1">
      <c r="A43" s="33" t="s">
        <v>339</v>
      </c>
      <c r="B43" s="41" t="s">
        <v>403</v>
      </c>
      <c r="C43" s="42" t="s">
        <v>140</v>
      </c>
      <c r="D43" s="43" t="s">
        <v>105</v>
      </c>
      <c r="E43" s="24" t="e">
        <f>'Parcel 1 without DATSs'!H232/'Parcel 1 without DATSs'!E20</f>
        <v>#VALUE!</v>
      </c>
      <c r="F43" s="37" t="s">
        <v>405</v>
      </c>
      <c r="G43" s="39" t="str">
        <f t="shared" si="0"/>
        <v>sust kpis no dats_ANIMAL _Mortality rate (aquaculture)</v>
      </c>
      <c r="H43" t="s">
        <v>1639</v>
      </c>
      <c r="J43" s="31"/>
      <c r="K43" s="3"/>
      <c r="M43" s="3"/>
    </row>
    <row r="44" spans="1:13" s="22" customFormat="1">
      <c r="A44" s="33" t="s">
        <v>339</v>
      </c>
      <c r="B44" s="41" t="s">
        <v>404</v>
      </c>
      <c r="C44" s="42" t="s">
        <v>140</v>
      </c>
      <c r="D44" s="43" t="s">
        <v>105</v>
      </c>
      <c r="E44" s="24" t="e">
        <f>'Parcel 1 without DATSs'!H232/'Parcel 1 without DATSs'!E19*100</f>
        <v>#VALUE!</v>
      </c>
      <c r="F44" s="37" t="s">
        <v>405</v>
      </c>
      <c r="G44" s="39" t="str">
        <f t="shared" si="0"/>
        <v>sust kpis no dats_ANIMAL _Mortality rate (apiculture)</v>
      </c>
      <c r="H44" t="s">
        <v>1640</v>
      </c>
      <c r="J44" s="31"/>
      <c r="K44" s="3"/>
      <c r="M44" s="3"/>
    </row>
    <row r="45" spans="1:13" s="22" customFormat="1" ht="31.5">
      <c r="A45" s="33" t="s">
        <v>339</v>
      </c>
      <c r="B45" s="41" t="s">
        <v>36</v>
      </c>
      <c r="C45" s="42" t="s">
        <v>140</v>
      </c>
      <c r="D45" s="43" t="s">
        <v>105</v>
      </c>
      <c r="E45" s="24" t="e">
        <f>'Parcel 1 without DATSs'!H233/'Parcel 1 without DATSs'!H234</f>
        <v>#DIV/0!</v>
      </c>
      <c r="F45" s="37" t="s">
        <v>161</v>
      </c>
      <c r="G45" s="39" t="str">
        <f t="shared" si="0"/>
        <v>sust kpis no dats_ANIMAL _Mortality rate at birth</v>
      </c>
      <c r="H45" t="s">
        <v>1641</v>
      </c>
      <c r="J45" s="31"/>
      <c r="K45" s="3"/>
      <c r="M45" s="3"/>
    </row>
    <row r="46" spans="1:13" s="22" customFormat="1" ht="31.5">
      <c r="A46" s="33" t="s">
        <v>339</v>
      </c>
      <c r="B46" s="41" t="s">
        <v>320</v>
      </c>
      <c r="C46" s="42" t="s">
        <v>140</v>
      </c>
      <c r="D46" s="43" t="s">
        <v>105</v>
      </c>
      <c r="E46" s="24" t="e">
        <f>'Parcel 1 without DATSs'!H237/'Parcel 1 without DATSs'!E17</f>
        <v>#VALUE!</v>
      </c>
      <c r="F46" s="37" t="s">
        <v>321</v>
      </c>
      <c r="G46" s="39" t="str">
        <f t="shared" si="0"/>
        <v>sust kpis no dats_ANIMAL _Cows with high SCC</v>
      </c>
      <c r="H46" t="s">
        <v>1642</v>
      </c>
      <c r="J46" s="31"/>
      <c r="K46" s="3"/>
      <c r="M46" s="3"/>
    </row>
    <row r="47" spans="1:13" s="22" customFormat="1">
      <c r="A47" s="33" t="s">
        <v>12</v>
      </c>
      <c r="B47" s="41" t="s">
        <v>278</v>
      </c>
      <c r="C47" s="42" t="s">
        <v>140</v>
      </c>
      <c r="D47" s="43">
        <f>IFERROR(VLOOKUP('General Information'!$D$6, Validations!$AA$2:$AB$8, 2,FALSE), "")</f>
        <v>0</v>
      </c>
      <c r="E47" s="24" t="e">
        <f>('Parcel 1 without DATSs'!H186+'Parcel 1 without DATSs'!H188+'Parcel 1 without DATSs'!H190)/(IF('General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47" s="37" t="s">
        <v>271</v>
      </c>
      <c r="G47" s="39" t="str">
        <f t="shared" si="0"/>
        <v xml:space="preserve">sust kpis no dats_DRUGS _Drugs use in dairy livestock </v>
      </c>
      <c r="H47" t="s">
        <v>1643</v>
      </c>
      <c r="J47" s="31"/>
      <c r="K47" s="3"/>
      <c r="M47" s="3"/>
    </row>
    <row r="48" spans="1:13" s="22" customFormat="1" ht="28.5">
      <c r="A48" s="33" t="s">
        <v>12</v>
      </c>
      <c r="B48" s="41" t="s">
        <v>279</v>
      </c>
      <c r="C48" s="42" t="s">
        <v>140</v>
      </c>
      <c r="D48" s="43">
        <f>IFERROR(VLOOKUP('General Information'!$D$6, Validations!$AA$2:$AB$8, 2,FALSE), "")</f>
        <v>0</v>
      </c>
      <c r="E48" s="24" t="e">
        <f>('Parcel 1 without DATSs'!H186+'Parcel 1 without DATSs'!H188+'Parcel 1 without DATSs'!H190)/(IF('General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48" s="37" t="s">
        <v>271</v>
      </c>
      <c r="G48" s="39" t="str">
        <f t="shared" si="0"/>
        <v xml:space="preserve">sust kpis no dats_DRUGS _Drugs use in meat livestock   </v>
      </c>
      <c r="H48" t="s">
        <v>1644</v>
      </c>
      <c r="J48" s="31"/>
      <c r="K48" s="3"/>
      <c r="M48" s="3"/>
    </row>
    <row r="49" spans="1:13" s="22" customFormat="1">
      <c r="A49" s="33" t="s">
        <v>12</v>
      </c>
      <c r="B49" s="41" t="s">
        <v>270</v>
      </c>
      <c r="C49" s="42" t="s">
        <v>140</v>
      </c>
      <c r="D49" s="43" t="s">
        <v>556</v>
      </c>
      <c r="E49" s="24" t="e">
        <f>('Parcel 1 without DATSs'!H186+'Parcel 1 without DATSs'!H188+'Parcel 1 without DATSs'!H190)/'Parcel 1 without DATSs'!E20</f>
        <v>#VALUE!</v>
      </c>
      <c r="F49" s="37" t="s">
        <v>271</v>
      </c>
      <c r="G49" s="39" t="str">
        <f t="shared" si="0"/>
        <v xml:space="preserve">sust kpis no dats_DRUGS _Drugs use in aquaculture </v>
      </c>
      <c r="H49" t="s">
        <v>1645</v>
      </c>
      <c r="J49" s="31"/>
      <c r="K49" s="3"/>
      <c r="M49" s="3"/>
    </row>
    <row r="50" spans="1:13" s="22" customFormat="1">
      <c r="A50" s="33" t="s">
        <v>12</v>
      </c>
      <c r="B50" s="41" t="s">
        <v>269</v>
      </c>
      <c r="C50" s="42" t="s">
        <v>140</v>
      </c>
      <c r="D50" s="43" t="s">
        <v>481</v>
      </c>
      <c r="E50" s="24" t="e">
        <f>('Parcel 1 without DATSs'!H186+'Parcel 1 without DATSs'!H188+'Parcel 1 without DATSs'!H190)/'Parcel 1 without DATSs'!E19</f>
        <v>#VALUE!</v>
      </c>
      <c r="F50" s="37" t="s">
        <v>271</v>
      </c>
      <c r="G50" s="39" t="str">
        <f t="shared" si="0"/>
        <v xml:space="preserve">sust kpis no dats_DRUGS _Drugs use in apiculture </v>
      </c>
      <c r="H50" t="s">
        <v>1646</v>
      </c>
      <c r="J50" s="31"/>
      <c r="K50" s="3"/>
      <c r="M50" s="3"/>
    </row>
    <row r="51" spans="1:13" ht="31.5">
      <c r="A51" s="33" t="s">
        <v>164</v>
      </c>
      <c r="B51" s="41" t="s">
        <v>23</v>
      </c>
      <c r="C51" s="42" t="s">
        <v>140</v>
      </c>
      <c r="D51" s="43" t="str">
        <f>IFERROR(VLOOKUP('General Information'!$D$6, Validations!$AA$2:$AC$8, 3,FALSE), "")</f>
        <v>kg CO2 eq/ha</v>
      </c>
      <c r="E51" s="24" t="e">
        <f>('Parcel 1 without DATSs'!H43*'sust. impact KPIs NO DATS'!C96*'sust. impact KPIs NO DATS'!C97)/(IF('General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51" s="37" t="s">
        <v>188</v>
      </c>
      <c r="G51" s="39" t="str">
        <f t="shared" si="0"/>
        <v xml:space="preserve">sust kpis no dats_FUEL _Fuel GHG emission </v>
      </c>
      <c r="H51" t="s">
        <v>1647</v>
      </c>
      <c r="M51"/>
    </row>
    <row r="52" spans="1:13">
      <c r="A52" s="33" t="s">
        <v>164</v>
      </c>
      <c r="B52" s="41" t="s">
        <v>297</v>
      </c>
      <c r="C52" s="42" t="s">
        <v>140</v>
      </c>
      <c r="D52" s="43" t="s">
        <v>222</v>
      </c>
      <c r="E52" s="24" t="e">
        <f>'Parcel 1 without DATSs'!H43/'Parcel 1 without DATSs'!E10</f>
        <v>#VALUE!</v>
      </c>
      <c r="F52" s="37" t="s">
        <v>323</v>
      </c>
      <c r="G52" s="39" t="str">
        <f t="shared" si="0"/>
        <v xml:space="preserve">sust kpis no dats_FUEL _Arable and horticulture fuel consumption </v>
      </c>
      <c r="H52" t="s">
        <v>1648</v>
      </c>
      <c r="M52"/>
    </row>
    <row r="53" spans="1:13">
      <c r="A53" s="33" t="s">
        <v>164</v>
      </c>
      <c r="B53" s="41" t="s">
        <v>298</v>
      </c>
      <c r="C53" s="42" t="s">
        <v>140</v>
      </c>
      <c r="D53" s="43" t="str">
        <f>IFERROR(VLOOKUP('General Information'!$D$6, Validations!$AA$2:$AD$8, 4,FALSE), "")</f>
        <v>l/ha</v>
      </c>
      <c r="E53" s="24" t="e">
        <f>'Parcel 1 without DATSs'!H43/'Parcel 1 without DATSs'!E17</f>
        <v>#VALUE!</v>
      </c>
      <c r="F53" s="37" t="s">
        <v>329</v>
      </c>
      <c r="G53" s="39" t="str">
        <f t="shared" si="0"/>
        <v xml:space="preserve">sust kpis no dats_FUEL _Livestock fuel consumption </v>
      </c>
      <c r="H53" t="s">
        <v>1649</v>
      </c>
      <c r="M53"/>
    </row>
    <row r="54" spans="1:13">
      <c r="A54" s="33" t="s">
        <v>164</v>
      </c>
      <c r="B54" s="41" t="s">
        <v>299</v>
      </c>
      <c r="C54" s="42" t="s">
        <v>140</v>
      </c>
      <c r="D54" s="43" t="s">
        <v>326</v>
      </c>
      <c r="E54" s="24" t="e">
        <f>'Parcel 1 without DATSs'!H43/'Parcel 1 without DATSs'!E20</f>
        <v>#VALUE!</v>
      </c>
      <c r="F54" s="37" t="s">
        <v>325</v>
      </c>
      <c r="G54" s="39" t="str">
        <f t="shared" si="0"/>
        <v xml:space="preserve">sust kpis no dats_FUEL _Aquaculture fuel consumption </v>
      </c>
      <c r="H54" t="s">
        <v>1650</v>
      </c>
      <c r="M54"/>
    </row>
    <row r="55" spans="1:13">
      <c r="A55" s="33" t="s">
        <v>164</v>
      </c>
      <c r="B55" s="41" t="s">
        <v>300</v>
      </c>
      <c r="C55" s="42" t="s">
        <v>140</v>
      </c>
      <c r="D55" s="43" t="s">
        <v>327</v>
      </c>
      <c r="E55" s="24" t="e">
        <f>'Parcel 1 without DATSs'!H43/'Parcel 1 without DATSs'!E19</f>
        <v>#VALUE!</v>
      </c>
      <c r="F55" s="37" t="s">
        <v>328</v>
      </c>
      <c r="G55" s="39" t="str">
        <f t="shared" si="0"/>
        <v xml:space="preserve">sust kpis no dats_FUEL _Apiculture fuel consumption </v>
      </c>
      <c r="H55" t="s">
        <v>1651</v>
      </c>
      <c r="M55"/>
    </row>
    <row r="56" spans="1:13" ht="31.5">
      <c r="A56" s="33" t="s">
        <v>176</v>
      </c>
      <c r="B56" s="27" t="s">
        <v>407</v>
      </c>
      <c r="C56" s="42" t="s">
        <v>140</v>
      </c>
      <c r="D56" s="231"/>
      <c r="E56" s="22">
        <f>E30*C89*C91</f>
        <v>1.3791676800000001</v>
      </c>
      <c r="F56" s="37" t="s">
        <v>408</v>
      </c>
      <c r="G56" s="39" t="str">
        <f t="shared" si="0"/>
        <v>sust kpis no dats_FERTILISER_indirect leaching/runoff</v>
      </c>
      <c r="H56" t="s">
        <v>1652</v>
      </c>
      <c r="M56"/>
    </row>
    <row r="57" spans="1:13" ht="47.25">
      <c r="A57" s="33" t="s">
        <v>176</v>
      </c>
      <c r="B57" s="27" t="s">
        <v>150</v>
      </c>
      <c r="C57" s="42" t="s">
        <v>140</v>
      </c>
      <c r="D57" s="231"/>
      <c r="E57" s="22">
        <f>((((IF('Parcel 1 without DATSs'!H100="Mineral",'Parcel 1 without DATSs'!H101*'Parcel 1 without DATSs'!H102*'Parcel 1 without DATSs'!H103/100,0)) +
(IF('Parcel 1 without DATSs'!H107="Mineral",'Parcel 1 without DATSs'!H108*'Parcel 1 without DATSs'!H109*'Parcel 1 without DATSs'!H110/100,0)) +
(IF('Parcel 1 without DATSs'!H114="Mineral",'Parcel 1 without DATSs'!H115*'Parcel 1 without DATSs'!H116*'Parcel 1 without DATSs'!H117/100,0)) +
(IF('Parcel 1 without DATSs'!H121="Mineral",'Parcel 1 without DATSs'!H122*'Parcel 1 without DATSs'!H123*'Parcel 1 without DATSs'!H124/100,0)) +
(IF('Parcel 1 without DATSs'!H128="Mineral",'Parcel 1 without DATSs'!H129*'Parcel 1 without DATSs'!H130*'Parcel 1 without DATSs'!H131/100,0)) +
(IF('Parcel 1 without DATSs'!H135="Mineral",'Parcel 1 without DATSs'!H136*'Parcel 1 without DATSs'!H137*'Parcel 1 without DATSs'!H138/100,0)) +
(IF('Parcel 1 without DATSs'!H142="Mineral",'Parcel 1 without DATSs'!H143*'Parcel 1 without DATSs'!H144*'Parcel 1 without DATSs'!H145/100,0)) +
(IF('Parcel 1 without DATSs'!H149="Mineral",'Parcel 1 without DATSs'!H150*'Parcel 1 without DATSs'!H151*'Parcel 1 without DATSs'!H152/100,0)) +
(IF('Parcel 1 without DATSs'!H156="Mineral",'Parcel 1 without DATSs'!H157*'Parcel 1 without DATSs'!H158*'Parcel 1 without DATSs'!H159/100,0)) +
(IF('Parcel 1 without DATSs'!H163="Mineral",'Parcel 1 without DATSs'!H164*'Parcel 1 without DATSs'!H165*'Parcel 1 without DATSs'!H166/100,0)))*'sust. impact KPIs DATS'!C87) +
(((IF('Parcel 1 without DATSs'!H100="Organic",'Parcel 1 without DATSs'!H101*'Parcel 1 without DATSs'!H102*'Parcel 1 without DATSs'!H103/100,0)) +
(IF('Parcel 1 without DATSs'!H107="Organic",'Parcel 1 without DATSs'!H108*'Parcel 1 without DATSs'!H109*'Parcel 1 without DATSs'!H110/100,0)) +
(IF('Parcel 1 without DATSs'!H114="Organic",'Parcel 1 without DATSs'!H115*'Parcel 1 without DATSs'!H116*'Parcel 1 without DATSs'!H117/100,0)) +
(IF('Parcel 1 without DATSs'!H121="Organic",'Parcel 1 without DATSs'!H122*'Parcel 1 without DATSs'!H123*'Parcel 1 without DATSs'!H124/100,0)) +
(IF('Parcel 1 without DATSs'!H128="Organic",'Parcel 1 without DATSs'!H129*'Parcel 1 without DATSs'!H130*'Parcel 1 without DATSs'!H131/100,0)) +
(IF('Parcel 1 without DATSs'!H135="Organic",'Parcel 1 without DATSs'!H136*'Parcel 1 without DATSs'!H137*'Parcel 1 without DATSs'!H138/100,0)) +
(IF('Parcel 1 without DATSs'!H142="Organic",'Parcel 1 without DATSs'!H143*'Parcel 1 without DATSs'!H144*'Parcel 1 without DATSs'!H145/100,0)) +
(IF('Parcel 1 without DATSs'!H149="Organic",'Parcel 1 without DATSs'!H150*'Parcel 1 without DATSs'!H151*'Parcel 1 without DATSs'!H152/100,0)) +
(IF('Parcel 1 without DATSs'!H156="Organic",'Parcel 1 without DATSs'!H157*'Parcel 1 without DATSs'!H158*'Parcel 1 without DATSs'!H159/100,0)) +
(IF('Parcel 1 without DATSs'!H163="Organic",'Parcel 1 without DATSs'!H164*'Parcel 1 without DATSs'!H165*'Parcel 1 without DATSs'!H166/100,0)))*'sust. impact KPIs DATS'!C88))
*'sust. impact KPIs DATS'!C84</f>
        <v>0.57465320000000009</v>
      </c>
      <c r="F57" s="37" t="s">
        <v>409</v>
      </c>
      <c r="G57" s="39" t="str">
        <f t="shared" si="0"/>
        <v>sust kpis no dats_FERTILISER_indirect volatilisation</v>
      </c>
      <c r="H57" t="s">
        <v>1653</v>
      </c>
      <c r="M57"/>
    </row>
    <row r="58" spans="1:13" s="22" customFormat="1">
      <c r="A58" s="33" t="s">
        <v>176</v>
      </c>
      <c r="B58" s="27" t="s">
        <v>149</v>
      </c>
      <c r="C58" s="42" t="s">
        <v>140</v>
      </c>
      <c r="D58" s="26"/>
      <c r="E58" s="22">
        <f>E30*C79</f>
        <v>5.2241200000000001</v>
      </c>
      <c r="F58" s="37" t="s">
        <v>410</v>
      </c>
      <c r="G58" s="39" t="str">
        <f t="shared" si="0"/>
        <v>sust kpis no dats_FERTILISER_direct</v>
      </c>
      <c r="H58" t="s">
        <v>1654</v>
      </c>
      <c r="I58" s="53"/>
      <c r="K58" s="27"/>
      <c r="L58" s="27"/>
    </row>
    <row r="59" spans="1:13" s="22" customFormat="1" ht="28.5">
      <c r="A59" s="33" t="s">
        <v>176</v>
      </c>
      <c r="B59" s="41" t="s">
        <v>24</v>
      </c>
      <c r="C59" s="42" t="s">
        <v>140</v>
      </c>
      <c r="D59" s="40" t="s">
        <v>147</v>
      </c>
      <c r="E59" s="24">
        <f>(E58+E57+E56)*C92*C93</f>
        <v>3079.3366375200003</v>
      </c>
      <c r="F59" s="37" t="s">
        <v>148</v>
      </c>
      <c r="G59" s="39" t="str">
        <f t="shared" si="0"/>
        <v xml:space="preserve">sust kpis no dats_FERTILISER_N2O GHG emission </v>
      </c>
      <c r="H59" t="s">
        <v>1655</v>
      </c>
      <c r="M59" s="3"/>
    </row>
    <row r="60" spans="1:13" s="22" customFormat="1">
      <c r="A60" s="33" t="s">
        <v>612</v>
      </c>
      <c r="B60" s="41" t="s">
        <v>614</v>
      </c>
      <c r="C60" s="42" t="s">
        <v>140</v>
      </c>
      <c r="D60" s="40" t="str">
        <f>D51</f>
        <v>kg CO2 eq/ha</v>
      </c>
      <c r="E60" s="54" t="e">
        <f>E59+E51</f>
        <v>#VALUE!</v>
      </c>
      <c r="F60" s="3"/>
      <c r="G60" s="39" t="str">
        <f t="shared" si="0"/>
        <v>sust kpis no dats_GHG_total ghg emissions</v>
      </c>
      <c r="H60" t="s">
        <v>1656</v>
      </c>
      <c r="I60" s="3"/>
      <c r="J60" s="3"/>
      <c r="L60" s="3"/>
      <c r="M60" s="3"/>
    </row>
    <row r="61" spans="1:13" ht="16.5" thickBot="1">
      <c r="A61" s="28" t="s">
        <v>335</v>
      </c>
      <c r="B61" s="22"/>
      <c r="C61" s="22"/>
      <c r="D61" s="22"/>
      <c r="E61" s="24"/>
      <c r="F61" s="22"/>
      <c r="G61" s="39"/>
      <c r="I61" s="22"/>
      <c r="J61" s="22"/>
      <c r="K61" s="3"/>
      <c r="L61" s="22"/>
      <c r="M61" s="23"/>
    </row>
    <row r="62" spans="1:13">
      <c r="A62" s="47"/>
      <c r="B62" s="47" t="s">
        <v>143</v>
      </c>
      <c r="C62" s="47" t="s">
        <v>137</v>
      </c>
      <c r="D62" s="47" t="s">
        <v>138</v>
      </c>
      <c r="E62" s="47" t="s">
        <v>191</v>
      </c>
      <c r="F62" s="47" t="s">
        <v>144</v>
      </c>
      <c r="G62" s="39"/>
      <c r="I62" s="30"/>
      <c r="J62" s="30"/>
      <c r="K62" s="30"/>
      <c r="M62"/>
    </row>
    <row r="63" spans="1:13" ht="32.25" thickBot="1">
      <c r="A63" s="28" t="s">
        <v>335</v>
      </c>
      <c r="B63" s="41" t="s">
        <v>25</v>
      </c>
      <c r="C63" s="29" t="s">
        <v>155</v>
      </c>
      <c r="D63" s="43" t="s">
        <v>156</v>
      </c>
      <c r="E63" s="24">
        <v>0</v>
      </c>
      <c r="F63" s="37" t="s">
        <v>157</v>
      </c>
      <c r="G63" s="39" t="str">
        <f t="shared" si="0"/>
        <v>sust kpis no dats_SOCIAL KPIs_Training hours (for the use of DATs)</v>
      </c>
      <c r="H63" t="s">
        <v>1659</v>
      </c>
    </row>
    <row r="64" spans="1:13" ht="32.25" thickBot="1">
      <c r="A64" s="28" t="s">
        <v>335</v>
      </c>
      <c r="B64" s="41" t="s">
        <v>26</v>
      </c>
      <c r="C64" s="55" t="s">
        <v>140</v>
      </c>
      <c r="D64" s="43" t="str">
        <f>IFERROR(VLOOKUP('General Information'!$D$6, Validations!$L$2:$N$8, 3,FALSE), "")</f>
        <v>h/ha</v>
      </c>
      <c r="E64" s="24" t="e" cm="1">
        <f t="array" ref="E64">(SUM(SUMIFS('Parcel 1 without DATSs'!H194:H218,'Parcel 1 without DATSs'!C194:C218,'Analysis DATS vs. NO DATS'!C12:C36,'Analysis DATS vs. NO DATS'!J12:J36,1)))/(IF('General Information'!D6="crop",'Parcel 1 without DATSs'!E10,IF('General Information'!D6="milk",'Parcel 1 without DATSs'!H251,IF('General Information'!D6="meat",'Parcel 1 without DATSs'!H252,IF('General Information'!D6="animal",'Parcel 1 without DATSs'!H253,IF('General Information'!D6="oyster",'Parcel 1 without DATSs'!H254,IF('General Information'!D6="honey",'Parcel 1 without DATSs'!H255,'Parcel 1 without DATSs'!H256)))))))</f>
        <v>#VALUE!</v>
      </c>
      <c r="F64" s="37" t="s">
        <v>717</v>
      </c>
      <c r="G64" s="39" t="str">
        <f t="shared" si="0"/>
        <v>sust kpis no dats_SOCIAL KPIs_Working time</v>
      </c>
      <c r="H64" t="s">
        <v>1660</v>
      </c>
      <c r="I64" s="23"/>
      <c r="J64" s="25"/>
      <c r="K64" s="3"/>
      <c r="M64"/>
    </row>
    <row r="65" spans="1:13" ht="32.25" thickBot="1">
      <c r="A65" s="28" t="s">
        <v>335</v>
      </c>
      <c r="B65" s="41" t="s">
        <v>27</v>
      </c>
      <c r="C65" s="55" t="s">
        <v>140</v>
      </c>
      <c r="D65" s="43" t="s">
        <v>151</v>
      </c>
      <c r="E65" s="24" t="e">
        <f>'Parcel 1 without DATSs'!H241/'Parcel 1 without DATSs'!H243</f>
        <v>#DIV/0!</v>
      </c>
      <c r="F65" s="37" t="s">
        <v>152</v>
      </c>
      <c r="G65" s="39" t="str">
        <f t="shared" si="0"/>
        <v xml:space="preserve">sust kpis no dats_SOCIAL KPIs_Frequency rate of occupational injuries </v>
      </c>
      <c r="H65" t="s">
        <v>1661</v>
      </c>
      <c r="I65" s="23"/>
      <c r="J65" s="25"/>
      <c r="K65" s="3"/>
      <c r="M65"/>
    </row>
    <row r="66" spans="1:13" ht="32.25" thickBot="1">
      <c r="A66" s="28" t="s">
        <v>335</v>
      </c>
      <c r="B66" s="41" t="s">
        <v>28</v>
      </c>
      <c r="C66" s="55" t="s">
        <v>140</v>
      </c>
      <c r="D66" s="43" t="s">
        <v>105</v>
      </c>
      <c r="E66" s="24" t="e">
        <f>'Parcel 1 without DATSs'!H242/'Parcel 1 without DATSs'!H243</f>
        <v>#DIV/0!</v>
      </c>
      <c r="F66" s="37" t="s">
        <v>153</v>
      </c>
      <c r="G66" s="39" t="str">
        <f t="shared" si="0"/>
        <v xml:space="preserve">sust kpis no dats_SOCIAL KPIs_Incidence of occupational injuries </v>
      </c>
      <c r="H66" t="s">
        <v>1662</v>
      </c>
      <c r="I66" s="23"/>
      <c r="J66" s="25"/>
      <c r="K66" s="3"/>
      <c r="M66"/>
    </row>
    <row r="67" spans="1:13" ht="32.25" thickBot="1">
      <c r="A67" s="28" t="s">
        <v>335</v>
      </c>
      <c r="B67" s="41" t="s">
        <v>29</v>
      </c>
      <c r="C67" s="55" t="s">
        <v>140</v>
      </c>
      <c r="D67" s="43" t="s">
        <v>105</v>
      </c>
      <c r="E67" s="24" t="e">
        <f>'Parcel 1 without DATSs'!H245/'Parcel 1 without DATSs'!H246</f>
        <v>#DIV/0!</v>
      </c>
      <c r="F67" s="37" t="s">
        <v>154</v>
      </c>
      <c r="G67" s="39" t="str">
        <f t="shared" si="0"/>
        <v>sust kpis no dats_SOCIAL KPIs_Contribution to local employment</v>
      </c>
      <c r="H67" t="s">
        <v>1663</v>
      </c>
      <c r="I67" s="23"/>
      <c r="J67" s="25"/>
      <c r="K67" s="3"/>
      <c r="M67"/>
    </row>
    <row r="76" spans="1:13">
      <c r="A76" s="57"/>
      <c r="B76" s="63" t="s">
        <v>223</v>
      </c>
      <c r="C76" s="64"/>
      <c r="D76" s="57" t="s">
        <v>290</v>
      </c>
      <c r="E76" s="57"/>
      <c r="F76" s="57"/>
      <c r="M76"/>
    </row>
    <row r="77" spans="1:13">
      <c r="A77" s="65" t="s">
        <v>224</v>
      </c>
      <c r="B77" s="66" t="s">
        <v>138</v>
      </c>
      <c r="C77" s="66" t="s">
        <v>99</v>
      </c>
      <c r="D77" s="66" t="s">
        <v>225</v>
      </c>
      <c r="E77" s="57"/>
      <c r="F77" s="57"/>
      <c r="M77"/>
    </row>
    <row r="78" spans="1:13">
      <c r="A78" s="58" t="s">
        <v>226</v>
      </c>
      <c r="B78" s="57"/>
      <c r="C78" s="57"/>
      <c r="D78" s="57"/>
      <c r="E78" s="57"/>
      <c r="F78" s="57"/>
      <c r="M78"/>
    </row>
    <row r="79" spans="1:13">
      <c r="A79" s="137" t="s">
        <v>227</v>
      </c>
      <c r="B79" s="138" t="s">
        <v>228</v>
      </c>
      <c r="C79" s="138">
        <v>0.01</v>
      </c>
      <c r="D79" s="137" t="s">
        <v>229</v>
      </c>
      <c r="E79" s="137"/>
      <c r="F79" s="57"/>
      <c r="M79"/>
    </row>
    <row r="80" spans="1:13">
      <c r="A80" s="57" t="s">
        <v>230</v>
      </c>
      <c r="B80" s="59" t="s">
        <v>228</v>
      </c>
      <c r="C80" s="59">
        <v>1.6E-2</v>
      </c>
      <c r="D80" s="57" t="s">
        <v>231</v>
      </c>
      <c r="E80" s="57"/>
      <c r="F80" s="57"/>
      <c r="M80"/>
    </row>
    <row r="81" spans="1:13">
      <c r="A81" s="57" t="s">
        <v>232</v>
      </c>
      <c r="B81" s="59" t="s">
        <v>228</v>
      </c>
      <c r="C81" s="59">
        <v>6.0000000000000001E-3</v>
      </c>
      <c r="D81" s="57" t="s">
        <v>233</v>
      </c>
      <c r="E81" s="57"/>
      <c r="F81" s="57"/>
      <c r="M81"/>
    </row>
    <row r="82" spans="1:13">
      <c r="A82" s="57" t="s">
        <v>234</v>
      </c>
      <c r="B82" s="59" t="s">
        <v>228</v>
      </c>
      <c r="C82" s="59">
        <v>6.0000000000000001E-3</v>
      </c>
      <c r="D82" s="57" t="s">
        <v>235</v>
      </c>
      <c r="E82" s="57"/>
      <c r="F82" s="57"/>
      <c r="M82"/>
    </row>
    <row r="83" spans="1:13">
      <c r="A83" s="58" t="s">
        <v>236</v>
      </c>
      <c r="B83" s="57"/>
      <c r="C83" s="57"/>
      <c r="D83" s="57"/>
      <c r="E83" s="57"/>
      <c r="F83" s="57"/>
      <c r="M83"/>
    </row>
    <row r="84" spans="1:13">
      <c r="A84" s="137" t="s">
        <v>237</v>
      </c>
      <c r="B84" s="138" t="s">
        <v>238</v>
      </c>
      <c r="C84" s="138">
        <v>0.01</v>
      </c>
      <c r="D84" s="137" t="s">
        <v>239</v>
      </c>
      <c r="E84" s="137"/>
      <c r="F84" s="57"/>
      <c r="M84"/>
    </row>
    <row r="85" spans="1:13">
      <c r="A85" s="57" t="s">
        <v>240</v>
      </c>
      <c r="B85" s="59" t="s">
        <v>238</v>
      </c>
      <c r="C85" s="59">
        <v>1.4E-2</v>
      </c>
      <c r="D85" s="57" t="s">
        <v>241</v>
      </c>
      <c r="E85" s="57"/>
      <c r="F85" s="57"/>
      <c r="M85"/>
    </row>
    <row r="86" spans="1:13">
      <c r="A86" s="57" t="s">
        <v>242</v>
      </c>
      <c r="B86" s="59" t="s">
        <v>238</v>
      </c>
      <c r="C86" s="59">
        <v>5.0000000000000001E-3</v>
      </c>
      <c r="D86" s="57" t="s">
        <v>243</v>
      </c>
      <c r="E86" s="57"/>
      <c r="F86" s="57"/>
      <c r="M86"/>
    </row>
    <row r="87" spans="1:13">
      <c r="A87" s="137" t="s">
        <v>244</v>
      </c>
      <c r="B87" s="138" t="s">
        <v>245</v>
      </c>
      <c r="C87" s="138">
        <v>0.11</v>
      </c>
      <c r="D87" s="137" t="s">
        <v>246</v>
      </c>
      <c r="E87" s="137"/>
      <c r="F87" s="57"/>
      <c r="M87"/>
    </row>
    <row r="88" spans="1:13">
      <c r="A88" s="137" t="s">
        <v>247</v>
      </c>
      <c r="B88" s="138" t="s">
        <v>245</v>
      </c>
      <c r="C88" s="138">
        <v>0.21</v>
      </c>
      <c r="D88" s="137" t="s">
        <v>248</v>
      </c>
      <c r="E88" s="137"/>
      <c r="F88" s="57"/>
      <c r="M88"/>
    </row>
    <row r="89" spans="1:13">
      <c r="A89" s="137" t="s">
        <v>249</v>
      </c>
      <c r="B89" s="138" t="s">
        <v>250</v>
      </c>
      <c r="C89" s="138">
        <v>0.24</v>
      </c>
      <c r="D89" s="137" t="s">
        <v>251</v>
      </c>
      <c r="E89" s="57"/>
      <c r="F89" s="57"/>
      <c r="M89"/>
    </row>
    <row r="90" spans="1:13">
      <c r="A90" s="57" t="s">
        <v>252</v>
      </c>
      <c r="B90" s="59" t="s">
        <v>250</v>
      </c>
      <c r="C90" s="59">
        <v>0</v>
      </c>
      <c r="D90" s="57" t="s">
        <v>253</v>
      </c>
      <c r="E90" s="57"/>
      <c r="F90" s="57"/>
      <c r="M90"/>
    </row>
    <row r="91" spans="1:13">
      <c r="A91" s="137" t="s">
        <v>254</v>
      </c>
      <c r="B91" s="137" t="s">
        <v>255</v>
      </c>
      <c r="C91" s="138">
        <v>1.0999999999999999E-2</v>
      </c>
      <c r="D91" s="137" t="s">
        <v>256</v>
      </c>
      <c r="E91" s="137"/>
      <c r="F91" s="57"/>
      <c r="M91"/>
    </row>
    <row r="92" spans="1:13">
      <c r="A92" s="137" t="s">
        <v>257</v>
      </c>
      <c r="B92" s="138" t="s">
        <v>258</v>
      </c>
      <c r="C92" s="137">
        <f>44/28</f>
        <v>1.5714285714285714</v>
      </c>
      <c r="D92" s="137" t="s">
        <v>259</v>
      </c>
      <c r="E92" s="137"/>
      <c r="F92" s="57"/>
      <c r="M92"/>
    </row>
    <row r="93" spans="1:13">
      <c r="A93" s="137" t="s">
        <v>260</v>
      </c>
      <c r="B93" s="137"/>
      <c r="C93" s="138">
        <v>273</v>
      </c>
      <c r="D93" s="137" t="s">
        <v>411</v>
      </c>
      <c r="E93" s="137"/>
      <c r="F93" s="57"/>
      <c r="M93"/>
    </row>
    <row r="94" spans="1:13">
      <c r="A94" s="57"/>
      <c r="B94" s="57"/>
      <c r="C94" s="57"/>
      <c r="D94" s="57"/>
      <c r="E94" s="57"/>
      <c r="F94" s="57"/>
      <c r="M94"/>
    </row>
    <row r="95" spans="1:13">
      <c r="A95" s="65" t="s">
        <v>261</v>
      </c>
      <c r="B95" s="57"/>
      <c r="C95" s="57"/>
      <c r="D95" s="57"/>
      <c r="E95" s="57"/>
      <c r="F95" s="57"/>
      <c r="M95"/>
    </row>
    <row r="96" spans="1:13">
      <c r="A96" s="137" t="s">
        <v>262</v>
      </c>
      <c r="B96" s="138" t="s">
        <v>263</v>
      </c>
      <c r="C96" s="137">
        <v>35.9</v>
      </c>
      <c r="D96" s="137" t="s">
        <v>264</v>
      </c>
      <c r="E96" s="57"/>
      <c r="F96" s="57"/>
      <c r="M96"/>
    </row>
    <row r="97" spans="1:13">
      <c r="A97" s="137" t="s">
        <v>265</v>
      </c>
      <c r="B97" s="138" t="s">
        <v>266</v>
      </c>
      <c r="C97" s="137">
        <v>7.4099999999999999E-2</v>
      </c>
      <c r="D97" s="137" t="s">
        <v>267</v>
      </c>
      <c r="E97" s="57"/>
      <c r="F97" s="57"/>
      <c r="M97"/>
    </row>
    <row r="98" spans="1:13">
      <c r="A98" s="57"/>
      <c r="B98" s="57"/>
      <c r="C98" s="57"/>
      <c r="D98" s="57"/>
      <c r="E98" s="57"/>
      <c r="F98" s="57"/>
      <c r="M98"/>
    </row>
    <row r="99" spans="1:13">
      <c r="A99" s="65" t="s">
        <v>427</v>
      </c>
      <c r="B99" s="62"/>
      <c r="C99" s="57"/>
      <c r="D99" s="57"/>
      <c r="E99" s="57"/>
      <c r="F99" s="57"/>
      <c r="M99"/>
    </row>
    <row r="100" spans="1:13">
      <c r="A100" s="139" t="str">
        <f>'General Information'!D7</f>
        <v xml:space="preserve">Onion </v>
      </c>
      <c r="B100" s="140" t="s">
        <v>419</v>
      </c>
      <c r="C100" s="139">
        <f>IFERROR(VLOOKUP('General Information'!$D$7, Validations!$P$2:$Q$18, 2,FALSE), "")</f>
        <v>3.0000000000000001E-3</v>
      </c>
      <c r="D100" s="57"/>
      <c r="E100" s="57"/>
      <c r="F100" s="57"/>
      <c r="M100"/>
    </row>
    <row r="101" spans="1:13">
      <c r="A101" s="139" t="str">
        <f>'General Information'!D7</f>
        <v xml:space="preserve">Onion </v>
      </c>
      <c r="B101" s="141" t="s">
        <v>420</v>
      </c>
      <c r="C101" s="139">
        <f>IFERROR(VLOOKUP('General Information'!$D$7, Validations!$R$2:$S$18, 2,FALSE), "")</f>
        <v>1.1999999999999999E-3</v>
      </c>
      <c r="D101" s="57"/>
      <c r="E101" s="57"/>
      <c r="F101" s="57"/>
      <c r="M101"/>
    </row>
    <row r="102" spans="1:13">
      <c r="A102" s="139" t="str">
        <f>'General Information'!D7</f>
        <v xml:space="preserve">Onion </v>
      </c>
      <c r="B102" s="141" t="s">
        <v>421</v>
      </c>
      <c r="C102" s="139">
        <f>IFERROR(VLOOKUP('General Information'!$D$7, Validations!$T$2:$U$18, 2,FALSE), "")</f>
        <v>4.0000000000000001E-3</v>
      </c>
      <c r="D102" s="57"/>
      <c r="E102" s="61"/>
      <c r="F102" s="57"/>
    </row>
    <row r="103" spans="1:13">
      <c r="A103" s="60"/>
      <c r="B103" s="71"/>
      <c r="C103" s="60"/>
      <c r="D103" s="60"/>
      <c r="E103" s="60"/>
      <c r="F103" s="60"/>
    </row>
    <row r="104" spans="1:13">
      <c r="A104" s="60"/>
      <c r="B104" s="71"/>
      <c r="C104" s="60"/>
      <c r="D104" s="60"/>
      <c r="E104" s="60"/>
      <c r="F104" s="60"/>
    </row>
    <row r="105" spans="1:13">
      <c r="A105" s="61"/>
      <c r="B105" s="72"/>
      <c r="C105" s="61"/>
      <c r="D105" s="61"/>
      <c r="E105" s="61"/>
      <c r="F105" s="61"/>
    </row>
    <row r="106" spans="1:13">
      <c r="A106" s="60"/>
      <c r="B106" s="72"/>
      <c r="C106" s="61"/>
      <c r="D106" s="60"/>
      <c r="E106" s="60"/>
      <c r="F106" s="60"/>
    </row>
    <row r="107" spans="1:13">
      <c r="A107" s="60"/>
      <c r="B107" s="72"/>
      <c r="C107" s="61"/>
      <c r="D107" s="60"/>
      <c r="E107" s="60"/>
      <c r="F107" s="60"/>
    </row>
    <row r="108" spans="1:13">
      <c r="A108" s="61"/>
      <c r="B108" s="72"/>
      <c r="C108" s="61"/>
      <c r="D108" s="60"/>
      <c r="E108" s="61"/>
      <c r="F108" s="61"/>
    </row>
    <row r="109" spans="1:13">
      <c r="A109" s="60"/>
      <c r="B109" s="60"/>
      <c r="C109" s="60"/>
      <c r="D109" s="60"/>
      <c r="E109" s="60"/>
      <c r="F109" s="60"/>
    </row>
    <row r="110" spans="1:13">
      <c r="A110" s="60"/>
      <c r="B110" s="60"/>
      <c r="C110" s="60"/>
      <c r="D110" s="60"/>
      <c r="E110" s="60"/>
      <c r="F110" s="60"/>
    </row>
  </sheetData>
  <phoneticPr fontId="2" type="noConversion"/>
  <conditionalFormatting sqref="A29:D29 F29 A62:D62 F62 D68:D70">
    <cfRule type="containsText" dxfId="96" priority="158" operator="containsText" text="Without DATs">
      <formula>NOT(ISERROR(SEARCH("Without DATs",A29)))</formula>
    </cfRule>
  </conditionalFormatting>
  <conditionalFormatting sqref="C2:C14 C16:C20 C22:C27">
    <cfRule type="containsText" dxfId="95" priority="50" operator="containsText" text="Without DATs">
      <formula>NOT(ISERROR(SEARCH("Without DATs",C2)))</formula>
    </cfRule>
  </conditionalFormatting>
  <conditionalFormatting sqref="C3:C13 C17:C19">
    <cfRule type="containsText" dxfId="94" priority="46" operator="containsText" text="With DATs">
      <formula>NOT(ISERROR(SEARCH("With DATs",C3)))</formula>
    </cfRule>
    <cfRule type="containsText" dxfId="93" priority="47" operator="containsText" text="With out DATs">
      <formula>NOT(ISERROR(SEARCH("With out DATs",C3)))</formula>
    </cfRule>
    <cfRule type="containsText" dxfId="92" priority="48" operator="containsText" text="TO-BE">
      <formula>NOT(ISERROR(SEARCH("TO-BE",C3)))</formula>
    </cfRule>
    <cfRule type="containsText" dxfId="91" priority="49" operator="containsText" text="AS-IS">
      <formula>NOT(ISERROR(SEARCH("AS-IS",C3)))</formula>
    </cfRule>
  </conditionalFormatting>
  <conditionalFormatting sqref="C14">
    <cfRule type="containsText" dxfId="90" priority="83" operator="containsText" text="With DATs">
      <formula>NOT(ISERROR(SEARCH("With DATs",C14)))</formula>
    </cfRule>
    <cfRule type="containsText" dxfId="89" priority="84" operator="containsText" text="With out DATs">
      <formula>NOT(ISERROR(SEARCH("With out DATs",C14)))</formula>
    </cfRule>
    <cfRule type="containsText" dxfId="88" priority="85" operator="containsText" text="TO-BE">
      <formula>NOT(ISERROR(SEARCH("TO-BE",C14)))</formula>
    </cfRule>
    <cfRule type="containsText" dxfId="87" priority="86" operator="containsText" text="AS-IS">
      <formula>NOT(ISERROR(SEARCH("AS-IS",C14)))</formula>
    </cfRule>
  </conditionalFormatting>
  <conditionalFormatting sqref="C20">
    <cfRule type="containsText" dxfId="86" priority="60" operator="containsText" text="With DATs">
      <formula>NOT(ISERROR(SEARCH("With DATs",C20)))</formula>
    </cfRule>
    <cfRule type="containsText" dxfId="85" priority="61" operator="containsText" text="With out DATs">
      <formula>NOT(ISERROR(SEARCH("With out DATs",C20)))</formula>
    </cfRule>
    <cfRule type="containsText" dxfId="84" priority="62" operator="containsText" text="TO-BE">
      <formula>NOT(ISERROR(SEARCH("TO-BE",C20)))</formula>
    </cfRule>
    <cfRule type="containsText" dxfId="83" priority="63" operator="containsText" text="AS-IS">
      <formula>NOT(ISERROR(SEARCH("AS-IS",C20)))</formula>
    </cfRule>
  </conditionalFormatting>
  <conditionalFormatting sqref="C23:C27 C30:C60">
    <cfRule type="containsText" dxfId="82" priority="166" operator="containsText" text="With out DATs">
      <formula>NOT(ISERROR(SEARCH("With out DATs",C23)))</formula>
    </cfRule>
    <cfRule type="containsText" dxfId="81" priority="167" operator="containsText" text="TO-BE">
      <formula>NOT(ISERROR(SEARCH("TO-BE",C23)))</formula>
    </cfRule>
    <cfRule type="containsText" dxfId="80" priority="168" operator="containsText" text="AS-IS">
      <formula>NOT(ISERROR(SEARCH("AS-IS",C23)))</formula>
    </cfRule>
  </conditionalFormatting>
  <conditionalFormatting sqref="C23:C27 C30:C60">
    <cfRule type="containsText" dxfId="79" priority="165" operator="containsText" text="With DATs">
      <formula>NOT(ISERROR(SEARCH("With DATs",C23)))</formula>
    </cfRule>
  </conditionalFormatting>
  <conditionalFormatting sqref="C30:C60">
    <cfRule type="containsText" dxfId="78" priority="110" operator="containsText" text="Without DATs">
      <formula>NOT(ISERROR(SEARCH("Without DATs",C30)))</formula>
    </cfRule>
  </conditionalFormatting>
  <conditionalFormatting sqref="C41:C50">
    <cfRule type="containsText" dxfId="77" priority="148" operator="containsText" text="With DATs">
      <formula>NOT(ISERROR(SEARCH("With DATs",C41)))</formula>
    </cfRule>
    <cfRule type="containsText" dxfId="76" priority="149" operator="containsText" text="With out DATs">
      <formula>NOT(ISERROR(SEARCH("With out DATs",C41)))</formula>
    </cfRule>
    <cfRule type="containsText" dxfId="75" priority="150" operator="containsText" text="TO-BE">
      <formula>NOT(ISERROR(SEARCH("TO-BE",C41)))</formula>
    </cfRule>
    <cfRule type="containsText" dxfId="74" priority="151" operator="containsText" text="AS-IS">
      <formula>NOT(ISERROR(SEARCH("AS-IS",C41)))</formula>
    </cfRule>
  </conditionalFormatting>
  <conditionalFormatting sqref="C64:C67">
    <cfRule type="containsText" dxfId="73" priority="159" operator="containsText" text="With DATs">
      <formula>NOT(ISERROR(SEARCH("With DATs",C64)))</formula>
    </cfRule>
    <cfRule type="containsText" dxfId="72" priority="160" operator="containsText" text="With out DATs">
      <formula>NOT(ISERROR(SEARCH("With out DATs",C64)))</formula>
    </cfRule>
    <cfRule type="containsText" dxfId="71" priority="161" operator="containsText" text="TO-BE">
      <formula>NOT(ISERROR(SEARCH("TO-BE",C64)))</formula>
    </cfRule>
    <cfRule type="containsText" dxfId="70" priority="162" operator="containsText" text="AS-IS">
      <formula>NOT(ISERROR(SEARCH("AS-IS",C64)))</formula>
    </cfRule>
    <cfRule type="containsText" dxfId="69" priority="163" operator="containsText" text="Without DATs">
      <formula>NOT(ISERROR(SEARCH("Without DATs",C64)))</formula>
    </cfRule>
  </conditionalFormatting>
  <conditionalFormatting sqref="D1">
    <cfRule type="containsText" dxfId="68" priority="81" operator="containsText" text="Without DATs">
      <formula>NOT(ISERROR(SEARCH("Without DATs",D1)))</formula>
    </cfRule>
  </conditionalFormatting>
  <conditionalFormatting sqref="D15">
    <cfRule type="containsText" dxfId="67" priority="72" operator="containsText" text="Without DATs">
      <formula>NOT(ISERROR(SEARCH("Without DATs",D15)))</formula>
    </cfRule>
  </conditionalFormatting>
  <conditionalFormatting sqref="D21">
    <cfRule type="containsText" dxfId="66" priority="57" operator="containsText" text="Without DATs">
      <formula>NOT(ISERROR(SEARCH("Without DATs",D21)))</formula>
    </cfRule>
  </conditionalFormatting>
  <conditionalFormatting sqref="D76:D102">
    <cfRule type="containsText" dxfId="65" priority="35" operator="containsText" text="Without DATs">
      <formula>NOT(ISERROR(SEARCH("Without DATs",D76)))</formula>
    </cfRule>
  </conditionalFormatting>
  <conditionalFormatting sqref="D109:D1048576">
    <cfRule type="containsText" dxfId="64" priority="13" operator="containsText" text="Without DATs">
      <formula>NOT(ISERROR(SEARCH("Without DATs",D109)))</formula>
    </cfRule>
  </conditionalFormatting>
  <conditionalFormatting sqref="M59:M61 K62 I64:I67 K64:K67 K58:L58 B57:B58 I58">
    <cfRule type="containsText" dxfId="63" priority="153" operator="containsText" text="Without DATs">
      <formula>NOT(ISERROR(SEARCH("Without DATs",B57)))</formula>
    </cfRule>
    <cfRule type="containsText" dxfId="62" priority="154" operator="containsText" text="With DATs">
      <formula>NOT(ISERROR(SEARCH("With DATs",B57)))</formula>
    </cfRule>
    <cfRule type="containsText" dxfId="61" priority="155" operator="containsText" text="With out DATs">
      <formula>NOT(ISERROR(SEARCH("With out DATs",B57)))</formula>
    </cfRule>
    <cfRule type="containsText" dxfId="60" priority="156" operator="containsText" text="TO-BE">
      <formula>NOT(ISERROR(SEARCH("TO-BE",B57)))</formula>
    </cfRule>
    <cfRule type="containsText" dxfId="59" priority="157" operator="containsText" text="AS-IS">
      <formula>NOT(ISERROR(SEARCH("AS-IS",B57)))</formula>
    </cfRule>
  </conditionalFormatting>
  <conditionalFormatting sqref="G3:G70">
    <cfRule type="cellIs" dxfId="58" priority="79" operator="lessThan">
      <formula>0</formula>
    </cfRule>
    <cfRule type="cellIs" dxfId="57" priority="80" operator="greaterThan">
      <formula>0</formula>
    </cfRule>
  </conditionalFormatting>
  <conditionalFormatting sqref="G76:G1048576">
    <cfRule type="cellIs" dxfId="56" priority="36" operator="lessThan">
      <formula>0</formula>
    </cfRule>
    <cfRule type="cellIs" dxfId="55" priority="37" operator="greaterThan">
      <formula>0</formula>
    </cfRule>
  </conditionalFormatting>
  <conditionalFormatting sqref="M28:M29">
    <cfRule type="containsText" dxfId="54" priority="171" operator="containsText" text="Without DATs">
      <formula>NOT(ISERROR(SEARCH("Without DATs",M28)))</formula>
    </cfRule>
    <cfRule type="containsText" dxfId="53" priority="172" operator="containsText" text="With DATs">
      <formula>NOT(ISERROR(SEARCH("With DATs",M28)))</formula>
    </cfRule>
    <cfRule type="containsText" dxfId="52" priority="173" operator="containsText" text="With out DATs">
      <formula>NOT(ISERROR(SEARCH("With out DATs",M28)))</formula>
    </cfRule>
    <cfRule type="containsText" dxfId="51" priority="174" operator="containsText" text="TO-BE">
      <formula>NOT(ISERROR(SEARCH("TO-BE",M28)))</formula>
    </cfRule>
    <cfRule type="containsText" dxfId="50" priority="175" operator="containsText" text="AS-IS">
      <formula>NOT(ISERROR(SEARCH("AS-IS",M28)))</formula>
    </cfRule>
  </conditionalFormatting>
  <conditionalFormatting sqref="M41:M50">
    <cfRule type="containsText" dxfId="49" priority="19" operator="containsText" text="Without DATs">
      <formula>NOT(ISERROR(SEARCH("Without DATs",M41)))</formula>
    </cfRule>
    <cfRule type="containsText" dxfId="48" priority="20" operator="containsText" text="With DATs">
      <formula>NOT(ISERROR(SEARCH("With DATs",M41)))</formula>
    </cfRule>
    <cfRule type="containsText" dxfId="47" priority="21" operator="containsText" text="With out DATs">
      <formula>NOT(ISERROR(SEARCH("With out DATs",M41)))</formula>
    </cfRule>
    <cfRule type="containsText" dxfId="46" priority="22" operator="containsText" text="TO-BE">
      <formula>NOT(ISERROR(SEARCH("TO-BE",M41)))</formula>
    </cfRule>
    <cfRule type="containsText" dxfId="45" priority="23" operator="containsText" text="AS-IS">
      <formula>NOT(ISERROR(SEARCH("AS-IS",M41)))</formula>
    </cfRule>
  </conditionalFormatting>
  <conditionalFormatting sqref="B56">
    <cfRule type="containsText" dxfId="44" priority="6" operator="containsText" text="Without DATs">
      <formula>NOT(ISERROR(SEARCH("Without DATs",B56)))</formula>
    </cfRule>
    <cfRule type="containsText" dxfId="43" priority="7" operator="containsText" text="With DATs">
      <formula>NOT(ISERROR(SEARCH("With DATs",B56)))</formula>
    </cfRule>
    <cfRule type="containsText" dxfId="42" priority="8" operator="containsText" text="With out DATs">
      <formula>NOT(ISERROR(SEARCH("With out DATs",B56)))</formula>
    </cfRule>
    <cfRule type="containsText" dxfId="41" priority="9" operator="containsText" text="TO-BE">
      <formula>NOT(ISERROR(SEARCH("TO-BE",B56)))</formula>
    </cfRule>
    <cfRule type="containsText" dxfId="40" priority="10" operator="containsText" text="AS-IS">
      <formula>NOT(ISERROR(SEARCH("AS-IS",B56)))</formula>
    </cfRule>
  </conditionalFormatting>
  <conditionalFormatting sqref="C63">
    <cfRule type="containsText" dxfId="39" priority="1" operator="containsText" text="Without DATs">
      <formula>NOT(ISERROR(SEARCH("Without DATs",C63)))</formula>
    </cfRule>
    <cfRule type="containsText" dxfId="38" priority="2" operator="containsText" text="With DATs">
      <formula>NOT(ISERROR(SEARCH("With DATs",C63)))</formula>
    </cfRule>
    <cfRule type="containsText" dxfId="37" priority="3" operator="containsText" text="With out DATs">
      <formula>NOT(ISERROR(SEARCH("With out DATs",C63)))</formula>
    </cfRule>
    <cfRule type="containsText" dxfId="36" priority="4" operator="containsText" text="TO-BE">
      <formula>NOT(ISERROR(SEARCH("TO-BE",C63)))</formula>
    </cfRule>
    <cfRule type="containsText" dxfId="35" priority="5" operator="containsText" text="AS-IS">
      <formula>NOT(ISERROR(SEARCH("AS-IS",C63)))</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E756-0D0A-5B4D-BE42-51D8AB9C73A4}">
  <sheetPr codeName="Sheet9"/>
  <dimension ref="A1:AG105"/>
  <sheetViews>
    <sheetView zoomScale="95" zoomScaleNormal="110" workbookViewId="0">
      <selection activeCell="E76" sqref="E76"/>
    </sheetView>
  </sheetViews>
  <sheetFormatPr defaultColWidth="11.25" defaultRowHeight="15.75"/>
  <cols>
    <col min="1" max="1" width="21.25" bestFit="1" customWidth="1"/>
    <col min="2" max="2" width="24.25" bestFit="1" customWidth="1"/>
    <col min="3" max="3" width="35.75" bestFit="1" customWidth="1"/>
    <col min="4" max="4" width="18.5" customWidth="1"/>
    <col min="5" max="6" width="13.25" customWidth="1"/>
    <col min="7" max="7" width="73.125" bestFit="1" customWidth="1"/>
    <col min="8" max="8" width="13.25" customWidth="1"/>
    <col min="9" max="9" width="15.5" customWidth="1"/>
    <col min="10" max="10" width="13.25" style="22" customWidth="1"/>
    <col min="11" max="11" width="14.25" style="22" customWidth="1"/>
    <col min="12" max="12" width="21.375" style="22" customWidth="1"/>
    <col min="13" max="13" width="18.5" style="22" customWidth="1"/>
    <col min="14" max="14" width="17" customWidth="1"/>
    <col min="15" max="15" width="23.875" customWidth="1"/>
    <col min="16" max="16" width="25.25" customWidth="1"/>
    <col min="17" max="17" width="11.25" style="22"/>
    <col min="20" max="20" width="15.875" customWidth="1"/>
    <col min="21" max="21" width="13.25" bestFit="1" customWidth="1"/>
    <col min="22" max="23" width="13.25" customWidth="1"/>
    <col min="25" max="25" width="20.875" bestFit="1" customWidth="1"/>
    <col min="26" max="26" width="21.25" bestFit="1" customWidth="1"/>
    <col min="29" max="29" width="12.5" customWidth="1"/>
    <col min="30" max="30" width="16.375" bestFit="1" customWidth="1"/>
    <col min="31" max="31" width="16.375" customWidth="1"/>
  </cols>
  <sheetData>
    <row r="1" spans="1:31" ht="16.5" thickBot="1">
      <c r="T1" s="220" t="s">
        <v>788</v>
      </c>
      <c r="U1" s="221"/>
      <c r="V1" s="221"/>
      <c r="W1" s="221"/>
      <c r="X1" s="222"/>
      <c r="Y1" s="220" t="s">
        <v>748</v>
      </c>
      <c r="Z1" s="221"/>
      <c r="AA1" s="222"/>
    </row>
    <row r="2" spans="1:31">
      <c r="A2" s="156" t="s">
        <v>674</v>
      </c>
      <c r="B2" s="156" t="s">
        <v>789</v>
      </c>
      <c r="C2" s="156" t="s">
        <v>679</v>
      </c>
      <c r="D2" s="156" t="s">
        <v>680</v>
      </c>
      <c r="E2" s="156" t="s">
        <v>754</v>
      </c>
      <c r="F2" s="157" t="s">
        <v>105</v>
      </c>
      <c r="G2" s="182"/>
      <c r="H2" s="157"/>
      <c r="I2" s="182" t="s">
        <v>752</v>
      </c>
      <c r="J2" s="179" t="s">
        <v>753</v>
      </c>
      <c r="K2" s="180" t="s">
        <v>718</v>
      </c>
      <c r="L2" s="177" t="s">
        <v>805</v>
      </c>
      <c r="M2" s="172" t="s">
        <v>786</v>
      </c>
      <c r="N2" s="178" t="s">
        <v>778</v>
      </c>
      <c r="O2" s="178" t="s">
        <v>777</v>
      </c>
      <c r="P2" s="176" t="s">
        <v>776</v>
      </c>
      <c r="Q2" s="176" t="s">
        <v>719</v>
      </c>
      <c r="R2" s="176" t="s">
        <v>790</v>
      </c>
      <c r="T2" s="172" t="s">
        <v>746</v>
      </c>
      <c r="U2" s="173" t="s">
        <v>747</v>
      </c>
      <c r="V2" s="173" t="s">
        <v>787</v>
      </c>
      <c r="W2" s="173" t="s">
        <v>719</v>
      </c>
      <c r="X2" s="173" t="s">
        <v>790</v>
      </c>
      <c r="Y2" s="173" t="s">
        <v>674</v>
      </c>
      <c r="Z2" s="157" t="s">
        <v>674</v>
      </c>
      <c r="AA2" s="157" t="s">
        <v>720</v>
      </c>
      <c r="AC2" s="88" t="s">
        <v>755</v>
      </c>
      <c r="AD2" s="88" t="s">
        <v>756</v>
      </c>
      <c r="AE2" s="88" t="s">
        <v>757</v>
      </c>
    </row>
    <row r="3" spans="1:31">
      <c r="A3" t="s">
        <v>673</v>
      </c>
      <c r="B3" s="40" t="s">
        <v>677</v>
      </c>
      <c r="C3" s="41" t="s">
        <v>745</v>
      </c>
      <c r="D3" s="43" t="str">
        <f>'Cost-revenue DATS'!D35</f>
        <v>€/ha</v>
      </c>
      <c r="E3" s="158">
        <f>('Cost-revenue DATS'!E36-'Cost-revenue NO DATS'!E36)</f>
        <v>73.170731707317074</v>
      </c>
      <c r="F3" s="22"/>
      <c r="G3" s="152" t="str">
        <f>CONCATENATE("sust kpis no dats","_",A3,"_",B3,"_",C3)</f>
        <v>sust kpis no dats_Economic_DATSs COSTS_Cost of DATSs (maintenance + annual fees)</v>
      </c>
      <c r="H3" s="22" t="s">
        <v>1599</v>
      </c>
      <c r="I3" s="22"/>
      <c r="Q3" s="22">
        <v>1</v>
      </c>
      <c r="R3" s="22">
        <v>3</v>
      </c>
      <c r="T3" s="192" t="s">
        <v>430</v>
      </c>
      <c r="U3" s="183" t="str">
        <f>IFERROR((VLOOKUP("Sum of costs",C5:G38,5,FALSE)),0)</f>
        <v>sust kpis no dats_Economic_COSTS_Sum of costs</v>
      </c>
      <c r="V3" s="183">
        <f>MIN(MAX(U3,-100),100)</f>
        <v>-100</v>
      </c>
      <c r="W3" s="186">
        <v>10</v>
      </c>
      <c r="X3" s="186">
        <f t="shared" ref="X3:X9" si="0">IF(U3&gt;0,1,IF(U3=0,2,0))</f>
        <v>1</v>
      </c>
      <c r="Y3" s="197" t="s">
        <v>673</v>
      </c>
      <c r="Z3" s="22"/>
      <c r="AC3" s="181">
        <v>1</v>
      </c>
      <c r="AD3" s="86" t="s">
        <v>749</v>
      </c>
      <c r="AE3" s="86" t="s">
        <v>758</v>
      </c>
    </row>
    <row r="4" spans="1:31">
      <c r="A4" t="s">
        <v>673</v>
      </c>
      <c r="B4" s="40" t="s">
        <v>677</v>
      </c>
      <c r="C4" s="41" t="s">
        <v>744</v>
      </c>
      <c r="D4" s="43" t="str">
        <f>'Cost-revenue DATS'!$D$3</f>
        <v>€/ha</v>
      </c>
      <c r="E4" s="158">
        <f>('General Information'!D20+'General Information'!I20+'General Information'!M20)/(IF('General Information'!D6="crop",'Parcel 1 with DATSs'!G10,IF('General Information'!D6="milk",'Parcel 1 with DATSs'!G251,IF('General Information'!D6="meat",'Parcel 1 with DATSs'!G252,IF('General Information'!D6="animal",'Parcel 1 with DATSs'!G253,IF('General Information'!D6="oyster",'Parcel 1 with DATSs'!G254,IF('General Information'!D6="honey",'Parcel 1 with DATSs'!G255,'Parcel 1 with DATSs'!G256)))))))</f>
        <v>0</v>
      </c>
      <c r="F4" s="22"/>
      <c r="G4" s="152" t="str">
        <f t="shared" ref="G4:G67" si="1">CONCATENATE("sust kpis no dats","_",A4,"_",B4,"_",C4)</f>
        <v>sust kpis no dats_Economic_DATSs COSTS_Initial investment for the DATSs</v>
      </c>
      <c r="H4" s="22" t="s">
        <v>1600</v>
      </c>
      <c r="I4" s="22"/>
      <c r="Q4" s="22">
        <v>1</v>
      </c>
      <c r="R4" s="22">
        <v>3</v>
      </c>
      <c r="T4" s="193" t="s">
        <v>277</v>
      </c>
      <c r="U4" s="184">
        <f>IFERROR(AVERAGEIFS(G$5:G$99,B$5:B$99,T4,M$5:M$99,1),0)</f>
        <v>0</v>
      </c>
      <c r="V4" s="184">
        <f t="shared" ref="V4:V9" si="2">MIN(MAX(U4,-100),100)</f>
        <v>0</v>
      </c>
      <c r="W4" s="187">
        <v>12</v>
      </c>
      <c r="X4" s="187">
        <f t="shared" si="0"/>
        <v>2</v>
      </c>
      <c r="Y4" s="198" t="s">
        <v>673</v>
      </c>
      <c r="Z4" s="195" t="s">
        <v>673</v>
      </c>
      <c r="AA4" s="191">
        <f>AVERAGEIF(Y3:Y9,Z4,U3:U9)</f>
        <v>0</v>
      </c>
      <c r="AC4" s="181">
        <v>0</v>
      </c>
      <c r="AD4" s="86" t="s">
        <v>750</v>
      </c>
      <c r="AE4" s="86" t="s">
        <v>759</v>
      </c>
    </row>
    <row r="5" spans="1:31">
      <c r="A5" t="s">
        <v>673</v>
      </c>
      <c r="B5" s="43" t="s">
        <v>430</v>
      </c>
      <c r="C5" s="41" t="s">
        <v>139</v>
      </c>
      <c r="D5" s="43" t="str">
        <f>'Cost-revenue DATS'!$D$3</f>
        <v>€/ha</v>
      </c>
      <c r="E5" s="158" t="e">
        <f>'Cost-revenue DATS'!E3-'Cost-revenue NO DATS'!E3</f>
        <v>#VALUE!</v>
      </c>
      <c r="F5" s="158" t="e">
        <f>E5*100/'Cost-revenue NO DATS'!E3</f>
        <v>#VALUE!</v>
      </c>
      <c r="G5" s="152" t="str">
        <f t="shared" si="1"/>
        <v>sust kpis no dats_Economic_COSTS_Cost of water</v>
      </c>
      <c r="H5" s="22" t="s">
        <v>1601</v>
      </c>
      <c r="I5" s="158">
        <v>0</v>
      </c>
      <c r="J5" s="22">
        <v>1</v>
      </c>
      <c r="Q5" s="22">
        <v>2</v>
      </c>
      <c r="R5" s="22" t="str">
        <f>IFERROR(IF(IF(I5=1,E5,-E5)&gt;0,1,IF(IF(I5=1,E5,-E5)&lt;0,0,2)),"")</f>
        <v/>
      </c>
      <c r="T5" s="193" t="s">
        <v>0</v>
      </c>
      <c r="U5" s="184">
        <f>IFERROR(AVERAGEIFS(G$5:G$99,B$5:B$99,T5,M$5:M$99,1),0)</f>
        <v>0</v>
      </c>
      <c r="V5" s="184">
        <f t="shared" si="2"/>
        <v>0</v>
      </c>
      <c r="W5" s="187">
        <v>2</v>
      </c>
      <c r="X5" s="187">
        <f t="shared" si="0"/>
        <v>2</v>
      </c>
      <c r="Y5" s="199" t="s">
        <v>675</v>
      </c>
      <c r="Z5" s="22"/>
      <c r="AA5" s="189"/>
      <c r="AC5" s="181">
        <v>2</v>
      </c>
      <c r="AD5" s="86" t="s">
        <v>751</v>
      </c>
      <c r="AE5" s="86" t="s">
        <v>760</v>
      </c>
    </row>
    <row r="6" spans="1:31">
      <c r="A6" t="s">
        <v>673</v>
      </c>
      <c r="B6" s="43" t="s">
        <v>430</v>
      </c>
      <c r="C6" s="41" t="s">
        <v>142</v>
      </c>
      <c r="D6" s="43" t="str">
        <f>'Cost-revenue DATS'!$D$3</f>
        <v>€/ha</v>
      </c>
      <c r="E6" s="158" t="e">
        <f>'Cost-revenue DATS'!E4-'Cost-revenue NO DATS'!E4</f>
        <v>#VALUE!</v>
      </c>
      <c r="F6" s="158" t="e">
        <f>E6*100/'Cost-revenue NO DATS'!E4</f>
        <v>#VALUE!</v>
      </c>
      <c r="G6" s="152" t="str">
        <f t="shared" si="1"/>
        <v>sust kpis no dats_Economic_COSTS_Cost of  fuel</v>
      </c>
      <c r="H6" s="22" t="s">
        <v>1602</v>
      </c>
      <c r="I6" s="158">
        <v>0</v>
      </c>
      <c r="J6" s="22">
        <v>1</v>
      </c>
      <c r="N6" s="159"/>
      <c r="O6" s="159"/>
      <c r="Q6" s="22">
        <v>3</v>
      </c>
      <c r="R6" s="22" t="str">
        <f>IFERROR(IF(IF(I6=1,E6,-E6)&gt;0,1,IF(IF(I6=1,E6,-E6)&lt;0,0,2)),"")</f>
        <v/>
      </c>
      <c r="T6" s="193" t="s">
        <v>682</v>
      </c>
      <c r="U6" s="184">
        <f>IFERROR(AVERAGEIFS(G$5:G$99,B$5:B$99,T6,M$5:M$99,1),0)</f>
        <v>0</v>
      </c>
      <c r="V6" s="184">
        <f t="shared" si="2"/>
        <v>0</v>
      </c>
      <c r="W6" s="187">
        <v>6</v>
      </c>
      <c r="X6" s="187">
        <f t="shared" si="0"/>
        <v>2</v>
      </c>
      <c r="Y6" s="199" t="s">
        <v>675</v>
      </c>
      <c r="Z6" s="196" t="s">
        <v>675</v>
      </c>
      <c r="AA6" s="191">
        <f>AVERAGEIF(Y3:Y9,Z6,U3:U9)</f>
        <v>0</v>
      </c>
      <c r="AC6" s="181">
        <v>3</v>
      </c>
      <c r="AD6" s="86" t="s">
        <v>761</v>
      </c>
      <c r="AE6" s="86" t="s">
        <v>762</v>
      </c>
    </row>
    <row r="7" spans="1:31">
      <c r="A7" t="s">
        <v>673</v>
      </c>
      <c r="B7" s="43" t="s">
        <v>430</v>
      </c>
      <c r="C7" s="41" t="s">
        <v>158</v>
      </c>
      <c r="D7" s="43" t="str">
        <f>'Cost-revenue DATS'!$D$3</f>
        <v>€/ha</v>
      </c>
      <c r="E7" s="158" t="e">
        <f>'Cost-revenue DATS'!E5-'Cost-revenue NO DATS'!E5</f>
        <v>#VALUE!</v>
      </c>
      <c r="F7" s="158" t="e">
        <f>E7*100/'Cost-revenue NO DATS'!E5</f>
        <v>#VALUE!</v>
      </c>
      <c r="G7" s="152" t="str">
        <f t="shared" si="1"/>
        <v>sust kpis no dats_Economic_COSTS_Cost of electricity</v>
      </c>
      <c r="H7" s="22" t="s">
        <v>1603</v>
      </c>
      <c r="I7" s="158">
        <v>0</v>
      </c>
      <c r="J7" s="22">
        <v>1</v>
      </c>
      <c r="Q7" s="22">
        <v>4</v>
      </c>
      <c r="R7" s="22" t="str">
        <f>IFERROR(IF(IF(I7=1,E7,-E7)&gt;0,1,IF(IF(I7=1,E7,-E7)&lt;0,0,2)),"")</f>
        <v/>
      </c>
      <c r="T7" s="193" t="s">
        <v>683</v>
      </c>
      <c r="U7" s="184">
        <f>IFERROR(AVERAGEIFS(G$5:G$99,B$5:B$99,T7,M$5:M$99,1),0)</f>
        <v>0</v>
      </c>
      <c r="V7" s="184">
        <f t="shared" si="2"/>
        <v>0</v>
      </c>
      <c r="W7" s="187">
        <v>4</v>
      </c>
      <c r="X7" s="187">
        <f t="shared" si="0"/>
        <v>2</v>
      </c>
      <c r="Y7" s="199" t="s">
        <v>675</v>
      </c>
      <c r="Z7" s="22"/>
      <c r="AA7" s="189"/>
    </row>
    <row r="8" spans="1:31">
      <c r="A8" t="s">
        <v>673</v>
      </c>
      <c r="B8" s="43" t="s">
        <v>430</v>
      </c>
      <c r="C8" s="41" t="s">
        <v>742</v>
      </c>
      <c r="D8" s="43" t="str">
        <f>'Cost-revenue DATS'!$D$3</f>
        <v>€/ha</v>
      </c>
      <c r="E8" s="158">
        <f>'Cost-revenue DATS'!E6-'Cost-revenue NO DATS'!E6</f>
        <v>0</v>
      </c>
      <c r="F8" s="158" t="e">
        <f>E8*100/'Cost-revenue NO DATS'!E6</f>
        <v>#DIV/0!</v>
      </c>
      <c r="G8" s="152" t="str">
        <f t="shared" si="1"/>
        <v xml:space="preserve">sust kpis no dats_Economic_COSTS_Cost of pesticide </v>
      </c>
      <c r="H8" s="22" t="s">
        <v>1604</v>
      </c>
      <c r="I8" s="158">
        <v>0</v>
      </c>
      <c r="P8" s="171"/>
      <c r="Q8" s="22">
        <v>5</v>
      </c>
      <c r="R8" s="22">
        <f>IFERROR(IF(IF(I8=1,E8,-E8)&gt;0,1,IF(IF(I8=1,E8,-E8)&lt;0,0,2)),"")</f>
        <v>2</v>
      </c>
      <c r="T8" s="193" t="s">
        <v>684</v>
      </c>
      <c r="U8" s="184">
        <f>IFERROR(AVERAGEIFS(G$5:G$99,B$5:B$99,T8,M$5:M$99,1),0)</f>
        <v>0</v>
      </c>
      <c r="V8" s="184">
        <f t="shared" si="2"/>
        <v>0</v>
      </c>
      <c r="W8" s="187">
        <v>13</v>
      </c>
      <c r="X8" s="187">
        <f t="shared" si="0"/>
        <v>2</v>
      </c>
      <c r="Y8" s="199" t="s">
        <v>675</v>
      </c>
      <c r="Z8" s="195" t="s">
        <v>676</v>
      </c>
      <c r="AA8" s="191">
        <f>AVERAGEIF(Y3:Y9,Z8,U3:U9)</f>
        <v>0</v>
      </c>
    </row>
    <row r="9" spans="1:31">
      <c r="A9" t="s">
        <v>673</v>
      </c>
      <c r="B9" s="43" t="s">
        <v>430</v>
      </c>
      <c r="C9" s="41" t="s">
        <v>177</v>
      </c>
      <c r="D9" s="43" t="str">
        <f>'Cost-revenue DATS'!$D$3</f>
        <v>€/ha</v>
      </c>
      <c r="E9" s="158">
        <f>'Cost-revenue DATS'!E7-'Cost-revenue NO DATS'!E7</f>
        <v>0</v>
      </c>
      <c r="F9" s="158">
        <f>E9*100/'Cost-revenue NO DATS'!E7</f>
        <v>0</v>
      </c>
      <c r="G9" s="152" t="str">
        <f t="shared" si="1"/>
        <v xml:space="preserve">sust kpis no dats_Economic_COSTS_Cost of fertiliser </v>
      </c>
      <c r="H9" s="22" t="s">
        <v>1605</v>
      </c>
      <c r="I9" s="158">
        <v>0</v>
      </c>
      <c r="P9" s="171"/>
      <c r="Q9" s="22">
        <v>6</v>
      </c>
      <c r="R9" s="22">
        <f>IFERROR(IF(IF(I9=1,E9,-E9)&gt;0,1,IF(IF(I9=1,E9,-E9)&lt;0,0,2)),"")</f>
        <v>2</v>
      </c>
      <c r="T9" s="194" t="s">
        <v>189</v>
      </c>
      <c r="U9" s="185">
        <f>IFERROR(AVERAGEIFS(G$5:G$99,B$5:B$99,T9,M$5:M$99,1),0)</f>
        <v>0</v>
      </c>
      <c r="V9" s="185">
        <f t="shared" si="2"/>
        <v>0</v>
      </c>
      <c r="W9" s="188">
        <v>9</v>
      </c>
      <c r="X9" s="188">
        <f t="shared" si="0"/>
        <v>2</v>
      </c>
      <c r="Y9" s="200" t="s">
        <v>676</v>
      </c>
      <c r="Z9" s="190"/>
      <c r="AA9" s="189"/>
    </row>
    <row r="10" spans="1:31">
      <c r="A10" t="s">
        <v>673</v>
      </c>
      <c r="B10" s="43" t="s">
        <v>430</v>
      </c>
      <c r="C10" s="41" t="s">
        <v>214</v>
      </c>
      <c r="D10" s="43" t="str">
        <f>'Cost-revenue DATS'!$D$3</f>
        <v>€/ha</v>
      </c>
      <c r="E10" s="158" t="e">
        <f>'Cost-revenue DATS'!E8-'Cost-revenue NO DATS'!E8</f>
        <v>#VALUE!</v>
      </c>
      <c r="F10" s="158" t="e">
        <f>E10*100/'Cost-revenue NO DATS'!E8</f>
        <v>#VALUE!</v>
      </c>
      <c r="G10" s="152" t="str">
        <f t="shared" si="1"/>
        <v>sust kpis no dats_Economic_COSTS_Cost of feed</v>
      </c>
      <c r="H10" s="22" t="s">
        <v>1606</v>
      </c>
      <c r="I10" s="158">
        <v>0</v>
      </c>
      <c r="P10" s="171"/>
      <c r="Q10" s="22">
        <v>7</v>
      </c>
      <c r="R10" s="22" t="str">
        <f>IFERROR(IF(IF(I10=1,E10,-E10)&gt;0,1,IF(IF(I10=1,E10,-E10)&lt;0,0,2)),"")</f>
        <v/>
      </c>
    </row>
    <row r="11" spans="1:31">
      <c r="A11" t="s">
        <v>673</v>
      </c>
      <c r="B11" s="43" t="s">
        <v>430</v>
      </c>
      <c r="C11" s="41" t="s">
        <v>215</v>
      </c>
      <c r="D11" s="43" t="str">
        <f>'Cost-revenue DATS'!$D$3</f>
        <v>€/ha</v>
      </c>
      <c r="E11" s="158" t="e">
        <f>'Cost-revenue DATS'!E9-'Cost-revenue NO DATS'!E9</f>
        <v>#VALUE!</v>
      </c>
      <c r="F11" s="158" t="e">
        <f>E11*100/'Cost-revenue NO DATS'!E9</f>
        <v>#VALUE!</v>
      </c>
      <c r="G11" s="152" t="str">
        <f t="shared" si="1"/>
        <v>sust kpis no dats_Economic_COSTS_ Cost of drugs</v>
      </c>
      <c r="H11" s="22" t="s">
        <v>1607</v>
      </c>
      <c r="I11" s="158">
        <v>0</v>
      </c>
      <c r="P11" s="171"/>
      <c r="Q11" s="22">
        <v>8</v>
      </c>
      <c r="R11" s="22" t="str">
        <f>IFERROR(IF(IF(I11=1,E11,-E11)&gt;0,1,IF(IF(I11=1,E11,-E11)&lt;0,0,2)),"")</f>
        <v/>
      </c>
    </row>
    <row r="12" spans="1:31">
      <c r="A12" t="s">
        <v>673</v>
      </c>
      <c r="B12" s="43" t="s">
        <v>430</v>
      </c>
      <c r="C12" s="41" t="s">
        <v>691</v>
      </c>
      <c r="D12" s="43" t="str">
        <f>'Cost-revenue DATS'!$D$3</f>
        <v>€/ha</v>
      </c>
      <c r="E12" s="158" t="e">
        <f>'Cost-revenue DATS'!E10-'Cost-revenue NO DATS'!E10</f>
        <v>#VALUE!</v>
      </c>
      <c r="F12" s="158" t="e">
        <f>E12*100/'Cost-revenue NO DATS'!E10</f>
        <v>#VALUE!</v>
      </c>
      <c r="G12" s="152" t="str">
        <f t="shared" si="1"/>
        <v>sust kpis no dats_Economic_COSTS_Labour for irrigation</v>
      </c>
      <c r="H12" s="22" t="s">
        <v>1608</v>
      </c>
      <c r="I12" s="158">
        <v>0</v>
      </c>
      <c r="J12" s="22">
        <v>1</v>
      </c>
      <c r="K12" s="22">
        <v>1</v>
      </c>
      <c r="L12" s="22">
        <v>1</v>
      </c>
      <c r="M12" s="22">
        <v>1</v>
      </c>
      <c r="N12" t="s">
        <v>799</v>
      </c>
      <c r="O12" t="s">
        <v>801</v>
      </c>
      <c r="P12" t="s">
        <v>800</v>
      </c>
      <c r="Q12" s="22">
        <v>9</v>
      </c>
      <c r="R12" s="22" t="str">
        <f>IFERROR(IF(IF(I12=1,E12,-E12)&gt;0,1,IF(IF(I12=1,E12,-E12)&lt;0,0,2)),"")</f>
        <v/>
      </c>
    </row>
    <row r="13" spans="1:31">
      <c r="A13" t="s">
        <v>673</v>
      </c>
      <c r="B13" s="43" t="s">
        <v>430</v>
      </c>
      <c r="C13" s="41" t="s">
        <v>692</v>
      </c>
      <c r="D13" s="43" t="str">
        <f>'Cost-revenue DATS'!$D$3</f>
        <v>€/ha</v>
      </c>
      <c r="E13" s="158" t="e">
        <f>'Cost-revenue DATS'!E11-'Cost-revenue NO DATS'!E11</f>
        <v>#VALUE!</v>
      </c>
      <c r="F13" s="158" t="e">
        <f>E13*100/'Cost-revenue NO DATS'!E11</f>
        <v>#VALUE!</v>
      </c>
      <c r="G13" s="152" t="str">
        <f t="shared" si="1"/>
        <v>sust kpis no dats_Economic_COSTS_Labour for pesticide</v>
      </c>
      <c r="H13" s="22" t="s">
        <v>1609</v>
      </c>
      <c r="I13" s="158">
        <v>0</v>
      </c>
      <c r="P13" s="171"/>
      <c r="Q13" s="22">
        <v>9</v>
      </c>
      <c r="R13" s="22" t="str">
        <f>IFERROR(IF(IF(I13=1,E13,-E13)&gt;0,1,IF(IF(I13=1,E13,-E13)&lt;0,0,2)),"")</f>
        <v/>
      </c>
    </row>
    <row r="14" spans="1:31">
      <c r="A14" t="s">
        <v>673</v>
      </c>
      <c r="B14" s="43" t="s">
        <v>430</v>
      </c>
      <c r="C14" s="41" t="s">
        <v>693</v>
      </c>
      <c r="D14" s="43" t="str">
        <f>'Cost-revenue DATS'!$D$3</f>
        <v>€/ha</v>
      </c>
      <c r="E14" s="158" t="e">
        <f>'Cost-revenue DATS'!E12-'Cost-revenue NO DATS'!E12</f>
        <v>#VALUE!</v>
      </c>
      <c r="F14" s="158" t="e">
        <f>E14*100/'Cost-revenue NO DATS'!E12</f>
        <v>#VALUE!</v>
      </c>
      <c r="G14" s="152" t="str">
        <f t="shared" si="1"/>
        <v>sust kpis no dats_Economic_COSTS_Labour for fertilisation</v>
      </c>
      <c r="H14" s="22" t="s">
        <v>1610</v>
      </c>
      <c r="I14" s="158">
        <v>0</v>
      </c>
      <c r="P14" s="171"/>
      <c r="Q14" s="22">
        <v>9</v>
      </c>
      <c r="R14" s="22" t="str">
        <f>IFERROR(IF(IF(I14=1,E14,-E14)&gt;0,1,IF(IF(I14=1,E14,-E14)&lt;0,0,2)),"")</f>
        <v/>
      </c>
    </row>
    <row r="15" spans="1:31">
      <c r="A15" t="s">
        <v>673</v>
      </c>
      <c r="B15" s="43" t="s">
        <v>430</v>
      </c>
      <c r="C15" s="41" t="s">
        <v>694</v>
      </c>
      <c r="D15" s="43" t="str">
        <f>'Cost-revenue DATS'!$D$3</f>
        <v>€/ha</v>
      </c>
      <c r="E15" s="158" t="e">
        <f>'Cost-revenue DATS'!E13-'Cost-revenue NO DATS'!E13</f>
        <v>#VALUE!</v>
      </c>
      <c r="F15" s="158" t="e">
        <f>E15*100/'Cost-revenue NO DATS'!E13</f>
        <v>#VALUE!</v>
      </c>
      <c r="G15" s="152" t="str">
        <f t="shared" si="1"/>
        <v xml:space="preserve">sust kpis no dats_Economic_COSTS_Labour for sowing_planting </v>
      </c>
      <c r="H15" s="22" t="s">
        <v>1611</v>
      </c>
      <c r="I15" s="158">
        <v>0</v>
      </c>
      <c r="P15" s="171"/>
      <c r="Q15" s="22">
        <v>9</v>
      </c>
      <c r="R15" s="22" t="str">
        <f>IFERROR(IF(IF(I15=1,E15,-E15)&gt;0,1,IF(IF(I15=1,E15,-E15)&lt;0,0,2)),"")</f>
        <v/>
      </c>
    </row>
    <row r="16" spans="1:31">
      <c r="A16" t="s">
        <v>673</v>
      </c>
      <c r="B16" s="43" t="s">
        <v>430</v>
      </c>
      <c r="C16" s="41" t="s">
        <v>695</v>
      </c>
      <c r="D16" s="43" t="str">
        <f>'Cost-revenue DATS'!$D$3</f>
        <v>€/ha</v>
      </c>
      <c r="E16" s="158" t="e">
        <f>'Cost-revenue DATS'!E14-'Cost-revenue NO DATS'!E14</f>
        <v>#VALUE!</v>
      </c>
      <c r="F16" s="158" t="e">
        <f>E16*100/'Cost-revenue NO DATS'!E14</f>
        <v>#VALUE!</v>
      </c>
      <c r="G16" s="152" t="str">
        <f t="shared" si="1"/>
        <v>sust kpis no dats_Economic_COSTS_Labour for pruning</v>
      </c>
      <c r="H16" s="22" t="s">
        <v>1612</v>
      </c>
      <c r="I16" s="158">
        <v>0</v>
      </c>
      <c r="P16" s="171"/>
      <c r="Q16" s="22">
        <v>9</v>
      </c>
      <c r="R16" s="22" t="str">
        <f>IFERROR(IF(IF(I16=1,E16,-E16)&gt;0,1,IF(IF(I16=1,E16,-E16)&lt;0,0,2)),"")</f>
        <v/>
      </c>
    </row>
    <row r="17" spans="1:27">
      <c r="A17" t="s">
        <v>673</v>
      </c>
      <c r="B17" s="43" t="s">
        <v>430</v>
      </c>
      <c r="C17" s="41" t="s">
        <v>696</v>
      </c>
      <c r="D17" s="43" t="str">
        <f>'Cost-revenue DATS'!$D$3</f>
        <v>€/ha</v>
      </c>
      <c r="E17" s="158" t="e">
        <f>'Cost-revenue DATS'!E15-'Cost-revenue NO DATS'!E15</f>
        <v>#VALUE!</v>
      </c>
      <c r="F17" s="158" t="e">
        <f>E17*100/'Cost-revenue NO DATS'!E15</f>
        <v>#VALUE!</v>
      </c>
      <c r="G17" s="152" t="str">
        <f t="shared" si="1"/>
        <v xml:space="preserve">sust kpis no dats_Economic_COSTS_Labour for field visits </v>
      </c>
      <c r="H17" s="22" t="s">
        <v>1613</v>
      </c>
      <c r="I17" s="158">
        <v>0</v>
      </c>
      <c r="J17" s="22">
        <v>1</v>
      </c>
      <c r="Q17" s="22">
        <v>9</v>
      </c>
      <c r="R17" s="22" t="str">
        <f>IFERROR(IF(IF(I17=1,E17,-E17)&gt;0,1,IF(IF(I17=1,E17,-E17)&lt;0,0,2)),"")</f>
        <v/>
      </c>
      <c r="T17" s="170"/>
      <c r="U17" s="170"/>
      <c r="V17" s="170"/>
      <c r="W17" s="170"/>
      <c r="X17" s="170"/>
      <c r="Y17" s="170"/>
      <c r="Z17" s="170"/>
      <c r="AA17" s="1"/>
    </row>
    <row r="18" spans="1:27">
      <c r="A18" t="s">
        <v>673</v>
      </c>
      <c r="B18" s="43" t="s">
        <v>430</v>
      </c>
      <c r="C18" s="41" t="s">
        <v>697</v>
      </c>
      <c r="D18" s="43" t="str">
        <f>'Cost-revenue DATS'!$D$3</f>
        <v>€/ha</v>
      </c>
      <c r="E18" s="158" t="e">
        <f>'Cost-revenue DATS'!E16-'Cost-revenue NO DATS'!E16</f>
        <v>#VALUE!</v>
      </c>
      <c r="F18" s="158" t="e">
        <f>E18*100/'Cost-revenue NO DATS'!E16</f>
        <v>#VALUE!</v>
      </c>
      <c r="G18" s="152" t="str">
        <f t="shared" si="1"/>
        <v>sust kpis no dats_Economic_COSTS_Labour for greenhouse management</v>
      </c>
      <c r="H18" s="22" t="s">
        <v>1614</v>
      </c>
      <c r="I18" s="158">
        <v>0</v>
      </c>
      <c r="Q18" s="22">
        <v>9</v>
      </c>
      <c r="R18" s="22" t="str">
        <f>IFERROR(IF(IF(I18=1,E18,-E18)&gt;0,1,IF(IF(I18=1,E18,-E18)&lt;0,0,2)),"")</f>
        <v/>
      </c>
      <c r="S18" s="171"/>
      <c r="T18" s="8"/>
      <c r="U18" s="170"/>
      <c r="V18" s="170"/>
      <c r="W18" s="170"/>
      <c r="X18" s="170"/>
      <c r="Y18" s="170"/>
      <c r="Z18" s="170"/>
      <c r="AA18" s="1"/>
    </row>
    <row r="19" spans="1:27">
      <c r="A19" t="s">
        <v>673</v>
      </c>
      <c r="B19" s="43" t="s">
        <v>430</v>
      </c>
      <c r="C19" s="41" t="s">
        <v>698</v>
      </c>
      <c r="D19" s="43" t="str">
        <f>'Cost-revenue DATS'!$D$3</f>
        <v>€/ha</v>
      </c>
      <c r="E19" s="158" t="e">
        <f>'Cost-revenue DATS'!E17-'Cost-revenue NO DATS'!E17</f>
        <v>#DIV/0!</v>
      </c>
      <c r="F19" s="158" t="e">
        <f>E19*100/'Cost-revenue NO DATS'!E17</f>
        <v>#DIV/0!</v>
      </c>
      <c r="G19" s="152" t="str">
        <f t="shared" si="1"/>
        <v xml:space="preserve">sust kpis no dats_Economic_COSTS_Labour for tracking the quantity of grain available in the silo </v>
      </c>
      <c r="H19" s="22" t="s">
        <v>1615</v>
      </c>
      <c r="I19" s="158">
        <v>0</v>
      </c>
      <c r="P19" s="171"/>
      <c r="Q19" s="22">
        <v>9</v>
      </c>
      <c r="R19" s="22" t="str">
        <f>IFERROR(IF(IF(I19=1,E19,-E19)&gt;0,1,IF(IF(I19=1,E19,-E19)&lt;0,0,2)),"")</f>
        <v/>
      </c>
      <c r="T19" s="8"/>
      <c r="U19" s="170"/>
      <c r="V19" s="170"/>
      <c r="W19" s="170"/>
      <c r="X19" s="170"/>
      <c r="Y19" s="170"/>
      <c r="Z19" s="170"/>
    </row>
    <row r="20" spans="1:27">
      <c r="A20" t="s">
        <v>673</v>
      </c>
      <c r="B20" s="43" t="s">
        <v>430</v>
      </c>
      <c r="C20" s="41" t="s">
        <v>699</v>
      </c>
      <c r="D20" s="43" t="str">
        <f>'Cost-revenue DATS'!$D$3</f>
        <v>€/ha</v>
      </c>
      <c r="E20" s="158" t="e">
        <f>'Cost-revenue DATS'!E18-'Cost-revenue NO DATS'!E18</f>
        <v>#VALUE!</v>
      </c>
      <c r="F20" s="158" t="e">
        <f>E20*100/'Cost-revenue NO DATS'!E18</f>
        <v>#VALUE!</v>
      </c>
      <c r="G20" s="152" t="str">
        <f t="shared" si="1"/>
        <v>sust kpis no dats_Economic_COSTS_Labour for assessing grain quality</v>
      </c>
      <c r="H20" s="22" t="s">
        <v>1616</v>
      </c>
      <c r="I20" s="158">
        <v>0</v>
      </c>
      <c r="P20" s="171"/>
      <c r="Q20" s="22">
        <v>9</v>
      </c>
      <c r="R20" s="22" t="str">
        <f>IFERROR(IF(IF(I20=1,E20,-E20)&gt;0,1,IF(IF(I20=1,E20,-E20)&lt;0,0,2)),"")</f>
        <v/>
      </c>
      <c r="T20" s="170"/>
      <c r="U20" s="170"/>
      <c r="V20" s="170"/>
      <c r="W20" s="170"/>
      <c r="X20" s="170"/>
      <c r="Y20" s="170"/>
      <c r="Z20" s="170"/>
      <c r="AA20" s="22"/>
    </row>
    <row r="21" spans="1:27">
      <c r="A21" t="s">
        <v>673</v>
      </c>
      <c r="B21" s="43" t="s">
        <v>430</v>
      </c>
      <c r="C21" s="41" t="s">
        <v>700</v>
      </c>
      <c r="D21" s="43" t="str">
        <f>'Cost-revenue DATS'!$D$3</f>
        <v>€/ha</v>
      </c>
      <c r="E21" s="158" t="e">
        <f>'Cost-revenue DATS'!E19-'Cost-revenue NO DATS'!E19</f>
        <v>#VALUE!</v>
      </c>
      <c r="F21" s="158" t="e">
        <f>E21*100/'Cost-revenue NO DATS'!E19</f>
        <v>#VALUE!</v>
      </c>
      <c r="G21" s="152" t="str">
        <f t="shared" si="1"/>
        <v>sust kpis no dats_Economic_COSTS_Labour for controlling purchase and sale prices and quantities</v>
      </c>
      <c r="H21" s="22" t="s">
        <v>1617</v>
      </c>
      <c r="I21" s="158">
        <v>0</v>
      </c>
      <c r="P21" s="171"/>
      <c r="Q21" s="22">
        <v>9</v>
      </c>
      <c r="R21" s="22" t="str">
        <f>IFERROR(IF(IF(I21=1,E21,-E21)&gt;0,1,IF(IF(I21=1,E21,-E21)&lt;0,0,2)),"")</f>
        <v/>
      </c>
      <c r="T21" s="8"/>
      <c r="U21" s="170"/>
      <c r="V21" s="170"/>
      <c r="W21" s="170"/>
      <c r="X21" s="170"/>
      <c r="Y21" s="170"/>
      <c r="Z21" s="170"/>
      <c r="AA21" s="22"/>
    </row>
    <row r="22" spans="1:27">
      <c r="A22" t="s">
        <v>673</v>
      </c>
      <c r="B22" s="43" t="s">
        <v>430</v>
      </c>
      <c r="C22" s="41" t="s">
        <v>701</v>
      </c>
      <c r="D22" s="43" t="str">
        <f>'Cost-revenue DATS'!$D$3</f>
        <v>€/ha</v>
      </c>
      <c r="E22" s="158" t="e">
        <f>'Cost-revenue DATS'!E20-'Cost-revenue NO DATS'!E20</f>
        <v>#VALUE!</v>
      </c>
      <c r="F22" s="158" t="e">
        <f>E22*100/'Cost-revenue NO DATS'!E20</f>
        <v>#VALUE!</v>
      </c>
      <c r="G22" s="152" t="str">
        <f t="shared" si="1"/>
        <v xml:space="preserve">sust kpis no dats_Economic_COSTS_Labour for organise logistics </v>
      </c>
      <c r="H22" s="22" t="s">
        <v>1618</v>
      </c>
      <c r="I22" s="158">
        <v>0</v>
      </c>
      <c r="P22" s="171"/>
      <c r="Q22" s="22">
        <v>9</v>
      </c>
      <c r="R22" s="22" t="str">
        <f>IFERROR(IF(IF(I22=1,E22,-E22)&gt;0,1,IF(IF(I22=1,E22,-E22)&lt;0,0,2)),"")</f>
        <v/>
      </c>
      <c r="T22" s="8"/>
      <c r="U22" s="170"/>
      <c r="V22" s="170"/>
      <c r="W22" s="170"/>
      <c r="X22" s="170"/>
      <c r="Y22" s="170"/>
      <c r="Z22" s="170"/>
      <c r="AA22" s="22"/>
    </row>
    <row r="23" spans="1:27">
      <c r="A23" t="s">
        <v>673</v>
      </c>
      <c r="B23" s="43" t="s">
        <v>430</v>
      </c>
      <c r="C23" s="41" t="s">
        <v>702</v>
      </c>
      <c r="D23" s="43" t="str">
        <f>'Cost-revenue DATS'!$D$3</f>
        <v>€/ha</v>
      </c>
      <c r="E23" s="158" t="e">
        <f>'Cost-revenue DATS'!E21-'Cost-revenue NO DATS'!E21</f>
        <v>#VALUE!</v>
      </c>
      <c r="F23" s="158" t="e">
        <f>E23*100/'Cost-revenue NO DATS'!E21</f>
        <v>#VALUE!</v>
      </c>
      <c r="G23" s="152" t="str">
        <f t="shared" si="1"/>
        <v>sust kpis no dats_Economic_COSTS_Labour for cleaning</v>
      </c>
      <c r="H23" s="22" t="s">
        <v>1619</v>
      </c>
      <c r="I23" s="158">
        <v>0</v>
      </c>
      <c r="P23" s="171"/>
      <c r="Q23" s="22">
        <v>9</v>
      </c>
      <c r="R23" s="22" t="str">
        <f>IFERROR(IF(IF(I23=1,E23,-E23)&gt;0,1,IF(IF(I23=1,E23,-E23)&lt;0,0,2)),"")</f>
        <v/>
      </c>
      <c r="T23" s="8"/>
      <c r="U23" s="170"/>
      <c r="V23" s="170"/>
      <c r="W23" s="170"/>
      <c r="X23" s="170"/>
      <c r="Y23" s="170"/>
      <c r="Z23" s="170"/>
    </row>
    <row r="24" spans="1:27">
      <c r="A24" t="s">
        <v>673</v>
      </c>
      <c r="B24" s="43" t="s">
        <v>430</v>
      </c>
      <c r="C24" s="41" t="s">
        <v>703</v>
      </c>
      <c r="D24" s="43" t="str">
        <f>'Cost-revenue DATS'!$D$3</f>
        <v>€/ha</v>
      </c>
      <c r="E24" s="158" t="e">
        <f>'Cost-revenue DATS'!E22-'Cost-revenue NO DATS'!E22</f>
        <v>#VALUE!</v>
      </c>
      <c r="F24" s="158" t="e">
        <f>E24*100/'Cost-revenue NO DATS'!E22</f>
        <v>#VALUE!</v>
      </c>
      <c r="G24" s="152" t="str">
        <f t="shared" si="1"/>
        <v xml:space="preserve">sust kpis no dats_Economic_COSTS_Labour for stable visits </v>
      </c>
      <c r="H24" s="22" t="s">
        <v>1620</v>
      </c>
      <c r="I24" s="158">
        <v>0</v>
      </c>
      <c r="P24" s="171"/>
      <c r="Q24" s="22">
        <v>9</v>
      </c>
      <c r="R24" s="22" t="str">
        <f>IFERROR(IF(IF(I24=1,E24,-E24)&gt;0,1,IF(IF(I24=1,E24,-E24)&lt;0,0,2)),"")</f>
        <v/>
      </c>
      <c r="T24" s="170"/>
      <c r="U24" s="170"/>
      <c r="V24" s="170"/>
      <c r="W24" s="170"/>
      <c r="X24" s="170"/>
      <c r="Y24" s="170"/>
      <c r="Z24" s="170"/>
      <c r="AA24" s="22"/>
    </row>
    <row r="25" spans="1:27">
      <c r="A25" t="s">
        <v>673</v>
      </c>
      <c r="B25" s="43" t="s">
        <v>430</v>
      </c>
      <c r="C25" s="41" t="s">
        <v>704</v>
      </c>
      <c r="D25" s="43" t="str">
        <f>'Cost-revenue DATS'!$D$3</f>
        <v>€/ha</v>
      </c>
      <c r="E25" s="158" t="e">
        <f>'Cost-revenue DATS'!E23-'Cost-revenue NO DATS'!E23</f>
        <v>#VALUE!</v>
      </c>
      <c r="F25" s="158" t="e">
        <f>E25*100/'Cost-revenue NO DATS'!E23</f>
        <v>#VALUE!</v>
      </c>
      <c r="G25" s="152" t="str">
        <f t="shared" si="1"/>
        <v xml:space="preserve">sust kpis no dats_Economic_COSTS_Labour for heat detection </v>
      </c>
      <c r="H25" s="22" t="s">
        <v>1621</v>
      </c>
      <c r="I25" s="158">
        <v>0</v>
      </c>
      <c r="P25" s="171"/>
      <c r="Q25" s="22">
        <v>9</v>
      </c>
      <c r="R25" s="22" t="str">
        <f>IFERROR(IF(IF(I25=1,E25,-E25)&gt;0,1,IF(IF(I25=1,E25,-E25)&lt;0,0,2)),"")</f>
        <v/>
      </c>
      <c r="T25" s="8"/>
      <c r="U25" s="170"/>
      <c r="V25" s="170"/>
      <c r="W25" s="170"/>
      <c r="X25" s="170"/>
      <c r="Y25" s="170"/>
      <c r="Z25" s="170"/>
      <c r="AA25" s="22"/>
    </row>
    <row r="26" spans="1:27">
      <c r="A26" t="s">
        <v>673</v>
      </c>
      <c r="B26" s="43" t="s">
        <v>430</v>
      </c>
      <c r="C26" s="41" t="s">
        <v>705</v>
      </c>
      <c r="D26" s="43" t="str">
        <f>'Cost-revenue DATS'!$D$3</f>
        <v>€/ha</v>
      </c>
      <c r="E26" s="158" t="e">
        <f>'Cost-revenue DATS'!E24-'Cost-revenue NO DATS'!E24</f>
        <v>#VALUE!</v>
      </c>
      <c r="F26" s="158" t="e">
        <f>E26*100/'Cost-revenue NO DATS'!E24</f>
        <v>#VALUE!</v>
      </c>
      <c r="G26" s="152" t="str">
        <f t="shared" si="1"/>
        <v xml:space="preserve">sust kpis no dats_Economic_COSTS_Labour for calving detection </v>
      </c>
      <c r="H26" s="22" t="s">
        <v>1622</v>
      </c>
      <c r="I26" s="158">
        <v>0</v>
      </c>
      <c r="K26" s="158"/>
      <c r="P26" s="171"/>
      <c r="Q26" s="22">
        <v>9</v>
      </c>
      <c r="R26" s="22" t="str">
        <f>IFERROR(IF(IF(I26=1,E26,-E26)&gt;0,1,IF(IF(I26=1,E26,-E26)&lt;0,0,2)),"")</f>
        <v/>
      </c>
      <c r="T26" s="8"/>
      <c r="U26" s="170"/>
      <c r="V26" s="170"/>
      <c r="W26" s="170"/>
      <c r="X26" s="170"/>
      <c r="Y26" s="170"/>
      <c r="Z26" s="170"/>
    </row>
    <row r="27" spans="1:27">
      <c r="A27" t="s">
        <v>673</v>
      </c>
      <c r="B27" s="43" t="s">
        <v>430</v>
      </c>
      <c r="C27" s="41" t="s">
        <v>709</v>
      </c>
      <c r="D27" s="43" t="str">
        <f>'Cost-revenue DATS'!$D$3</f>
        <v>€/ha</v>
      </c>
      <c r="E27" s="158" t="e">
        <f>'Cost-revenue DATS'!E25-'Cost-revenue NO DATS'!E25</f>
        <v>#VALUE!</v>
      </c>
      <c r="F27" s="158" t="e">
        <f>E27*100/'Cost-revenue NO DATS'!E25</f>
        <v>#VALUE!</v>
      </c>
      <c r="G27" s="152" t="str">
        <f t="shared" si="1"/>
        <v xml:space="preserve">sust kpis no dats_Economic_COSTS_Labour for pigsty management </v>
      </c>
      <c r="H27" s="22" t="s">
        <v>1623</v>
      </c>
      <c r="I27" s="158">
        <v>0</v>
      </c>
      <c r="P27" s="171"/>
      <c r="Q27" s="22">
        <v>9</v>
      </c>
      <c r="R27" s="22" t="str">
        <f>IFERROR(IF(IF(I27=1,E27,-E27)&gt;0,1,IF(IF(I27=1,E27,-E27)&lt;0,0,2)),"")</f>
        <v/>
      </c>
      <c r="T27" s="170"/>
      <c r="U27" s="170"/>
      <c r="V27" s="170"/>
      <c r="W27" s="170"/>
      <c r="X27" s="170"/>
      <c r="Y27" s="170"/>
      <c r="Z27" s="170"/>
      <c r="AA27" s="22"/>
    </row>
    <row r="28" spans="1:27">
      <c r="A28" t="s">
        <v>673</v>
      </c>
      <c r="B28" s="43" t="s">
        <v>430</v>
      </c>
      <c r="C28" s="41" t="s">
        <v>714</v>
      </c>
      <c r="D28" s="43" t="str">
        <f>'Cost-revenue DATS'!$D$3</f>
        <v>€/ha</v>
      </c>
      <c r="E28" s="158" t="e">
        <f>'Cost-revenue DATS'!E26-'Cost-revenue NO DATS'!E26</f>
        <v>#VALUE!</v>
      </c>
      <c r="F28" s="158" t="e">
        <f>E28*100/'Cost-revenue NO DATS'!E26</f>
        <v>#VALUE!</v>
      </c>
      <c r="G28" s="152" t="str">
        <f t="shared" si="1"/>
        <v>sust kpis no dats_Economic_COSTS_Labour for milking</v>
      </c>
      <c r="H28" s="22" t="s">
        <v>1624</v>
      </c>
      <c r="I28" s="158">
        <v>0</v>
      </c>
      <c r="Q28" s="22">
        <v>9</v>
      </c>
      <c r="R28" s="22" t="str">
        <f>IFERROR(IF(IF(I28=1,E28,-E28)&gt;0,1,IF(IF(I28=1,E28,-E28)&lt;0,0,2)),"")</f>
        <v/>
      </c>
      <c r="U28" s="170"/>
      <c r="V28" s="170"/>
      <c r="W28" s="170"/>
      <c r="X28" s="170"/>
      <c r="Y28" s="170"/>
      <c r="Z28" s="170"/>
      <c r="AA28" s="22"/>
    </row>
    <row r="29" spans="1:27">
      <c r="A29" t="s">
        <v>673</v>
      </c>
      <c r="B29" s="43" t="s">
        <v>430</v>
      </c>
      <c r="C29" s="41" t="s">
        <v>710</v>
      </c>
      <c r="D29" s="43" t="str">
        <f>'Cost-revenue DATS'!$D$3</f>
        <v>€/ha</v>
      </c>
      <c r="E29" s="158" t="e">
        <f>'Cost-revenue DATS'!E27-'Cost-revenue NO DATS'!E27</f>
        <v>#VALUE!</v>
      </c>
      <c r="F29" s="158" t="e">
        <f>E29*100/'Cost-revenue NO DATS'!E27</f>
        <v>#VALUE!</v>
      </c>
      <c r="G29" s="152" t="str">
        <f t="shared" si="1"/>
        <v>sust kpis no dats_Economic_COSTS_Labour for (milk) quality assessment</v>
      </c>
      <c r="H29" s="22" t="s">
        <v>1625</v>
      </c>
      <c r="I29" s="158">
        <v>0</v>
      </c>
      <c r="Q29" s="22">
        <v>9</v>
      </c>
      <c r="R29" s="22" t="str">
        <f>IFERROR(IF(IF(I29=1,E29,-E29)&gt;0,1,IF(IF(I29=1,E29,-E29)&lt;0,0,2)),"")</f>
        <v/>
      </c>
      <c r="T29" s="170"/>
      <c r="U29" s="170"/>
      <c r="V29" s="170"/>
      <c r="W29" s="170"/>
      <c r="X29" s="170"/>
      <c r="Y29" s="170"/>
      <c r="Z29" s="170"/>
    </row>
    <row r="30" spans="1:27">
      <c r="A30" t="s">
        <v>673</v>
      </c>
      <c r="B30" s="43" t="s">
        <v>430</v>
      </c>
      <c r="C30" s="41" t="s">
        <v>711</v>
      </c>
      <c r="D30" s="43" t="str">
        <f>'Cost-revenue DATS'!$D$3</f>
        <v>€/ha</v>
      </c>
      <c r="E30" s="158" t="e">
        <f>'Cost-revenue DATS'!E28-'Cost-revenue NO DATS'!E28</f>
        <v>#VALUE!</v>
      </c>
      <c r="F30" s="158" t="e">
        <f>E30*100/'Cost-revenue NO DATS'!E28</f>
        <v>#VALUE!</v>
      </c>
      <c r="G30" s="152" t="str">
        <f t="shared" si="1"/>
        <v xml:space="preserve">sust kpis no dats_Economic_COSTS_Labour for feeding </v>
      </c>
      <c r="H30" s="22" t="s">
        <v>1626</v>
      </c>
      <c r="I30" s="158">
        <v>0</v>
      </c>
      <c r="Q30" s="22">
        <v>9</v>
      </c>
      <c r="R30" s="22" t="str">
        <f>IFERROR(IF(IF(I30=1,E30,-E30)&gt;0,1,IF(IF(I30=1,E30,-E30)&lt;0,0,2)),"")</f>
        <v/>
      </c>
      <c r="T30" s="170"/>
      <c r="U30" s="170"/>
      <c r="V30" s="170"/>
      <c r="W30" s="170"/>
      <c r="X30" s="170"/>
      <c r="Y30" s="170"/>
      <c r="Z30" s="170"/>
    </row>
    <row r="31" spans="1:27">
      <c r="A31" t="s">
        <v>673</v>
      </c>
      <c r="B31" s="43" t="s">
        <v>430</v>
      </c>
      <c r="C31" s="41" t="s">
        <v>712</v>
      </c>
      <c r="D31" s="43" t="s">
        <v>343</v>
      </c>
      <c r="E31" s="158" t="e">
        <f>'Cost-revenue DATS'!E29-'Cost-revenue NO DATS'!E29</f>
        <v>#DIV/0!</v>
      </c>
      <c r="F31" s="158" t="e">
        <f>E31*100/'Cost-revenue NO DATS'!E29</f>
        <v>#DIV/0!</v>
      </c>
      <c r="G31" s="152" t="str">
        <f t="shared" si="1"/>
        <v xml:space="preserve">sust kpis no dats_Economic_COSTS_Labour for beehives visits </v>
      </c>
      <c r="H31" s="22" t="s">
        <v>1627</v>
      </c>
      <c r="I31" s="158">
        <v>0</v>
      </c>
      <c r="Q31" s="22">
        <v>9</v>
      </c>
      <c r="R31" s="22" t="str">
        <f>IFERROR(IF(IF(I31=1,E31,-E31)&gt;0,1,IF(IF(I31=1,E31,-E31)&lt;0,0,2)),"")</f>
        <v/>
      </c>
      <c r="T31" s="170"/>
      <c r="U31" s="170"/>
      <c r="V31" s="170"/>
      <c r="W31" s="170"/>
      <c r="X31" s="170"/>
      <c r="Y31" s="170"/>
      <c r="Z31" s="170"/>
    </row>
    <row r="32" spans="1:27">
      <c r="A32" t="s">
        <v>673</v>
      </c>
      <c r="B32" s="43" t="s">
        <v>430</v>
      </c>
      <c r="C32" s="41" t="s">
        <v>713</v>
      </c>
      <c r="D32" s="43" t="s">
        <v>344</v>
      </c>
      <c r="E32" s="158" t="e">
        <f>'Cost-revenue DATS'!E30-'Cost-revenue NO DATS'!E30</f>
        <v>#DIV/0!</v>
      </c>
      <c r="F32" s="158" t="e">
        <f>E32*100/'Cost-revenue NO DATS'!E30</f>
        <v>#DIV/0!</v>
      </c>
      <c r="G32" s="152" t="str">
        <f t="shared" si="1"/>
        <v xml:space="preserve">sust kpis no dats_Economic_COSTS_Labour for sampling of oysters </v>
      </c>
      <c r="H32" s="22" t="s">
        <v>1628</v>
      </c>
      <c r="I32" s="158">
        <v>0</v>
      </c>
      <c r="Q32" s="22">
        <v>9</v>
      </c>
      <c r="R32" s="22" t="str">
        <f>IFERROR(IF(IF(I32=1,E32,-E32)&gt;0,1,IF(IF(I32=1,E32,-E32)&lt;0,0,2)),"")</f>
        <v/>
      </c>
      <c r="T32" s="170"/>
      <c r="U32" s="170"/>
      <c r="V32" s="170"/>
      <c r="W32" s="170"/>
      <c r="X32" s="170"/>
      <c r="Y32" s="170"/>
      <c r="Z32" s="170"/>
    </row>
    <row r="33" spans="1:26">
      <c r="A33" t="s">
        <v>673</v>
      </c>
      <c r="B33" s="43" t="s">
        <v>430</v>
      </c>
      <c r="C33" s="41" t="s">
        <v>708</v>
      </c>
      <c r="D33" s="43" t="s">
        <v>344</v>
      </c>
      <c r="E33" s="158" t="e">
        <f>'Cost-revenue DATS'!E31-'Cost-revenue NO DATS'!E31</f>
        <v>#DIV/0!</v>
      </c>
      <c r="F33" s="158" t="e">
        <f>E33*100/'Cost-revenue NO DATS'!E31</f>
        <v>#DIV/0!</v>
      </c>
      <c r="G33" s="152" t="str">
        <f t="shared" si="1"/>
        <v xml:space="preserve">sust kpis no dats_Economic_COSTS_Labour for transporting oysters to the laboratory  </v>
      </c>
      <c r="H33" s="22" t="s">
        <v>1629</v>
      </c>
      <c r="I33" s="158">
        <v>0</v>
      </c>
      <c r="Q33" s="22">
        <v>9</v>
      </c>
      <c r="R33" s="22" t="str">
        <f>IFERROR(IF(IF(I33=1,E33,-E33)&gt;0,1,IF(IF(I33=1,E33,-E33)&lt;0,0,2)),"")</f>
        <v/>
      </c>
      <c r="T33" s="170"/>
      <c r="U33" s="170"/>
      <c r="V33" s="170"/>
      <c r="W33" s="170"/>
      <c r="X33" s="170"/>
      <c r="Y33" s="170"/>
      <c r="Z33" s="170"/>
    </row>
    <row r="34" spans="1:26">
      <c r="A34" t="s">
        <v>673</v>
      </c>
      <c r="B34" s="43" t="s">
        <v>430</v>
      </c>
      <c r="C34" s="41" t="s">
        <v>707</v>
      </c>
      <c r="D34" s="43" t="str">
        <f>'Cost-revenue DATS'!$D$3</f>
        <v>€/ha</v>
      </c>
      <c r="E34" s="158" t="e">
        <f>'Cost-revenue DATS'!E32-'Cost-revenue NO DATS'!E32</f>
        <v>#VALUE!</v>
      </c>
      <c r="F34" s="158" t="e">
        <f>E34*100/'Cost-revenue NO DATS'!E32</f>
        <v>#VALUE!</v>
      </c>
      <c r="G34" s="152" t="str">
        <f t="shared" si="1"/>
        <v xml:space="preserve">sust kpis no dats_Economic_COSTS_Labour for harvesting </v>
      </c>
      <c r="H34" s="22" t="s">
        <v>1630</v>
      </c>
      <c r="I34" s="158">
        <v>0</v>
      </c>
      <c r="Q34" s="22">
        <v>9</v>
      </c>
      <c r="R34" s="22" t="str">
        <f>IFERROR(IF(IF(I34=1,E34,-E34)&gt;0,1,IF(IF(I34=1,E34,-E34)&lt;0,0,2)),"")</f>
        <v/>
      </c>
      <c r="T34" s="170"/>
      <c r="U34" s="170"/>
      <c r="V34" s="170"/>
      <c r="W34" s="170"/>
      <c r="X34" s="170"/>
      <c r="Y34" s="170"/>
      <c r="Z34" s="170"/>
    </row>
    <row r="35" spans="1:26">
      <c r="A35" t="s">
        <v>673</v>
      </c>
      <c r="B35" s="43" t="s">
        <v>430</v>
      </c>
      <c r="C35" s="41" t="s">
        <v>706</v>
      </c>
      <c r="D35" s="43" t="str">
        <f>'Cost-revenue DATS'!$D$3</f>
        <v>€/ha</v>
      </c>
      <c r="E35" s="158" t="e">
        <f>'Cost-revenue DATS'!E33-'Cost-revenue NO DATS'!E33</f>
        <v>#VALUE!</v>
      </c>
      <c r="F35" s="158" t="e">
        <f>E35*100/'Cost-revenue NO DATS'!E33</f>
        <v>#VALUE!</v>
      </c>
      <c r="G35" s="152" t="str">
        <f t="shared" si="1"/>
        <v xml:space="preserve">sust kpis no dats_Economic_COSTS_Labour for storage </v>
      </c>
      <c r="H35" s="22" t="s">
        <v>1631</v>
      </c>
      <c r="I35" s="158">
        <v>0</v>
      </c>
      <c r="Q35" s="22">
        <v>9</v>
      </c>
      <c r="R35" s="22" t="str">
        <f>IFERROR(IF(IF(I35=1,E35,-E35)&gt;0,1,IF(IF(I35=1,E35,-E35)&lt;0,0,2)),"")</f>
        <v/>
      </c>
      <c r="T35" s="170"/>
      <c r="U35" s="170"/>
      <c r="V35" s="170"/>
      <c r="W35" s="170"/>
      <c r="X35" s="170"/>
      <c r="Y35" s="170"/>
      <c r="Z35" s="170"/>
    </row>
    <row r="36" spans="1:26">
      <c r="A36" t="s">
        <v>673</v>
      </c>
      <c r="B36" s="43" t="s">
        <v>430</v>
      </c>
      <c r="C36" s="41" t="s">
        <v>715</v>
      </c>
      <c r="D36" s="43" t="str">
        <f>'Cost-revenue DATS'!$D$3</f>
        <v>€/ha</v>
      </c>
      <c r="E36" s="158" t="e">
        <f>'Cost-revenue DATS'!E34-'Cost-revenue NO DATS'!E34</f>
        <v>#VALUE!</v>
      </c>
      <c r="F36" s="158" t="e">
        <f>E36*100/'Cost-revenue NO DATS'!E34</f>
        <v>#VALUE!</v>
      </c>
      <c r="G36" s="152" t="str">
        <f t="shared" si="1"/>
        <v xml:space="preserve">sust kpis no dats_Economic_COSTS_Labour for administrative activities, data collection, etc. </v>
      </c>
      <c r="H36" s="22" t="s">
        <v>1632</v>
      </c>
      <c r="I36" s="158">
        <v>0</v>
      </c>
      <c r="J36" s="22">
        <v>1</v>
      </c>
      <c r="Q36" s="22">
        <v>9</v>
      </c>
      <c r="R36" s="22" t="str">
        <f>IFERROR(IF(IF(I36=1,E36,-E36)&gt;0,1,IF(IF(I36=1,E36,-E36)&lt;0,0,2)),"")</f>
        <v/>
      </c>
      <c r="T36" s="170"/>
      <c r="U36" s="170"/>
      <c r="V36" s="170"/>
      <c r="W36" s="170"/>
      <c r="X36" s="170"/>
      <c r="Y36" s="170"/>
      <c r="Z36" s="170"/>
    </row>
    <row r="37" spans="1:26">
      <c r="A37" t="s">
        <v>673</v>
      </c>
      <c r="B37" s="167" t="s">
        <v>430</v>
      </c>
      <c r="C37" s="162" t="s">
        <v>678</v>
      </c>
      <c r="D37" s="167" t="str">
        <f>'Cost-revenue DATS'!D35</f>
        <v>€/ha</v>
      </c>
      <c r="E37" s="168" t="e">
        <f>SUMIF(J12:J36,1,E12:E36)</f>
        <v>#VALUE!</v>
      </c>
      <c r="F37" s="168" t="e">
        <f>E37*100/'Cost-revenue NO DATS'!E35</f>
        <v>#VALUE!</v>
      </c>
      <c r="G37" s="152" t="str">
        <f t="shared" si="1"/>
        <v>sust kpis no dats_Economic_COSTS_Sum of costs of labour</v>
      </c>
      <c r="H37" s="22" t="s">
        <v>1633</v>
      </c>
      <c r="I37" s="158">
        <v>0</v>
      </c>
      <c r="J37" s="22">
        <v>1</v>
      </c>
      <c r="R37" s="22" t="str">
        <f>IFERROR(IF(IF(I37=1,E37,-E37)&gt;0,1,IF(IF(I37=1,E37,-E37)&lt;0,0,2)),"")</f>
        <v/>
      </c>
      <c r="T37" s="170"/>
      <c r="U37" s="170"/>
      <c r="V37" s="170"/>
      <c r="W37" s="170"/>
      <c r="X37" s="170"/>
      <c r="Y37" s="170"/>
      <c r="Z37" s="170"/>
    </row>
    <row r="38" spans="1:26">
      <c r="A38" t="s">
        <v>673</v>
      </c>
      <c r="B38" s="167" t="s">
        <v>430</v>
      </c>
      <c r="C38" s="162" t="s">
        <v>429</v>
      </c>
      <c r="D38" s="167" t="str">
        <f>'Cost-revenue DATS'!D36</f>
        <v>€/ha</v>
      </c>
      <c r="E38" s="168" t="e">
        <f>SUMIF(J5:J36,1,E5:E36)</f>
        <v>#VALUE!</v>
      </c>
      <c r="F38" s="168" t="e">
        <f>E38*100/'Cost-revenue NO DATS'!E35</f>
        <v>#VALUE!</v>
      </c>
      <c r="G38" s="152" t="str">
        <f t="shared" si="1"/>
        <v>sust kpis no dats_Economic_COSTS_Sum of costs</v>
      </c>
      <c r="H38" s="22" t="s">
        <v>1634</v>
      </c>
      <c r="I38" s="158">
        <v>0</v>
      </c>
      <c r="J38" s="22">
        <v>1</v>
      </c>
      <c r="M38" s="22">
        <v>1</v>
      </c>
      <c r="Q38" s="22">
        <v>10</v>
      </c>
      <c r="R38" s="22" t="str">
        <f>IFERROR(IF(IF(I38=1,E38,-E38)&gt;0,1,IF(IF(I38=1,E38,-E38)&lt;0,0,2)),"")</f>
        <v/>
      </c>
      <c r="T38" s="170"/>
      <c r="U38" s="170"/>
      <c r="V38" s="170"/>
      <c r="W38" s="170"/>
      <c r="X38" s="170"/>
      <c r="Y38" s="170"/>
      <c r="Z38" s="170"/>
    </row>
    <row r="39" spans="1:26">
      <c r="A39" t="s">
        <v>673</v>
      </c>
      <c r="B39" s="161" t="s">
        <v>114</v>
      </c>
      <c r="C39" s="162" t="s">
        <v>592</v>
      </c>
      <c r="D39" s="43" t="str">
        <f>'Cost-revenue DATS'!$D$3</f>
        <v>€/ha</v>
      </c>
      <c r="E39" s="158" t="e">
        <f>'Cost-revenue DATS'!E41-'Cost-revenue NO DATS'!E41</f>
        <v>#VALUE!</v>
      </c>
      <c r="F39" s="158" t="e">
        <f>E39*100/'Cost-revenue NO DATS'!E41</f>
        <v>#VALUE!</v>
      </c>
      <c r="G39" s="152" t="str">
        <f t="shared" si="1"/>
        <v>sust kpis no dats_Economic_OUTPUT_Crop revenue</v>
      </c>
      <c r="H39" s="22" t="s">
        <v>1635</v>
      </c>
      <c r="I39" s="158">
        <v>1</v>
      </c>
      <c r="J39" s="22">
        <v>1</v>
      </c>
      <c r="K39" s="22">
        <v>1</v>
      </c>
      <c r="L39" s="22">
        <v>1</v>
      </c>
      <c r="M39" s="22">
        <v>1</v>
      </c>
      <c r="N39" t="s">
        <v>722</v>
      </c>
      <c r="O39" t="s">
        <v>723</v>
      </c>
      <c r="P39" t="s">
        <v>802</v>
      </c>
      <c r="Q39" s="22">
        <v>10</v>
      </c>
      <c r="R39" s="22" t="str">
        <f>IFERROR(IF(IF(I39=1,E39,-E39)&gt;0,1,IF(IF(I39=1,E39,-E39)&lt;0,0,2)),"")</f>
        <v/>
      </c>
      <c r="T39" s="170"/>
      <c r="U39" s="170"/>
      <c r="V39" s="170"/>
      <c r="W39" s="170"/>
      <c r="X39" s="170"/>
      <c r="Y39" s="170"/>
      <c r="Z39" s="170"/>
    </row>
    <row r="40" spans="1:26">
      <c r="A40" t="s">
        <v>673</v>
      </c>
      <c r="B40" s="161" t="s">
        <v>114</v>
      </c>
      <c r="C40" s="162" t="s">
        <v>593</v>
      </c>
      <c r="D40" s="43" t="str">
        <f>'Cost-revenue DATS'!$D$3</f>
        <v>€/ha</v>
      </c>
      <c r="E40" s="22" t="e">
        <f>'Cost-revenue DATS'!E42-'Cost-revenue NO DATS'!E42</f>
        <v>#VALUE!</v>
      </c>
      <c r="F40" s="158" t="e">
        <f>E40*100/'Cost-revenue NO DATS'!E42</f>
        <v>#VALUE!</v>
      </c>
      <c r="G40" s="152" t="str">
        <f t="shared" si="1"/>
        <v>sust kpis no dats_Economic_OUTPUT_Milk revenue</v>
      </c>
      <c r="H40" s="22" t="s">
        <v>1636</v>
      </c>
      <c r="I40" s="158">
        <v>1</v>
      </c>
      <c r="Q40" s="22">
        <v>10</v>
      </c>
      <c r="R40" s="22" t="str">
        <f>IFERROR(IF(IF(I40=1,E40,-E40)&gt;0,1,IF(IF(I40=1,E40,-E40)&lt;0,0,2)),"")</f>
        <v/>
      </c>
      <c r="T40" s="170"/>
      <c r="U40" s="170"/>
      <c r="V40" s="170"/>
      <c r="W40" s="170"/>
      <c r="X40" s="170"/>
      <c r="Y40" s="170"/>
      <c r="Z40" s="170"/>
    </row>
    <row r="41" spans="1:26">
      <c r="A41" t="s">
        <v>673</v>
      </c>
      <c r="B41" s="161" t="s">
        <v>114</v>
      </c>
      <c r="C41" s="162" t="s">
        <v>594</v>
      </c>
      <c r="D41" s="43" t="str">
        <f>'Cost-revenue DATS'!$D$3</f>
        <v>€/ha</v>
      </c>
      <c r="E41" s="22" t="e">
        <f>'Cost-revenue DATS'!E43-'Cost-revenue NO DATS'!E43</f>
        <v>#VALUE!</v>
      </c>
      <c r="F41" s="158" t="e">
        <f>E41*100/'Cost-revenue NO DATS'!E43</f>
        <v>#VALUE!</v>
      </c>
      <c r="G41" s="152" t="str">
        <f t="shared" si="1"/>
        <v>sust kpis no dats_Economic_OUTPUT_Meat revenue</v>
      </c>
      <c r="H41" s="22" t="s">
        <v>1637</v>
      </c>
      <c r="I41" s="158">
        <v>1</v>
      </c>
      <c r="Q41" s="22">
        <v>10</v>
      </c>
      <c r="R41" s="22" t="str">
        <f>IFERROR(IF(IF(I41=1,E41,-E41)&gt;0,1,IF(IF(I41=1,E41,-E41)&lt;0,0,2)),"")</f>
        <v/>
      </c>
      <c r="T41" s="170"/>
      <c r="U41" s="170"/>
      <c r="V41" s="170"/>
      <c r="W41" s="170"/>
      <c r="X41" s="170"/>
      <c r="Y41" s="170"/>
      <c r="Z41" s="170"/>
    </row>
    <row r="42" spans="1:26">
      <c r="A42" t="s">
        <v>673</v>
      </c>
      <c r="B42" s="161" t="s">
        <v>114</v>
      </c>
      <c r="C42" s="162" t="s">
        <v>595</v>
      </c>
      <c r="D42" s="43" t="str">
        <f>'Cost-revenue DATS'!$D$3</f>
        <v>€/ha</v>
      </c>
      <c r="E42" s="22" t="e">
        <f>'Cost-revenue DATS'!E44-'Cost-revenue NO DATS'!E44</f>
        <v>#DIV/0!</v>
      </c>
      <c r="F42" s="158" t="e">
        <f>E42*100/'Cost-revenue NO DATS'!E44</f>
        <v>#DIV/0!</v>
      </c>
      <c r="G42" s="152" t="str">
        <f t="shared" si="1"/>
        <v>sust kpis no dats_Economic_OUTPUT_Oyster revenue</v>
      </c>
      <c r="H42" s="22" t="s">
        <v>1638</v>
      </c>
      <c r="I42" s="158">
        <v>1</v>
      </c>
      <c r="Q42" s="22">
        <v>10</v>
      </c>
      <c r="R42" s="22" t="str">
        <f>IFERROR(IF(IF(I42=1,E42,-E42)&gt;0,1,IF(IF(I42=1,E42,-E42)&lt;0,0,2)),"")</f>
        <v/>
      </c>
      <c r="T42" s="170"/>
      <c r="U42" s="170"/>
      <c r="V42" s="170"/>
      <c r="W42" s="170"/>
      <c r="X42" s="170"/>
      <c r="Y42" s="170"/>
      <c r="Z42" s="170"/>
    </row>
    <row r="43" spans="1:26">
      <c r="A43" t="s">
        <v>673</v>
      </c>
      <c r="B43" s="161" t="s">
        <v>114</v>
      </c>
      <c r="C43" s="162" t="s">
        <v>596</v>
      </c>
      <c r="D43" s="43" t="str">
        <f>'Cost-revenue DATS'!$D$3</f>
        <v>€/ha</v>
      </c>
      <c r="E43" s="22" t="e">
        <f>'Cost-revenue DATS'!E45-'Cost-revenue NO DATS'!E45</f>
        <v>#DIV/0!</v>
      </c>
      <c r="F43" s="158" t="e">
        <f>E43*100/'Cost-revenue NO DATS'!E45</f>
        <v>#DIV/0!</v>
      </c>
      <c r="G43" s="152" t="str">
        <f t="shared" si="1"/>
        <v>sust kpis no dats_Economic_OUTPUT_Honey revenue</v>
      </c>
      <c r="H43" s="22" t="s">
        <v>1639</v>
      </c>
      <c r="I43" s="158">
        <v>1</v>
      </c>
      <c r="Q43" s="22">
        <v>10</v>
      </c>
      <c r="R43" s="22" t="str">
        <f>IFERROR(IF(IF(I43=1,E43,-E43)&gt;0,1,IF(IF(I43=1,E43,-E43)&lt;0,0,2)),"")</f>
        <v/>
      </c>
      <c r="T43" s="170"/>
      <c r="U43" s="170"/>
      <c r="V43" s="170"/>
      <c r="W43" s="170"/>
      <c r="X43" s="170"/>
      <c r="Y43" s="170"/>
      <c r="Z43" s="170"/>
    </row>
    <row r="44" spans="1:26">
      <c r="A44" t="s">
        <v>673</v>
      </c>
      <c r="B44" s="161" t="s">
        <v>114</v>
      </c>
      <c r="C44" s="162" t="s">
        <v>763</v>
      </c>
      <c r="D44" s="43" t="str">
        <f>'Cost-revenue DATS'!$D$3</f>
        <v>€/ha</v>
      </c>
      <c r="E44" s="22">
        <f>'Cost-revenue DATS'!E46-'Cost-revenue NO DATS'!E46</f>
        <v>0</v>
      </c>
      <c r="F44" s="158" t="e">
        <f>E44*100/'Cost-revenue NO DATS'!E46</f>
        <v>#DIV/0!</v>
      </c>
      <c r="G44" s="152" t="str">
        <f t="shared" si="1"/>
        <v>sust kpis no dats_Economic_OUTPUT_Silos revenue</v>
      </c>
      <c r="H44" s="22" t="s">
        <v>1640</v>
      </c>
      <c r="I44" s="158">
        <v>1</v>
      </c>
      <c r="Q44" s="22">
        <v>10</v>
      </c>
      <c r="R44" s="22">
        <f>IFERROR(IF(IF(I44=1,E44,-E44)&gt;0,1,IF(IF(I44=1,E44,-E44)&lt;0,0,2)),"")</f>
        <v>2</v>
      </c>
      <c r="T44" s="170"/>
      <c r="U44" s="170"/>
      <c r="V44" s="170"/>
      <c r="W44" s="170"/>
      <c r="X44" s="170"/>
      <c r="Y44" s="170"/>
      <c r="Z44" s="170"/>
    </row>
    <row r="45" spans="1:26">
      <c r="A45" t="s">
        <v>673</v>
      </c>
      <c r="B45" s="163" t="s">
        <v>681</v>
      </c>
      <c r="C45" s="163" t="s">
        <v>428</v>
      </c>
      <c r="D45" s="163" t="str">
        <f>D38</f>
        <v>€/ha</v>
      </c>
      <c r="E45" s="168" t="e">
        <f>IF(J39=1,E39-E38,-E38)</f>
        <v>#VALUE!</v>
      </c>
      <c r="F45" s="22"/>
      <c r="G45" s="152" t="str">
        <f t="shared" si="1"/>
        <v>sust kpis no dats_Economic_CBA_BENEFIT</v>
      </c>
      <c r="H45" s="22" t="s">
        <v>1641</v>
      </c>
      <c r="I45" s="158">
        <v>1</v>
      </c>
      <c r="R45" s="22" t="str">
        <f>IFERROR(IF(IF(I45=1,E45,-E45)&gt;0,1,IF(IF(I45=1,E45,-E45)&lt;0,0,2)),"")</f>
        <v/>
      </c>
      <c r="T45" s="170"/>
      <c r="U45" s="170"/>
      <c r="V45" s="170"/>
      <c r="W45" s="170"/>
      <c r="X45" s="170"/>
      <c r="Y45" s="170"/>
      <c r="Z45" s="170"/>
    </row>
    <row r="46" spans="1:26">
      <c r="A46" t="s">
        <v>673</v>
      </c>
      <c r="B46" s="163" t="s">
        <v>681</v>
      </c>
      <c r="C46" s="163" t="s">
        <v>431</v>
      </c>
      <c r="D46" s="163" t="str">
        <f>D45</f>
        <v>€/ha</v>
      </c>
      <c r="E46" s="168" t="e">
        <f>E45-E3</f>
        <v>#VALUE!</v>
      </c>
      <c r="F46" s="22"/>
      <c r="G46" s="152" t="str">
        <f t="shared" si="1"/>
        <v>sust kpis no dats_Economic_CBA_NET BENEFIT</v>
      </c>
      <c r="H46" s="22" t="s">
        <v>1642</v>
      </c>
      <c r="I46" s="158">
        <v>1</v>
      </c>
      <c r="J46" s="22">
        <v>1</v>
      </c>
      <c r="K46" s="22">
        <v>1</v>
      </c>
      <c r="L46" s="22">
        <v>1</v>
      </c>
      <c r="N46" t="s">
        <v>431</v>
      </c>
      <c r="O46" t="s">
        <v>723</v>
      </c>
      <c r="P46" t="s">
        <v>803</v>
      </c>
      <c r="Q46" s="22">
        <v>10</v>
      </c>
      <c r="R46" s="22" t="str">
        <f>IFERROR(IF(IF(I46=1,E46,-E46)&gt;0,1,IF(IF(I46=1,E46,-E46)&lt;0,0,2)),"")</f>
        <v/>
      </c>
      <c r="S46">
        <v>1</v>
      </c>
      <c r="T46" s="170"/>
      <c r="U46" s="170"/>
      <c r="V46" s="170"/>
      <c r="W46" s="170"/>
      <c r="X46" s="170"/>
      <c r="Y46" s="170"/>
      <c r="Z46" s="170"/>
    </row>
    <row r="47" spans="1:26">
      <c r="A47" t="s">
        <v>673</v>
      </c>
      <c r="B47" s="163" t="s">
        <v>681</v>
      </c>
      <c r="C47" s="163" t="s">
        <v>432</v>
      </c>
      <c r="D47" s="163" t="s">
        <v>775</v>
      </c>
      <c r="E47" s="201" t="e">
        <f>E4/E46</f>
        <v>#VALUE!</v>
      </c>
      <c r="F47" s="22"/>
      <c r="G47" s="152" t="str">
        <f t="shared" si="1"/>
        <v>sust kpis no dats_Economic_CBA_PAYBACK PERIOD</v>
      </c>
      <c r="H47" s="22" t="s">
        <v>1643</v>
      </c>
      <c r="I47" s="158"/>
      <c r="J47" s="22">
        <v>1</v>
      </c>
      <c r="K47" s="22">
        <v>1</v>
      </c>
      <c r="N47" t="s">
        <v>808</v>
      </c>
      <c r="O47" t="s">
        <v>809</v>
      </c>
      <c r="Q47" s="22">
        <v>11</v>
      </c>
      <c r="R47" s="22">
        <v>2</v>
      </c>
      <c r="T47" s="170"/>
      <c r="U47" s="170"/>
      <c r="V47" s="170"/>
      <c r="W47" s="170"/>
      <c r="X47" s="170"/>
      <c r="Y47" s="170"/>
      <c r="Z47" s="170"/>
    </row>
    <row r="48" spans="1:26">
      <c r="A48" t="s">
        <v>673</v>
      </c>
      <c r="B48" s="163" t="s">
        <v>681</v>
      </c>
      <c r="C48" s="163" t="s">
        <v>433</v>
      </c>
      <c r="D48" s="163" t="str">
        <f>D46</f>
        <v>€/ha</v>
      </c>
      <c r="E48" s="201"/>
      <c r="F48" s="22"/>
      <c r="G48" s="152" t="str">
        <f t="shared" si="1"/>
        <v>sust kpis no dats_Economic_CBA_NPV</v>
      </c>
      <c r="H48" s="22" t="s">
        <v>1644</v>
      </c>
      <c r="R48" s="22">
        <v>2</v>
      </c>
      <c r="T48" s="170"/>
      <c r="U48" s="170"/>
      <c r="V48" s="170"/>
      <c r="W48" s="170"/>
      <c r="X48" s="170"/>
      <c r="Y48" s="170"/>
      <c r="Z48" s="170"/>
    </row>
    <row r="49" spans="1:26">
      <c r="A49" t="s">
        <v>673</v>
      </c>
      <c r="B49" s="163" t="s">
        <v>681</v>
      </c>
      <c r="C49" s="163" t="s">
        <v>434</v>
      </c>
      <c r="D49" s="163" t="str">
        <f>D48</f>
        <v>€/ha</v>
      </c>
      <c r="E49" s="201"/>
      <c r="F49" s="22"/>
      <c r="G49" s="152" t="str">
        <f t="shared" si="1"/>
        <v>sust kpis no dats_Economic_CBA_ROI</v>
      </c>
      <c r="H49" s="22" t="s">
        <v>1645</v>
      </c>
      <c r="R49" s="22">
        <v>2</v>
      </c>
      <c r="T49" s="170"/>
      <c r="U49" s="170"/>
      <c r="V49" s="170"/>
      <c r="W49" s="170"/>
      <c r="X49" s="170"/>
      <c r="Y49" s="170"/>
      <c r="Z49" s="170"/>
    </row>
    <row r="50" spans="1:26">
      <c r="A50" t="s">
        <v>673</v>
      </c>
      <c r="B50" s="40" t="s">
        <v>277</v>
      </c>
      <c r="C50" s="41" t="s">
        <v>302</v>
      </c>
      <c r="D50" s="43" t="s">
        <v>311</v>
      </c>
      <c r="E50" s="158" t="e">
        <f>'sust. impact KPIs DATS'!E3-'sust. impact KPIs NO DATS'!E3</f>
        <v>#VALUE!</v>
      </c>
      <c r="F50" s="160" t="e">
        <f>E50*100/'sust. impact KPIs NO DATS'!E3</f>
        <v>#VALUE!</v>
      </c>
      <c r="G50" s="152" t="str">
        <f t="shared" si="1"/>
        <v>sust kpis no dats_Economic_PRODUCTIVITY _Land Productivity</v>
      </c>
      <c r="H50" s="22" t="s">
        <v>1646</v>
      </c>
      <c r="I50" s="158">
        <v>1</v>
      </c>
      <c r="J50" s="22">
        <v>1</v>
      </c>
      <c r="K50" s="22">
        <v>1</v>
      </c>
      <c r="M50" s="22">
        <v>1</v>
      </c>
      <c r="N50" t="s">
        <v>804</v>
      </c>
      <c r="O50" t="s">
        <v>806</v>
      </c>
      <c r="R50" s="22" t="str">
        <f>IFERROR(IF(IF(I50=1,E50,-E50)&gt;0,1,IF(IF(I50=1,E50,-E50)&lt;0,0,2)),"")</f>
        <v/>
      </c>
      <c r="T50" s="170"/>
      <c r="U50" s="170"/>
      <c r="V50" s="170"/>
      <c r="W50" s="170"/>
      <c r="X50" s="170"/>
      <c r="Y50" s="170"/>
      <c r="Z50" s="170"/>
    </row>
    <row r="51" spans="1:26">
      <c r="A51" t="s">
        <v>673</v>
      </c>
      <c r="B51" s="40" t="s">
        <v>277</v>
      </c>
      <c r="C51" s="41" t="s">
        <v>394</v>
      </c>
      <c r="D51" s="43" t="str">
        <f>'sust. impact KPIs DATS'!D4</f>
        <v>t / h</v>
      </c>
      <c r="E51" s="160">
        <f>'sust. impact KPIs DATS'!E4-'sust. impact KPIs NO DATS'!E4</f>
        <v>5.1436363636363645</v>
      </c>
      <c r="F51" s="160">
        <f>E51*100/'sust. impact KPIs NO DATS'!E4</f>
        <v>24.12587412587413</v>
      </c>
      <c r="G51" s="152" t="str">
        <f t="shared" si="1"/>
        <v>sust kpis no dats_Economic_PRODUCTIVITY _Labour productivity (arable and horticulture)</v>
      </c>
      <c r="H51" s="22" t="s">
        <v>1647</v>
      </c>
      <c r="I51" s="158">
        <v>1</v>
      </c>
      <c r="R51" s="22">
        <f>IFERROR(IF(IF(I51=1,E51,-E51)&gt;0,1,IF(IF(I51=1,E51,-E51)&lt;0,0,2)),"")</f>
        <v>1</v>
      </c>
      <c r="T51" s="170"/>
      <c r="U51" s="170"/>
      <c r="V51" s="170"/>
      <c r="W51" s="170"/>
      <c r="X51" s="170"/>
      <c r="Y51" s="170"/>
      <c r="Z51" s="170"/>
    </row>
    <row r="52" spans="1:26">
      <c r="A52" t="s">
        <v>673</v>
      </c>
      <c r="B52" s="40" t="s">
        <v>277</v>
      </c>
      <c r="C52" s="41" t="s">
        <v>395</v>
      </c>
      <c r="D52" s="43" t="str">
        <f>'sust. impact KPIs DATS'!D5</f>
        <v>l milk/h</v>
      </c>
      <c r="E52" s="22">
        <f>'sust. impact KPIs DATS'!E5-'sust. impact KPIs NO DATS'!E5</f>
        <v>0</v>
      </c>
      <c r="F52" s="22" t="e">
        <f>E52*100/'sust. impact KPIs NO DATS'!E5</f>
        <v>#DIV/0!</v>
      </c>
      <c r="G52" s="152" t="str">
        <f t="shared" si="1"/>
        <v>sust kpis no dats_Economic_PRODUCTIVITY _Labour productivity (dairy livestock)</v>
      </c>
      <c r="H52" s="22" t="s">
        <v>1648</v>
      </c>
      <c r="I52" s="158">
        <v>1</v>
      </c>
      <c r="R52" s="22">
        <f>IFERROR(IF(IF(I52=1,E52,-E52)&gt;0,1,IF(IF(I52=1,E52,-E52)&lt;0,0,2)),"")</f>
        <v>2</v>
      </c>
      <c r="T52" s="170"/>
      <c r="U52" s="170"/>
      <c r="V52" s="170"/>
      <c r="W52" s="170"/>
      <c r="X52" s="170"/>
      <c r="Y52" s="170"/>
      <c r="Z52" s="170"/>
    </row>
    <row r="53" spans="1:26">
      <c r="A53" t="s">
        <v>673</v>
      </c>
      <c r="B53" s="40" t="s">
        <v>277</v>
      </c>
      <c r="C53" s="41" t="s">
        <v>396</v>
      </c>
      <c r="D53" s="43" t="str">
        <f>'sust. impact KPIs DATS'!D6</f>
        <v>kg meat/h</v>
      </c>
      <c r="E53" s="22">
        <f>'sust. impact KPIs DATS'!E6-'sust. impact KPIs NO DATS'!E6</f>
        <v>0</v>
      </c>
      <c r="F53" s="22" t="e">
        <f>E53*100/'sust. impact KPIs NO DATS'!E6</f>
        <v>#DIV/0!</v>
      </c>
      <c r="G53" s="152" t="str">
        <f t="shared" si="1"/>
        <v>sust kpis no dats_Economic_PRODUCTIVITY _Labour productivity  (meat livestock)</v>
      </c>
      <c r="H53" s="22" t="s">
        <v>1649</v>
      </c>
      <c r="I53" s="158">
        <v>1</v>
      </c>
      <c r="R53" s="22">
        <f>IFERROR(IF(IF(I53=1,E53,-E53)&gt;0,1,IF(IF(I53=1,E53,-E53)&lt;0,0,2)),"")</f>
        <v>2</v>
      </c>
      <c r="T53" s="170"/>
      <c r="U53" s="170"/>
      <c r="V53" s="170"/>
      <c r="W53" s="170"/>
      <c r="X53" s="170"/>
      <c r="Y53" s="170"/>
      <c r="Z53" s="170"/>
    </row>
    <row r="54" spans="1:26">
      <c r="A54" t="s">
        <v>673</v>
      </c>
      <c r="B54" s="40" t="s">
        <v>277</v>
      </c>
      <c r="C54" s="41" t="s">
        <v>397</v>
      </c>
      <c r="D54" s="43" t="str">
        <f>'sust. impact KPIs DATS'!D7</f>
        <v>pieces/h</v>
      </c>
      <c r="E54" s="22">
        <f>'sust. impact KPIs DATS'!E7-'sust. impact KPIs NO DATS'!E7</f>
        <v>0</v>
      </c>
      <c r="F54" s="22" t="e">
        <f>E54*100/'sust. impact KPIs NO DATS'!E7</f>
        <v>#DIV/0!</v>
      </c>
      <c r="G54" s="152" t="str">
        <f t="shared" si="1"/>
        <v>sust kpis no dats_Economic_PRODUCTIVITY _Labour productivity  (aquaculture)</v>
      </c>
      <c r="H54" s="22" t="s">
        <v>1650</v>
      </c>
      <c r="I54" s="158">
        <v>1</v>
      </c>
      <c r="R54" s="22">
        <f>IFERROR(IF(IF(I54=1,E54,-E54)&gt;0,1,IF(IF(I54=1,E54,-E54)&lt;0,0,2)),"")</f>
        <v>2</v>
      </c>
      <c r="T54" s="170"/>
      <c r="U54" s="170"/>
      <c r="V54" s="170"/>
      <c r="W54" s="170"/>
      <c r="X54" s="170"/>
      <c r="Y54" s="170"/>
      <c r="Z54" s="170"/>
    </row>
    <row r="55" spans="1:26">
      <c r="A55" t="s">
        <v>673</v>
      </c>
      <c r="B55" s="40" t="s">
        <v>277</v>
      </c>
      <c r="C55" s="41" t="s">
        <v>398</v>
      </c>
      <c r="D55" s="43" t="str">
        <f>'sust. impact KPIs DATS'!D8</f>
        <v>kg honey/h</v>
      </c>
      <c r="E55" s="22">
        <f>'sust. impact KPIs DATS'!E8-'sust. impact KPIs NO DATS'!E8</f>
        <v>0</v>
      </c>
      <c r="F55" s="22" t="e">
        <f>E55*100/'sust. impact KPIs NO DATS'!E8</f>
        <v>#DIV/0!</v>
      </c>
      <c r="G55" s="152" t="str">
        <f t="shared" si="1"/>
        <v>sust kpis no dats_Economic_PRODUCTIVITY _Labour productivity  (apiculture)</v>
      </c>
      <c r="H55" s="22" t="s">
        <v>1651</v>
      </c>
      <c r="I55" s="158">
        <v>1</v>
      </c>
      <c r="R55" s="22">
        <f>IFERROR(IF(IF(I55=1,E55,-E55)&gt;0,1,IF(IF(I55=1,E55,-E55)&lt;0,0,2)),"")</f>
        <v>2</v>
      </c>
      <c r="T55" s="170"/>
      <c r="U55" s="170"/>
      <c r="V55" s="170"/>
      <c r="W55" s="170"/>
      <c r="X55" s="170"/>
      <c r="Y55" s="170"/>
      <c r="Z55" s="170"/>
    </row>
    <row r="56" spans="1:26">
      <c r="A56" t="s">
        <v>673</v>
      </c>
      <c r="B56" s="40" t="s">
        <v>277</v>
      </c>
      <c r="C56" s="41" t="s">
        <v>304</v>
      </c>
      <c r="D56" s="43" t="s">
        <v>782</v>
      </c>
      <c r="E56" s="22" t="e">
        <f>'sust. impact KPIs DATS'!E10-'sust. impact KPIs NO DATS'!E10</f>
        <v>#DIV/0!</v>
      </c>
      <c r="F56" s="22" t="e">
        <f>E56*100/'sust. impact KPIs NO DATS'!E10</f>
        <v>#DIV/0!</v>
      </c>
      <c r="G56" s="152" t="str">
        <f t="shared" si="1"/>
        <v>sust kpis no dats_Economic_PRODUCTIVITY _Milk productivity</v>
      </c>
      <c r="H56" s="22" t="s">
        <v>1652</v>
      </c>
      <c r="I56" s="158">
        <v>1</v>
      </c>
      <c r="R56" s="22" t="str">
        <f>IFERROR(IF(IF(I56=1,E56,-E56)&gt;0,1,IF(IF(I56=1,E56,-E56)&lt;0,0,2)),"")</f>
        <v/>
      </c>
      <c r="T56" s="170"/>
      <c r="U56" s="170"/>
      <c r="V56" s="170"/>
      <c r="W56" s="170"/>
      <c r="X56" s="170"/>
      <c r="Y56" s="170"/>
      <c r="Z56" s="170"/>
    </row>
    <row r="57" spans="1:26">
      <c r="A57" t="s">
        <v>673</v>
      </c>
      <c r="B57" s="40" t="s">
        <v>277</v>
      </c>
      <c r="C57" s="41" t="s">
        <v>309</v>
      </c>
      <c r="D57" s="43" t="s">
        <v>783</v>
      </c>
      <c r="E57" s="22" t="e">
        <f>'sust. impact KPIs DATS'!E11-'sust. impact KPIs NO DATS'!E11</f>
        <v>#DIV/0!</v>
      </c>
      <c r="F57" s="22" t="e">
        <f>E57*100/'sust. impact KPIs NO DATS'!E11</f>
        <v>#DIV/0!</v>
      </c>
      <c r="G57" s="152" t="str">
        <f t="shared" si="1"/>
        <v xml:space="preserve">sust kpis no dats_Economic_PRODUCTIVITY _Meat productivity </v>
      </c>
      <c r="H57" s="22" t="s">
        <v>1653</v>
      </c>
      <c r="I57" s="158">
        <v>1</v>
      </c>
      <c r="R57" s="22" t="str">
        <f>IFERROR(IF(IF(I57=1,E57,-E57)&gt;0,1,IF(IF(I57=1,E57,-E57)&lt;0,0,2)),"")</f>
        <v/>
      </c>
      <c r="T57" s="170"/>
      <c r="U57" s="170"/>
      <c r="V57" s="170"/>
      <c r="W57" s="170"/>
      <c r="X57" s="170"/>
      <c r="Y57" s="170"/>
      <c r="Z57" s="170"/>
    </row>
    <row r="58" spans="1:26">
      <c r="A58" t="s">
        <v>673</v>
      </c>
      <c r="B58" s="40" t="s">
        <v>277</v>
      </c>
      <c r="C58" s="41" t="s">
        <v>306</v>
      </c>
      <c r="D58" s="43" t="s">
        <v>784</v>
      </c>
      <c r="E58" s="22" t="e">
        <f>'sust. impact KPIs DATS'!E12-'sust. impact KPIs NO DATS'!E12</f>
        <v>#DIV/0!</v>
      </c>
      <c r="F58" s="22" t="e">
        <f>E58*100/'sust. impact KPIs NO DATS'!E12</f>
        <v>#DIV/0!</v>
      </c>
      <c r="G58" s="152" t="str">
        <f t="shared" si="1"/>
        <v>sust kpis no dats_Economic_PRODUCTIVITY _Bees productivity</v>
      </c>
      <c r="H58" s="22" t="s">
        <v>1654</v>
      </c>
      <c r="I58" s="158">
        <v>1</v>
      </c>
      <c r="R58" s="22" t="str">
        <f>IFERROR(IF(IF(I58=1,E58,-E58)&gt;0,1,IF(IF(I58=1,E58,-E58)&lt;0,0,2)),"")</f>
        <v/>
      </c>
      <c r="T58" s="170"/>
      <c r="U58" s="170"/>
      <c r="V58" s="170"/>
      <c r="W58" s="170"/>
      <c r="X58" s="170"/>
      <c r="Y58" s="170"/>
      <c r="Z58" s="170"/>
    </row>
    <row r="59" spans="1:26">
      <c r="A59" t="s">
        <v>673</v>
      </c>
      <c r="B59" s="40" t="s">
        <v>277</v>
      </c>
      <c r="C59" s="41" t="s">
        <v>307</v>
      </c>
      <c r="D59" s="43" t="s">
        <v>524</v>
      </c>
      <c r="E59" s="22" t="e">
        <f>'sust. impact KPIs DATS'!E13-'sust. impact KPIs NO DATS'!E13</f>
        <v>#DIV/0!</v>
      </c>
      <c r="F59" s="22" t="e">
        <f>E59*100/'sust. impact KPIs NO DATS'!E13</f>
        <v>#DIV/0!</v>
      </c>
      <c r="G59" s="152" t="str">
        <f t="shared" si="1"/>
        <v>sust kpis no dats_Economic_PRODUCTIVITY _Oyster productivity</v>
      </c>
      <c r="H59" s="22" t="s">
        <v>1655</v>
      </c>
      <c r="I59" s="158">
        <v>1</v>
      </c>
      <c r="R59" s="22" t="str">
        <f>IFERROR(IF(IF(I59=1,E59,-E59)&gt;0,1,IF(IF(I59=1,E59,-E59)&lt;0,0,2)),"")</f>
        <v/>
      </c>
      <c r="T59" s="170"/>
      <c r="U59" s="170"/>
      <c r="V59" s="170"/>
      <c r="W59" s="170"/>
      <c r="X59" s="170"/>
      <c r="Y59" s="170"/>
      <c r="Z59" s="170"/>
    </row>
    <row r="60" spans="1:26">
      <c r="B60" s="40" t="s">
        <v>685</v>
      </c>
      <c r="C60" s="41" t="s">
        <v>313</v>
      </c>
      <c r="D60" s="43" t="s">
        <v>105</v>
      </c>
      <c r="E60" s="22" t="e">
        <f>'sust. impact KPIs DATS'!E17-'sust. impact KPIs NO DATS'!E17</f>
        <v>#DIV/0!</v>
      </c>
      <c r="F60" s="22" t="e">
        <f>E60*100/'sust. impact KPIs NO DATS'!E17</f>
        <v>#DIV/0!</v>
      </c>
      <c r="G60" s="152" t="str">
        <f t="shared" si="1"/>
        <v>sust kpis no dats__QUALITY_Rate of time for quality analysis</v>
      </c>
      <c r="H60" s="22" t="s">
        <v>1656</v>
      </c>
      <c r="I60" s="22">
        <v>0</v>
      </c>
      <c r="R60" s="22" t="str">
        <f>IFERROR(IF(IF(I60=1,E60,-E60)&gt;0,1,IF(IF(I60=1,E60,-E60)&lt;0,0,2)),"")</f>
        <v/>
      </c>
    </row>
    <row r="61" spans="1:26">
      <c r="A61" t="s">
        <v>673</v>
      </c>
      <c r="B61" s="40" t="s">
        <v>685</v>
      </c>
      <c r="C61" s="41" t="s">
        <v>315</v>
      </c>
      <c r="D61" s="43" t="s">
        <v>105</v>
      </c>
      <c r="E61" s="22" t="e">
        <f>'sust. impact KPIs DATS'!E18-'sust. impact KPIs NO DATS'!E18</f>
        <v>#DIV/0!</v>
      </c>
      <c r="F61" s="22" t="e">
        <f>E61*100/'sust. impact KPIs NO DATS'!E18</f>
        <v>#DIV/0!</v>
      </c>
      <c r="G61" s="152" t="str">
        <f t="shared" si="1"/>
        <v>sust kpis no dats_Economic_QUALITY_Rate of on-time fulfilled orders</v>
      </c>
      <c r="H61" s="22" t="s">
        <v>1657</v>
      </c>
      <c r="I61" s="22">
        <v>1</v>
      </c>
      <c r="R61" s="22" t="str">
        <f>IFERROR(IF(IF(I61=1,E61,-E61)&gt;0,1,IF(IF(I61=1,E61,-E61)&lt;0,0,2)),"")</f>
        <v/>
      </c>
    </row>
    <row r="62" spans="1:26">
      <c r="A62" t="s">
        <v>673</v>
      </c>
      <c r="B62" s="40" t="s">
        <v>685</v>
      </c>
      <c r="C62" s="41" t="s">
        <v>317</v>
      </c>
      <c r="D62" s="43" t="s">
        <v>111</v>
      </c>
      <c r="E62" s="22">
        <f>'sust. impact KPIs DATS'!E19-'sust. impact KPIs NO DATS'!E19</f>
        <v>0</v>
      </c>
      <c r="F62" s="22" t="e">
        <f>E62*100/'sust. impact KPIs NO DATS'!E19</f>
        <v>#DIV/0!</v>
      </c>
      <c r="G62" s="152" t="str">
        <f t="shared" si="1"/>
        <v>sust kpis no dats_Economic_QUALITY_Number of wrong orders</v>
      </c>
      <c r="H62" s="22" t="s">
        <v>1658</v>
      </c>
      <c r="I62" s="22">
        <v>0</v>
      </c>
      <c r="R62" s="22">
        <f>IFERROR(IF(IF(I62=1,E62,-E62)&gt;0,1,IF(IF(I62=1,E62,-E62)&lt;0,0,2)),"")</f>
        <v>2</v>
      </c>
    </row>
    <row r="63" spans="1:26">
      <c r="B63" s="40" t="s">
        <v>685</v>
      </c>
      <c r="C63" s="41" t="s">
        <v>319</v>
      </c>
      <c r="D63" s="43"/>
      <c r="E63" s="22">
        <f>'sust. impact KPIs DATS'!E23-'sust. impact KPIs NO DATS'!E23</f>
        <v>0</v>
      </c>
      <c r="F63" s="22" t="e">
        <f>E63*100/'sust. impact KPIs NO DATS'!E23</f>
        <v>#DIV/0!</v>
      </c>
      <c r="G63" s="152" t="str">
        <f t="shared" si="1"/>
        <v xml:space="preserve">sust kpis no dats__QUALITY_Intrinsic product quality </v>
      </c>
      <c r="H63" s="22" t="s">
        <v>1659</v>
      </c>
      <c r="I63" s="158">
        <v>1</v>
      </c>
      <c r="R63" s="22">
        <f>IFERROR(IF(IF(I63=1,E63,-E63)&gt;0,1,IF(IF(I63=1,E63,-E63)&lt;0,0,2)),"")</f>
        <v>2</v>
      </c>
    </row>
    <row r="64" spans="1:26">
      <c r="A64" t="s">
        <v>673</v>
      </c>
      <c r="B64" s="40" t="s">
        <v>685</v>
      </c>
      <c r="C64" s="41" t="s">
        <v>357</v>
      </c>
      <c r="D64" s="43" t="s">
        <v>105</v>
      </c>
      <c r="E64" s="22">
        <f>'sust. impact KPIs DATS'!E24-'sust. impact KPIs NO DATS'!E24</f>
        <v>0</v>
      </c>
      <c r="F64" s="160"/>
      <c r="G64" s="152" t="str">
        <f t="shared" si="1"/>
        <v>sust kpis no dats_Economic_QUALITY_Protein % DRY MATTER</v>
      </c>
      <c r="H64" s="22" t="s">
        <v>1660</v>
      </c>
      <c r="I64" s="158">
        <v>1</v>
      </c>
      <c r="N64" s="1"/>
      <c r="R64" s="22">
        <f>IFERROR(IF(IF(I64=1,E64,-E64)&gt;0,1,IF(IF(I64=1,E64,-E64)&lt;0,0,2)),"")</f>
        <v>2</v>
      </c>
    </row>
    <row r="65" spans="1:18">
      <c r="A65" t="s">
        <v>673</v>
      </c>
      <c r="B65" s="40" t="s">
        <v>685</v>
      </c>
      <c r="C65" s="41" t="s">
        <v>358</v>
      </c>
      <c r="D65" s="43" t="s">
        <v>105</v>
      </c>
      <c r="E65" s="22">
        <f>'sust. impact KPIs DATS'!E25-'sust. impact KPIs NO DATS'!E25</f>
        <v>0</v>
      </c>
      <c r="F65" s="160"/>
      <c r="G65" s="152" t="str">
        <f t="shared" si="1"/>
        <v>sust kpis no dats_Economic_QUALITY_Humidity</v>
      </c>
      <c r="H65" s="22" t="s">
        <v>1661</v>
      </c>
      <c r="I65" s="158">
        <v>0</v>
      </c>
      <c r="R65" s="22">
        <f>IFERROR(IF(IF(I65=1,E65,-E65)&gt;0,1,IF(IF(I65=1,E65,-E65)&lt;0,0,2)),"")</f>
        <v>2</v>
      </c>
    </row>
    <row r="66" spans="1:18">
      <c r="A66" t="s">
        <v>673</v>
      </c>
      <c r="B66" s="40" t="s">
        <v>685</v>
      </c>
      <c r="C66" s="41" t="s">
        <v>359</v>
      </c>
      <c r="D66" s="43" t="s">
        <v>360</v>
      </c>
      <c r="E66" s="22">
        <f>'sust. impact KPIs DATS'!E26-'sust. impact KPIs NO DATS'!E26</f>
        <v>0</v>
      </c>
      <c r="F66" s="160" t="e">
        <f>E66*100/'sust. impact KPIs NO DATS'!E26</f>
        <v>#DIV/0!</v>
      </c>
      <c r="G66" s="152" t="str">
        <f t="shared" si="1"/>
        <v xml:space="preserve">sust kpis no dats_Economic_QUALITY_Test Weight </v>
      </c>
      <c r="H66" s="22" t="s">
        <v>1662</v>
      </c>
      <c r="I66" s="158">
        <v>1</v>
      </c>
      <c r="R66" s="22">
        <f>IFERROR(IF(IF(I66=1,E66,-E66)&gt;0,1,IF(IF(I66=1,E66,-E66)&lt;0,0,2)),"")</f>
        <v>2</v>
      </c>
    </row>
    <row r="67" spans="1:18">
      <c r="A67" t="s">
        <v>675</v>
      </c>
      <c r="B67" s="40" t="s">
        <v>682</v>
      </c>
      <c r="C67" s="41" t="s">
        <v>17</v>
      </c>
      <c r="D67" s="43" t="s">
        <v>145</v>
      </c>
      <c r="E67" s="160">
        <f>'sust. impact KPIs DATS'!E30-'sust. impact KPIs NO DATS'!E30</f>
        <v>0</v>
      </c>
      <c r="F67" s="160">
        <f>E67*100/'sust. impact KPIs NO DATS'!E30</f>
        <v>0</v>
      </c>
      <c r="G67" s="152" t="str">
        <f t="shared" si="1"/>
        <v>sust kpis no dats_Environmental_INPUTS_Nitrogen applied</v>
      </c>
      <c r="H67" s="22" t="s">
        <v>1663</v>
      </c>
      <c r="I67" s="158">
        <v>0</v>
      </c>
      <c r="R67" s="22">
        <f>IFERROR(IF(IF(I67=1,E67,-E67)&gt;0,1,IF(IF(I67=1,E67,-E67)&lt;0,0,2)),"")</f>
        <v>2</v>
      </c>
    </row>
    <row r="68" spans="1:18">
      <c r="A68" t="s">
        <v>675</v>
      </c>
      <c r="B68" s="40" t="s">
        <v>682</v>
      </c>
      <c r="C68" s="41" t="s">
        <v>18</v>
      </c>
      <c r="D68" s="43" t="s">
        <v>105</v>
      </c>
      <c r="E68" s="160" t="e">
        <f>ABS('sust. impact KPIs NO DATS'!E31-100)-ABS('sust. impact KPIs DATS'!E31-100)</f>
        <v>#VALUE!</v>
      </c>
      <c r="F68" s="22"/>
      <c r="G68" s="152" t="str">
        <f t="shared" ref="G68:G99" si="3">CONCATENATE("sust kpis no dats","_",A68,"_",B68,"_",C68)</f>
        <v>sust kpis no dats_Environmental_INPUTS_Nitrogen use efficiency</v>
      </c>
      <c r="H68" s="22" t="s">
        <v>1664</v>
      </c>
      <c r="I68" s="158">
        <v>1</v>
      </c>
      <c r="R68" s="22" t="str">
        <f>IFERROR(IF(IF(I68=1,E68,-E68)&gt;0,1,IF(IF(I68=1,E68,-E68)&lt;0,0,2)),"")</f>
        <v/>
      </c>
    </row>
    <row r="69" spans="1:18">
      <c r="A69" t="s">
        <v>675</v>
      </c>
      <c r="B69" s="40" t="s">
        <v>682</v>
      </c>
      <c r="C69" s="41" t="s">
        <v>19</v>
      </c>
      <c r="D69" s="43" t="s">
        <v>145</v>
      </c>
      <c r="E69" s="160">
        <f>'sust. impact KPIs DATS'!E32-'sust. impact KPIs NO DATS'!E32</f>
        <v>0</v>
      </c>
      <c r="F69" s="160">
        <f>E69*100/'sust. impact KPIs NO DATS'!E32</f>
        <v>0</v>
      </c>
      <c r="G69" s="152" t="str">
        <f t="shared" si="3"/>
        <v>sust kpis no dats_Environmental_INPUTS_Phosphorus applied</v>
      </c>
      <c r="H69" s="22" t="s">
        <v>1665</v>
      </c>
      <c r="I69" s="158">
        <v>0</v>
      </c>
      <c r="R69" s="22">
        <f>IFERROR(IF(IF(I69=1,E69,-E69)&gt;0,1,IF(IF(I69=1,E69,-E69)&lt;0,0,2)),"")</f>
        <v>2</v>
      </c>
    </row>
    <row r="70" spans="1:18">
      <c r="A70" t="s">
        <v>675</v>
      </c>
      <c r="B70" s="40" t="s">
        <v>682</v>
      </c>
      <c r="C70" s="41" t="s">
        <v>20</v>
      </c>
      <c r="D70" s="43" t="s">
        <v>105</v>
      </c>
      <c r="E70" s="160" t="e">
        <f>ABS('sust. impact KPIs NO DATS'!E33-100)-ABS('sust. impact KPIs DATS'!E33-100)</f>
        <v>#VALUE!</v>
      </c>
      <c r="F70" s="22"/>
      <c r="G70" s="152" t="str">
        <f t="shared" si="3"/>
        <v>sust kpis no dats_Environmental_INPUTS_Phosphorus use efficiency</v>
      </c>
      <c r="H70" s="22" t="s">
        <v>1666</v>
      </c>
      <c r="I70" s="158">
        <v>1</v>
      </c>
      <c r="R70" s="22" t="str">
        <f>IFERROR(IF(IF(I70=1,E70,-E70)&gt;0,1,IF(IF(I70=1,E70,-E70)&lt;0,0,2)),"")</f>
        <v/>
      </c>
    </row>
    <row r="71" spans="1:18">
      <c r="A71" t="s">
        <v>675</v>
      </c>
      <c r="B71" s="40" t="s">
        <v>682</v>
      </c>
      <c r="C71" s="41" t="s">
        <v>293</v>
      </c>
      <c r="D71" s="43" t="s">
        <v>145</v>
      </c>
      <c r="E71" s="160">
        <f>'sust. impact KPIs DATS'!E34-'sust. impact KPIs NO DATS'!E34</f>
        <v>0</v>
      </c>
      <c r="F71" s="160">
        <f>E71*100/'sust. impact KPIs NO DATS'!E34</f>
        <v>0</v>
      </c>
      <c r="G71" s="152" t="str">
        <f t="shared" si="3"/>
        <v>sust kpis no dats_Environmental_INPUTS_Potassium applied</v>
      </c>
      <c r="H71" s="22" t="s">
        <v>1667</v>
      </c>
      <c r="I71" s="158">
        <v>0</v>
      </c>
      <c r="R71" s="22">
        <f>IFERROR(IF(IF(I71=1,E71,-E71)&gt;0,1,IF(IF(I71=1,E71,-E71)&lt;0,0,2)),"")</f>
        <v>2</v>
      </c>
    </row>
    <row r="72" spans="1:18">
      <c r="A72" t="s">
        <v>675</v>
      </c>
      <c r="B72" s="40" t="s">
        <v>682</v>
      </c>
      <c r="C72" s="41" t="s">
        <v>282</v>
      </c>
      <c r="D72" s="43" t="s">
        <v>105</v>
      </c>
      <c r="E72" s="160" t="e">
        <f>ABS('sust. impact KPIs NO DATS'!E35-100)-ABS('sust. impact KPIs DATS'!E35-100)</f>
        <v>#VALUE!</v>
      </c>
      <c r="F72" s="22"/>
      <c r="G72" s="152" t="str">
        <f t="shared" si="3"/>
        <v>sust kpis no dats_Environmental_INPUTS_Potassium use efficiency</v>
      </c>
      <c r="H72" s="22" t="s">
        <v>1668</v>
      </c>
      <c r="I72" s="158">
        <v>1</v>
      </c>
      <c r="N72" s="1"/>
      <c r="R72" s="22" t="str">
        <f>IFERROR(IF(IF(I72=1,E72,-E72)&gt;0,1,IF(IF(I72=1,E72,-E72)&lt;0,0,2)),"")</f>
        <v/>
      </c>
    </row>
    <row r="73" spans="1:18">
      <c r="A73" t="s">
        <v>675</v>
      </c>
      <c r="B73" s="40" t="s">
        <v>682</v>
      </c>
      <c r="C73" s="41" t="s">
        <v>294</v>
      </c>
      <c r="D73" s="43" t="s">
        <v>145</v>
      </c>
      <c r="E73" s="160">
        <f>'sust. impact KPIs DATS'!E36-'sust. impact KPIs NO DATS'!E36</f>
        <v>0</v>
      </c>
      <c r="F73" s="160" t="e">
        <f>E73*100/'sust. impact KPIs NO DATS'!E36</f>
        <v>#DIV/0!</v>
      </c>
      <c r="G73" s="152" t="str">
        <f t="shared" si="3"/>
        <v>sust kpis no dats_Environmental_INPUTS_pesticides, herbicides and fungicides use</v>
      </c>
      <c r="H73" s="22" t="s">
        <v>1669</v>
      </c>
      <c r="I73" s="158">
        <v>0</v>
      </c>
      <c r="R73" s="22">
        <f>IFERROR(IF(IF(I73=1,E73,-E73)&gt;0,1,IF(IF(I73=1,E73,-E73)&lt;0,0,2)),"")</f>
        <v>2</v>
      </c>
    </row>
    <row r="74" spans="1:18">
      <c r="A74" t="s">
        <v>675</v>
      </c>
      <c r="B74" s="40" t="s">
        <v>0</v>
      </c>
      <c r="C74" s="41" t="s">
        <v>764</v>
      </c>
      <c r="D74" s="43" t="str">
        <f>'sust. impact KPIs NO DATS'!D37</f>
        <v>m3/ha</v>
      </c>
      <c r="E74" s="160" t="e">
        <f>'sust. impact KPIs DATS'!E37-'sust. impact KPIs NO DATS'!E37</f>
        <v>#VALUE!</v>
      </c>
      <c r="F74" s="158" t="e">
        <f>E74*100/'sust. impact KPIs NO DATS'!E37</f>
        <v>#VALUE!</v>
      </c>
      <c r="G74" s="152" t="str">
        <f t="shared" si="3"/>
        <v xml:space="preserve">sust kpis no dats_Environmental_WATER _Water consumption </v>
      </c>
      <c r="H74" s="22" t="s">
        <v>1670</v>
      </c>
      <c r="I74" s="158">
        <v>0</v>
      </c>
      <c r="J74" s="22">
        <v>1</v>
      </c>
      <c r="K74" s="22">
        <v>1</v>
      </c>
      <c r="M74" s="22">
        <v>1</v>
      </c>
      <c r="N74" s="1" t="s">
        <v>721</v>
      </c>
      <c r="O74" t="s">
        <v>807</v>
      </c>
      <c r="R74" s="22" t="str">
        <f>IFERROR(IF(IF(I74=1,E74,-E74)&gt;0,1,IF(IF(I74=1,E74,-E74)&lt;0,0,2)),"")</f>
        <v/>
      </c>
    </row>
    <row r="75" spans="1:18">
      <c r="A75" t="s">
        <v>675</v>
      </c>
      <c r="B75" s="40" t="s">
        <v>0</v>
      </c>
      <c r="C75" s="41" t="s">
        <v>779</v>
      </c>
      <c r="D75" s="43" t="s">
        <v>301</v>
      </c>
      <c r="E75" s="160">
        <f>'sust. impact KPIs DATS'!E38-'sust. impact KPIs NO DATS'!E38</f>
        <v>0</v>
      </c>
      <c r="F75" s="160" t="e">
        <f>E75*100/'sust. impact KPIs NO DATS'!E38</f>
        <v>#DIV/0!</v>
      </c>
      <c r="G75" s="152" t="str">
        <f t="shared" si="3"/>
        <v>sust kpis no dats_Environmental_WATER _Aquaculture water productivity</v>
      </c>
      <c r="H75" s="22" t="s">
        <v>1671</v>
      </c>
      <c r="I75" s="158">
        <v>0</v>
      </c>
      <c r="N75" s="1"/>
      <c r="R75" s="22">
        <f>IFERROR(IF(IF(I75=1,E75,-E75)&gt;0,1,IF(IF(I75=1,E75,-E75)&lt;0,0,2)),"")</f>
        <v>2</v>
      </c>
    </row>
    <row r="76" spans="1:18">
      <c r="A76" t="s">
        <v>675</v>
      </c>
      <c r="B76" s="164" t="s">
        <v>0</v>
      </c>
      <c r="C76" s="41" t="s">
        <v>21</v>
      </c>
      <c r="D76" s="43" t="s">
        <v>422</v>
      </c>
      <c r="E76" s="165">
        <f>'sust. impact KPIs DATS'!E39-'sust. impact KPIs NO DATS'!E39</f>
        <v>164.35506970321575</v>
      </c>
      <c r="F76" s="166">
        <f>E76*100/'sust. impact KPIs NO DATS'!E39</f>
        <v>280.76039580633756</v>
      </c>
      <c r="G76" s="152" t="str">
        <f t="shared" si="3"/>
        <v>sust kpis no dats_Environmental_WATER _Irrigation water productivity</v>
      </c>
      <c r="H76" s="22" t="s">
        <v>1672</v>
      </c>
      <c r="I76" s="166">
        <v>1</v>
      </c>
      <c r="J76" s="22">
        <v>1</v>
      </c>
      <c r="R76" s="22">
        <f>IFERROR(IF(IF(I76=1,E76,-E76)&gt;0,1,IF(IF(I76=1,E76,-E76)&lt;0,0,2)),"")</f>
        <v>1</v>
      </c>
    </row>
    <row r="77" spans="1:18">
      <c r="A77" t="s">
        <v>675</v>
      </c>
      <c r="B77" s="40" t="s">
        <v>683</v>
      </c>
      <c r="C77" s="41" t="s">
        <v>22</v>
      </c>
      <c r="D77" s="43" t="str">
        <f>'sust. impact KPIs NO DATS'!D40</f>
        <v>kWh/ha</v>
      </c>
      <c r="E77" s="160" t="e">
        <f>'sust. impact KPIs DATS'!E40-'sust. impact KPIs NO DATS'!E40</f>
        <v>#VALUE!</v>
      </c>
      <c r="F77" s="160" t="e">
        <f>E77*100/'sust. impact KPIs NO DATS'!E40</f>
        <v>#VALUE!</v>
      </c>
      <c r="G77" s="152" t="str">
        <f t="shared" si="3"/>
        <v>sust kpis no dats_Environmental_ENERGY_Electricity consumption</v>
      </c>
      <c r="H77" s="22" t="s">
        <v>1673</v>
      </c>
      <c r="I77" s="158">
        <v>0</v>
      </c>
      <c r="J77" s="22">
        <v>1</v>
      </c>
      <c r="R77" s="22" t="str">
        <f>IFERROR(IF(IF(I77=1,E77,-E77)&gt;0,1,IF(IF(I77=1,E77,-E77)&lt;0,0,2)),"")</f>
        <v/>
      </c>
    </row>
    <row r="78" spans="1:18">
      <c r="A78" t="s">
        <v>676</v>
      </c>
      <c r="B78" s="40" t="s">
        <v>339</v>
      </c>
      <c r="C78" s="41" t="s">
        <v>35</v>
      </c>
      <c r="D78" s="43" t="s">
        <v>159</v>
      </c>
      <c r="E78" s="160" t="e">
        <f>'sust. impact KPIs DATS'!E41-'sust. impact KPIs NO DATS'!E41</f>
        <v>#DIV/0!</v>
      </c>
      <c r="F78" s="160" t="e">
        <f>E78*100/'sust. impact KPIs NO DATS'!E41</f>
        <v>#DIV/0!</v>
      </c>
      <c r="G78" s="152" t="str">
        <f t="shared" si="3"/>
        <v xml:space="preserve">sust kpis no dats_Social_ANIMAL _Ease of movement </v>
      </c>
      <c r="H78" s="22" t="s">
        <v>1674</v>
      </c>
      <c r="I78" s="158">
        <v>1</v>
      </c>
      <c r="R78" s="22" t="str">
        <f>IFERROR(IF(IF(I78=1,E78,-E78)&gt;0,1,IF(IF(I78=1,E78,-E78)&lt;0,0,2)),"")</f>
        <v/>
      </c>
    </row>
    <row r="79" spans="1:18">
      <c r="A79" t="s">
        <v>676</v>
      </c>
      <c r="B79" s="40" t="s">
        <v>339</v>
      </c>
      <c r="C79" s="41" t="s">
        <v>402</v>
      </c>
      <c r="D79" s="43" t="s">
        <v>105</v>
      </c>
      <c r="E79" s="160" t="e">
        <f>'sust. impact KPIs DATS'!E42-'sust. impact KPIs NO DATS'!E42</f>
        <v>#DIV/0!</v>
      </c>
      <c r="F79" s="160" t="e">
        <f>E79*100/'sust. impact KPIs NO DATS'!E42</f>
        <v>#DIV/0!</v>
      </c>
      <c r="G79" s="152" t="str">
        <f t="shared" si="3"/>
        <v>sust kpis no dats_Social_ANIMAL _Mortality rate (livestock)</v>
      </c>
      <c r="H79" s="22" t="s">
        <v>1675</v>
      </c>
      <c r="I79" s="158">
        <v>0</v>
      </c>
      <c r="R79" s="22" t="str">
        <f>IFERROR(IF(IF(I79=1,E79,-E79)&gt;0,1,IF(IF(I79=1,E79,-E79)&lt;0,0,2)),"")</f>
        <v/>
      </c>
    </row>
    <row r="80" spans="1:18">
      <c r="A80" t="s">
        <v>676</v>
      </c>
      <c r="B80" s="40" t="s">
        <v>339</v>
      </c>
      <c r="C80" s="41" t="s">
        <v>403</v>
      </c>
      <c r="D80" s="43" t="s">
        <v>105</v>
      </c>
      <c r="E80" s="160" t="e">
        <f>'sust. impact KPIs DATS'!E43-'sust. impact KPIs NO DATS'!E43</f>
        <v>#DIV/0!</v>
      </c>
      <c r="F80" s="160" t="e">
        <f>E80*100/'sust. impact KPIs NO DATS'!E43</f>
        <v>#DIV/0!</v>
      </c>
      <c r="G80" s="152" t="str">
        <f t="shared" si="3"/>
        <v>sust kpis no dats_Social_ANIMAL _Mortality rate (aquaculture)</v>
      </c>
      <c r="H80" s="22" t="s">
        <v>1676</v>
      </c>
      <c r="I80" s="158">
        <v>0</v>
      </c>
      <c r="R80" s="22" t="str">
        <f>IFERROR(IF(IF(I80=1,E80,-E80)&gt;0,1,IF(IF(I80=1,E80,-E80)&lt;0,0,2)),"")</f>
        <v/>
      </c>
    </row>
    <row r="81" spans="1:18">
      <c r="A81" t="s">
        <v>676</v>
      </c>
      <c r="B81" s="40" t="s">
        <v>339</v>
      </c>
      <c r="C81" s="41" t="s">
        <v>404</v>
      </c>
      <c r="D81" s="43" t="s">
        <v>105</v>
      </c>
      <c r="E81" s="160" t="e">
        <f>'sust. impact KPIs DATS'!E44-'sust. impact KPIs NO DATS'!E44</f>
        <v>#DIV/0!</v>
      </c>
      <c r="F81" s="160" t="e">
        <f>E81*100/'sust. impact KPIs NO DATS'!E44</f>
        <v>#DIV/0!</v>
      </c>
      <c r="G81" s="152" t="str">
        <f t="shared" si="3"/>
        <v>sust kpis no dats_Social_ANIMAL _Mortality rate (apiculture)</v>
      </c>
      <c r="H81" s="22" t="s">
        <v>1677</v>
      </c>
      <c r="I81" s="158">
        <v>0</v>
      </c>
      <c r="R81" s="22" t="str">
        <f>IFERROR(IF(IF(I81=1,E81,-E81)&gt;0,1,IF(IF(I81=1,E81,-E81)&lt;0,0,2)),"")</f>
        <v/>
      </c>
    </row>
    <row r="82" spans="1:18">
      <c r="A82" t="s">
        <v>676</v>
      </c>
      <c r="B82" s="40" t="s">
        <v>339</v>
      </c>
      <c r="C82" s="41" t="s">
        <v>36</v>
      </c>
      <c r="D82" s="43" t="s">
        <v>105</v>
      </c>
      <c r="E82" s="160" t="e">
        <f>'sust. impact KPIs DATS'!E45-'sust. impact KPIs NO DATS'!E45</f>
        <v>#DIV/0!</v>
      </c>
      <c r="F82" s="160" t="e">
        <f>E82*100/'sust. impact KPIs NO DATS'!E45</f>
        <v>#DIV/0!</v>
      </c>
      <c r="G82" s="152" t="str">
        <f t="shared" si="3"/>
        <v>sust kpis no dats_Social_ANIMAL _Mortality rate at birth</v>
      </c>
      <c r="H82" s="22" t="s">
        <v>1678</v>
      </c>
      <c r="I82" s="158">
        <v>0</v>
      </c>
      <c r="R82" s="22" t="str">
        <f>IFERROR(IF(IF(I82=1,E82,-E82)&gt;0,1,IF(IF(I82=1,E82,-E82)&lt;0,0,2)),"")</f>
        <v/>
      </c>
    </row>
    <row r="83" spans="1:18">
      <c r="A83" t="s">
        <v>676</v>
      </c>
      <c r="B83" s="40" t="s">
        <v>339</v>
      </c>
      <c r="C83" s="41" t="s">
        <v>320</v>
      </c>
      <c r="D83" s="43" t="s">
        <v>105</v>
      </c>
      <c r="E83" s="160" t="e">
        <f>'sust. impact KPIs DATS'!E46-'sust. impact KPIs NO DATS'!E46</f>
        <v>#DIV/0!</v>
      </c>
      <c r="F83" s="160" t="e">
        <f>E83*100/'sust. impact KPIs NO DATS'!E46</f>
        <v>#DIV/0!</v>
      </c>
      <c r="G83" s="152" t="str">
        <f t="shared" si="3"/>
        <v>sust kpis no dats_Social_ANIMAL _Cows with high SCC</v>
      </c>
      <c r="H83" s="22" t="s">
        <v>1679</v>
      </c>
      <c r="I83" s="158">
        <v>0</v>
      </c>
      <c r="R83" s="22" t="str">
        <f>IFERROR(IF(IF(I83=1,E83,-E83)&gt;0,1,IF(IF(I83=1,E83,-E83)&lt;0,0,2)),"")</f>
        <v/>
      </c>
    </row>
    <row r="84" spans="1:18">
      <c r="A84" t="s">
        <v>675</v>
      </c>
      <c r="B84" s="40" t="s">
        <v>682</v>
      </c>
      <c r="C84" s="41" t="s">
        <v>278</v>
      </c>
      <c r="D84" s="43">
        <f>'sust. impact KPIs NO DATS'!D47</f>
        <v>0</v>
      </c>
      <c r="E84" s="160" t="e">
        <f>'sust. impact KPIs DATS'!E47-'sust. impact KPIs NO DATS'!E47</f>
        <v>#VALUE!</v>
      </c>
      <c r="F84" s="160" t="e">
        <f>E84*100/'sust. impact KPIs NO DATS'!E47</f>
        <v>#VALUE!</v>
      </c>
      <c r="G84" s="152" t="str">
        <f t="shared" si="3"/>
        <v xml:space="preserve">sust kpis no dats_Environmental_INPUTS_Drugs use in dairy livestock </v>
      </c>
      <c r="H84" s="22" t="s">
        <v>1680</v>
      </c>
      <c r="I84" s="158">
        <v>0</v>
      </c>
      <c r="R84" s="22" t="str">
        <f>IFERROR(IF(IF(I84=1,E84,-E84)&gt;0,1,IF(IF(I84=1,E84,-E84)&lt;0,0,2)),"")</f>
        <v/>
      </c>
    </row>
    <row r="85" spans="1:18">
      <c r="A85" t="s">
        <v>675</v>
      </c>
      <c r="B85" s="40" t="s">
        <v>682</v>
      </c>
      <c r="C85" s="41" t="s">
        <v>279</v>
      </c>
      <c r="D85" s="43">
        <f>'sust. impact KPIs NO DATS'!D48</f>
        <v>0</v>
      </c>
      <c r="E85" s="160" t="e">
        <f>'sust. impact KPIs DATS'!E48-'sust. impact KPIs NO DATS'!E48</f>
        <v>#VALUE!</v>
      </c>
      <c r="F85" s="160" t="e">
        <f>E85*100/'sust. impact KPIs NO DATS'!E48</f>
        <v>#VALUE!</v>
      </c>
      <c r="G85" s="152" t="str">
        <f t="shared" si="3"/>
        <v xml:space="preserve">sust kpis no dats_Environmental_INPUTS_Drugs use in meat livestock   </v>
      </c>
      <c r="H85" s="22" t="s">
        <v>1681</v>
      </c>
      <c r="I85" s="158">
        <v>0</v>
      </c>
      <c r="R85" s="22" t="str">
        <f>IFERROR(IF(IF(I85=1,E85,-E85)&gt;0,1,IF(IF(I85=1,E85,-E85)&lt;0,0,2)),"")</f>
        <v/>
      </c>
    </row>
    <row r="86" spans="1:18">
      <c r="A86" t="s">
        <v>675</v>
      </c>
      <c r="B86" s="40" t="s">
        <v>682</v>
      </c>
      <c r="C86" s="41" t="s">
        <v>270</v>
      </c>
      <c r="D86" s="43" t="str">
        <f>'sust. impact KPIs NO DATS'!D49</f>
        <v>g/m2</v>
      </c>
      <c r="E86" s="160" t="e">
        <f>'sust. impact KPIs DATS'!E49-'sust. impact KPIs NO DATS'!E49</f>
        <v>#REF!</v>
      </c>
      <c r="F86" s="160" t="e">
        <f>E86*100/'sust. impact KPIs NO DATS'!E49</f>
        <v>#REF!</v>
      </c>
      <c r="G86" s="152" t="str">
        <f t="shared" si="3"/>
        <v xml:space="preserve">sust kpis no dats_Environmental_INPUTS_Drugs use in aquaculture </v>
      </c>
      <c r="H86" s="22" t="s">
        <v>1682</v>
      </c>
      <c r="I86" s="158">
        <v>0</v>
      </c>
      <c r="R86" s="22" t="str">
        <f>IFERROR(IF(IF(I86=1,E86,-E86)&gt;0,1,IF(IF(I86=1,E86,-E86)&lt;0,0,2)),"")</f>
        <v/>
      </c>
    </row>
    <row r="87" spans="1:18">
      <c r="A87" t="s">
        <v>675</v>
      </c>
      <c r="B87" s="40" t="s">
        <v>682</v>
      </c>
      <c r="C87" s="41" t="s">
        <v>269</v>
      </c>
      <c r="D87" s="43" t="str">
        <f>'sust. impact KPIs NO DATS'!D50</f>
        <v>g/beehive</v>
      </c>
      <c r="E87" s="160" t="e">
        <f>'sust. impact KPIs DATS'!E50-'sust. impact KPIs NO DATS'!E50</f>
        <v>#REF!</v>
      </c>
      <c r="F87" s="160" t="e">
        <f>E87*100/'sust. impact KPIs NO DATS'!E50</f>
        <v>#REF!</v>
      </c>
      <c r="G87" s="152" t="str">
        <f t="shared" si="3"/>
        <v xml:space="preserve">sust kpis no dats_Environmental_INPUTS_Drugs use in apiculture </v>
      </c>
      <c r="H87" s="22" t="s">
        <v>1683</v>
      </c>
      <c r="I87" s="158">
        <v>0</v>
      </c>
      <c r="R87" s="22" t="str">
        <f>IFERROR(IF(IF(I87=1,E87,-E87)&gt;0,1,IF(IF(I87=1,E87,-E87)&lt;0,0,2)),"")</f>
        <v/>
      </c>
    </row>
    <row r="88" spans="1:18">
      <c r="A88" t="s">
        <v>675</v>
      </c>
      <c r="B88" s="164" t="s">
        <v>684</v>
      </c>
      <c r="C88" s="41" t="s">
        <v>23</v>
      </c>
      <c r="D88" s="43" t="str">
        <f>'sust. impact KPIs NO DATS'!D51</f>
        <v>kg CO2 eq/ha</v>
      </c>
      <c r="E88" s="165" t="e">
        <f>'sust. impact KPIs DATS'!E51-'sust. impact KPIs NO DATS'!E51</f>
        <v>#VALUE!</v>
      </c>
      <c r="F88" s="166" t="e">
        <f>E88*100/'sust. impact KPIs NO DATS'!E51</f>
        <v>#VALUE!</v>
      </c>
      <c r="G88" s="152" t="str">
        <f t="shared" si="3"/>
        <v xml:space="preserve">sust kpis no dats_Environmental_GHG EMISSIONS_Fuel GHG emission </v>
      </c>
      <c r="H88" s="22" t="s">
        <v>1684</v>
      </c>
      <c r="I88" s="166">
        <v>0</v>
      </c>
      <c r="J88" s="22">
        <v>1</v>
      </c>
      <c r="R88" s="22" t="str">
        <f>IFERROR(IF(IF(I88=1,E88,-E88)&gt;0,1,IF(IF(I88=1,E88,-E88)&lt;0,0,2)),"")</f>
        <v/>
      </c>
    </row>
    <row r="89" spans="1:18">
      <c r="A89" t="s">
        <v>675</v>
      </c>
      <c r="B89" s="40" t="s">
        <v>683</v>
      </c>
      <c r="C89" s="41" t="s">
        <v>297</v>
      </c>
      <c r="D89" s="43" t="s">
        <v>222</v>
      </c>
      <c r="E89" s="160" t="e">
        <f>'sust. impact KPIs DATS'!E52-'sust. impact KPIs NO DATS'!E52</f>
        <v>#VALUE!</v>
      </c>
      <c r="F89" s="160" t="e">
        <f>E89*100/'sust. impact KPIs NO DATS'!E52</f>
        <v>#VALUE!</v>
      </c>
      <c r="G89" s="152" t="str">
        <f t="shared" si="3"/>
        <v xml:space="preserve">sust kpis no dats_Environmental_ENERGY_Arable and horticulture fuel consumption </v>
      </c>
      <c r="H89" s="22" t="s">
        <v>1685</v>
      </c>
      <c r="I89" s="158">
        <v>0</v>
      </c>
      <c r="J89" s="22">
        <v>1</v>
      </c>
      <c r="R89" s="22" t="str">
        <f>IFERROR(IF(IF(I89=1,E89,-E89)&gt;0,1,IF(IF(I89=1,E89,-E89)&lt;0,0,2)),"")</f>
        <v/>
      </c>
    </row>
    <row r="90" spans="1:18">
      <c r="A90" t="s">
        <v>675</v>
      </c>
      <c r="B90" s="164" t="s">
        <v>683</v>
      </c>
      <c r="C90" s="41" t="s">
        <v>298</v>
      </c>
      <c r="D90" s="43" t="str">
        <f>'sust. impact KPIs NO DATS'!D53</f>
        <v>l/ha</v>
      </c>
      <c r="E90" s="165" t="e">
        <f>'sust. impact KPIs DATS'!E53-'sust. impact KPIs NO DATS'!E53</f>
        <v>#DIV/0!</v>
      </c>
      <c r="F90" s="166" t="e">
        <f>E90*100/'sust. impact KPIs NO DATS'!E53</f>
        <v>#DIV/0!</v>
      </c>
      <c r="G90" s="152" t="str">
        <f t="shared" si="3"/>
        <v xml:space="preserve">sust kpis no dats_Environmental_ENERGY_Livestock fuel consumption </v>
      </c>
      <c r="H90" s="22" t="s">
        <v>1686</v>
      </c>
      <c r="I90" s="166">
        <v>0</v>
      </c>
      <c r="R90" s="22" t="str">
        <f>IFERROR(IF(IF(I90=1,E90,-E90)&gt;0,1,IF(IF(I90=1,E90,-E90)&lt;0,0,2)),"")</f>
        <v/>
      </c>
    </row>
    <row r="91" spans="1:18">
      <c r="A91" t="s">
        <v>675</v>
      </c>
      <c r="B91" s="164" t="s">
        <v>683</v>
      </c>
      <c r="C91" s="41" t="s">
        <v>299</v>
      </c>
      <c r="D91" s="43" t="s">
        <v>326</v>
      </c>
      <c r="E91" s="165" t="e">
        <f>'sust. impact KPIs DATS'!E54-'sust. impact KPIs NO DATS'!E54</f>
        <v>#DIV/0!</v>
      </c>
      <c r="F91" s="166" t="e">
        <f>E91*100/'sust. impact KPIs NO DATS'!E54</f>
        <v>#DIV/0!</v>
      </c>
      <c r="G91" s="152" t="str">
        <f t="shared" si="3"/>
        <v xml:space="preserve">sust kpis no dats_Environmental_ENERGY_Aquaculture fuel consumption </v>
      </c>
      <c r="H91" s="22" t="s">
        <v>1687</v>
      </c>
      <c r="I91" s="166">
        <v>0</v>
      </c>
      <c r="R91" s="22" t="str">
        <f>IFERROR(IF(IF(I91=1,E91,-E91)&gt;0,1,IF(IF(I91=1,E91,-E91)&lt;0,0,2)),"")</f>
        <v/>
      </c>
    </row>
    <row r="92" spans="1:18">
      <c r="A92" t="s">
        <v>675</v>
      </c>
      <c r="B92" s="164" t="s">
        <v>683</v>
      </c>
      <c r="C92" s="41" t="s">
        <v>300</v>
      </c>
      <c r="D92" s="43" t="s">
        <v>785</v>
      </c>
      <c r="E92" s="165" t="e">
        <f>'sust. impact KPIs DATS'!E55-'sust. impact KPIs NO DATS'!E55</f>
        <v>#DIV/0!</v>
      </c>
      <c r="F92" s="166" t="e">
        <f>E92*100/'sust. impact KPIs NO DATS'!E55</f>
        <v>#DIV/0!</v>
      </c>
      <c r="G92" s="152" t="str">
        <f t="shared" si="3"/>
        <v xml:space="preserve">sust kpis no dats_Environmental_ENERGY_Apiculture fuel consumption </v>
      </c>
      <c r="H92" s="22" t="s">
        <v>1688</v>
      </c>
      <c r="I92" s="166">
        <v>0</v>
      </c>
      <c r="R92" s="22" t="str">
        <f>IFERROR(IF(IF(I92=1,E92,-E92)&gt;0,1,IF(IF(I92=1,E92,-E92)&lt;0,0,2)),"")</f>
        <v/>
      </c>
    </row>
    <row r="93" spans="1:18">
      <c r="A93" t="s">
        <v>675</v>
      </c>
      <c r="B93" s="164" t="s">
        <v>684</v>
      </c>
      <c r="C93" s="41" t="s">
        <v>24</v>
      </c>
      <c r="D93" s="164" t="s">
        <v>147</v>
      </c>
      <c r="E93" s="165">
        <f>'sust. impact KPIs DATS'!E59-'sust. impact KPIs NO DATS'!E59</f>
        <v>0</v>
      </c>
      <c r="F93" s="166"/>
      <c r="G93" s="152" t="str">
        <f t="shared" si="3"/>
        <v xml:space="preserve">sust kpis no dats_Environmental_GHG EMISSIONS_N2O GHG emission </v>
      </c>
      <c r="H93" s="22" t="s">
        <v>1689</v>
      </c>
      <c r="I93" s="166">
        <v>0</v>
      </c>
      <c r="R93" s="22">
        <f>IFERROR(IF(IF(I93=1,E93,-E93)&gt;0,1,IF(IF(I93=1,E93,-E93)&lt;0,0,2)),"")</f>
        <v>2</v>
      </c>
    </row>
    <row r="94" spans="1:18">
      <c r="A94" t="s">
        <v>675</v>
      </c>
      <c r="B94" s="40" t="s">
        <v>684</v>
      </c>
      <c r="C94" s="41" t="s">
        <v>613</v>
      </c>
      <c r="D94" s="43" t="str">
        <f>'sust. impact KPIs NO DATS'!D60</f>
        <v>kg CO2 eq/ha</v>
      </c>
      <c r="E94" s="160" t="e">
        <f>'sust. impact KPIs DATS'!E60-'sust. impact KPIs NO DATS'!E60</f>
        <v>#VALUE!</v>
      </c>
      <c r="F94" s="160" t="e">
        <f>E94*100/'sust. impact KPIs NO DATS'!E60</f>
        <v>#VALUE!</v>
      </c>
      <c r="G94" s="152" t="str">
        <f t="shared" si="3"/>
        <v>sust kpis no dats_Environmental_GHG EMISSIONS_GHG emissions</v>
      </c>
      <c r="H94" s="22" t="s">
        <v>1690</v>
      </c>
      <c r="I94" s="158">
        <v>0</v>
      </c>
      <c r="R94" s="22" t="str">
        <f>IFERROR(IF(IF(I94=1,E94,-E94)&gt;0,1,IF(IF(I94=1,E94,-E94)&lt;0,0,2)),"")</f>
        <v/>
      </c>
    </row>
    <row r="95" spans="1:18">
      <c r="A95" t="s">
        <v>676</v>
      </c>
      <c r="B95" s="40" t="s">
        <v>189</v>
      </c>
      <c r="C95" s="41" t="s">
        <v>25</v>
      </c>
      <c r="D95" s="43" t="s">
        <v>156</v>
      </c>
      <c r="E95" s="22" t="e">
        <f>'sust. impact KPIs DATS'!E63</f>
        <v>#DIV/0!</v>
      </c>
      <c r="F95" s="160" t="e">
        <f>E95*100/'sust. impact KPIs NO DATS'!E63</f>
        <v>#DIV/0!</v>
      </c>
      <c r="G95" s="152" t="str">
        <f t="shared" si="3"/>
        <v>sust kpis no dats_Social_LABOUR_Training hours (for the use of DATs)</v>
      </c>
      <c r="H95" s="22" t="s">
        <v>1691</v>
      </c>
      <c r="I95" s="158">
        <v>1</v>
      </c>
      <c r="R95" s="22" t="str">
        <f>IFERROR(IF(IF(I95=1,E95,-E95)&gt;0,1,IF(IF(I95=1,E95,-E95)&lt;0,0,2)),"")</f>
        <v/>
      </c>
    </row>
    <row r="96" spans="1:18">
      <c r="A96" t="s">
        <v>676</v>
      </c>
      <c r="B96" s="40" t="s">
        <v>189</v>
      </c>
      <c r="C96" s="41" t="s">
        <v>26</v>
      </c>
      <c r="D96" s="43" t="str">
        <f>'sust. impact KPIs NO DATS'!D64</f>
        <v>h/ha</v>
      </c>
      <c r="E96" s="160" t="e">
        <f>'sust. impact KPIs DATS'!E64-'sust. impact KPIs NO DATS'!E64</f>
        <v>#VALUE!</v>
      </c>
      <c r="F96" s="160" t="e">
        <f>E96*100/'sust. impact KPIs NO DATS'!E64</f>
        <v>#VALUE!</v>
      </c>
      <c r="G96" s="152" t="str">
        <f t="shared" si="3"/>
        <v>sust kpis no dats_Social_LABOUR_Working time</v>
      </c>
      <c r="H96" s="22" t="s">
        <v>1692</v>
      </c>
      <c r="I96" s="158">
        <v>0</v>
      </c>
      <c r="J96" s="22">
        <v>1</v>
      </c>
      <c r="M96" s="22">
        <v>1</v>
      </c>
      <c r="R96" s="22" t="str">
        <f>IFERROR(IF(IF(I96=1,E96,-E96)&gt;0,1,IF(IF(I96=1,E96,-E96)&lt;0,0,2)),"")</f>
        <v/>
      </c>
    </row>
    <row r="97" spans="1:18">
      <c r="A97" t="s">
        <v>676</v>
      </c>
      <c r="B97" s="40" t="s">
        <v>189</v>
      </c>
      <c r="C97" s="41" t="s">
        <v>27</v>
      </c>
      <c r="D97" s="43" t="s">
        <v>151</v>
      </c>
      <c r="E97" s="22" t="e">
        <f>'sust. impact KPIs DATS'!E65-'sust. impact KPIs NO DATS'!E65</f>
        <v>#DIV/0!</v>
      </c>
      <c r="F97" s="22"/>
      <c r="G97" s="152" t="str">
        <f t="shared" si="3"/>
        <v xml:space="preserve">sust kpis no dats_Social_LABOUR_Frequency rate of occupational injuries </v>
      </c>
      <c r="H97" s="22" t="s">
        <v>1693</v>
      </c>
      <c r="I97" s="158">
        <v>0</v>
      </c>
      <c r="R97" s="22" t="str">
        <f>IFERROR(IF(IF(I97=1,E97,-E97)&gt;0,1,IF(IF(I97=1,E97,-E97)&lt;0,0,2)),"")</f>
        <v/>
      </c>
    </row>
    <row r="98" spans="1:18">
      <c r="A98" t="s">
        <v>676</v>
      </c>
      <c r="B98" s="40" t="s">
        <v>189</v>
      </c>
      <c r="C98" s="41" t="s">
        <v>28</v>
      </c>
      <c r="D98" s="43" t="s">
        <v>105</v>
      </c>
      <c r="E98" s="22" t="e">
        <f>'sust. impact KPIs DATS'!E66-'sust. impact KPIs NO DATS'!E66</f>
        <v>#DIV/0!</v>
      </c>
      <c r="F98" s="22"/>
      <c r="G98" s="152" t="str">
        <f t="shared" si="3"/>
        <v xml:space="preserve">sust kpis no dats_Social_LABOUR_Incidence of occupational injuries </v>
      </c>
      <c r="H98" s="22" t="s">
        <v>1694</v>
      </c>
      <c r="I98" s="158">
        <v>0</v>
      </c>
      <c r="R98" s="22" t="str">
        <f>IFERROR(IF(IF(I98=1,E98,-E98)&gt;0,1,IF(IF(I98=1,E98,-E98)&lt;0,0,2)),"")</f>
        <v/>
      </c>
    </row>
    <row r="99" spans="1:18">
      <c r="A99" t="s">
        <v>676</v>
      </c>
      <c r="B99" s="40" t="s">
        <v>189</v>
      </c>
      <c r="C99" s="41" t="s">
        <v>29</v>
      </c>
      <c r="D99" s="43" t="s">
        <v>105</v>
      </c>
      <c r="E99" s="22" t="e">
        <f>'sust. impact KPIs DATS'!E67-'sust. impact KPIs NO DATS'!E67</f>
        <v>#DIV/0!</v>
      </c>
      <c r="F99" s="22"/>
      <c r="G99" s="152" t="str">
        <f t="shared" si="3"/>
        <v>sust kpis no dats_Social_LABOUR_Contribution to local employment</v>
      </c>
      <c r="H99" s="22" t="s">
        <v>1695</v>
      </c>
      <c r="I99" s="158">
        <v>1</v>
      </c>
      <c r="R99" s="22" t="str">
        <f>IFERROR(IF(IF(I99=1,E99,-E99)&gt;0,1,IF(IF(I99=1,E99,-E99)&lt;0,0,2)),"")</f>
        <v/>
      </c>
    </row>
    <row r="100" spans="1:18">
      <c r="R100" s="22">
        <f>IFERROR(IF(IF(I100=1,E100,-E100)&gt;0,1,IF(IF(I100=1,E100,-E100)&lt;0,0,2)),"")</f>
        <v>2</v>
      </c>
    </row>
    <row r="101" spans="1:18">
      <c r="R101" s="22">
        <f>IFERROR(IF(IF(I101=1,E101,-E101)&gt;0,1,IF(IF(I101=1,E101,-E101)&lt;0,0,2)),"")</f>
        <v>2</v>
      </c>
    </row>
    <row r="102" spans="1:18">
      <c r="R102" s="22">
        <f>IFERROR(IF(IF(I102=1,E102,-E102)&gt;0,1,IF(IF(I102=1,E102,-E102)&lt;0,0,2)),"")</f>
        <v>2</v>
      </c>
    </row>
    <row r="103" spans="1:18">
      <c r="R103" s="22">
        <f>IFERROR(IF(IF(I103=1,E103,-E103)&gt;0,1,IF(IF(I103=1,E103,-E103)&lt;0,0,2)),"")</f>
        <v>2</v>
      </c>
    </row>
    <row r="104" spans="1:18">
      <c r="R104" s="22">
        <f>IFERROR(IF(IF(I104=1,E104,-E104)&gt;0,1,IF(IF(I104=1,E104,-E104)&lt;0,0,2)),"")</f>
        <v>2</v>
      </c>
    </row>
    <row r="105" spans="1:18">
      <c r="R105" s="22">
        <f>IFERROR(IF(IF(I105=1,E105,-E105)&gt;0,1,IF(IF(I105=1,E105,-E105)&lt;0,0,2)),"")</f>
        <v>2</v>
      </c>
    </row>
  </sheetData>
  <mergeCells count="2">
    <mergeCell ref="T1:X1"/>
    <mergeCell ref="Y1:AA1"/>
  </mergeCells>
  <phoneticPr fontId="2" type="noConversion"/>
  <conditionalFormatting sqref="T2:AA2 C2:J2 E100:I1048576">
    <cfRule type="containsText" dxfId="34" priority="32" operator="containsText" text="Without DATs">
      <formula>NOT(ISERROR(SEARCH("Without DATs",C2)))</formula>
    </cfRule>
  </conditionalFormatting>
  <conditionalFormatting sqref="E4:F4 I4">
    <cfRule type="containsText" dxfId="33" priority="115" operator="containsText" text="Without DATs">
      <formula>NOT(ISERROR(SEARCH("Without DATs",E4)))</formula>
    </cfRule>
  </conditionalFormatting>
  <conditionalFormatting sqref="J3:J1048576">
    <cfRule type="cellIs" dxfId="32" priority="65" operator="equal">
      <formula>1</formula>
    </cfRule>
  </conditionalFormatting>
  <conditionalFormatting sqref="J100:J1048576">
    <cfRule type="cellIs" dxfId="31" priority="71" operator="equal">
      <formula>1</formula>
    </cfRule>
  </conditionalFormatting>
  <conditionalFormatting sqref="K3:K100">
    <cfRule type="cellIs" dxfId="30" priority="19" operator="equal">
      <formula>1</formula>
    </cfRule>
  </conditionalFormatting>
  <conditionalFormatting sqref="K5:K99">
    <cfRule type="cellIs" dxfId="29" priority="20" operator="equal">
      <formula>1</formula>
    </cfRule>
  </conditionalFormatting>
  <conditionalFormatting sqref="L3:L99">
    <cfRule type="cellIs" dxfId="28" priority="18" operator="equal">
      <formula>1</formula>
    </cfRule>
  </conditionalFormatting>
  <conditionalFormatting sqref="M2">
    <cfRule type="containsText" dxfId="27" priority="47" operator="containsText" text="Without DATs">
      <formula>NOT(ISERROR(SEARCH("Without DATs",M2)))</formula>
    </cfRule>
  </conditionalFormatting>
  <conditionalFormatting sqref="M3:M99">
    <cfRule type="cellIs" dxfId="26" priority="17" operator="equal">
      <formula>1</formula>
    </cfRule>
  </conditionalFormatting>
  <conditionalFormatting sqref="N73">
    <cfRule type="cellIs" dxfId="25" priority="67" operator="lessThan">
      <formula>0</formula>
    </cfRule>
    <cfRule type="cellIs" dxfId="24" priority="68" operator="greaterThan">
      <formula>0</formula>
    </cfRule>
  </conditionalFormatting>
  <conditionalFormatting sqref="N18:O37 N40:O45 N48:N49 N51:N63 N65:N71 N76:N89 N94:N103 N104:O1048576">
    <cfRule type="cellIs" dxfId="23" priority="122" operator="lessThan">
      <formula>0</formula>
    </cfRule>
    <cfRule type="cellIs" dxfId="22" priority="123" operator="greaterThan">
      <formula>0</formula>
    </cfRule>
  </conditionalFormatting>
  <conditionalFormatting sqref="R3:R105">
    <cfRule type="cellIs" dxfId="21" priority="16" operator="equal">
      <formula>3</formula>
    </cfRule>
    <cfRule type="cellIs" dxfId="20" priority="28" operator="equal">
      <formula>0</formula>
    </cfRule>
    <cfRule type="cellIs" dxfId="19" priority="29" operator="equal">
      <formula>1</formula>
    </cfRule>
  </conditionalFormatting>
  <conditionalFormatting sqref="U3:V9 X3:X9">
    <cfRule type="cellIs" dxfId="18" priority="36" operator="equal">
      <formula>0</formula>
    </cfRule>
    <cfRule type="cellIs" dxfId="17" priority="37" operator="equal">
      <formula>1</formula>
    </cfRule>
  </conditionalFormatting>
  <conditionalFormatting sqref="U3:V9">
    <cfRule type="cellIs" dxfId="16" priority="33" operator="equal">
      <formula>0</formula>
    </cfRule>
    <cfRule type="cellIs" dxfId="15" priority="34" operator="lessThan">
      <formula>0</formula>
    </cfRule>
    <cfRule type="cellIs" dxfId="14" priority="35" operator="greaterThan">
      <formula>0</formula>
    </cfRule>
  </conditionalFormatting>
  <conditionalFormatting sqref="X3:X9 R3:R105">
    <cfRule type="cellIs" dxfId="13" priority="44" operator="equal">
      <formula>2</formula>
    </cfRule>
  </conditionalFormatting>
  <conditionalFormatting sqref="AA4">
    <cfRule type="cellIs" dxfId="12" priority="7" operator="equal">
      <formula>0</formula>
    </cfRule>
    <cfRule type="cellIs" dxfId="11" priority="54" operator="lessThan">
      <formula>0</formula>
    </cfRule>
    <cfRule type="cellIs" dxfId="10" priority="55" operator="greaterThan">
      <formula>0</formula>
    </cfRule>
  </conditionalFormatting>
  <conditionalFormatting sqref="AA6">
    <cfRule type="cellIs" dxfId="9" priority="4" operator="equal">
      <formula>0</formula>
    </cfRule>
    <cfRule type="cellIs" dxfId="8" priority="5" operator="lessThan">
      <formula>0</formula>
    </cfRule>
    <cfRule type="cellIs" dxfId="7" priority="6" operator="greaterThan">
      <formula>0</formula>
    </cfRule>
  </conditionalFormatting>
  <conditionalFormatting sqref="AA8">
    <cfRule type="cellIs" dxfId="6" priority="1" operator="equal">
      <formula>0</formula>
    </cfRule>
    <cfRule type="cellIs" dxfId="5" priority="2" operator="lessThan">
      <formula>0</formula>
    </cfRule>
    <cfRule type="cellIs" dxfId="4" priority="3" operator="greaterThan">
      <formula>0</formula>
    </cfRule>
  </conditionalFormatting>
  <conditionalFormatting sqref="AC3:AC6">
    <cfRule type="cellIs" dxfId="3" priority="12" operator="equal">
      <formula>3</formula>
    </cfRule>
    <cfRule type="cellIs" dxfId="2" priority="13" operator="equal">
      <formula>0</formula>
    </cfRule>
    <cfRule type="cellIs" dxfId="1" priority="14" operator="equal">
      <formula>1</formula>
    </cfRule>
    <cfRule type="cellIs" dxfId="0" priority="15" operator="equal">
      <formula>2</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FA94-BBBB-4CDD-8CF7-5723BC747F1B}">
  <sheetPr codeName="Sheet10"/>
  <dimension ref="A1:B20"/>
  <sheetViews>
    <sheetView workbookViewId="0">
      <selection activeCell="D14" sqref="D14"/>
    </sheetView>
  </sheetViews>
  <sheetFormatPr defaultRowHeight="15.75"/>
  <cols>
    <col min="1" max="1" width="11.5" bestFit="1" customWidth="1"/>
    <col min="2" max="2" width="11.5" customWidth="1"/>
  </cols>
  <sheetData>
    <row r="1" spans="1:2">
      <c r="A1" s="18" t="s">
        <v>743</v>
      </c>
      <c r="B1" s="18" t="s">
        <v>719</v>
      </c>
    </row>
    <row r="2" spans="1:2" ht="45" customHeight="1">
      <c r="A2" s="51">
        <v>1</v>
      </c>
      <c r="B2" s="51" t="e" vm="1">
        <v>#VALUE!</v>
      </c>
    </row>
    <row r="3" spans="1:2" ht="45" customHeight="1">
      <c r="A3" s="51">
        <v>2</v>
      </c>
      <c r="B3" s="51" t="e" vm="2">
        <v>#VALUE!</v>
      </c>
    </row>
    <row r="4" spans="1:2" ht="45" customHeight="1">
      <c r="A4" s="51">
        <v>3</v>
      </c>
      <c r="B4" s="51" t="e" vm="3">
        <v>#VALUE!</v>
      </c>
    </row>
    <row r="5" spans="1:2" ht="45" customHeight="1">
      <c r="A5" s="51">
        <v>4</v>
      </c>
      <c r="B5" s="51" t="e" vm="4">
        <v>#VALUE!</v>
      </c>
    </row>
    <row r="6" spans="1:2" ht="45" customHeight="1">
      <c r="A6" s="51">
        <v>5</v>
      </c>
      <c r="B6" s="51" t="e" vm="5">
        <v>#VALUE!</v>
      </c>
    </row>
    <row r="7" spans="1:2" ht="45" customHeight="1">
      <c r="A7" s="51">
        <v>6</v>
      </c>
      <c r="B7" s="51" t="e" vm="6">
        <v>#VALUE!</v>
      </c>
    </row>
    <row r="8" spans="1:2" ht="45" customHeight="1">
      <c r="A8" s="51">
        <v>7</v>
      </c>
      <c r="B8" s="51" t="e" vm="7">
        <v>#VALUE!</v>
      </c>
    </row>
    <row r="9" spans="1:2" ht="45" customHeight="1">
      <c r="A9" s="51">
        <v>8</v>
      </c>
      <c r="B9" s="51" t="e" vm="8">
        <v>#VALUE!</v>
      </c>
    </row>
    <row r="10" spans="1:2" ht="45" customHeight="1">
      <c r="A10" s="51">
        <v>9</v>
      </c>
      <c r="B10" s="51" t="e" vm="9">
        <v>#VALUE!</v>
      </c>
    </row>
    <row r="11" spans="1:2" ht="45" customHeight="1">
      <c r="A11" s="51">
        <v>10</v>
      </c>
      <c r="B11" s="51" t="e" vm="10">
        <v>#VALUE!</v>
      </c>
    </row>
    <row r="12" spans="1:2" ht="45" customHeight="1">
      <c r="A12" s="51">
        <v>11</v>
      </c>
      <c r="B12" s="51" t="e" vm="11">
        <v>#VALUE!</v>
      </c>
    </row>
    <row r="13" spans="1:2" ht="45" customHeight="1">
      <c r="A13" s="51">
        <v>12</v>
      </c>
      <c r="B13" s="51" t="e" vm="12">
        <v>#VALUE!</v>
      </c>
    </row>
    <row r="14" spans="1:2" ht="45" customHeight="1">
      <c r="A14" s="51">
        <v>13</v>
      </c>
      <c r="B14" s="51" t="e" vm="13">
        <v>#VALUE!</v>
      </c>
    </row>
    <row r="15" spans="1:2" ht="45" customHeight="1">
      <c r="A15" s="51"/>
      <c r="B15" s="51"/>
    </row>
    <row r="16" spans="1:2" ht="45" customHeight="1"/>
    <row r="17" ht="45" customHeight="1"/>
    <row r="18" ht="45" customHeight="1"/>
    <row r="19" ht="45" customHeight="1"/>
    <row r="20" ht="45" customHeight="1"/>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0090-A698-4A93-A148-8BAECE9A0C5C}">
  <sheetPr codeName="Sheet11"/>
  <dimension ref="A1:AD18"/>
  <sheetViews>
    <sheetView zoomScale="86" workbookViewId="0">
      <selection activeCell="Z23" sqref="Z23"/>
    </sheetView>
  </sheetViews>
  <sheetFormatPr defaultColWidth="8.75" defaultRowHeight="15.75"/>
  <cols>
    <col min="1" max="1" width="13.25" bestFit="1" customWidth="1"/>
    <col min="4" max="4" width="11" bestFit="1" customWidth="1"/>
    <col min="5" max="5" width="10" bestFit="1" customWidth="1"/>
    <col min="6" max="6" width="10.75" bestFit="1" customWidth="1"/>
    <col min="7" max="7" width="10.75" customWidth="1"/>
    <col min="9" max="9" width="11.375" customWidth="1"/>
    <col min="10" max="10" width="24.25" style="8" bestFit="1" customWidth="1"/>
    <col min="12" max="12" width="14.25" bestFit="1" customWidth="1"/>
    <col min="14" max="14" width="12" bestFit="1" customWidth="1"/>
    <col min="16" max="17" width="14.25" bestFit="1" customWidth="1"/>
    <col min="18" max="18" width="16.5" bestFit="1" customWidth="1"/>
    <col min="19" max="19" width="14.25" bestFit="1" customWidth="1"/>
    <col min="21" max="21" width="14.25" bestFit="1" customWidth="1"/>
    <col min="23" max="23" width="14.25" bestFit="1" customWidth="1"/>
    <col min="24" max="24" width="20.75" bestFit="1" customWidth="1"/>
    <col min="25" max="25" width="10.75" customWidth="1"/>
    <col min="27" max="27" width="14.5" bestFit="1" customWidth="1"/>
    <col min="28" max="28" width="11.875" customWidth="1"/>
    <col min="29" max="29" width="20.25" bestFit="1" customWidth="1"/>
  </cols>
  <sheetData>
    <row r="1" spans="1:30">
      <c r="A1" s="8" t="s">
        <v>465</v>
      </c>
      <c r="B1" s="8" t="s">
        <v>469</v>
      </c>
      <c r="C1" s="8" t="s">
        <v>5</v>
      </c>
      <c r="D1" s="8" t="s">
        <v>165</v>
      </c>
      <c r="E1" s="8" t="s">
        <v>475</v>
      </c>
      <c r="F1" s="8" t="s">
        <v>477</v>
      </c>
      <c r="G1" s="8" t="s">
        <v>578</v>
      </c>
      <c r="H1" s="8" t="s">
        <v>9</v>
      </c>
      <c r="I1" s="8"/>
      <c r="J1" s="8" t="s">
        <v>512</v>
      </c>
      <c r="K1" s="8" t="s">
        <v>511</v>
      </c>
      <c r="L1" s="8" t="s">
        <v>512</v>
      </c>
      <c r="M1" s="8" t="s">
        <v>513</v>
      </c>
      <c r="N1" s="8" t="s">
        <v>686</v>
      </c>
      <c r="O1" s="8"/>
      <c r="P1" s="8" t="s">
        <v>503</v>
      </c>
      <c r="Q1" s="8" t="s">
        <v>549</v>
      </c>
      <c r="R1" s="8"/>
      <c r="S1" s="8" t="s">
        <v>550</v>
      </c>
      <c r="T1" s="8"/>
      <c r="U1" s="8" t="s">
        <v>551</v>
      </c>
      <c r="V1" s="8"/>
      <c r="W1" s="8" t="s">
        <v>512</v>
      </c>
      <c r="X1" s="8" t="s">
        <v>22</v>
      </c>
      <c r="Y1" s="8" t="s">
        <v>515</v>
      </c>
      <c r="AA1" s="8" t="s">
        <v>512</v>
      </c>
      <c r="AB1" s="8" t="s">
        <v>479</v>
      </c>
      <c r="AC1" s="8" t="s">
        <v>613</v>
      </c>
      <c r="AD1" s="8" t="s">
        <v>5</v>
      </c>
    </row>
    <row r="2" spans="1:30" ht="18">
      <c r="A2" t="s">
        <v>457</v>
      </c>
      <c r="B2" t="s">
        <v>449</v>
      </c>
      <c r="C2" t="s">
        <v>222</v>
      </c>
      <c r="D2" t="s">
        <v>146</v>
      </c>
      <c r="E2" t="s">
        <v>145</v>
      </c>
      <c r="F2" t="s">
        <v>145</v>
      </c>
      <c r="G2" t="s">
        <v>580</v>
      </c>
      <c r="H2" t="s">
        <v>729</v>
      </c>
      <c r="J2" s="8" t="s">
        <v>520</v>
      </c>
      <c r="K2" t="s">
        <v>448</v>
      </c>
      <c r="L2" t="s">
        <v>503</v>
      </c>
      <c r="M2" t="s">
        <v>141</v>
      </c>
      <c r="N2" t="s">
        <v>611</v>
      </c>
      <c r="O2" s="8"/>
      <c r="P2" s="8" t="s">
        <v>532</v>
      </c>
      <c r="Q2">
        <v>6.9999999999999999E-4</v>
      </c>
      <c r="R2" s="8" t="s">
        <v>532</v>
      </c>
      <c r="S2">
        <v>2.2000000000000001E-4</v>
      </c>
      <c r="T2" s="8" t="s">
        <v>532</v>
      </c>
      <c r="U2">
        <v>1.8E-3</v>
      </c>
      <c r="W2" s="8" t="s">
        <v>503</v>
      </c>
      <c r="X2" t="s">
        <v>146</v>
      </c>
      <c r="Y2" t="s">
        <v>566</v>
      </c>
      <c r="AA2" s="8" t="s">
        <v>520</v>
      </c>
      <c r="AC2" t="s">
        <v>766</v>
      </c>
      <c r="AD2" t="s">
        <v>222</v>
      </c>
    </row>
    <row r="3" spans="1:30" ht="18">
      <c r="A3" t="s">
        <v>466</v>
      </c>
      <c r="B3" t="s">
        <v>733</v>
      </c>
      <c r="C3" t="s">
        <v>774</v>
      </c>
      <c r="D3" t="s">
        <v>727</v>
      </c>
      <c r="E3" t="s">
        <v>222</v>
      </c>
      <c r="F3" t="s">
        <v>478</v>
      </c>
      <c r="G3" t="s">
        <v>579</v>
      </c>
      <c r="H3" t="s">
        <v>476</v>
      </c>
      <c r="J3" s="8" t="s">
        <v>569</v>
      </c>
      <c r="K3" t="s">
        <v>725</v>
      </c>
      <c r="L3" t="s">
        <v>505</v>
      </c>
      <c r="M3" t="s">
        <v>734</v>
      </c>
      <c r="N3" t="s">
        <v>736</v>
      </c>
      <c r="O3" s="8"/>
      <c r="P3" s="8" t="s">
        <v>540</v>
      </c>
      <c r="Q3">
        <v>1.66E-3</v>
      </c>
      <c r="R3" s="8" t="s">
        <v>540</v>
      </c>
      <c r="S3">
        <v>3.6000000000000002E-4</v>
      </c>
      <c r="T3" s="8" t="s">
        <v>540</v>
      </c>
      <c r="U3">
        <v>4.3E-3</v>
      </c>
      <c r="W3" s="8" t="s">
        <v>562</v>
      </c>
      <c r="X3" t="s">
        <v>146</v>
      </c>
      <c r="Y3" t="s">
        <v>567</v>
      </c>
      <c r="AA3" s="8" t="s">
        <v>569</v>
      </c>
      <c r="AB3" t="s">
        <v>732</v>
      </c>
      <c r="AC3" t="s">
        <v>767</v>
      </c>
      <c r="AD3" t="s">
        <v>726</v>
      </c>
    </row>
    <row r="4" spans="1:30" ht="18">
      <c r="A4" t="s">
        <v>336</v>
      </c>
      <c r="B4" t="s">
        <v>725</v>
      </c>
      <c r="C4" t="s">
        <v>470</v>
      </c>
      <c r="D4" t="s">
        <v>472</v>
      </c>
      <c r="H4" t="s">
        <v>730</v>
      </c>
      <c r="J4" s="8" t="s">
        <v>570</v>
      </c>
      <c r="K4" t="s">
        <v>733</v>
      </c>
      <c r="L4" t="s">
        <v>504</v>
      </c>
      <c r="M4" t="s">
        <v>735</v>
      </c>
      <c r="N4" t="s">
        <v>737</v>
      </c>
      <c r="O4" s="8"/>
      <c r="P4" s="8" t="s">
        <v>543</v>
      </c>
      <c r="Q4">
        <v>0.02</v>
      </c>
      <c r="R4" s="8" t="s">
        <v>543</v>
      </c>
      <c r="S4">
        <v>8.3000000000000001E-3</v>
      </c>
      <c r="T4" s="8" t="s">
        <v>543</v>
      </c>
      <c r="U4">
        <v>6.6E-3</v>
      </c>
      <c r="W4" s="8" t="s">
        <v>505</v>
      </c>
      <c r="X4" t="s">
        <v>728</v>
      </c>
      <c r="Y4" t="s">
        <v>568</v>
      </c>
      <c r="AA4" s="8" t="s">
        <v>570</v>
      </c>
      <c r="AB4" t="s">
        <v>731</v>
      </c>
      <c r="AC4" t="s">
        <v>768</v>
      </c>
      <c r="AD4" t="s">
        <v>774</v>
      </c>
    </row>
    <row r="5" spans="1:30" ht="18">
      <c r="A5" t="s">
        <v>467</v>
      </c>
      <c r="B5" t="s">
        <v>448</v>
      </c>
      <c r="C5" t="s">
        <v>726</v>
      </c>
      <c r="D5" t="s">
        <v>728</v>
      </c>
      <c r="J5" s="8" t="s">
        <v>515</v>
      </c>
      <c r="K5" t="s">
        <v>765</v>
      </c>
      <c r="L5" t="s">
        <v>514</v>
      </c>
      <c r="M5" t="s">
        <v>342</v>
      </c>
      <c r="N5" t="s">
        <v>687</v>
      </c>
      <c r="O5" s="8"/>
      <c r="P5" s="8" t="s">
        <v>537</v>
      </c>
      <c r="Q5">
        <v>4.7000000000000002E-3</v>
      </c>
      <c r="R5" s="8" t="s">
        <v>537</v>
      </c>
      <c r="S5">
        <v>1.1000000000000001E-3</v>
      </c>
      <c r="T5" s="8" t="s">
        <v>537</v>
      </c>
      <c r="U5">
        <v>4.7999999999999996E-3</v>
      </c>
      <c r="W5" s="8" t="s">
        <v>504</v>
      </c>
      <c r="X5" t="s">
        <v>727</v>
      </c>
      <c r="AA5" s="8" t="s">
        <v>515</v>
      </c>
      <c r="AB5" t="s">
        <v>480</v>
      </c>
      <c r="AC5" t="s">
        <v>769</v>
      </c>
      <c r="AD5" t="s">
        <v>470</v>
      </c>
    </row>
    <row r="6" spans="1:30" ht="18">
      <c r="B6" t="s">
        <v>326</v>
      </c>
      <c r="C6" t="s">
        <v>450</v>
      </c>
      <c r="D6" t="s">
        <v>473</v>
      </c>
      <c r="J6" s="8" t="s">
        <v>571</v>
      </c>
      <c r="K6" t="s">
        <v>509</v>
      </c>
      <c r="L6" t="s">
        <v>507</v>
      </c>
      <c r="M6" t="s">
        <v>467</v>
      </c>
      <c r="N6" t="s">
        <v>688</v>
      </c>
      <c r="O6" s="8"/>
      <c r="P6" s="8" t="s">
        <v>538</v>
      </c>
      <c r="Q6">
        <v>1.47E-2</v>
      </c>
      <c r="R6" s="8" t="s">
        <v>538</v>
      </c>
      <c r="S6">
        <v>6.4999999999999997E-3</v>
      </c>
      <c r="T6" s="8" t="s">
        <v>538</v>
      </c>
      <c r="U6">
        <v>4.1999999999999997E-3</v>
      </c>
      <c r="W6" s="8" t="s">
        <v>514</v>
      </c>
      <c r="X6" t="s">
        <v>472</v>
      </c>
      <c r="AA6" s="8" t="s">
        <v>571</v>
      </c>
      <c r="AB6" t="s">
        <v>482</v>
      </c>
      <c r="AC6" t="s">
        <v>772</v>
      </c>
      <c r="AD6" t="s">
        <v>451</v>
      </c>
    </row>
    <row r="7" spans="1:30" ht="18">
      <c r="C7" t="s">
        <v>451</v>
      </c>
      <c r="D7" t="s">
        <v>474</v>
      </c>
      <c r="J7" s="8" t="s">
        <v>572</v>
      </c>
      <c r="K7" t="s">
        <v>508</v>
      </c>
      <c r="L7" t="s">
        <v>506</v>
      </c>
      <c r="M7" t="s">
        <v>510</v>
      </c>
      <c r="N7" t="s">
        <v>689</v>
      </c>
      <c r="O7" s="8"/>
      <c r="P7" s="8" t="s">
        <v>546</v>
      </c>
      <c r="Q7">
        <v>4.3E-3</v>
      </c>
      <c r="R7" s="8" t="s">
        <v>546</v>
      </c>
      <c r="S7">
        <v>1.4E-3</v>
      </c>
      <c r="T7" s="8" t="s">
        <v>546</v>
      </c>
      <c r="U7">
        <v>3.3E-3</v>
      </c>
      <c r="W7" s="8" t="s">
        <v>507</v>
      </c>
      <c r="X7" t="s">
        <v>474</v>
      </c>
      <c r="AA7" s="8" t="s">
        <v>572</v>
      </c>
      <c r="AB7" t="s">
        <v>481</v>
      </c>
      <c r="AC7" t="s">
        <v>770</v>
      </c>
      <c r="AD7" t="s">
        <v>450</v>
      </c>
    </row>
    <row r="8" spans="1:30">
      <c r="J8" s="8" t="s">
        <v>521</v>
      </c>
      <c r="L8" t="s">
        <v>519</v>
      </c>
      <c r="M8" t="s">
        <v>457</v>
      </c>
      <c r="N8" t="s">
        <v>690</v>
      </c>
      <c r="O8" s="8"/>
      <c r="P8" s="8" t="s">
        <v>544</v>
      </c>
      <c r="Q8">
        <v>6.5000000000000002E-2</v>
      </c>
      <c r="R8" s="8" t="s">
        <v>544</v>
      </c>
      <c r="S8">
        <v>2.9000000000000001E-2</v>
      </c>
      <c r="T8" s="8" t="s">
        <v>544</v>
      </c>
      <c r="U8">
        <v>3.9E-2</v>
      </c>
      <c r="W8" s="8" t="s">
        <v>506</v>
      </c>
      <c r="X8" t="s">
        <v>552</v>
      </c>
      <c r="AA8" s="8" t="s">
        <v>521</v>
      </c>
      <c r="AC8" t="s">
        <v>771</v>
      </c>
      <c r="AD8" t="s">
        <v>773</v>
      </c>
    </row>
    <row r="9" spans="1:30">
      <c r="P9" s="8" t="s">
        <v>533</v>
      </c>
      <c r="Q9">
        <f>1.32/1000</f>
        <v>1.32E-3</v>
      </c>
      <c r="R9" s="8" t="s">
        <v>533</v>
      </c>
      <c r="S9">
        <v>2.5000000000000001E-4</v>
      </c>
      <c r="T9" s="8" t="s">
        <v>533</v>
      </c>
      <c r="U9">
        <v>2.2399999999999998E-3</v>
      </c>
      <c r="W9" s="8" t="s">
        <v>519</v>
      </c>
      <c r="X9" t="s">
        <v>553</v>
      </c>
    </row>
    <row r="10" spans="1:30">
      <c r="P10" s="8" t="s">
        <v>534</v>
      </c>
      <c r="Q10">
        <v>2.8700000000000002E-3</v>
      </c>
      <c r="R10" s="8" t="s">
        <v>534</v>
      </c>
      <c r="S10">
        <v>4.8999999999999998E-4</v>
      </c>
      <c r="T10" s="8" t="s">
        <v>534</v>
      </c>
      <c r="U10">
        <v>4.4200000000000003E-3</v>
      </c>
    </row>
    <row r="11" spans="1:30">
      <c r="P11" s="8" t="s">
        <v>545</v>
      </c>
      <c r="Q11">
        <v>3.0000000000000001E-3</v>
      </c>
      <c r="R11" s="8" t="s">
        <v>545</v>
      </c>
      <c r="S11">
        <v>1.1999999999999999E-3</v>
      </c>
      <c r="T11" s="8" t="s">
        <v>545</v>
      </c>
      <c r="U11">
        <v>4.0000000000000001E-3</v>
      </c>
    </row>
    <row r="12" spans="1:30">
      <c r="P12" s="8" t="s">
        <v>536</v>
      </c>
      <c r="Q12">
        <f>3.5/1000</f>
        <v>3.5000000000000001E-3</v>
      </c>
      <c r="R12" s="8" t="s">
        <v>536</v>
      </c>
      <c r="S12">
        <f>1.3/1000</f>
        <v>1.2999999999999999E-3</v>
      </c>
      <c r="T12" s="8" t="s">
        <v>536</v>
      </c>
      <c r="U12">
        <f>5.8/1000</f>
        <v>5.7999999999999996E-3</v>
      </c>
    </row>
    <row r="13" spans="1:30">
      <c r="P13" s="8" t="s">
        <v>548</v>
      </c>
      <c r="Q13">
        <v>3.1E-2</v>
      </c>
      <c r="R13" s="8" t="s">
        <v>548</v>
      </c>
      <c r="S13">
        <v>0.02</v>
      </c>
      <c r="T13" s="8" t="s">
        <v>548</v>
      </c>
      <c r="U13">
        <v>2.1000000000000001E-2</v>
      </c>
    </row>
    <row r="14" spans="1:30">
      <c r="P14" s="8" t="s">
        <v>547</v>
      </c>
      <c r="Q14">
        <v>2.5000000000000001E-2</v>
      </c>
      <c r="R14" s="8" t="s">
        <v>547</v>
      </c>
      <c r="S14">
        <v>8.2000000000000007E-3</v>
      </c>
      <c r="T14" s="8" t="s">
        <v>547</v>
      </c>
      <c r="U14">
        <v>5.4999999999999997E-3</v>
      </c>
    </row>
    <row r="15" spans="1:30">
      <c r="P15" s="8" t="s">
        <v>539</v>
      </c>
      <c r="Q15">
        <v>5.7999999999999996E-3</v>
      </c>
      <c r="R15" s="8" t="s">
        <v>539</v>
      </c>
      <c r="S15">
        <v>1.1000000000000001E-3</v>
      </c>
      <c r="T15" s="8" t="s">
        <v>539</v>
      </c>
      <c r="U15">
        <v>8.0999999999999996E-3</v>
      </c>
    </row>
    <row r="16" spans="1:30">
      <c r="P16" s="8" t="s">
        <v>535</v>
      </c>
      <c r="Q16">
        <v>3.2000000000000002E-3</v>
      </c>
      <c r="R16" s="8" t="s">
        <v>535</v>
      </c>
      <c r="S16">
        <v>1E-3</v>
      </c>
      <c r="T16" s="8" t="s">
        <v>535</v>
      </c>
      <c r="U16">
        <v>6.7999999999999996E-3</v>
      </c>
    </row>
    <row r="17" spans="16:21">
      <c r="P17" s="8" t="s">
        <v>541</v>
      </c>
      <c r="Q17">
        <v>2.0199999999999999E-2</v>
      </c>
      <c r="R17" s="8" t="s">
        <v>541</v>
      </c>
      <c r="S17">
        <v>8.2000000000000007E-3</v>
      </c>
      <c r="T17" s="8" t="s">
        <v>541</v>
      </c>
      <c r="U17">
        <v>5.1999999999999998E-3</v>
      </c>
    </row>
    <row r="18" spans="16:21">
      <c r="P18" s="8" t="s">
        <v>542</v>
      </c>
      <c r="Q18">
        <v>2.0299999999999999E-2</v>
      </c>
      <c r="R18" s="8" t="s">
        <v>542</v>
      </c>
      <c r="S18">
        <v>8.3999999999999995E-3</v>
      </c>
      <c r="T18" s="8" t="s">
        <v>542</v>
      </c>
      <c r="U18">
        <v>5.1000000000000004E-3</v>
      </c>
    </row>
  </sheetData>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 </vt:lpstr>
      <vt:lpstr>General Information</vt:lpstr>
      <vt:lpstr>Parcel 1 with DATSs</vt:lpstr>
      <vt:lpstr>Parcel 1 without DATSs</vt:lpstr>
      <vt:lpstr>Cost-revenue DATS</vt:lpstr>
      <vt:lpstr>Cost-revenue NO DATS</vt:lpstr>
      <vt:lpstr>sust. impact KPIs DATS</vt:lpstr>
      <vt:lpstr>sust. impact KPIs NO DATS</vt:lpstr>
      <vt:lpstr>Analysis DATS vs. NO DATS</vt:lpstr>
      <vt:lpstr>Icons</vt:lpstr>
      <vt:lpstr>Validations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Parigi</dc:creator>
  <cp:lastModifiedBy>Thanasis  Manos</cp:lastModifiedBy>
  <dcterms:created xsi:type="dcterms:W3CDTF">2023-10-26T11:59:27Z</dcterms:created>
  <dcterms:modified xsi:type="dcterms:W3CDTF">2025-04-01T12:55:59Z</dcterms:modified>
</cp:coreProperties>
</file>