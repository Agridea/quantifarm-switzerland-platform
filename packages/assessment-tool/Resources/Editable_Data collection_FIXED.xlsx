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Workbook__t__t__ß_ß____e__as_a_" defaultThemeVersion="166925"/>
  <mc:AlternateContent xmlns:mc="http://schemas.openxmlformats.org/markup-compatibility/2006">
    <mc:Choice Requires="x15">
      <x15ac:absPath xmlns:x15ac="http://schemas.microsoft.com/office/spreadsheetml/2010/11/ac" url="E:\Dev\PythonProjects\Neuropublic\European\Quantifarm\Parser_V5_Assessment_Tool\Resources\"/>
    </mc:Choice>
  </mc:AlternateContent>
  <xr:revisionPtr revIDLastSave="0" documentId="13_ncr:1_{D3A41DEE-82CD-4E4D-BDA2-95FB8E70499C}" xr6:coauthVersionLast="47" xr6:coauthVersionMax="47" xr10:uidLastSave="{00000000-0000-0000-0000-000000000000}"/>
  <bookViews>
    <workbookView xWindow="-120" yWindow="-120" windowWidth="29040" windowHeight="15840" tabRatio="906" activeTab="6" xr2:uid="{C8CCFE31-AE15-EC44-985A-4BA84CA9B17D}"/>
  </bookViews>
  <sheets>
    <sheet name="Instructions " sheetId="4" r:id="rId1"/>
    <sheet name="General Information" sheetId="3" r:id="rId2"/>
    <sheet name="Parcel 1 with DATSs" sheetId="1" r:id="rId3"/>
    <sheet name="Parcel 1 without DATSs" sheetId="6" r:id="rId4"/>
    <sheet name="Cost-revenue DATS" sheetId="5" r:id="rId5"/>
    <sheet name="Cost-revenue NO DATS" sheetId="10" r:id="rId6"/>
    <sheet name="sust. impact KPIs DATS" sheetId="12" r:id="rId7"/>
    <sheet name="sust. impact KPIs NO DATS" sheetId="11" r:id="rId8"/>
    <sheet name="Analysis DATS vs. NO DATS" sheetId="9" r:id="rId9"/>
    <sheet name="Convalide" sheetId="14" r:id="rId10"/>
    <sheet name="Foglio1" sheetId="15" r:id="rId11"/>
  </sheets>
  <definedNames>
    <definedName name="_xlnm._FilterDatabase" localSheetId="1" hidden="1">'General Information'!$E$19:$G$28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0" i="12" l="1"/>
  <c r="E57" i="12"/>
  <c r="G64" i="11"/>
  <c r="G113" i="9"/>
  <c r="G114" i="9"/>
  <c r="G115" i="9"/>
  <c r="G116" i="9"/>
  <c r="G112" i="9"/>
  <c r="G83" i="9"/>
  <c r="G84" i="9"/>
  <c r="G85" i="9"/>
  <c r="G86" i="9"/>
  <c r="G87" i="9"/>
  <c r="G88" i="9"/>
  <c r="G89" i="9"/>
  <c r="G90" i="9"/>
  <c r="G91" i="9"/>
  <c r="G92" i="9"/>
  <c r="G93" i="9"/>
  <c r="G94" i="9"/>
  <c r="G95" i="9"/>
  <c r="G96" i="9"/>
  <c r="G97" i="9"/>
  <c r="G98" i="9"/>
  <c r="G99" i="9"/>
  <c r="G100" i="9"/>
  <c r="G101" i="9"/>
  <c r="G102" i="9"/>
  <c r="G103" i="9"/>
  <c r="G104" i="9"/>
  <c r="G105" i="9"/>
  <c r="G106" i="9"/>
  <c r="G107" i="9"/>
  <c r="G108" i="9"/>
  <c r="G82" i="9"/>
  <c r="G76" i="9"/>
  <c r="G77" i="9"/>
  <c r="G78" i="9"/>
  <c r="G75" i="9"/>
  <c r="G70" i="9"/>
  <c r="G71" i="9"/>
  <c r="G69" i="9"/>
  <c r="G57" i="9"/>
  <c r="G58" i="9"/>
  <c r="G59" i="9"/>
  <c r="G60" i="9"/>
  <c r="G61" i="9"/>
  <c r="G62" i="9"/>
  <c r="G63" i="9"/>
  <c r="G64" i="9"/>
  <c r="G65" i="9"/>
  <c r="G56" i="9"/>
  <c r="G44" i="9"/>
  <c r="G45" i="9"/>
  <c r="G46" i="9"/>
  <c r="G47" i="9"/>
  <c r="G48" i="9"/>
  <c r="G49" i="9"/>
  <c r="G50" i="9"/>
  <c r="G51" i="9"/>
  <c r="G52" i="9"/>
  <c r="G43"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3" i="9"/>
  <c r="G3" i="11"/>
  <c r="E3" i="11"/>
  <c r="G65" i="11"/>
  <c r="G66" i="11"/>
  <c r="G67" i="11"/>
  <c r="G68"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9" i="11"/>
  <c r="G60" i="11"/>
  <c r="G56" i="11"/>
  <c r="G57" i="11"/>
  <c r="G58" i="11"/>
  <c r="G30" i="11"/>
  <c r="G24" i="11"/>
  <c r="G25" i="11"/>
  <c r="G26" i="11"/>
  <c r="G23" i="11"/>
  <c r="G18" i="11"/>
  <c r="G19" i="11"/>
  <c r="G17" i="11"/>
  <c r="G4" i="11"/>
  <c r="G5" i="11"/>
  <c r="G6" i="11"/>
  <c r="G7" i="11"/>
  <c r="G8" i="11"/>
  <c r="G9" i="11"/>
  <c r="G10" i="11"/>
  <c r="G11" i="11"/>
  <c r="G12" i="11"/>
  <c r="G13" i="11"/>
  <c r="G43" i="10"/>
  <c r="G44" i="10"/>
  <c r="G45" i="10"/>
  <c r="G46" i="10"/>
  <c r="G47" i="10"/>
  <c r="G48" i="10"/>
  <c r="G42"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 i="10"/>
  <c r="G43" i="5"/>
  <c r="G44" i="5"/>
  <c r="G45" i="5"/>
  <c r="G46" i="5"/>
  <c r="G47" i="5"/>
  <c r="G48" i="5"/>
  <c r="G42"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 i="5"/>
  <c r="G65" i="12"/>
  <c r="G66" i="12"/>
  <c r="G67" i="12"/>
  <c r="G68" i="12"/>
  <c r="G64"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9" i="12"/>
  <c r="G56" i="12"/>
  <c r="G57" i="12"/>
  <c r="G58" i="12"/>
  <c r="G60" i="12"/>
  <c r="G30" i="12"/>
  <c r="G24" i="12"/>
  <c r="G25" i="12"/>
  <c r="G26" i="12"/>
  <c r="G23" i="12"/>
  <c r="G18" i="12"/>
  <c r="G19" i="12"/>
  <c r="G17" i="12"/>
  <c r="G4" i="12"/>
  <c r="G5" i="12"/>
  <c r="G6" i="12"/>
  <c r="G7" i="12"/>
  <c r="G8" i="12"/>
  <c r="G9" i="12"/>
  <c r="G10" i="12"/>
  <c r="G11" i="12"/>
  <c r="G12" i="12"/>
  <c r="G13" i="12"/>
  <c r="G3" i="12"/>
  <c r="E11" i="1" l="1"/>
  <c r="E12" i="1"/>
  <c r="E13" i="1"/>
  <c r="E14" i="1"/>
  <c r="E15" i="1"/>
  <c r="E16" i="1"/>
  <c r="E17" i="1"/>
  <c r="E18" i="1"/>
  <c r="E19" i="1"/>
  <c r="E50" i="12" s="1"/>
  <c r="E20" i="1"/>
  <c r="E49" i="12" s="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10" i="1"/>
  <c r="C97" i="3"/>
  <c r="C98" i="3"/>
  <c r="C99" i="3"/>
  <c r="C100" i="3"/>
  <c r="C101" i="3"/>
  <c r="C102" i="3"/>
  <c r="C103" i="3"/>
  <c r="C104" i="3"/>
  <c r="C105" i="3"/>
  <c r="C106" i="3"/>
  <c r="C107" i="3"/>
  <c r="C108" i="3"/>
  <c r="C109" i="3"/>
  <c r="C110" i="3"/>
  <c r="C111" i="3"/>
  <c r="C112" i="3"/>
  <c r="C113" i="3"/>
  <c r="C114" i="3"/>
  <c r="C115" i="3"/>
  <c r="C116" i="3"/>
  <c r="C117" i="3"/>
  <c r="C118" i="3"/>
  <c r="C119" i="3"/>
  <c r="C120" i="3"/>
  <c r="C121" i="3"/>
  <c r="C96"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32" i="3"/>
  <c r="E131" i="6"/>
  <c r="E124" i="6"/>
  <c r="E117" i="6"/>
  <c r="E89" i="6"/>
  <c r="E86" i="6"/>
  <c r="E83" i="6"/>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10"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93" i="3"/>
  <c r="C94" i="3"/>
  <c r="C95" i="3"/>
  <c r="B2" i="15" l="1"/>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1" i="15"/>
  <c r="E3" i="5"/>
  <c r="E48" i="5"/>
  <c r="E29" i="5"/>
  <c r="E6" i="5"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 i="3"/>
  <c r="D215" i="6"/>
  <c r="E110" i="6"/>
  <c r="E103" i="6"/>
  <c r="E96" i="6"/>
  <c r="E80" i="6"/>
  <c r="E77" i="6"/>
  <c r="E74" i="6"/>
  <c r="E68" i="11"/>
  <c r="E67" i="11"/>
  <c r="E66" i="11"/>
  <c r="E65" i="11"/>
  <c r="E57" i="11"/>
  <c r="E55" i="11"/>
  <c r="E54" i="11"/>
  <c r="E53" i="11"/>
  <c r="E52" i="11"/>
  <c r="E51" i="11"/>
  <c r="E51" i="12"/>
  <c r="E50" i="11"/>
  <c r="E49" i="11"/>
  <c r="E48" i="11"/>
  <c r="E48" i="12"/>
  <c r="E47" i="11"/>
  <c r="E47" i="12"/>
  <c r="E46" i="11"/>
  <c r="E45" i="11"/>
  <c r="E44" i="11"/>
  <c r="E43" i="11"/>
  <c r="E41" i="11"/>
  <c r="E42" i="11"/>
  <c r="E40" i="11"/>
  <c r="E37" i="12"/>
  <c r="E40" i="12"/>
  <c r="E39" i="11"/>
  <c r="E39" i="12"/>
  <c r="E37" i="11"/>
  <c r="A103" i="11"/>
  <c r="A102" i="11"/>
  <c r="A101" i="11"/>
  <c r="C101" i="11"/>
  <c r="E36" i="11"/>
  <c r="E34" i="11"/>
  <c r="E32" i="11"/>
  <c r="E30" i="11"/>
  <c r="E56" i="11" s="1"/>
  <c r="E24" i="11"/>
  <c r="E17" i="11"/>
  <c r="E10" i="11"/>
  <c r="E11" i="12"/>
  <c r="E11" i="11"/>
  <c r="E10" i="12"/>
  <c r="E36" i="12"/>
  <c r="E34" i="12"/>
  <c r="E32" i="12"/>
  <c r="E30" i="12"/>
  <c r="E19" i="11"/>
  <c r="E18" i="11"/>
  <c r="E13" i="11"/>
  <c r="E12" i="11"/>
  <c r="E9" i="11"/>
  <c r="E8" i="11"/>
  <c r="E7" i="11"/>
  <c r="E6" i="11"/>
  <c r="E5" i="11"/>
  <c r="E4" i="11"/>
  <c r="E9" i="12"/>
  <c r="H215" i="1"/>
  <c r="E48" i="10"/>
  <c r="E47" i="10"/>
  <c r="E46" i="10"/>
  <c r="E45" i="10"/>
  <c r="E44" i="10"/>
  <c r="E43" i="10"/>
  <c r="E42" i="10"/>
  <c r="D48" i="10"/>
  <c r="E44" i="5"/>
  <c r="E35" i="10"/>
  <c r="E34" i="10"/>
  <c r="E33" i="10"/>
  <c r="E32" i="10"/>
  <c r="E31" i="10"/>
  <c r="E30" i="10"/>
  <c r="E29" i="10"/>
  <c r="E28" i="10"/>
  <c r="E27" i="10"/>
  <c r="E26" i="10"/>
  <c r="E25" i="10"/>
  <c r="E24" i="10"/>
  <c r="E23" i="10"/>
  <c r="E22" i="10"/>
  <c r="E21" i="10"/>
  <c r="E47" i="5"/>
  <c r="E46" i="5"/>
  <c r="E45" i="5"/>
  <c r="E43" i="5"/>
  <c r="D48" i="5"/>
  <c r="E38" i="5"/>
  <c r="E37" i="5"/>
  <c r="D38" i="5"/>
  <c r="D37" i="5"/>
  <c r="E35" i="5"/>
  <c r="E34" i="5"/>
  <c r="E33" i="5"/>
  <c r="E30" i="5"/>
  <c r="E20" i="10"/>
  <c r="E19" i="10"/>
  <c r="E18" i="10"/>
  <c r="E19" i="5"/>
  <c r="E17" i="10"/>
  <c r="E16" i="10"/>
  <c r="E15" i="10"/>
  <c r="E14" i="10"/>
  <c r="E13" i="10"/>
  <c r="E12" i="10"/>
  <c r="E16" i="5"/>
  <c r="E11" i="10"/>
  <c r="E10" i="10"/>
  <c r="E10" i="5"/>
  <c r="E9" i="10"/>
  <c r="E6" i="10"/>
  <c r="E4" i="10"/>
  <c r="E3" i="10"/>
  <c r="E9" i="5"/>
  <c r="E4" i="5"/>
  <c r="E8" i="10"/>
  <c r="E7" i="10"/>
  <c r="E5" i="10"/>
  <c r="E5" i="5"/>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4" i="10"/>
  <c r="D5" i="10"/>
  <c r="D3" i="10"/>
  <c r="E55" i="12"/>
  <c r="E54" i="12"/>
  <c r="E53" i="12"/>
  <c r="E52" i="12"/>
  <c r="E44" i="12"/>
  <c r="E43" i="12"/>
  <c r="E42" i="12"/>
  <c r="D40" i="12"/>
  <c r="A103" i="12"/>
  <c r="A102" i="12"/>
  <c r="A101" i="12"/>
  <c r="C103" i="12"/>
  <c r="C101" i="12"/>
  <c r="T12" i="14"/>
  <c r="C103" i="11" s="1"/>
  <c r="R12" i="14"/>
  <c r="C102" i="11" s="1"/>
  <c r="P12" i="14"/>
  <c r="P9" i="14"/>
  <c r="E5" i="12"/>
  <c r="E4" i="12"/>
  <c r="E56" i="12" l="1"/>
  <c r="C102" i="12"/>
  <c r="E33" i="11"/>
  <c r="E31" i="11"/>
  <c r="E58" i="11"/>
  <c r="E58" i="12"/>
  <c r="E35" i="11"/>
  <c r="E31" i="12"/>
  <c r="E32" i="5"/>
  <c r="E31" i="5"/>
  <c r="E28" i="5"/>
  <c r="E27" i="5"/>
  <c r="E26" i="5"/>
  <c r="E25" i="5"/>
  <c r="E24" i="5"/>
  <c r="E23" i="5"/>
  <c r="E22" i="5"/>
  <c r="E21" i="5"/>
  <c r="E20" i="5"/>
  <c r="E18"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 i="5"/>
  <c r="C40" i="9" l="1"/>
  <c r="C3" i="9"/>
  <c r="E17" i="5"/>
  <c r="E15" i="5"/>
  <c r="E14" i="5"/>
  <c r="E13" i="5"/>
  <c r="E11" i="5"/>
  <c r="E8" i="5"/>
  <c r="E7" i="5"/>
  <c r="E3" i="9"/>
  <c r="E82" i="9"/>
  <c r="F82" i="9" s="1"/>
  <c r="E6" i="12"/>
  <c r="E11" i="9"/>
  <c r="E75" i="9"/>
  <c r="F75" i="9" s="1"/>
  <c r="E96" i="9"/>
  <c r="F96" i="9" s="1"/>
  <c r="E38" i="12"/>
  <c r="E38" i="11"/>
  <c r="E26" i="11"/>
  <c r="E25" i="11"/>
  <c r="E25" i="12"/>
  <c r="E26" i="12"/>
  <c r="E24" i="12"/>
  <c r="E68" i="12"/>
  <c r="E66" i="12"/>
  <c r="E67" i="12"/>
  <c r="E19" i="12"/>
  <c r="E18" i="12"/>
  <c r="E17" i="12"/>
  <c r="E46" i="12"/>
  <c r="E13" i="12"/>
  <c r="E12" i="12"/>
  <c r="E102" i="9"/>
  <c r="F102" i="9" s="1"/>
  <c r="C93" i="12"/>
  <c r="C93" i="11"/>
  <c r="E65" i="12"/>
  <c r="E64" i="12"/>
  <c r="E112" i="9" s="1"/>
  <c r="E45" i="12"/>
  <c r="E41" i="12"/>
  <c r="E94" i="9"/>
  <c r="F94" i="9" s="1"/>
  <c r="E63" i="9" l="1"/>
  <c r="F63" i="9" s="1"/>
  <c r="E71" i="9"/>
  <c r="F71" i="9" s="1"/>
  <c r="E97" i="9"/>
  <c r="F97" i="9" s="1"/>
  <c r="E114" i="9"/>
  <c r="E113" i="9"/>
  <c r="E64" i="9"/>
  <c r="F64" i="9" s="1"/>
  <c r="E95" i="9"/>
  <c r="F95" i="9" s="1"/>
  <c r="E103" i="9"/>
  <c r="F103" i="9" s="1"/>
  <c r="E84" i="9"/>
  <c r="F84" i="9" s="1"/>
  <c r="E115" i="9"/>
  <c r="E89" i="9"/>
  <c r="F89" i="9" s="1"/>
  <c r="E78" i="9"/>
  <c r="F78" i="9" s="1"/>
  <c r="E90" i="9"/>
  <c r="F90" i="9" s="1"/>
  <c r="E33" i="9"/>
  <c r="E99" i="9"/>
  <c r="F99" i="9" s="1"/>
  <c r="E92" i="9"/>
  <c r="F92" i="9" s="1"/>
  <c r="E100" i="9"/>
  <c r="F100" i="9" s="1"/>
  <c r="E101" i="9"/>
  <c r="F101" i="9" s="1"/>
  <c r="E69" i="9"/>
  <c r="F69" i="9" s="1"/>
  <c r="E25" i="9"/>
  <c r="E59" i="9"/>
  <c r="F59" i="9" s="1"/>
  <c r="E59" i="11"/>
  <c r="E60" i="11" s="1"/>
  <c r="E106" i="9"/>
  <c r="F106" i="9" s="1"/>
  <c r="E7" i="12"/>
  <c r="E12" i="5"/>
  <c r="E36" i="5" s="1"/>
  <c r="E8" i="12"/>
  <c r="E61" i="9" s="1"/>
  <c r="F61" i="9" s="1"/>
  <c r="E39" i="9"/>
  <c r="E93" i="9"/>
  <c r="F93" i="9" s="1"/>
  <c r="E104" i="9"/>
  <c r="F104" i="9" s="1"/>
  <c r="E86" i="9"/>
  <c r="F86" i="9" s="1"/>
  <c r="E62" i="9"/>
  <c r="F62" i="9" s="1"/>
  <c r="E98" i="9"/>
  <c r="F98" i="9" s="1"/>
  <c r="E107" i="9"/>
  <c r="F107" i="9" s="1"/>
  <c r="E105" i="9"/>
  <c r="F105" i="9" s="1"/>
  <c r="E70" i="9"/>
  <c r="F70" i="9" s="1"/>
  <c r="E36" i="10"/>
  <c r="E77" i="9"/>
  <c r="F77" i="9" s="1"/>
  <c r="E65" i="9"/>
  <c r="F65" i="9" s="1"/>
  <c r="E116" i="9"/>
  <c r="E88" i="9"/>
  <c r="F88" i="9" s="1"/>
  <c r="E76" i="9"/>
  <c r="F76" i="9" s="1"/>
  <c r="E33" i="12"/>
  <c r="E35" i="12"/>
  <c r="E59" i="12"/>
  <c r="E3" i="12"/>
  <c r="E42" i="5"/>
  <c r="E43" i="9" s="1"/>
  <c r="E19" i="9"/>
  <c r="E12" i="9"/>
  <c r="E22" i="9"/>
  <c r="E36" i="9"/>
  <c r="E31" i="9"/>
  <c r="E23" i="9"/>
  <c r="E34" i="9"/>
  <c r="E17" i="9"/>
  <c r="E28" i="9"/>
  <c r="E37" i="9"/>
  <c r="E32" i="9"/>
  <c r="E29" i="9"/>
  <c r="E35" i="9"/>
  <c r="E18" i="9"/>
  <c r="E26" i="9"/>
  <c r="E15" i="9"/>
  <c r="E44" i="9"/>
  <c r="E24" i="9"/>
  <c r="E14" i="9"/>
  <c r="E21" i="9"/>
  <c r="E47" i="9"/>
  <c r="E38" i="9"/>
  <c r="E27" i="9"/>
  <c r="E30" i="9"/>
  <c r="E46" i="9"/>
  <c r="E10" i="9"/>
  <c r="E45" i="9"/>
  <c r="E8" i="9"/>
  <c r="E20" i="9"/>
  <c r="E13" i="9"/>
  <c r="E9" i="9"/>
  <c r="E56" i="9" l="1"/>
  <c r="F56" i="9" s="1"/>
  <c r="E108" i="9"/>
  <c r="E58" i="9"/>
  <c r="F58" i="9" s="1"/>
  <c r="E91" i="9"/>
  <c r="F91" i="9" s="1"/>
  <c r="E83" i="9"/>
  <c r="E16" i="9"/>
  <c r="E40" i="9" s="1" a="1"/>
  <c r="E40" i="9" s="1"/>
  <c r="E48" i="9" s="1"/>
  <c r="E49" i="9" s="1"/>
  <c r="E60" i="9"/>
  <c r="F60" i="9" s="1"/>
  <c r="E57" i="9"/>
  <c r="F57" i="9" s="1"/>
  <c r="E87" i="9"/>
  <c r="E8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Francesco Parigi</author>
  </authors>
  <commentList>
    <comment ref="G9" authorId="0" shapeId="0" xr:uid="{1B52D897-18FB-A346-9FB4-08F7165F9FDA}">
      <text>
        <r>
          <rPr>
            <b/>
            <sz val="10"/>
            <color rgb="FF000000"/>
            <rFont val="Tahoma"/>
            <family val="2"/>
          </rPr>
          <t>Francesco Parigi:</t>
        </r>
        <r>
          <rPr>
            <sz val="10"/>
            <color rgb="FF000000"/>
            <rFont val="Tahoma"/>
            <family val="2"/>
          </rPr>
          <t xml:space="preserve">
</t>
        </r>
        <r>
          <rPr>
            <sz val="10"/>
            <color rgb="FF000000"/>
            <rFont val="Tahoma"/>
            <family val="2"/>
          </rPr>
          <t>Format dd/mm/yyyy</t>
        </r>
      </text>
    </comment>
    <comment ref="G10" authorId="0" shapeId="0" xr:uid="{F12A0DA8-5AE7-8442-A712-E1F5E2754BDB}">
      <text>
        <r>
          <rPr>
            <b/>
            <sz val="10"/>
            <color rgb="FF000000"/>
            <rFont val="Tahoma"/>
            <family val="2"/>
          </rPr>
          <t>Francesco Parigi:</t>
        </r>
        <r>
          <rPr>
            <sz val="10"/>
            <color rgb="FF000000"/>
            <rFont val="Tahoma"/>
            <family val="2"/>
          </rPr>
          <t xml:space="preserve">
</t>
        </r>
        <r>
          <rPr>
            <sz val="10"/>
            <color rgb="FF000000"/>
            <rFont val="Tahoma"/>
            <family val="2"/>
          </rPr>
          <t>Format dd/mm/yyyy</t>
        </r>
      </text>
    </comment>
    <comment ref="G11" authorId="0" shapeId="0" xr:uid="{16CBD196-1D62-4F56-8B3D-1C9231D003F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12" authorId="0" shapeId="0" xr:uid="{D553B273-D271-40B4-8861-E131F0F513D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13" authorId="0" shapeId="0" xr:uid="{5B3EF465-7FF4-47FF-BDE0-3348E074F2B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14" authorId="0" shapeId="0" xr:uid="{985C51F6-2314-478D-A651-AE695015583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15" authorId="0" shapeId="0" xr:uid="{507DF165-1202-41EC-9702-6C9CCD84029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16" authorId="0" shapeId="0" xr:uid="{18D67C9E-D3F5-4CEB-8AAD-6ABC49324F0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20" authorId="0" shapeId="0" xr:uid="{20133536-A941-4B46-833B-9EF2185E1EA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21" authorId="0" shapeId="0" xr:uid="{B26E30AD-976F-4484-BA6C-7560149656B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22" authorId="0" shapeId="0" xr:uid="{5357FEA6-9D23-4340-85B2-36BB795089E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23" authorId="0" shapeId="0" xr:uid="{1A179D2D-9551-4A7F-906C-E45883406AC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24" authorId="0" shapeId="0" xr:uid="{49233253-DC26-4370-87D0-FE1A172FECB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25" authorId="0" shapeId="0" xr:uid="{56D79AD8-F5DD-4E3F-A365-1402469D70B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26" authorId="0" shapeId="0" xr:uid="{A66360A7-D853-44B3-8C50-83D9B5AD135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27" authorId="0" shapeId="0" xr:uid="{34195543-493F-479A-A0F9-CF8FB6C0B1F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28" authorId="0" shapeId="0" xr:uid="{BA6C0667-E08E-43EE-918F-ADB5C27CAB8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32" authorId="0" shapeId="0" xr:uid="{7F1FA95B-CF79-4F3E-993A-BDB6124BF6B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33" authorId="0" shapeId="0" xr:uid="{AF352DCD-CB02-4156-A26A-B62EBF60EA4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34" authorId="0" shapeId="0" xr:uid="{F64001CE-119D-4E34-9094-9B203DA3F30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35" authorId="0" shapeId="0" xr:uid="{0799C995-B18C-4C6E-863B-A5237B2CD01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36" authorId="0" shapeId="0" xr:uid="{146228CA-AEB8-40F2-9DC8-967B7D0EAC3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37" authorId="0" shapeId="0" xr:uid="{B9094501-EFEB-48A1-8109-B9731EA37FC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38" authorId="0" shapeId="0" xr:uid="{8696E1C3-D062-4F73-ACDB-528AFE03643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39" authorId="0" shapeId="0" xr:uid="{A9161DC9-1432-4BC5-90A3-96804C1FE54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40" authorId="0" shapeId="0" xr:uid="{2B71D82D-AA23-4E99-BF90-BDD2D585BE4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41" authorId="0" shapeId="0" xr:uid="{149C27EB-2111-419C-ACA5-315BD80BCAD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42" authorId="0" shapeId="0" xr:uid="{E33F2C4B-6AE4-4287-BEBC-645A40CD967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43" authorId="0" shapeId="0" xr:uid="{68D85208-5E4C-4F31-9C1A-13645516754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44" authorId="0" shapeId="0" xr:uid="{4341564B-0895-47AA-B80A-B5DCD8223D0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45" authorId="0" shapeId="0" xr:uid="{5C812C74-9374-48B5-B8A2-60CAE77C695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46" authorId="0" shapeId="0" xr:uid="{E97A446B-5C53-484E-AA91-78596ADA9ED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47" authorId="0" shapeId="0" xr:uid="{62FDDFCE-2ED2-45A4-B4EB-855856B0509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48" authorId="0" shapeId="0" xr:uid="{975CE23B-6C82-4A6E-A96F-B1EDF39FD1F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49" authorId="0" shapeId="0" xr:uid="{619ED13D-B894-425D-8F87-6CD59F6F9DC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50" authorId="0" shapeId="0" xr:uid="{5CA2E789-E99E-43B1-9BE4-6017EC9ADE8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51" authorId="0" shapeId="0" xr:uid="{F4F14926-B0DB-4F1F-BCA9-A07F4AC55FD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53" authorId="0" shapeId="0" xr:uid="{412EB756-3D87-4F94-8493-2A2CFAB65DD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54" authorId="0" shapeId="0" xr:uid="{7A324D1D-997E-4032-9505-07B041E1FFB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56" authorId="0" shapeId="0" xr:uid="{D7FA5D4B-27F2-42EA-B2EE-89F7D986142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57" authorId="0" shapeId="0" xr:uid="{D7A2EE72-B289-47BF-9C52-FC01F4226E3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58" authorId="0" shapeId="0" xr:uid="{2F95902C-439A-4704-802F-B56DE943F2C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59" authorId="0" shapeId="0" xr:uid="{49AE78DF-ED8D-47AF-A6D0-0BB552236BA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60" authorId="0" shapeId="0" xr:uid="{9E410EFE-0C06-4AA1-9865-BE3FB62BBEB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61" authorId="0" shapeId="0" xr:uid="{02AF4E0B-0196-43C5-8E10-FF2C62902F0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62" authorId="0" shapeId="0" xr:uid="{318CAD37-5BBE-4229-87B1-D1494E74716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63" authorId="0" shapeId="0" xr:uid="{15CE0FF3-8C30-45F1-8521-375ECEEF8A4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64" authorId="0" shapeId="0" xr:uid="{C01B623F-D806-44A8-804C-335C8B40180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65" authorId="0" shapeId="0" xr:uid="{A755F72E-4616-462D-9323-FD615640B32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66" authorId="0" shapeId="0" xr:uid="{B0A945FD-0945-4EA7-BE7E-1F04CE35FBE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67" authorId="0" shapeId="0" xr:uid="{03AE3794-5304-4783-8DC9-59EB0865FCB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68" authorId="0" shapeId="0" xr:uid="{0DA6358F-C081-42FE-8C1D-E2750F27C42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69" authorId="0" shapeId="0" xr:uid="{FA4A644F-47FF-49FD-AF48-4ACFCAA938E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70" authorId="0" shapeId="0" xr:uid="{C5C9BC4D-C8C3-47F6-B6C7-F1BF512341F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71" authorId="0" shapeId="0" xr:uid="{13973A30-2BD9-4731-B475-B8F62D0FAFF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72" authorId="0" shapeId="0" xr:uid="{30D80B15-952B-45A6-AE36-5FB2CAC09E1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73" authorId="0" shapeId="0" xr:uid="{9B74850A-3B9E-4CF9-A0EC-C093874AD40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74" authorId="0" shapeId="0" xr:uid="{A8469C21-CB7D-4CBC-B778-87DA38D97A7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75" authorId="0" shapeId="0" xr:uid="{00CAD470-EB30-4CCD-8A7F-AEE8C33FC4F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76" authorId="0" shapeId="0" xr:uid="{AAD4AB63-1D31-4D14-9446-691AB81A15C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77" authorId="0" shapeId="0" xr:uid="{04C9F4C3-CBF3-4912-9361-C44BC79F0C5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78" authorId="0" shapeId="0" xr:uid="{09338056-D9DE-49C0-A71C-EB014D36EEB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79" authorId="0" shapeId="0" xr:uid="{BD9FE06F-4AA7-46D6-83B5-DA00EC4FBE7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80" authorId="0" shapeId="0" xr:uid="{319775A3-7C3C-4CB1-A41E-655CE8F220A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81" authorId="0" shapeId="0" xr:uid="{8FCEEF38-4E62-4297-B2ED-0DE75C17016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82" authorId="0" shapeId="0" xr:uid="{4BB6FB5E-8F22-4694-914C-198703D47E2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83" authorId="0" shapeId="0" xr:uid="{DBD445DB-666B-4551-BF71-2C37A1D7D2B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84" authorId="0" shapeId="0" xr:uid="{9A798C93-F948-4C70-9BDC-11DF2275154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85" authorId="0" shapeId="0" xr:uid="{28B782E8-6E29-48C4-B725-2505A0092A3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86" authorId="0" shapeId="0" xr:uid="{7955FF79-8CBD-4A2A-BA83-B9863CB199B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87" authorId="0" shapeId="0" xr:uid="{B2B471CA-DF78-461F-A0A3-5838BA1C63C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88" authorId="0" shapeId="0" xr:uid="{BD5B2F4C-288B-4849-B053-3C259506AFE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89" authorId="0" shapeId="0" xr:uid="{0297E598-6D43-4FE6-B150-81B53C35C30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90" authorId="0" shapeId="0" xr:uid="{65558E9F-A828-4940-9085-C7F56733083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91" authorId="0" shapeId="0" xr:uid="{C75DE5BE-4DF3-40D4-B09F-984469FC280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92" authorId="0" shapeId="0" xr:uid="{9445EA22-C849-48B4-A2F0-7B093CB9850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G96" authorId="0" shapeId="0" xr:uid="{AAF3A41F-D6D9-294D-981F-DC5EDA8B8E0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97" authorId="0" shapeId="0" xr:uid="{2B117D56-2EB9-4943-AD55-163EC655227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98" authorId="0" shapeId="0" xr:uid="{F2E62FA0-9F7A-40C0-A7F6-8BC127269E0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99" authorId="0" shapeId="0" xr:uid="{0365398E-98D0-4997-822E-19642FC01D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00" authorId="0" shapeId="0" xr:uid="{CF87C9B9-4DE5-43E1-AE3F-9A7EDE1FD1B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01" authorId="0" shapeId="0" xr:uid="{0927E53A-654D-4892-A634-5878C8A2E80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02" authorId="0" shapeId="0" xr:uid="{7A94E058-C177-4A8A-9C2A-0E0DD414E20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03" authorId="0" shapeId="0" xr:uid="{CDA51657-FD45-4C73-BE67-ED5683EDF82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04" authorId="0" shapeId="0" xr:uid="{F71A6FFF-2A96-4CDF-BFF6-2358D04A403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05" authorId="0" shapeId="0" xr:uid="{41B02ECE-672E-4890-BB05-508F2967A7F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06" authorId="0" shapeId="0" xr:uid="{DAAD7115-6370-424D-A7EF-3747CE9D1F4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07" authorId="0" shapeId="0" xr:uid="{66EB3887-B706-4D95-BB87-553592196C1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08" authorId="0" shapeId="0" xr:uid="{9845F14D-3AD5-4FD9-8137-8077FFB7F5A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09" authorId="0" shapeId="0" xr:uid="{94D46F89-176A-4E3E-92D3-DE43C3F6067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10" authorId="0" shapeId="0" xr:uid="{31EF804B-0EA5-4B37-B1CC-F0E73B064CB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11" authorId="0" shapeId="0" xr:uid="{B4FAEA07-DCB4-4170-B2BC-0967B817857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12" authorId="0" shapeId="0" xr:uid="{59A7EB63-C867-4EDA-A7B3-5C8807AA3F2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13" authorId="0" shapeId="0" xr:uid="{DAD3DC91-E3C4-43DE-9DC7-17609A5432D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14" authorId="0" shapeId="0" xr:uid="{0C69EE33-8563-494F-92C4-474EC32CC0F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15" authorId="0" shapeId="0" xr:uid="{2D2814DC-B02D-496A-A34C-20768C880E2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16" authorId="0" shapeId="0" xr:uid="{978AA4A7-E371-48A9-B9EE-65E210AE9D3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17" authorId="0" shapeId="0" xr:uid="{7B36D2EB-B45A-470E-A727-8B2A89DE093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18" authorId="0" shapeId="0" xr:uid="{8880B70C-F203-4660-958F-B18DB9D8E2D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19" authorId="0" shapeId="0" xr:uid="{6462E810-8425-4740-8E0F-EEC1A6ED7F1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20" authorId="0" shapeId="0" xr:uid="{A83A0BA4-88AC-48FC-A2DC-6B0F016FCD5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21" authorId="0" shapeId="0" xr:uid="{D2135F21-4F90-404F-AA66-645DB427047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Francesco Parigi</author>
  </authors>
  <commentList>
    <comment ref="K10" authorId="0" shapeId="0" xr:uid="{80F44F28-E999-E943-B929-5A6B7625E19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0" authorId="0" shapeId="0" xr:uid="{BDB78F03-3559-42D9-9D5C-F2013EEBEC2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K11" authorId="0" shapeId="0" xr:uid="{B3CA7BE6-540C-405C-AEEB-FC4DCF01F43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1" authorId="0" shapeId="0" xr:uid="{22643128-B594-49F7-B0C0-5AE62A4D570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K12" authorId="0" shapeId="0" xr:uid="{83D98A4C-5E7F-4CFD-A1DD-41A2D044A7F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2" authorId="0" shapeId="0" xr:uid="{15431431-0257-44F4-B0D4-14185FC6379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K13" authorId="0" shapeId="0" xr:uid="{521EC057-0FAE-4B44-99DE-2819380682D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3" authorId="0" shapeId="0" xr:uid="{ADDCB250-6CF2-4E45-A281-9708271686A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K14" authorId="0" shapeId="0" xr:uid="{CA1FC57C-ABA1-44A3-8B57-76D7DFE0AD3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4" authorId="0" shapeId="0" xr:uid="{75D30C77-0D5F-4782-BAA8-3C9FC34F6A9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K15" authorId="0" shapeId="0" xr:uid="{AABF4DE7-15B9-4ED3-A177-E0BFB628996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5" authorId="0" shapeId="0" xr:uid="{2D95C4F7-F192-4A5C-9DAE-FFBAF9F8F60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K16" authorId="0" shapeId="0" xr:uid="{D0796213-C1B8-4F53-BEFA-3E66790B8FD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6" authorId="0" shapeId="0" xr:uid="{38E3F99D-13C2-4814-B711-5CB7D669373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K17" authorId="0" shapeId="0" xr:uid="{8A9AF94B-3226-4B6E-BE6B-E67E63B6706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7" authorId="0" shapeId="0" xr:uid="{90CDD906-990E-4F19-9B98-50421AE725B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K18" authorId="0" shapeId="0" xr:uid="{C77119C2-8736-4DC5-9777-8F6860D8180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8" authorId="0" shapeId="0" xr:uid="{DE50A09C-10C3-47A6-9A53-50A565DD8A4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K19" authorId="0" shapeId="0" xr:uid="{933385B7-61E8-490F-A59C-F43EA8AA639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9" authorId="0" shapeId="0" xr:uid="{FF093762-F830-4B7C-AC0A-D9142863D13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K20" authorId="0" shapeId="0" xr:uid="{8B33937A-7E17-49C7-854C-2DF6A9285C2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0" authorId="0" shapeId="0" xr:uid="{78C6BE90-4C8F-4EE7-8E9D-53FE8319578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K24" authorId="0" shapeId="0" xr:uid="{A46409D8-2B99-4F61-B03E-DCA1E6B3571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4" authorId="0" shapeId="0" xr:uid="{8621A37F-2CC6-4534-843B-5E583912E69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4" authorId="0" shapeId="0" xr:uid="{CAE6221D-635A-9B40-B8EA-2410F43F398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4" authorId="0" shapeId="0" xr:uid="{C4E9EC22-E45D-7748-A419-7B440662581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4" authorId="0" shapeId="0" xr:uid="{35DBECD4-DD36-B844-9B17-97238805EBC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4" authorId="0" shapeId="0" xr:uid="{63F4840D-C974-6745-897A-F08381C70A4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5" authorId="0" shapeId="0" xr:uid="{E4EC1C15-8619-4955-B47E-6C5F2369A4B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5" authorId="0" shapeId="0" xr:uid="{1327ACDD-9C98-4AB5-921B-28EC27D78D4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5" authorId="0" shapeId="0" xr:uid="{2EEBC221-6B53-7844-85D4-FC1C7D64FE0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5" authorId="0" shapeId="0" xr:uid="{8104A208-278E-8349-95EB-013ACDEB933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5" authorId="0" shapeId="0" xr:uid="{55880D34-597B-014E-9B95-88E024BA094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5" authorId="0" shapeId="0" xr:uid="{24C39C19-D8D9-954B-8117-D25D2426666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6" authorId="0" shapeId="0" xr:uid="{8A1DC918-8F63-45B8-AEE2-34EDAD169F4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6" authorId="0" shapeId="0" xr:uid="{35D97ED1-8944-4318-8CAA-E17161AC79D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6" authorId="0" shapeId="0" xr:uid="{E719E4D7-51F6-764A-BE00-AC1891542F2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6" authorId="0" shapeId="0" xr:uid="{D31BE7E7-B0A0-0C45-91A3-2A86E96328D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6" authorId="0" shapeId="0" xr:uid="{DF4323F6-CA7A-E349-B03D-764D51C681A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6" authorId="0" shapeId="0" xr:uid="{0F7CAE9F-8387-D94B-9A25-C6B3DC73E29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7" authorId="0" shapeId="0" xr:uid="{EAF8C32B-8248-4197-9BFB-9373046A52B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7" authorId="0" shapeId="0" xr:uid="{902AE9F2-10DB-4929-9B5A-67EBD8DF1F9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7" authorId="0" shapeId="0" xr:uid="{B89BEE98-D2B4-2245-AB91-79252ACF411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7" authorId="0" shapeId="0" xr:uid="{8B5E8024-74BD-2843-8AC1-37D319C2E78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7" authorId="0" shapeId="0" xr:uid="{9145F546-B683-FE47-A384-28912653B97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7" authorId="0" shapeId="0" xr:uid="{9FA566FD-3B74-AB4C-B366-DEF7315E396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8" authorId="0" shapeId="0" xr:uid="{BB5A265D-8DEF-4486-A0BB-AB9C49F59F9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8" authorId="0" shapeId="0" xr:uid="{59630BE5-71D9-462F-ACE7-D58993E2B99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8" authorId="0" shapeId="0" xr:uid="{0E55CC9E-ECDB-4244-A6FE-7CCCC997749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8" authorId="0" shapeId="0" xr:uid="{816EF189-69D7-BB4D-B976-251FE0E0FE7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8" authorId="0" shapeId="0" xr:uid="{017BF9A6-D14D-7D49-9855-BD508CF45CC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8" authorId="0" shapeId="0" xr:uid="{E73029EA-FEC5-FA4D-AF48-683886069DC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9" authorId="0" shapeId="0" xr:uid="{CBE0DBE0-D6F2-46AE-80BE-58FC26810FD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9" authorId="0" shapeId="0" xr:uid="{B044F57B-C605-4388-B6A4-B5E2F439725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9" authorId="0" shapeId="0" xr:uid="{C09939A2-3E87-4143-BACE-431380F487D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9" authorId="0" shapeId="0" xr:uid="{D58E9E60-0CD5-ED4C-803B-0D34C0D75DA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9" authorId="0" shapeId="0" xr:uid="{B1A1674A-83F9-664B-B6B3-B01377A6FCC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9" authorId="0" shapeId="0" xr:uid="{E9E5B017-786B-0E4E-80F7-5F8598B30A8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33" authorId="0" shapeId="0" xr:uid="{0EC09243-6C36-4AB4-8861-62B905A8DD9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33" authorId="0" shapeId="0" xr:uid="{09243C9D-3FED-4D62-8437-55880784423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33" authorId="0" shapeId="0" xr:uid="{D782F49A-DE3A-D643-96DE-AFEF94D41E9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33" authorId="0" shapeId="0" xr:uid="{5F2480F1-E25D-074F-9F65-5CD6A4C3E66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33" authorId="0" shapeId="0" xr:uid="{0EC15531-B597-5C48-904B-4A1107D5869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33" authorId="0" shapeId="0" xr:uid="{72EDB1CE-610A-2D48-948E-803EB343612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34" authorId="0" shapeId="0" xr:uid="{BA9E8B07-7D90-4AB6-A5F3-0E2C7651CA8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34" authorId="0" shapeId="0" xr:uid="{2C8EC7F7-4556-4C5B-B969-8F4D6AB61A4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34" authorId="0" shapeId="0" xr:uid="{3F44C72B-5D12-B743-A117-C073D49B046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34" authorId="0" shapeId="0" xr:uid="{A7A65AC6-0D39-E54E-88B7-276AB95CD68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34" authorId="0" shapeId="0" xr:uid="{4372A993-12BD-BE43-B68A-8FE03F18FED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34" authorId="0" shapeId="0" xr:uid="{113F9420-BC8A-354B-BBE7-ECCB2D5E47E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35" authorId="0" shapeId="0" xr:uid="{A3999517-7F5B-484F-BEBE-9CEE1B47D75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35" authorId="0" shapeId="0" xr:uid="{60BDDF25-94EE-407F-BAD2-8B9F8DE80E9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35" authorId="0" shapeId="0" xr:uid="{E4B1AD40-E4FF-2D4C-9435-3201416245E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35" authorId="0" shapeId="0" xr:uid="{40A62AEC-1297-B74A-9C86-75B6F77408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35" authorId="0" shapeId="0" xr:uid="{9502D2E6-4E6E-594D-A169-C2279609570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35" authorId="0" shapeId="0" xr:uid="{A4ADA5C2-6E91-8D49-BEFA-ED8F3DF3953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36" authorId="0" shapeId="0" xr:uid="{CD56E671-65C5-444E-AD69-806580F80C8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36" authorId="0" shapeId="0" xr:uid="{3270CBB8-1D7A-46BD-976E-AE4120D3567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36" authorId="0" shapeId="0" xr:uid="{5A46DA53-6D9D-4144-8B50-DADE4DEF1C4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36" authorId="0" shapeId="0" xr:uid="{4ADDA1B6-CF9F-A144-A74F-334939E3C52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36" authorId="0" shapeId="0" xr:uid="{A439169D-98D2-924F-A0CE-317F8DB5D32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36" authorId="0" shapeId="0" xr:uid="{8CFC9685-1077-6347-9064-FF9217BBD21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37" authorId="0" shapeId="0" xr:uid="{FF8A2003-9486-4AA9-923E-3E88A01B642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37" authorId="0" shapeId="0" xr:uid="{12F5023B-5C08-45C5-BDB3-EEB38D784B7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37" authorId="0" shapeId="0" xr:uid="{B96D59A6-826F-974F-B362-CBBF489F6BF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37" authorId="0" shapeId="0" xr:uid="{9016DCC6-29C8-DC4B-8C52-6E888B9BDF9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37" authorId="0" shapeId="0" xr:uid="{8637B7CF-75BE-864C-864E-EB48646A92B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37" authorId="0" shapeId="0" xr:uid="{BD1D33E7-E8CF-3948-9EAD-6E75742F13E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38" authorId="0" shapeId="0" xr:uid="{C4CAD22F-24B3-4489-BD5F-628024BE546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38" authorId="0" shapeId="0" xr:uid="{7D795ABB-96B1-44BD-9EF9-4CB9DE7B18D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38" authorId="0" shapeId="0" xr:uid="{FD505846-C89B-194B-9F29-0C8234BB648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38" authorId="0" shapeId="0" xr:uid="{E48806EB-7632-CF44-8E59-B0FAC6D99F4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38" authorId="0" shapeId="0" xr:uid="{7F48E834-2873-AD43-97F3-CEA538B906A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38" authorId="0" shapeId="0" xr:uid="{3464C82A-3837-084C-B568-F3FC8323796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39" authorId="0" shapeId="0" xr:uid="{ACC80E23-5D1E-40E0-8855-57498F830F8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39" authorId="0" shapeId="0" xr:uid="{49294C19-9E37-47A6-A2D4-FA5A8DAA6E6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39" authorId="0" shapeId="0" xr:uid="{5916F8AB-7EAB-7E47-9AF9-1F89919CFB2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39" authorId="0" shapeId="0" xr:uid="{A84926E2-D54B-9046-A79F-9709C67FAC9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39" authorId="0" shapeId="0" xr:uid="{C2782F0F-E2F5-3041-8124-DFA1CD11E10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39" authorId="0" shapeId="0" xr:uid="{75D03331-6DF5-534A-8B93-C6D25590800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40" authorId="0" shapeId="0" xr:uid="{DB45158D-CE2C-4C02-B895-B1067A98111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40" authorId="0" shapeId="0" xr:uid="{71FC4AA6-46AA-4A76-9643-3A9FCF6D242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40" authorId="0" shapeId="0" xr:uid="{CD391B39-4131-A145-8F20-C19B8EE9704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40" authorId="0" shapeId="0" xr:uid="{CDA9F839-CEF2-4D4D-9680-AA060905370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40" authorId="0" shapeId="0" xr:uid="{C9062B81-F786-F246-9974-CDC4F55DF8F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40" authorId="0" shapeId="0" xr:uid="{F0AE5E13-940A-904E-B850-FDF04007738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41" authorId="0" shapeId="0" xr:uid="{8AA82686-B40F-4CFF-AA34-9A7C7C2F807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41" authorId="0" shapeId="0" xr:uid="{BFF9EAD6-E8D4-4768-B7D0-2F70814D866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41" authorId="0" shapeId="0" xr:uid="{6840DCA5-FE63-E049-AF88-A536328595E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41" authorId="0" shapeId="0" xr:uid="{11F269E5-9446-8747-9E5D-0397775D3BF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41" authorId="0" shapeId="0" xr:uid="{EE07E04E-5372-D34F-A32F-9DF49215E9F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41" authorId="0" shapeId="0" xr:uid="{1E7B1685-AA45-274B-8B1F-102DD05732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42" authorId="0" shapeId="0" xr:uid="{1C0A49B1-A102-46BF-82FA-40881DD0E5A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42" authorId="0" shapeId="0" xr:uid="{176EFA35-BF9F-4153-88A3-BF6840935EB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42" authorId="0" shapeId="0" xr:uid="{1BE92CAE-7552-2D45-A7CB-16D0B385683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42" authorId="0" shapeId="0" xr:uid="{6AD5D6FE-01F6-FE45-A5AA-BD893A009C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42" authorId="0" shapeId="0" xr:uid="{38D0537B-9ECD-1A46-8A06-62CE4D5B86C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42" authorId="0" shapeId="0" xr:uid="{5CE13E1E-C1D9-0B4B-B0B1-407E9FBC8DA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43" authorId="0" shapeId="0" xr:uid="{2986A60C-502F-42F1-B53D-202C1663A8C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43" authorId="0" shapeId="0" xr:uid="{EF31C326-728F-40A2-8D23-C3927F8CE97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43" authorId="0" shapeId="0" xr:uid="{72E31885-30A0-3A40-BC36-8DA9AE6BDF9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43" authorId="0" shapeId="0" xr:uid="{C905DCF9-87A7-5C40-B2DB-FCE8CA1A970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43" authorId="0" shapeId="0" xr:uid="{95DE8BA0-ED32-DC48-A3E0-F4F335621CA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43" authorId="0" shapeId="0" xr:uid="{1EA25BAA-F8C8-0B45-9B15-2EBBA2A1D8C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47" authorId="0" shapeId="0" xr:uid="{9CF659BD-0731-4AB4-8127-C0452D6BD11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47" authorId="0" shapeId="0" xr:uid="{7DBC2C7A-DCE2-4B04-9414-3E80391AF50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47" authorId="0" shapeId="0" xr:uid="{E9C05FCA-CB0C-438D-86CC-CEFA24981320}">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47" authorId="0" shapeId="0" xr:uid="{25C3A00B-93E9-4DF3-9ED0-AE3C357A1C8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47" authorId="0" shapeId="0" xr:uid="{1C37CA43-114B-4A2B-BC1E-A522A762D179}">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47" authorId="0" shapeId="0" xr:uid="{13B62255-0D59-4D83-821C-ABF9EBC92DE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48" authorId="0" shapeId="0" xr:uid="{B58B717A-F371-4389-AAAD-EB807CBC2E3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48" authorId="0" shapeId="0" xr:uid="{8C5FC313-DE8D-4583-9FB3-C9906277C73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48" authorId="0" shapeId="0" xr:uid="{8DE65F31-5FC4-4BB3-B711-4D10A240CE0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48" authorId="0" shapeId="0" xr:uid="{43B76F39-03A0-4682-A645-2E60A799810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48" authorId="0" shapeId="0" xr:uid="{BECBB965-3BD6-4A4F-83B9-2D9A2A67510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48" authorId="0" shapeId="0" xr:uid="{3D9AE6AD-1DCF-4766-A691-897B6A9887A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49" authorId="0" shapeId="0" xr:uid="{506B4B32-44B9-43FF-A46A-D40FCF255BA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49" authorId="0" shapeId="0" xr:uid="{35AEAD8E-6551-4F7D-9D5B-9566BC95045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49" authorId="0" shapeId="0" xr:uid="{2B343975-1C59-4C59-BF4E-03ACCA1149F3}">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49" authorId="0" shapeId="0" xr:uid="{0C6B77B9-31EF-452E-903D-A5BBC206C3C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49" authorId="0" shapeId="0" xr:uid="{906C87FC-F76C-462C-AEFB-2481B857B2F0}">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49" authorId="0" shapeId="0" xr:uid="{E0B8E722-B059-4A99-AADB-BE3373BC016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50" authorId="0" shapeId="0" xr:uid="{3A16C389-671E-4AC9-8FDE-1640C33943B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50" authorId="0" shapeId="0" xr:uid="{A9D92AF7-7462-4574-899A-BD7AE2C101B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50" authorId="0" shapeId="0" xr:uid="{B4D3DC90-8D90-4AE1-B958-C8692959A12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50" authorId="0" shapeId="0" xr:uid="{1E618DA1-012A-46B8-A0B5-453E6250D4A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50" authorId="0" shapeId="0" xr:uid="{EB8F733E-914C-4BF2-A165-36321048AAB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50" authorId="0" shapeId="0" xr:uid="{7C9BB635-E675-4B26-9A46-9A0134574F3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51" authorId="0" shapeId="0" xr:uid="{9CEA0049-5DE8-4D94-8D2C-3FD5F159135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51" authorId="0" shapeId="0" xr:uid="{829510FB-4A52-4806-98DA-DEDFC1AF140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51" authorId="0" shapeId="0" xr:uid="{40ED615E-C2BC-43F5-A1C3-6D96FE5A913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51" authorId="0" shapeId="0" xr:uid="{64E402C0-0934-4D2B-846A-76D586CE166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51" authorId="0" shapeId="0" xr:uid="{46EF430C-EFBD-4F03-99FD-65F422BD166D}">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51" authorId="0" shapeId="0" xr:uid="{4126B24E-AEF0-4438-A5B9-64AE09F83B9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52" authorId="0" shapeId="0" xr:uid="{2C0BE271-5B20-429D-B12A-49866E2422A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52" authorId="0" shapeId="0" xr:uid="{03EA0379-3029-4DB3-9DFC-D697A4B6F5C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52" authorId="0" shapeId="0" xr:uid="{A162C6E2-D48C-4599-A56A-52C6DF15D17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52" authorId="0" shapeId="0" xr:uid="{BEC50010-A9AE-42CC-B9A5-6369B454550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52" authorId="0" shapeId="0" xr:uid="{68949D66-60BA-41D4-809C-A00E623D61B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52" authorId="0" shapeId="0" xr:uid="{6B5C831A-12FF-4950-B328-DD928CD78DD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53" authorId="0" shapeId="0" xr:uid="{5F1DBC03-8220-4DCB-AF23-02F4C0DD6B1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53" authorId="0" shapeId="0" xr:uid="{9F0144C5-55CF-43AE-8A69-3C1558BDF2C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53" authorId="0" shapeId="0" xr:uid="{E7C27912-B2C6-7649-B7C7-447E707D056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53" authorId="0" shapeId="0" xr:uid="{DA565CC2-1D6B-0C4F-9D95-BD54E204FFE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53" authorId="0" shapeId="0" xr:uid="{6DDD839A-A89F-6841-A8EF-FE8330CB61E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53" authorId="0" shapeId="0" xr:uid="{25A48A68-0830-4245-A5D9-772B5BE52CF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54" authorId="0" shapeId="0" xr:uid="{E32BA811-7F52-4125-97F7-38867934BC1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54" authorId="0" shapeId="0" xr:uid="{B91AF34A-E99E-42D0-A5B4-C8AFADBA016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54" authorId="0" shapeId="0" xr:uid="{1ADDB692-F59B-9840-94A6-5441A17EBCA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54" authorId="0" shapeId="0" xr:uid="{5D99E304-997D-604F-966D-0DE46B26A50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54" authorId="0" shapeId="0" xr:uid="{F6E95D4E-6750-2C41-9CB1-1B2020DA140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54" authorId="0" shapeId="0" xr:uid="{ACBC6EDC-1612-A042-8979-C0D0794D8F4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55" authorId="0" shapeId="0" xr:uid="{47C38D5B-4CD0-4FD5-AE74-DD39AD07182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55" authorId="0" shapeId="0" xr:uid="{DAD35315-2757-4607-B61A-3EE827F670C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55" authorId="0" shapeId="0" xr:uid="{D8EC1760-DB99-4A43-A5FE-6E707AEEA7E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55" authorId="0" shapeId="0" xr:uid="{86A6843F-8068-5344-8D22-4123B2D49FE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55" authorId="0" shapeId="0" xr:uid="{810A9381-0869-EE4B-942C-6DBB1630BB3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55" authorId="0" shapeId="0" xr:uid="{D93E8466-15C6-FD4C-ABA4-95234E65C8F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56" authorId="0" shapeId="0" xr:uid="{B2AD17AC-DEF2-4461-9B01-540069F9048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56" authorId="0" shapeId="0" xr:uid="{C6D4FF38-90C8-42BE-891D-663EB95AA94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56" authorId="0" shapeId="0" xr:uid="{21EA5D28-69EC-3A40-A5E6-95D5321F6CB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56" authorId="0" shapeId="0" xr:uid="{367DBEA8-8481-A749-9315-43164D61969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56" authorId="0" shapeId="0" xr:uid="{7EC64A60-5ECA-7F42-9D2B-718A5820E42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56" authorId="0" shapeId="0" xr:uid="{11D529D5-C9F2-8F4E-B549-7469E4ADFBB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57" authorId="0" shapeId="0" xr:uid="{B92C5117-C33A-4398-8CB5-BCCCEF4833B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57" authorId="0" shapeId="0" xr:uid="{1D9268F6-A029-436B-8E78-ED7BB789222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57" authorId="0" shapeId="0" xr:uid="{BDC05ECB-5C8F-FC41-8B3B-3F5B0BD097ED}">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57" authorId="0" shapeId="0" xr:uid="{E4B83DC8-AC2C-414A-96FD-89923D98F7C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57" authorId="0" shapeId="0" xr:uid="{37E30B4B-0A97-6244-A474-5CF2D63FA15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57" authorId="0" shapeId="0" xr:uid="{0E765D8C-F3CE-E846-AF0B-307E8DC2A02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58" authorId="0" shapeId="0" xr:uid="{010BC9F2-ECBA-43B2-B071-E028F979701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58" authorId="0" shapeId="0" xr:uid="{62ADDDA3-0A04-49CF-B544-2F9A7644E1F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58" authorId="0" shapeId="0" xr:uid="{4FA5275C-7A0C-3443-AA27-B5378E07BB2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58" authorId="0" shapeId="0" xr:uid="{CE189160-93B8-9B42-B74B-317EB81C8A9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58" authorId="0" shapeId="0" xr:uid="{7C5C1354-8F5B-E245-83A3-FBC0A477AB6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58" authorId="0" shapeId="0" xr:uid="{42BFC70D-9CA3-5549-A405-D7D6E3B50D5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62" authorId="0" shapeId="0" xr:uid="{2C7B646B-0ACC-4A9F-B51D-C5371E3AF5C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62" authorId="0" shapeId="0" xr:uid="{B42FEDD1-0A68-4718-9D96-65B433BB80E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62" authorId="0" shapeId="0" xr:uid="{6BEB188B-DB4C-5D49-8079-44ACD84CE2B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62" authorId="0" shapeId="0" xr:uid="{E1CF25B7-19D2-FA44-B1C6-B507413BA3C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62" authorId="0" shapeId="0" xr:uid="{7EAE8DF8-04D4-7644-BB54-F96D995F635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62" authorId="0" shapeId="0" xr:uid="{374DAC6D-249F-9144-926A-AB4E4AEA6AD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63" authorId="0" shapeId="0" xr:uid="{12D8A82B-0359-4510-9BCA-2665D4490F6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63" authorId="0" shapeId="0" xr:uid="{4B169E9D-24A1-4113-B7A8-4DF663008C8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63" authorId="0" shapeId="0" xr:uid="{BDA12D98-5E50-5D4C-8D39-85FBDE9AB39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63" authorId="0" shapeId="0" xr:uid="{3F69D9C6-D9C9-1B45-AC3C-457B5F3BFFD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63" authorId="0" shapeId="0" xr:uid="{6222C619-50F3-3D47-8DF3-DD178C941AE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63" authorId="0" shapeId="0" xr:uid="{62333733-F65C-514B-AF32-FEE64CF5778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64" authorId="0" shapeId="0" xr:uid="{97499D9D-F06D-43B6-858B-C6E53B46533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64" authorId="0" shapeId="0" xr:uid="{337D10D1-B059-4D30-AEA3-3D041887F4F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64" authorId="0" shapeId="0" xr:uid="{34647EB6-23C7-444D-BC13-421E0E23FC4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64" authorId="0" shapeId="0" xr:uid="{3D1A4EA4-6088-2548-B864-8942873FC26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64" authorId="0" shapeId="0" xr:uid="{E36DC950-5CAC-E64D-B052-B63FE0B340F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64" authorId="0" shapeId="0" xr:uid="{9D94F8F3-72E8-9B47-9E76-F67D5D9883E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65" authorId="0" shapeId="0" xr:uid="{F8A691E0-C6A3-4EBB-B07A-7C000CDE0C7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65" authorId="0" shapeId="0" xr:uid="{9DFD6C5E-3B35-44AF-8967-5438F4D3395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65" authorId="0" shapeId="0" xr:uid="{FBE139FC-9EEE-594B-B98F-C3480E9422C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65" authorId="0" shapeId="0" xr:uid="{D1521A35-1481-844A-ADE3-AB9D860058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65" authorId="0" shapeId="0" xr:uid="{1FD65889-E9AF-654B-9991-D78A9CEC510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65" authorId="0" shapeId="0" xr:uid="{57FAA0AE-9D41-164F-AFDD-466F1340577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66" authorId="0" shapeId="0" xr:uid="{60975169-361A-4B7F-A98F-2EC4DBD19D1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66" authorId="0" shapeId="0" xr:uid="{BC14CCA1-F246-4E17-ABB1-F79D8688D91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66" authorId="0" shapeId="0" xr:uid="{04CB42D4-E3CF-FC4E-8A0D-B0121FCFF02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66" authorId="0" shapeId="0" xr:uid="{4634403E-4B95-1C49-8A93-6DFA512E4AA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66" authorId="0" shapeId="0" xr:uid="{4D78C934-E5B2-CE47-B93D-B0DEEF3A926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66" authorId="0" shapeId="0" xr:uid="{1BAFA7EF-0E56-374C-A2AD-FAEC9481CA0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67" authorId="0" shapeId="0" xr:uid="{65445DF2-EC35-43B5-8590-64B18E25CCA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67" authorId="0" shapeId="0" xr:uid="{7296B0D7-3678-44AF-AE4A-B85B2B285A8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67" authorId="0" shapeId="0" xr:uid="{A97FB56D-E702-7246-8F62-AB906225EF0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67" authorId="0" shapeId="0" xr:uid="{1BB3DDC7-1803-AB47-A0F7-EA7437A987B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67" authorId="0" shapeId="0" xr:uid="{E334C2F1-27F6-1C46-AC7F-D91DE344214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67" authorId="0" shapeId="0" xr:uid="{CD217E9A-49E9-6843-A205-D15A74D0BA7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68" authorId="0" shapeId="0" xr:uid="{9D327BCC-0A7E-43D6-BBA1-3696A24FB07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68" authorId="0" shapeId="0" xr:uid="{94178485-B9E1-45AE-9CDF-5CE9758E926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68" authorId="0" shapeId="0" xr:uid="{454E05A3-A823-C341-97AF-10178956123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68" authorId="0" shapeId="0" xr:uid="{EFC74B68-D727-3242-9599-6F9EB098E6E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68" authorId="0" shapeId="0" xr:uid="{5DEEA024-BEB3-7444-AFF9-4C7D6F106C0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68" authorId="0" shapeId="0" xr:uid="{B2384AAC-86FC-9F49-BB21-70A924FFE71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72" authorId="0" shapeId="0" xr:uid="{3BD94C99-4E01-4385-9A5D-1F863265FA5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72" authorId="0" shapeId="0" xr:uid="{345A0616-A919-4295-898C-CDD456C0B25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72" authorId="0" shapeId="0" xr:uid="{08CBEDBE-4650-423A-8BBC-38F090A020CC}">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72" authorId="0" shapeId="0" xr:uid="{21D87B7B-9C9D-41A7-AFAE-2021B653843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72" authorId="0" shapeId="0" xr:uid="{D65268D9-4C3D-4F7D-8EAD-26EEA77899D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72" authorId="0" shapeId="0" xr:uid="{F6F12D18-EE86-4D59-9599-4CC1C7E6013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73" authorId="0" shapeId="0" xr:uid="{3FB0FD1F-69ED-449B-AA72-C8D64C4DF0A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73" authorId="0" shapeId="0" xr:uid="{C094FA17-9CDE-4CA8-9ED0-6F6DC0AA151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73" authorId="0" shapeId="0" xr:uid="{FBCAB698-D6BF-47EE-B7F3-BF27FBC24664}">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73" authorId="0" shapeId="0" xr:uid="{946F290F-F661-4866-A346-E782DF56510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73" authorId="0" shapeId="0" xr:uid="{81915681-DCFD-41AB-8A31-EF2873799207}">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73" authorId="0" shapeId="0" xr:uid="{FFE8A973-9EAF-44BA-8CD2-EF0E51B45DA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74" authorId="0" shapeId="0" xr:uid="{C3283952-D66B-4B9C-B548-CA0C08C4B77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74" authorId="0" shapeId="0" xr:uid="{E9BD9AE0-FC5E-406F-BDC9-8068E5F3B7D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74" authorId="0" shapeId="0" xr:uid="{E08CD865-DEA8-420F-A7EB-CD773349F5F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74" authorId="0" shapeId="0" xr:uid="{C0EECE86-1940-4E43-A024-D66A831104D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74" authorId="0" shapeId="0" xr:uid="{7A082026-C754-4096-A398-D4514C1224C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74" authorId="0" shapeId="0" xr:uid="{52AB0D05-208D-4D67-8293-1621668AD89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75" authorId="0" shapeId="0" xr:uid="{4D833996-352D-4F10-ABE0-38F1E82CBE1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75" authorId="0" shapeId="0" xr:uid="{0651B0BA-E43D-459A-8C20-46C282FD2BA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75" authorId="0" shapeId="0" xr:uid="{6774E6CB-7923-4755-8609-28B5D79753A0}">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75" authorId="0" shapeId="0" xr:uid="{C266EF9E-F59A-4E99-B87C-96DF7FE032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75" authorId="0" shapeId="0" xr:uid="{5F2D389D-6810-4E01-827C-71864287842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75" authorId="0" shapeId="0" xr:uid="{02E146C8-D4B2-411D-8305-C6FA5F5026A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76" authorId="0" shapeId="0" xr:uid="{C8BB8F74-C4F5-49A0-BD8F-40C8907165C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76" authorId="0" shapeId="0" xr:uid="{C9FC0167-A039-474F-9698-094366838D9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76" authorId="0" shapeId="0" xr:uid="{0C94021E-0D58-491E-8D41-38DC5FE74C7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76" authorId="0" shapeId="0" xr:uid="{4ED90A18-5637-4465-8EE9-7D4A60A8354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76" authorId="0" shapeId="0" xr:uid="{7AFFB390-D6E4-466F-A352-17CA18872F37}">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76" authorId="0" shapeId="0" xr:uid="{963B5F25-B0DD-4387-AB9E-CA96C66ABF5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77" authorId="0" shapeId="0" xr:uid="{400785A9-EE5F-42EC-92BF-E41F4119CAC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77" authorId="0" shapeId="0" xr:uid="{0BD5AF82-30AE-4AD8-915A-76AC621CC48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77" authorId="0" shapeId="0" xr:uid="{5F72CCDA-86F6-4681-B15A-39B8F8359CE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77" authorId="0" shapeId="0" xr:uid="{5C2CA271-AF48-4CC9-A9BB-1D12996F08C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77" authorId="0" shapeId="0" xr:uid="{35C035B5-BE24-4870-BC10-61A6B8E273A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77" authorId="0" shapeId="0" xr:uid="{67BBB7CD-B721-43E5-91D2-718F094A195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78" authorId="0" shapeId="0" xr:uid="{3E62B93A-8DE7-4C58-9FEC-1F6CDB5DC60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78" authorId="0" shapeId="0" xr:uid="{61F1AEB0-975D-484A-9624-5BFC4FC0174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78" authorId="0" shapeId="0" xr:uid="{816E5A8A-BDD3-4245-8028-1570D4A77750}">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78" authorId="0" shapeId="0" xr:uid="{FB6BEF9C-C4E3-4200-B6F5-1C26765C6B4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78" authorId="0" shapeId="0" xr:uid="{703CEA4B-D6CB-4C65-906A-B51F23A7543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78" authorId="0" shapeId="0" xr:uid="{17F7AD9A-9CA4-4C7C-8E48-C6DBA4FAB7C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79" authorId="0" shapeId="0" xr:uid="{CAAF5150-A1E3-40CE-B891-746AA639AE4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79" authorId="0" shapeId="0" xr:uid="{BD47B64D-23AB-4CD5-9087-7FCD9CC758A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79" authorId="0" shapeId="0" xr:uid="{AAFF4E60-B290-4880-9652-48C9E1DD7AEA}">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79" authorId="0" shapeId="0" xr:uid="{DA613176-DD19-40A0-8867-07915541A9D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79" authorId="0" shapeId="0" xr:uid="{C6EC16B3-38FB-4B80-BD76-382EABAC1E5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79" authorId="0" shapeId="0" xr:uid="{9493F733-D926-4CC3-A56C-8524E3BE5E3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80" authorId="0" shapeId="0" xr:uid="{5D601DF6-40B3-4937-A960-0F7C3ABAFB3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80" authorId="0" shapeId="0" xr:uid="{47196AAD-6982-4DE2-8952-BE4D8523E0B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80" authorId="0" shapeId="0" xr:uid="{DFED651F-2ABA-46E8-A55C-33EB536EE8B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80" authorId="0" shapeId="0" xr:uid="{A73F9AEC-CD84-4564-A76A-B4D77BB4789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80" authorId="0" shapeId="0" xr:uid="{95F406CF-DDCB-4F82-800F-F453034B24D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80" authorId="0" shapeId="0" xr:uid="{5C519FD3-98A4-46F8-A191-0120AFD748B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81" authorId="0" shapeId="0" xr:uid="{B0A1AEE6-E4EA-495B-B921-118CF169964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81" authorId="0" shapeId="0" xr:uid="{F7FB5783-3904-4970-850A-B0C32FF10B8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81" authorId="0" shapeId="0" xr:uid="{86FAD61D-926C-7C4C-908F-9839331CB27D}">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81" authorId="0" shapeId="0" xr:uid="{4CE5B5C6-97D8-6F41-8DAD-4FB2946A106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81" authorId="0" shapeId="0" xr:uid="{84ADDD05-59DB-A14C-8D37-F5C079ABAE8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81" authorId="0" shapeId="0" xr:uid="{BF47A5E9-C217-E54C-89AE-097D419932A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82" authorId="0" shapeId="0" xr:uid="{129423EA-0DF0-4473-8AFF-507986F95FE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82" authorId="0" shapeId="0" xr:uid="{99A57B44-98EF-4F25-A91C-D12B5C54EC7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82" authorId="0" shapeId="0" xr:uid="{FDB9B498-CA01-C046-BCB0-31F880BA6D8C}">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82" authorId="0" shapeId="0" xr:uid="{670102F3-313F-C74A-8ECA-87FC1960DCB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82" authorId="0" shapeId="0" xr:uid="{AEE9736A-35E5-F041-8616-3B645D865359}">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82" authorId="0" shapeId="0" xr:uid="{53D05649-FA6C-1649-876E-AD7CCC3D85A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83" authorId="0" shapeId="0" xr:uid="{BA0A7184-3FA9-4C11-8FBA-73179C97BAA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83" authorId="0" shapeId="0" xr:uid="{92937E14-D346-4A68-8C87-C730FCBEF76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83" authorId="0" shapeId="0" xr:uid="{783FAB66-F7AE-AC47-A706-F368F4C9786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83" authorId="0" shapeId="0" xr:uid="{C5BDF9E7-B51C-144D-BB43-C7F631F1E4A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83" authorId="0" shapeId="0" xr:uid="{95B92D23-6BD5-654B-94A5-E93AA33F933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83" authorId="0" shapeId="0" xr:uid="{97FAD679-D112-AD4D-B9D0-D8B408D68CB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84" authorId="0" shapeId="0" xr:uid="{61D596D0-61AB-4EDF-BAF9-D8BB8EE1240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84" authorId="0" shapeId="0" xr:uid="{06219C5F-BB07-4467-B85E-8FE9F84B36C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84" authorId="0" shapeId="0" xr:uid="{A2DE0477-280E-5B40-8735-FE6D06E74CA3}">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84" authorId="0" shapeId="0" xr:uid="{8026C768-79BE-3448-BD9F-AE75C6E5F95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84" authorId="0" shapeId="0" xr:uid="{B75C8DC6-5C00-9B47-BAFA-896EC9352EF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84" authorId="0" shapeId="0" xr:uid="{FCD2BBE6-0829-3843-BB5E-F0F339872D1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85" authorId="0" shapeId="0" xr:uid="{566266FC-567E-49C1-8E94-D135C069D95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85" authorId="0" shapeId="0" xr:uid="{14B46850-B646-415A-9DF8-9FA5009E243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85" authorId="0" shapeId="0" xr:uid="{6A9FBCA9-4183-2D47-97FB-DDBCD719D44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85" authorId="0" shapeId="0" xr:uid="{D36507D1-7D58-8A46-906E-CF5EE5528A9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85" authorId="0" shapeId="0" xr:uid="{7C946AC5-8C39-8D49-AEEF-EE4B0C64234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85" authorId="0" shapeId="0" xr:uid="{FBFACC31-D8DE-7049-8FB9-4DE0E5D473E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86" authorId="0" shapeId="0" xr:uid="{958E0EBB-82DB-41BD-B01E-A2D72EAEA04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86" authorId="0" shapeId="0" xr:uid="{B189AF78-B0EA-4D51-B262-10C5F5BFB69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86" authorId="0" shapeId="0" xr:uid="{1F0A0F31-9060-034D-BE6B-6FADBBBC563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86" authorId="0" shapeId="0" xr:uid="{63ED8CFC-C750-904C-ABBF-76FCFE981AC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86" authorId="0" shapeId="0" xr:uid="{0C8644A1-CC46-DE4F-A82A-0945239DB2A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86" authorId="0" shapeId="0" xr:uid="{BB7B83F4-27C7-204D-B48D-82DB015C7CE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87" authorId="0" shapeId="0" xr:uid="{B91783E1-5580-48D6-8D87-7E975BAF1FB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87" authorId="0" shapeId="0" xr:uid="{35DD3659-EC51-4376-8A0E-40A5F2021A5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87" authorId="0" shapeId="0" xr:uid="{B4D36807-6065-0449-9238-03D353B026B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87" authorId="0" shapeId="0" xr:uid="{EC55B69E-9509-1940-816B-E410E72C244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87" authorId="0" shapeId="0" xr:uid="{2BDE23A2-1B00-3D42-9764-5C3DB58D3FD2}">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87" authorId="0" shapeId="0" xr:uid="{4FF8AD9D-89B7-A445-8367-F626230D434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88" authorId="0" shapeId="0" xr:uid="{45F5B013-235E-4C88-BB99-7332AB9A7FD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88" authorId="0" shapeId="0" xr:uid="{961C2239-8AEA-4DE5-AEE7-9874F3A60F3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88" authorId="0" shapeId="0" xr:uid="{0EBB4074-ED8D-FC42-BB3E-65F9D59B4C8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88" authorId="0" shapeId="0" xr:uid="{43DB2188-8914-C24D-8FEA-70D61AA58C3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88" authorId="0" shapeId="0" xr:uid="{1027E03B-C348-574E-A42A-DBAAE906554F}">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88" authorId="0" shapeId="0" xr:uid="{DD27CDAA-A902-4449-96F2-A47F2A468AD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89" authorId="0" shapeId="0" xr:uid="{68E5ED08-0293-4C57-9A24-74A59615CA7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89" authorId="0" shapeId="0" xr:uid="{4B399189-DC10-40DB-A7A7-30809E6CB62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89" authorId="0" shapeId="0" xr:uid="{96A6AE85-6564-164C-AE2E-4DB96758AAF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89" authorId="0" shapeId="0" xr:uid="{29A7B20F-20F0-EB4F-8CB3-10B79E831E5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89" authorId="0" shapeId="0" xr:uid="{2A2E90EC-5AA0-9445-A25D-4744776D6F2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89" authorId="0" shapeId="0" xr:uid="{68826040-0D93-654C-BC93-842A5D9FCFB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93" authorId="0" shapeId="0" xr:uid="{5F4FEAFC-7188-4FC8-B9C1-78CDB228B0A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93" authorId="0" shapeId="0" xr:uid="{2B9F736E-9343-42E5-B800-5B34707FA15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93" authorId="0" shapeId="0" xr:uid="{488EC81A-5C3C-5E43-8B44-3C564DA3A29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93" authorId="0" shapeId="0" xr:uid="{EEC27670-9B8F-E84C-AD45-259B9D49688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93" authorId="0" shapeId="0" xr:uid="{78B1BC1A-8B86-CA40-A17C-B46F646C640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93" authorId="0" shapeId="0" xr:uid="{7DC8FF7A-99AF-C546-B476-7FDB487EBBD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94" authorId="0" shapeId="0" xr:uid="{33B211A1-2904-497D-8979-91C9DB8E155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94" authorId="0" shapeId="0" xr:uid="{E65B5CDD-9DC2-44F0-838C-8E264706B28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O94" authorId="0" shapeId="0" xr:uid="{60A3D910-A990-934D-86F8-0A996B4DE4B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R94" authorId="0" shapeId="0" xr:uid="{6E7E239D-7B5F-8547-B041-BA05B6C6D1C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95" authorId="0" shapeId="0" xr:uid="{F1ECFBE8-F959-43EA-8DB2-94F142D9AEC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95" authorId="0" shapeId="0" xr:uid="{C821994E-B8D0-45DB-BB1F-109824A2453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95" authorId="0" shapeId="0" xr:uid="{2EF92247-5D15-D64C-AC17-77F8F1CC2FD6}">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95" authorId="0" shapeId="0" xr:uid="{A77CC175-2BB5-9845-AFA8-6715F056F15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95" authorId="0" shapeId="0" xr:uid="{42A7BBCF-29BA-7241-ADAE-510D11EE917C}">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95" authorId="0" shapeId="0" xr:uid="{3A700907-31E8-F64D-9670-EC22AC8CA05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96" authorId="0" shapeId="0" xr:uid="{C6844181-05CE-40DF-9BE5-8C18F24DC79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96" authorId="0" shapeId="0" xr:uid="{B1C7F583-A317-445D-B389-921827B0AA9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96" authorId="0" shapeId="0" xr:uid="{37D55225-C7B9-4A4C-9BDE-0C2E1A580D1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96" authorId="0" shapeId="0" xr:uid="{3837276B-76AB-964B-A455-29FA80C8C13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96" authorId="0" shapeId="0" xr:uid="{0A100FD7-35AC-9B41-B41A-189A41EFCDB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96" authorId="0" shapeId="0" xr:uid="{D753B664-FB56-2E4D-87BB-AF3C390A53B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97" authorId="0" shapeId="0" xr:uid="{5518ADC0-0B72-49DB-88B2-824C4956A59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97" authorId="0" shapeId="0" xr:uid="{901890FC-0E2E-40CA-B1AC-8E2B5669909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97" authorId="0" shapeId="0" xr:uid="{7013F321-2611-8648-A774-F94230EF26D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97" authorId="0" shapeId="0" xr:uid="{34F13FE7-796E-3B49-90A9-AC77029D5B5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97" authorId="0" shapeId="0" xr:uid="{C7BE0142-A41C-8045-B889-48959DEBD6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97" authorId="0" shapeId="0" xr:uid="{31AA7417-DC8B-184B-B942-D7AD9D0410B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98" authorId="0" shapeId="0" xr:uid="{4570A0F1-4D61-4122-8EE6-4F72FAD04B9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98" authorId="0" shapeId="0" xr:uid="{3774708E-0E62-4834-9A64-A808DC6C44C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98" authorId="0" shapeId="0" xr:uid="{13402FD9-8E55-4C44-B653-3FD3CAAD43F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98" authorId="0" shapeId="0" xr:uid="{77DD1FAC-DCF0-E945-A980-BD99A786BF7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98" authorId="0" shapeId="0" xr:uid="{522C7BFE-9592-2E4F-B79F-1686F1FA70C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98" authorId="0" shapeId="0" xr:uid="{50CB1EF1-1F14-8B44-9127-FF35521B296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99" authorId="0" shapeId="0" xr:uid="{B597F4FD-2FEF-4275-83E9-97B431F2FD7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99" authorId="0" shapeId="0" xr:uid="{C52A769F-2C0D-49D1-9DAD-54B5D4D41E3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99" authorId="0" shapeId="0" xr:uid="{01D851BC-B6C8-2C4F-A916-77920757120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99" authorId="0" shapeId="0" xr:uid="{BD75CDB4-6CE8-EB45-9AED-3834EED0A49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99" authorId="0" shapeId="0" xr:uid="{797DCAA1-2C0B-A740-A593-452AC73C0E6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99" authorId="0" shapeId="0" xr:uid="{B9CECA80-5D91-A94A-B5D1-45FC59014C3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00" authorId="0" shapeId="0" xr:uid="{A648A7B1-B2BA-406E-8015-BCD5A8D4D10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00" authorId="0" shapeId="0" xr:uid="{C57EE60A-F200-4E5A-9352-5AA19301CFC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00" authorId="0" shapeId="0" xr:uid="{00DC2D29-5874-A047-B127-28949E39EA2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00" authorId="0" shapeId="0" xr:uid="{0078866A-83B8-0F41-9E7E-8102A3991F7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00" authorId="0" shapeId="0" xr:uid="{6D87A976-3FEC-DD4C-9D01-C4B44D6C6A5B}">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00" authorId="0" shapeId="0" xr:uid="{56DE4496-88EB-E140-B17A-3A639A31D16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01" authorId="0" shapeId="0" xr:uid="{DB96596F-D779-4B15-9690-DE0D022FEA6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01" authorId="0" shapeId="0" xr:uid="{9E2D0DB0-B24D-45F2-A647-D4EBA87848E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O101" authorId="0" shapeId="0" xr:uid="{FB5DA221-62AB-E74E-8EBF-15706F5E569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R101" authorId="0" shapeId="0" xr:uid="{55749C06-5C54-474D-874F-2DA001C2B1A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02" authorId="0" shapeId="0" xr:uid="{519D38B8-89C3-49F0-858E-5789053E702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02" authorId="0" shapeId="0" xr:uid="{D98E337F-A455-4C32-94C9-F61CBD04D52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02" authorId="0" shapeId="0" xr:uid="{119FFF99-2DBF-C741-BCED-AE9786C74EE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102" authorId="0" shapeId="0" xr:uid="{ACDA0B12-80A2-8944-9350-DAB4CB6A8DD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02" authorId="0" shapeId="0" xr:uid="{5DCA270A-99E2-6646-B2AF-31082BE088C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102" authorId="0" shapeId="0" xr:uid="{763C2CE4-228C-5849-865D-EE08E18E280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03" authorId="0" shapeId="0" xr:uid="{A426DCF3-271D-4C1A-89B7-3CF4BFB13A6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03" authorId="0" shapeId="0" xr:uid="{BD11764E-4DB1-4088-98BA-A1FA1D0E5A1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03" authorId="0" shapeId="0" xr:uid="{2F5F0435-9593-504A-9E55-8874D29B4A5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03" authorId="0" shapeId="0" xr:uid="{1B1DA9E5-C3F8-CA4B-880C-EE797BFDC2D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03" authorId="0" shapeId="0" xr:uid="{F95065F1-5A0F-9C4D-B96E-E0BA7AAE04D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03" authorId="0" shapeId="0" xr:uid="{2FBDB3DE-847F-C544-9BA2-B7409A4525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04" authorId="0" shapeId="0" xr:uid="{CEC43CF6-9925-42A7-AFC8-072A115CF4C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04" authorId="0" shapeId="0" xr:uid="{F4F5E8AD-DCDC-436E-9F29-FC6058D6D0F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04" authorId="0" shapeId="0" xr:uid="{058301EB-DC80-FE4F-AC54-44A3377FD79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04" authorId="0" shapeId="0" xr:uid="{BE91E0DB-BFF6-C042-ACB4-C991D14A4EC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04" authorId="0" shapeId="0" xr:uid="{2491A567-2670-A044-839F-341EF4E5B66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04" authorId="0" shapeId="0" xr:uid="{A1058E4B-3022-0B48-9B8A-647B6E55A5B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05" authorId="0" shapeId="0" xr:uid="{4CE472E1-6420-45E8-985B-437AE0021BB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05" authorId="0" shapeId="0" xr:uid="{BFBE1AAF-AB65-40CE-B6F2-FF52467241B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05" authorId="0" shapeId="0" xr:uid="{3997B255-CD1B-CA48-85B5-E4CD0306505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05" authorId="0" shapeId="0" xr:uid="{EA0C2EA7-8ABC-3D49-8974-5E941EFCAE6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05" authorId="0" shapeId="0" xr:uid="{D35C53BC-A78C-504B-BBD7-C174A37B80B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05" authorId="0" shapeId="0" xr:uid="{2D91D403-CACD-A14C-AE54-AB68E2493D6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06" authorId="0" shapeId="0" xr:uid="{5DD1F1F9-2C32-427A-9759-2E148D5B144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06" authorId="0" shapeId="0" xr:uid="{0852593C-3308-486F-8828-B927D092367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06" authorId="0" shapeId="0" xr:uid="{8B8928E9-FA01-8443-A432-D9773843A45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06" authorId="0" shapeId="0" xr:uid="{3ADB8477-DE13-EA47-BDEA-175E0FBA293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06" authorId="0" shapeId="0" xr:uid="{6FFDFB4C-6B3F-C844-901A-7A71792C82B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06" authorId="0" shapeId="0" xr:uid="{2E8E1744-3CD9-2245-9357-732F3013F10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07" authorId="0" shapeId="0" xr:uid="{FCC9D25A-A0FB-4FB7-AEAC-ED19C3897F7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07" authorId="0" shapeId="0" xr:uid="{5EA853C1-52AA-4C08-A0FE-13386584100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07" authorId="0" shapeId="0" xr:uid="{F84E403B-2078-7B48-8483-82458BE4DBFC}">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07" authorId="0" shapeId="0" xr:uid="{33B15BE3-3369-6C4E-BFD8-290514750C0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07" authorId="0" shapeId="0" xr:uid="{EF6AD9E6-FA11-A94F-BE05-2A9E1C6EA190}">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07" authorId="0" shapeId="0" xr:uid="{7B7D73A9-3C74-1143-BAB0-759DFC24C52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08" authorId="0" shapeId="0" xr:uid="{B073DBA4-C920-42AD-92D6-D5E22662331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08" authorId="0" shapeId="0" xr:uid="{717441D7-38FA-42DF-A135-518BF9E596E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O108" authorId="0" shapeId="0" xr:uid="{BB4CEFF7-74BD-3643-9431-786E2DB9879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R108" authorId="0" shapeId="0" xr:uid="{F1C1FFFF-66EC-494E-AB3A-EEC09339DF5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09" authorId="0" shapeId="0" xr:uid="{145AB6BE-01BC-4C4C-8FC9-983DA2649B8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09" authorId="0" shapeId="0" xr:uid="{C4FCFA39-5E54-464D-B9EB-57A4B961DAD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09" authorId="0" shapeId="0" xr:uid="{1BF0717D-31F1-B542-BE00-CAA3A43CCF96}">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109" authorId="0" shapeId="0" xr:uid="{575C9E6F-C899-4E4D-B8B5-6485E5C005A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09" authorId="0" shapeId="0" xr:uid="{F2699A76-7B60-2240-89D2-7081CDD36617}">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109" authorId="0" shapeId="0" xr:uid="{19BA3926-313C-FC4F-831A-F7F15B45B95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10" authorId="0" shapeId="0" xr:uid="{7C1620D3-150E-4FCD-9744-926E1919CA4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10" authorId="0" shapeId="0" xr:uid="{69DEA3FD-9692-4AF8-9D43-2FA55F16E85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10" authorId="0" shapeId="0" xr:uid="{BFF964A0-0849-304D-8607-A2F330BE34A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10" authorId="0" shapeId="0" xr:uid="{2A45F721-50D7-BB44-89CD-C21381D7A3D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10" authorId="0" shapeId="0" xr:uid="{A34BED5E-509C-CD4F-BABA-78F67A98FDF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10" authorId="0" shapeId="0" xr:uid="{7A55EC44-12B6-8046-BBC9-9255EFD3FB2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11" authorId="0" shapeId="0" xr:uid="{2B6E79D4-73EF-402D-AEC0-A36B9D4432D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11" authorId="0" shapeId="0" xr:uid="{2118981B-F9B6-4B94-A332-8970D6581DC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11" authorId="0" shapeId="0" xr:uid="{B3098795-BA1F-C047-8ACD-790FC2D1A50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11" authorId="0" shapeId="0" xr:uid="{9DB920A9-600E-B143-A234-5F627D96EF9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11" authorId="0" shapeId="0" xr:uid="{2D2A6DDB-24E1-DE4B-9B5B-18DD8AB1D18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11" authorId="0" shapeId="0" xr:uid="{C6A1887D-5C6B-884E-A220-949512FD74C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12" authorId="0" shapeId="0" xr:uid="{247AE17E-A512-4228-9D96-D78D5CFF5A5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12" authorId="0" shapeId="0" xr:uid="{C2DD6E40-7FE2-4908-B60E-81BEEEF7316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12" authorId="0" shapeId="0" xr:uid="{BBFDC106-4F9D-1045-8C48-CC9D6CBC7D4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12" authorId="0" shapeId="0" xr:uid="{E8A0028A-0922-454B-B465-7AA5F203B20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12" authorId="0" shapeId="0" xr:uid="{13AC5B48-A452-5747-AC0E-84F25AA4ABA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12" authorId="0" shapeId="0" xr:uid="{BC04C79D-D482-5245-8557-8CBB8D22E8F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13" authorId="0" shapeId="0" xr:uid="{0969EFD2-9E2C-4395-A606-9CDE8C39DF8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13" authorId="0" shapeId="0" xr:uid="{612F2663-1059-41C7-81C3-8A1C4DB8677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13" authorId="0" shapeId="0" xr:uid="{47241E7C-B2B1-6B4C-9C33-0637862D111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13" authorId="0" shapeId="0" xr:uid="{03055198-F319-0D4A-85C7-29CE74F1A6A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13" authorId="0" shapeId="0" xr:uid="{6FB1D7D2-9D03-1A4D-94D5-9EAB345E875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13" authorId="0" shapeId="0" xr:uid="{FBE0C89C-5E01-424C-980C-FC2992F4D85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14" authorId="0" shapeId="0" xr:uid="{AE276CAE-E8CF-40F7-97F2-CD865F8B9B4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14" authorId="0" shapeId="0" xr:uid="{83F413A1-8AF4-4BCC-82E8-3940067CB71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14" authorId="0" shapeId="0" xr:uid="{D80C19C0-BF33-4849-9FE0-263770AB1DD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14" authorId="0" shapeId="0" xr:uid="{069472DE-6AEC-4BCC-B6BE-7E2E31E2E6C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14" authorId="0" shapeId="0" xr:uid="{830689C3-FD18-4381-8ABD-B839235D2C7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14" authorId="0" shapeId="0" xr:uid="{D81229F8-885D-4774-A0EE-434DDE51F4D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15" authorId="0" shapeId="0" xr:uid="{17E287BA-D832-4A5D-AC58-B88E0F4ED34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15" authorId="0" shapeId="0" xr:uid="{B8B9FE4A-FA05-4736-9A93-517DEE43C28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O115" authorId="0" shapeId="0" xr:uid="{D989DEB2-9606-4DD8-BBD3-0611D99D838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R115" authorId="0" shapeId="0" xr:uid="{834F77DA-8BB3-4D05-8CEB-B2757F121EA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16" authorId="0" shapeId="0" xr:uid="{D9F08F76-FF68-44E2-B62B-2C8755F3F8C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16" authorId="0" shapeId="0" xr:uid="{F0163218-240F-47C3-85A1-39BEADD89B1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16" authorId="0" shapeId="0" xr:uid="{27D88861-4017-4D39-87A5-7931C2161A3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116" authorId="0" shapeId="0" xr:uid="{E0024972-B1BF-483F-BB61-F5115710F7D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16" authorId="0" shapeId="0" xr:uid="{BD1B1595-235A-4154-BEC2-2EB68AB5DDB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116" authorId="0" shapeId="0" xr:uid="{B885A976-1211-4BEE-B1CD-F1F1FDB9BF8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17" authorId="0" shapeId="0" xr:uid="{54033C97-1668-4B30-B30A-A59102AD2DE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17" authorId="0" shapeId="0" xr:uid="{C93ED709-B391-4698-8DCB-DAC8D38BA4D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17" authorId="0" shapeId="0" xr:uid="{CA995C0E-0063-4D2E-9A7C-3217A92D3D1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17" authorId="0" shapeId="0" xr:uid="{8E820526-FE55-4438-9E49-4500AEA4AEA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17" authorId="0" shapeId="0" xr:uid="{D1DA10EC-E1C4-4F6A-9332-9B8884261C1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17" authorId="0" shapeId="0" xr:uid="{89125F61-1845-4D87-97E7-EA99EF6600E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18" authorId="0" shapeId="0" xr:uid="{D27B3294-D220-4B6B-8F9F-74DCF02ECCB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18" authorId="0" shapeId="0" xr:uid="{145B46CD-424D-4D5A-BD36-F2E572BBD11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18" authorId="0" shapeId="0" xr:uid="{932AC5AB-0B09-4AA6-B73F-00287D9519A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18" authorId="0" shapeId="0" xr:uid="{594DDC20-8481-4A26-A53F-8DFB3F97CC7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18" authorId="0" shapeId="0" xr:uid="{8A13FAAD-B471-41FC-BE0D-E6E5C6EFD8A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18" authorId="0" shapeId="0" xr:uid="{58BDCCC9-4EB3-44A8-BE40-1F78B890713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19" authorId="0" shapeId="0" xr:uid="{CA69350A-3B06-4BCA-A3A0-FF776F29BC2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19" authorId="0" shapeId="0" xr:uid="{098CC4FA-D0C6-4D7E-898E-F6AB8625223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19" authorId="0" shapeId="0" xr:uid="{320E0A51-8568-4701-AEB2-A5BC4387C15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19" authorId="0" shapeId="0" xr:uid="{D148DAB1-CF5E-4D76-976A-D6EBF929CA7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19" authorId="0" shapeId="0" xr:uid="{09C9682D-5BAC-4079-A37A-B819CC7C2AB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19" authorId="0" shapeId="0" xr:uid="{74FCB8A5-5BCA-443D-A82A-73D76BB1EE2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20" authorId="0" shapeId="0" xr:uid="{04CF5D86-1672-4A64-9CA1-9B7EF65891D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20" authorId="0" shapeId="0" xr:uid="{073C67C4-2509-40B0-8BB9-9D59E853FEC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20" authorId="0" shapeId="0" xr:uid="{B1F25FC7-99AB-47F8-A8D2-5C669AD2EEA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20" authorId="0" shapeId="0" xr:uid="{BFB7A2A5-7881-4915-8ADB-59DC3AF5ED2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20" authorId="0" shapeId="0" xr:uid="{54FB4BEE-0280-4759-864B-3B4515A32F9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20" authorId="0" shapeId="0" xr:uid="{B07BC88F-3C3B-4B06-A779-049244100CC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21" authorId="0" shapeId="0" xr:uid="{F45F389F-D7C3-4DB1-B7B1-895AF15248C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21" authorId="0" shapeId="0" xr:uid="{BBB36AB9-A5C5-4A8C-AE9E-245DACB1F82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21" authorId="0" shapeId="0" xr:uid="{568CC473-E8BD-4548-B104-740EB5EE434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21" authorId="0" shapeId="0" xr:uid="{2CC176DC-17E5-41FC-8E62-CFA92992200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21" authorId="0" shapeId="0" xr:uid="{4FD33429-A5A0-4625-A02B-3A9702A9D6F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21" authorId="0" shapeId="0" xr:uid="{1A7FFC04-FEF7-4618-A059-A094233D60E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22" authorId="0" shapeId="0" xr:uid="{43D1B43F-04F5-4445-AC3A-DD29ED4E617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22" authorId="0" shapeId="0" xr:uid="{5D2F8235-EF35-4281-A0E5-F9089190F6E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O122" authorId="0" shapeId="0" xr:uid="{27737098-A19E-4167-A271-0E56AEB4D3B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R122" authorId="0" shapeId="0" xr:uid="{EDE67699-77EC-45D1-85B8-C005DAD1419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23" authorId="0" shapeId="0" xr:uid="{3282961A-FB61-4951-AC2B-FE5E40BA44C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23" authorId="0" shapeId="0" xr:uid="{0026C3F7-2895-4BE5-B9A5-33FD51FF655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23" authorId="0" shapeId="0" xr:uid="{3BBC94E1-1302-4BB5-9B71-C5E960274E0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123" authorId="0" shapeId="0" xr:uid="{32A82A75-1006-4F70-8AED-A0CC20328AD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23" authorId="0" shapeId="0" xr:uid="{01D10376-24FB-406C-B634-674E2315B75E}">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123" authorId="0" shapeId="0" xr:uid="{4EE0AE8E-7D10-463B-A196-B284D2D8559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24" authorId="0" shapeId="0" xr:uid="{7EE0BB6F-F0C5-4C12-ABF5-27775EF11CE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24" authorId="0" shapeId="0" xr:uid="{00FD315E-18C0-4569-B698-A0F4D1D0C16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24" authorId="0" shapeId="0" xr:uid="{2A3E6B70-D39B-4603-913C-840EBD72F79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24" authorId="0" shapeId="0" xr:uid="{8738474B-C6D9-425D-BAFA-D99706CB997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24" authorId="0" shapeId="0" xr:uid="{7DB09C10-791E-402E-A0AD-7EFB8B65D03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24" authorId="0" shapeId="0" xr:uid="{5A329897-FA63-4554-BEC3-A1D2C2A9DB7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25" authorId="0" shapeId="0" xr:uid="{23BEF57A-A70B-499C-BFB3-32E673634C7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25" authorId="0" shapeId="0" xr:uid="{77391B76-7614-4334-8643-337976758D4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25" authorId="0" shapeId="0" xr:uid="{46448DDC-4122-42AB-ADF7-044639BC7F9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25" authorId="0" shapeId="0" xr:uid="{65D17BB9-575E-4B6B-AEBC-0A5BA6CC42A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25" authorId="0" shapeId="0" xr:uid="{E6896D68-A89E-4F38-AC58-4AD8CAAB205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25" authorId="0" shapeId="0" xr:uid="{65634C57-C08C-4256-BCEB-A70907E0BD3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26" authorId="0" shapeId="0" xr:uid="{70B52E5F-03CD-4354-8348-E0343FB5B66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26" authorId="0" shapeId="0" xr:uid="{6FF73F45-BE9E-461B-B5EE-DF487F47F84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26" authorId="0" shapeId="0" xr:uid="{D9608EE0-FFFC-4DE3-AEDD-6B54C78A998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26" authorId="0" shapeId="0" xr:uid="{F9F18A27-B832-49BC-BC50-13E1A4BDF20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26" authorId="0" shapeId="0" xr:uid="{9B85BC11-0172-42F4-AAEF-DCF3E94A0F5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26" authorId="0" shapeId="0" xr:uid="{CDEC6180-F34B-4735-8D47-878F545B7E6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27" authorId="0" shapeId="0" xr:uid="{27E698B8-E2A3-47AA-9557-2C2579BCD42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27" authorId="0" shapeId="0" xr:uid="{1D7155C2-7661-42AF-8F37-4B3E8D438B0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27" authorId="0" shapeId="0" xr:uid="{FBCB1F62-1890-4E8A-AE9B-D79E4BED9C9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27" authorId="0" shapeId="0" xr:uid="{7A9CE0F6-97FF-43A8-A509-6B000E3B97D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27" authorId="0" shapeId="0" xr:uid="{5B20CB78-41F8-405B-90DA-71C943FD19D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27" authorId="0" shapeId="0" xr:uid="{39F54EAF-1CDE-4836-A7AD-37B88564BDE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28" authorId="0" shapeId="0" xr:uid="{8B686123-0562-4E70-B910-3F0747B7C75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28" authorId="0" shapeId="0" xr:uid="{12427E3F-6FB2-4B58-B424-F2BEFC21A99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28" authorId="0" shapeId="0" xr:uid="{932B5620-3143-4F7F-BF45-955C4830CB53}">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28" authorId="0" shapeId="0" xr:uid="{15BC28C5-9C21-4977-9EF3-7A7F17366EE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28" authorId="0" shapeId="0" xr:uid="{231F1319-C075-4908-A95C-7FE9D888F94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28" authorId="0" shapeId="0" xr:uid="{B68B4103-F51E-438A-A668-8A7A014ADD6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29" authorId="0" shapeId="0" xr:uid="{DDBA6538-C01B-4215-95AE-B197FD57F79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29" authorId="0" shapeId="0" xr:uid="{F14A8072-4658-4DA1-85A6-F8CBB8938BF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O129" authorId="0" shapeId="0" xr:uid="{3F0E2427-C88F-4A45-8FD5-85E008CB2D5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R129" authorId="0" shapeId="0" xr:uid="{68226239-6D8D-4BC7-AC8E-2D5AA3E0F95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30" authorId="0" shapeId="0" xr:uid="{E8114123-2DF3-4291-917F-36E759BA8E2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30" authorId="0" shapeId="0" xr:uid="{EAEBCD62-4028-41F8-8D4C-80AA039E4AB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30" authorId="0" shapeId="0" xr:uid="{9FDEEEAE-705F-4223-AA03-FAB65A04BAD0}">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130" authorId="0" shapeId="0" xr:uid="{AB262BC9-34C9-4E70-BE5A-204102A7EB9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30" authorId="0" shapeId="0" xr:uid="{49D3CCE2-2C0E-4ECB-893A-583FDF1B0DA3}">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130" authorId="0" shapeId="0" xr:uid="{24AAE02A-7727-4A9B-B5C6-52670442305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31" authorId="0" shapeId="0" xr:uid="{9DD32AC5-9F79-4201-AB3C-145B1377540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31" authorId="0" shapeId="0" xr:uid="{3AC79EC1-C598-487C-8B60-59DDA46CA2B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31" authorId="0" shapeId="0" xr:uid="{F95123CA-C6C9-491D-8216-0D6A067BEBD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31" authorId="0" shapeId="0" xr:uid="{B6BC89A5-2F13-4459-AA50-FB288C9B509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31" authorId="0" shapeId="0" xr:uid="{2E696E4C-9ED5-40EE-82F4-76DA289EB89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31" authorId="0" shapeId="0" xr:uid="{2E7FF0B6-1A2C-437F-B599-9A088009969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32" authorId="0" shapeId="0" xr:uid="{356C0A88-34FE-46D5-A1CE-27D4B327505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32" authorId="0" shapeId="0" xr:uid="{97A85BCB-BD19-4E28-B15B-6CF217DC51D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32" authorId="0" shapeId="0" xr:uid="{5499DD96-3A58-4262-BFAC-E510227736E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32" authorId="0" shapeId="0" xr:uid="{97350752-33BC-421E-AF24-E3E44512AEB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32" authorId="0" shapeId="0" xr:uid="{378975BB-B2CF-4487-9AA0-04253E5852A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32" authorId="0" shapeId="0" xr:uid="{5821B546-5856-4BBC-B329-1C431C56B29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33" authorId="0" shapeId="0" xr:uid="{26B3351E-8EAD-453D-A26B-396B5F138F8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33" authorId="0" shapeId="0" xr:uid="{47E0C60B-586E-44BB-AA68-9145356BC8E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33" authorId="0" shapeId="0" xr:uid="{DF5C7EEC-749C-4A2A-A3A1-E73F4D88DAD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33" authorId="0" shapeId="0" xr:uid="{F1636886-3B72-466E-A512-3A5675BAF0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33" authorId="0" shapeId="0" xr:uid="{29434F8B-C869-4F5B-8222-402B932F8B4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33" authorId="0" shapeId="0" xr:uid="{D92C8BDE-19D0-4508-A3B4-3CBA6FFCC15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34" authorId="0" shapeId="0" xr:uid="{6BB998D4-240C-4FC0-A084-FB407D4F23B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34" authorId="0" shapeId="0" xr:uid="{59E2CDB9-4FBF-44A3-B3F2-121D49CFE2A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34" authorId="0" shapeId="0" xr:uid="{E356314B-36EF-465E-A316-CBD8284C4F8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34" authorId="0" shapeId="0" xr:uid="{1400E7D3-465F-4C49-8DB1-57E5DF778A8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34" authorId="0" shapeId="0" xr:uid="{B2F65C0D-CE77-425F-9A93-2BEBA7D3DBA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34" authorId="0" shapeId="0" xr:uid="{F5863845-56AE-42D7-87C0-9C33F31632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38" authorId="0" shapeId="0" xr:uid="{7AC0B9F4-8FF2-4844-A093-30C5F042B7D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38" authorId="0" shapeId="0" xr:uid="{C47646FB-56E6-47E0-AB66-E5FB75F0989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38" authorId="0" shapeId="0" xr:uid="{01BA6984-B0C0-458E-A87A-35EEFA76A72C}">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38" authorId="0" shapeId="0" xr:uid="{8F73CC95-EAC3-4CCC-9508-2DCB1CD003E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38" authorId="0" shapeId="0" xr:uid="{770366B6-10A0-4FC1-9339-935479194D25}">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38" authorId="0" shapeId="0" xr:uid="{E8D4304D-986B-4537-A067-A2FE7DB2D21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39" authorId="0" shapeId="0" xr:uid="{03E0A146-96F5-41C9-AF45-0FE7D758441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39" authorId="0" shapeId="0" xr:uid="{74B3A3F7-A8FB-4FC8-9045-65E801D891E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39" authorId="0" shapeId="0" xr:uid="{8A0E3068-6726-475E-87D6-2F7727143C6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39" authorId="0" shapeId="0" xr:uid="{1A9F191A-BE9D-440B-87AB-D68A248F4B0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39" authorId="0" shapeId="0" xr:uid="{C37A81B1-324C-41F4-94E9-12E8D8FCA60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39" authorId="0" shapeId="0" xr:uid="{4D230A04-6068-4799-97BA-DCCF73B90AB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40" authorId="0" shapeId="0" xr:uid="{D227EE48-C483-48A3-AF67-7A44388F6F8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40" authorId="0" shapeId="0" xr:uid="{7A64FC1A-4C40-4564-BED5-F8C37C63A08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40" authorId="0" shapeId="0" xr:uid="{A9D32841-A46C-4342-ACD6-042AE4EBEFE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40" authorId="0" shapeId="0" xr:uid="{F74B1E88-6962-4281-97AF-832108190F1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40" authorId="0" shapeId="0" xr:uid="{5A951223-CDF2-4BA0-A4CF-1FDF0386C2D2}">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40" authorId="0" shapeId="0" xr:uid="{9E0B542E-0B9C-4855-84BF-B16BA645425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41" authorId="0" shapeId="0" xr:uid="{CD3B6099-329E-4995-816B-4CD9E8D4BCD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41" authorId="0" shapeId="0" xr:uid="{C54D438D-BF7A-493D-BBE5-2B7485E619E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41" authorId="0" shapeId="0" xr:uid="{1E7CC296-32BB-472E-AC73-1466DEB60DA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41" authorId="0" shapeId="0" xr:uid="{5F777D8F-F35F-493C-BACD-5960C96A282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41" authorId="0" shapeId="0" xr:uid="{EC4C67CC-7A36-4121-9989-403A640B6C0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41" authorId="0" shapeId="0" xr:uid="{C43712BE-0E9B-4C2A-80FA-B9E72BFF393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42" authorId="0" shapeId="0" xr:uid="{7BC20E75-96D8-4C40-A0C2-FD22B1B174F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42" authorId="0" shapeId="0" xr:uid="{C55451C4-BA24-48B1-AC07-4D934D2E23C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42" authorId="0" shapeId="0" xr:uid="{C676BF18-9F62-4C09-8562-DD1C982E8533}">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42" authorId="0" shapeId="0" xr:uid="{D50B4F63-D0BF-4983-830C-C9F8D9B1B47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42" authorId="0" shapeId="0" xr:uid="{46614877-B415-4DAC-9C76-873DA1702200}">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42" authorId="0" shapeId="0" xr:uid="{2D69F352-D8C6-424D-8BD1-1482982F20B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43" authorId="0" shapeId="0" xr:uid="{B230D7A1-4A7C-49BB-A03F-DE4BC22A615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43" authorId="0" shapeId="0" xr:uid="{CB883F67-0AD2-4843-9076-880B7EF4FCD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43" authorId="0" shapeId="0" xr:uid="{C301DE3E-0E6A-4EEA-8509-B873E1E998D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43" authorId="0" shapeId="0" xr:uid="{652D1F8F-3D0D-46BA-AF59-3655716C4D5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43" authorId="0" shapeId="0" xr:uid="{8AB653E9-E664-488F-B90F-0CBC8A7DB92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43" authorId="0" shapeId="0" xr:uid="{56507CAF-F8FB-4F17-9428-FF658C61306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44" authorId="0" shapeId="0" xr:uid="{DD89FB13-2126-4F87-8E3D-BB1A1E09B6D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44" authorId="0" shapeId="0" xr:uid="{2B81BC35-E432-43AB-90DC-90C416BAD48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44" authorId="0" shapeId="0" xr:uid="{1DCD1C65-0D62-4145-9D1F-34B632873B5C}">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44" authorId="0" shapeId="0" xr:uid="{632C50AE-2440-4DC4-820E-D90D0C1EE5B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44" authorId="0" shapeId="0" xr:uid="{501F4976-6508-466D-A255-46B623624D2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44" authorId="0" shapeId="0" xr:uid="{1463A8D7-16A0-43FE-94C6-432C1874C25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45" authorId="0" shapeId="0" xr:uid="{831687E9-F74A-423E-8CAE-76CE874B66F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45" authorId="0" shapeId="0" xr:uid="{983E27B4-43ED-4097-9CE8-DE27D86B6C6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45" authorId="0" shapeId="0" xr:uid="{3CA5ADD0-4FCB-4E33-8747-AC6B89874A6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45" authorId="0" shapeId="0" xr:uid="{AB8A3A65-FC89-444D-AD0A-3C05C69B348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45" authorId="0" shapeId="0" xr:uid="{074B40E1-4AEF-4FBB-A279-067A3D99528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45" authorId="0" shapeId="0" xr:uid="{03AA1361-E27D-428E-8228-3C0D63B2920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46" authorId="0" shapeId="0" xr:uid="{AC12634F-A946-455B-8DE6-4C1B23D347F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46" authorId="0" shapeId="0" xr:uid="{73688B10-BA83-46BF-8EB8-84262BD3BF1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46" authorId="0" shapeId="0" xr:uid="{DF589C54-F3D9-4AB0-BE35-BBBE350B483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46" authorId="0" shapeId="0" xr:uid="{83DB35A9-EA61-4942-8744-40AFC465C82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46" authorId="0" shapeId="0" xr:uid="{9865D2C5-5BC6-4F15-85E7-96C2571D5CE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46" authorId="0" shapeId="0" xr:uid="{E982F6B7-B790-4411-BBD9-82655909145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47" authorId="0" shapeId="0" xr:uid="{6EEA18ED-945B-4C81-B6F4-04E2684C5EE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47" authorId="0" shapeId="0" xr:uid="{D0029E21-AE01-4823-8C04-8169646E091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47" authorId="0" shapeId="0" xr:uid="{71D13A1A-BB03-4C66-BACB-72B8088A114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47" authorId="0" shapeId="0" xr:uid="{58414209-C781-49E2-A645-A6B1AA73172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47" authorId="0" shapeId="0" xr:uid="{47E14026-5FDF-474F-8AEF-AA0AC0CC46E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47" authorId="0" shapeId="0" xr:uid="{C6B945CC-6DC3-4584-BBFC-07CFCB8FAA6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48" authorId="0" shapeId="0" xr:uid="{BC699BFC-ECD0-4866-9C54-B45BC4943B8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48" authorId="0" shapeId="0" xr:uid="{98A6D5DA-D4EA-498F-8402-35DB7B08A50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48" authorId="0" shapeId="0" xr:uid="{0E1F0960-69B6-4F43-A98E-686BC27ED335}">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48" authorId="0" shapeId="0" xr:uid="{7B9E1F77-3C55-44F1-8C06-91FCE70B9C1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48" authorId="0" shapeId="0" xr:uid="{282365B9-D6B0-4768-B892-1451943019B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48" authorId="0" shapeId="0" xr:uid="{DDAFE6F2-119C-45DE-9A87-8D8730DD021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49" authorId="0" shapeId="0" xr:uid="{9C1A010F-3711-4FE1-AA0A-3D639002A0C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49" authorId="0" shapeId="0" xr:uid="{55F96520-C79C-48A2-B6EF-2AB5A0F5096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49" authorId="0" shapeId="0" xr:uid="{29CADF52-3DA0-413E-852D-8FDF2AD9F04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49" authorId="0" shapeId="0" xr:uid="{5013FC17-B9FB-4598-96A6-2F6F858F55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49" authorId="0" shapeId="0" xr:uid="{183A81A1-89A0-4EE5-A892-5232A10D95E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49" authorId="0" shapeId="0" xr:uid="{4DFBC1B7-6335-47BD-9AF5-72C93D24034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50" authorId="0" shapeId="0" xr:uid="{4CB3C074-8388-4060-A5B0-67AD18B1F2A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50" authorId="0" shapeId="0" xr:uid="{FA0D32FA-85A7-4CA2-9842-B4E78899D60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50" authorId="0" shapeId="0" xr:uid="{DCEFABA9-343F-F343-8AA2-3A8B8652030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50" authorId="0" shapeId="0" xr:uid="{2983A396-B346-4F43-8EA6-63A5BBB1BFB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50" authorId="0" shapeId="0" xr:uid="{C267F1EB-C00B-A94C-98E3-C6B184AA6E5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50" authorId="0" shapeId="0" xr:uid="{8925CE10-209D-4A42-B88A-9FFBA4C8083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51" authorId="0" shapeId="0" xr:uid="{6D91A1C8-DAC5-4613-8B9A-9B6A3972209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51" authorId="0" shapeId="0" xr:uid="{67CDE66C-1BDC-47BB-B72F-101B941C63F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51" authorId="0" shapeId="0" xr:uid="{5D6A2A56-6E31-0B43-BF3E-10956A014C4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51" authorId="0" shapeId="0" xr:uid="{09833CBF-9CDF-5D44-81A6-1B8397AED17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51" authorId="0" shapeId="0" xr:uid="{33805B7C-19DA-C14B-BC32-643899B4FC9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51" authorId="0" shapeId="0" xr:uid="{47CACB3C-09FA-1145-8540-4718EB4C7C1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52" authorId="0" shapeId="0" xr:uid="{88D8CDF7-DE65-4AD7-AD9C-9B292F19FC6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52" authorId="0" shapeId="0" xr:uid="{A0B8E263-BF98-485B-9FF0-243484F4647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52" authorId="0" shapeId="0" xr:uid="{B6C4F61E-32DC-C54F-BF36-73AA9DB7C646}">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52" authorId="0" shapeId="0" xr:uid="{CD365C86-035C-EF4C-9A70-354791769F5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52" authorId="0" shapeId="0" xr:uid="{C1C23730-69D7-E647-A043-4690A0ED129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52" authorId="0" shapeId="0" xr:uid="{94274231-1BBE-3841-8F37-F8C409F6A1F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53" authorId="0" shapeId="0" xr:uid="{F2AD04F7-E034-416F-8300-B1B6317C597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53" authorId="0" shapeId="0" xr:uid="{AD0F270D-D08B-48F3-9CEA-0CF2F6F4C16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53" authorId="0" shapeId="0" xr:uid="{C00B04F6-644E-9D4D-98BC-68C9BB55D47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53" authorId="0" shapeId="0" xr:uid="{399A35FA-C27A-1646-81F6-F74A3118ADE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53" authorId="0" shapeId="0" xr:uid="{C28BFE0B-09E9-3749-8B3F-0FF3C231208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53" authorId="0" shapeId="0" xr:uid="{7618887F-7003-0F49-9B1B-4BBB61DF4AD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54" authorId="0" shapeId="0" xr:uid="{C6627812-1B8A-40E8-A53B-0C857411012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54" authorId="0" shapeId="0" xr:uid="{090BF332-783C-464B-9AE5-1B56415E4E8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54" authorId="0" shapeId="0" xr:uid="{D055BC92-F943-4692-B90C-D9EBF89E445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54" authorId="0" shapeId="0" xr:uid="{674A037D-CF7F-4E9D-AB76-7A115E658B1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54" authorId="0" shapeId="0" xr:uid="{B8160806-41A6-4B3E-A240-DF7E9629375C}">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54" authorId="0" shapeId="0" xr:uid="{8D66F3ED-6265-46AE-9939-352FB7FA8D0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55" authorId="0" shapeId="0" xr:uid="{3A8C7BA0-EB4D-4B39-B871-79FB7E512C8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55" authorId="0" shapeId="0" xr:uid="{DD4AEE10-C2D2-4BC0-A75D-7F816DEA771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55" authorId="0" shapeId="0" xr:uid="{BA94B43C-9E57-41D7-9F7E-E45175F4A34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55" authorId="0" shapeId="0" xr:uid="{A3407A29-2AB8-486C-88E4-8BA94F2F484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55" authorId="0" shapeId="0" xr:uid="{5172F435-A5D3-4289-AD81-F432513522B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55" authorId="0" shapeId="0" xr:uid="{8B840EB9-9948-46AA-AFC4-1047C223E4A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56" authorId="0" shapeId="0" xr:uid="{7156C5BB-E9F0-4695-9DBB-F3BFE0B862C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56" authorId="0" shapeId="0" xr:uid="{B34E6B0B-0C5E-4AC6-A783-3BE474880A3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56" authorId="0" shapeId="0" xr:uid="{F7AB7D9F-1B92-C545-BA3C-311D2BD9471F}">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56" authorId="0" shapeId="0" xr:uid="{ED719616-369F-9E4A-9774-D42CE7E7FE1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56" authorId="0" shapeId="0" xr:uid="{C7BF60E7-C2B7-BC49-BA84-CA0EE04212B3}">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56" authorId="0" shapeId="0" xr:uid="{F13C7341-14F5-784D-B719-E51E77A963F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57" authorId="0" shapeId="0" xr:uid="{F04DD9AE-1263-4C2C-AB3C-64252560F01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57" authorId="0" shapeId="0" xr:uid="{9F92D50F-F982-489A-B848-233245831EE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57" authorId="0" shapeId="0" xr:uid="{D748F808-16FC-0F41-B7E5-EFEC220960E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57" authorId="0" shapeId="0" xr:uid="{94F7431F-D46F-CD4C-AF66-C16E366AC09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57" authorId="0" shapeId="0" xr:uid="{D58C0CED-9F4F-3D4D-9389-9DC9C8D210C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57" authorId="0" shapeId="0" xr:uid="{7B847C5C-CB2B-5E4B-96E1-C1D2088C0B1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61" authorId="0" shapeId="0" xr:uid="{67AC3C00-DFB2-4F16-AEDE-09C144F90B1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61" authorId="0" shapeId="0" xr:uid="{9D181978-EA7D-4C12-8548-A8349FCD0C8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61" authorId="0" shapeId="0" xr:uid="{8FBD1CDF-505C-41CD-89BB-2F28817A4499}">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61" authorId="0" shapeId="0" xr:uid="{EDD70B43-E46C-401B-A898-55C6B5880F3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61" authorId="0" shapeId="0" xr:uid="{DAE02AB8-2971-4D1C-90AE-CC58A6DC3FB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61" authorId="0" shapeId="0" xr:uid="{DD9ACDAA-EC76-49E0-A087-9F28984925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62" authorId="0" shapeId="0" xr:uid="{ADC34435-88E4-464C-B71E-99E6CACE309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62" authorId="0" shapeId="0" xr:uid="{C568B853-18C2-44C1-8E3A-17959666CB6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62" authorId="0" shapeId="0" xr:uid="{0AC5B5C6-6118-496F-B35A-AE283513690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62" authorId="0" shapeId="0" xr:uid="{004A6C2A-A6AA-42DC-9EEA-0DFBB4147D3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62" authorId="0" shapeId="0" xr:uid="{F2397E6F-9FB8-49EF-B449-C2AE68342C8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62" authorId="0" shapeId="0" xr:uid="{A6FA9604-3564-4A22-84B8-5D0468F6BE4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63" authorId="0" shapeId="0" xr:uid="{58C25C25-3161-47FC-81CE-2731E9941CA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63" authorId="0" shapeId="0" xr:uid="{B53C0557-11F0-4997-BE6E-76EB4839D7C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63" authorId="0" shapeId="0" xr:uid="{8880F859-C5FC-419E-887D-1F9C8F02F0BB}">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63" authorId="0" shapeId="0" xr:uid="{CC1FC4AE-484A-4643-9F51-43591CB01C6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63" authorId="0" shapeId="0" xr:uid="{AA5AFEB7-1A46-4259-A083-A5866BB68C2D}">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63" authorId="0" shapeId="0" xr:uid="{12F9BAE2-5887-48E7-ADB5-B67CA16A842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64" authorId="0" shapeId="0" xr:uid="{44144864-B383-4EED-95CB-5BFC3C665BD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64" authorId="0" shapeId="0" xr:uid="{5B7FAFEA-A400-4547-AB05-CB1F564B547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64" authorId="0" shapeId="0" xr:uid="{2CFFF33A-0A82-465F-BD14-6E7667C559C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64" authorId="0" shapeId="0" xr:uid="{569D26FE-ACEE-4EE2-8908-C6918F132A9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64" authorId="0" shapeId="0" xr:uid="{6EDE5C6E-2F6C-43CF-93B1-D1116B467DD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64" authorId="0" shapeId="0" xr:uid="{1655DBDF-520E-4C67-A237-A2E4F8270CF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65" authorId="0" shapeId="0" xr:uid="{C4A47D4E-1B3E-4A91-9F57-EE6185E900F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65" authorId="0" shapeId="0" xr:uid="{D35C223F-13C5-4501-9E0A-A6D81E08BBC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65" authorId="0" shapeId="0" xr:uid="{A0F8F828-5139-4AC3-9D7E-917586115968}">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65" authorId="0" shapeId="0" xr:uid="{9D7B65E5-4B6F-4EED-AB40-694652F7F3E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65" authorId="0" shapeId="0" xr:uid="{1B8D4029-9E70-41BF-B61B-D6A9EF4B6CF2}">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65" authorId="0" shapeId="0" xr:uid="{F21F0007-03BD-412B-A5AB-A16BF3ADFE4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66" authorId="0" shapeId="0" xr:uid="{A5DF472B-37F8-421F-969F-A0925BC850A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66" authorId="0" shapeId="0" xr:uid="{3CFC77B6-BD9B-4C48-919C-576CBAC491A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66" authorId="0" shapeId="0" xr:uid="{5C819A66-3548-405E-8DF2-F5ADD0EF3FD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66" authorId="0" shapeId="0" xr:uid="{F924602A-897A-4474-BF2A-D10CC6F8E76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66" authorId="0" shapeId="0" xr:uid="{013F261D-E163-440F-8210-86397BA0230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66" authorId="0" shapeId="0" xr:uid="{23C05892-10E6-4826-B39B-99D0C129109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67" authorId="0" shapeId="0" xr:uid="{F647709F-7C94-4631-AF17-AF5B5424FDB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67" authorId="0" shapeId="0" xr:uid="{9E142636-DCEF-4B82-815F-35A976BB886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67" authorId="0" shapeId="0" xr:uid="{8F80BDBD-C15F-44C6-A62F-7FAA8FD279A5}">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67" authorId="0" shapeId="0" xr:uid="{B40D4E3C-73B3-4DA1-AAE8-CFEE30084AB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67" authorId="0" shapeId="0" xr:uid="{C59362B5-FE71-4A0B-9D7B-89CCC7D348F5}">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67" authorId="0" shapeId="0" xr:uid="{23AF5850-4A49-4E02-B72C-ECC177AC328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68" authorId="0" shapeId="0" xr:uid="{3ED591C1-E035-4977-88AD-AD5C950381A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68" authorId="0" shapeId="0" xr:uid="{858F7C89-6CB1-4826-9E03-C29F24D535F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68" authorId="0" shapeId="0" xr:uid="{F0E7E5C9-BB53-4D80-B119-919451383A0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68" authorId="0" shapeId="0" xr:uid="{BE564FC9-6D12-4DCA-BDAF-7B586B813F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68" authorId="0" shapeId="0" xr:uid="{9D11E59A-02AE-4999-8A3A-F51924FFC7E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68" authorId="0" shapeId="0" xr:uid="{2DF9661A-223F-49DD-87A7-C06CF86EA31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69" authorId="0" shapeId="0" xr:uid="{224DCA25-02AF-4C56-8C10-8BCBFEE4F51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69" authorId="0" shapeId="0" xr:uid="{9FCD304C-38A2-4DD8-B49F-362FCEF06AD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69" authorId="0" shapeId="0" xr:uid="{FFA46701-DEC0-4905-A3D5-B2CC4262BB6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69" authorId="0" shapeId="0" xr:uid="{495B8416-E9A7-46D8-A402-945212B3DE3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69" authorId="0" shapeId="0" xr:uid="{D06B0360-E530-48EB-8EB1-792C063DB04A}">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69" authorId="0" shapeId="0" xr:uid="{EE0A6638-F109-423C-B99C-D28E88B660F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70" authorId="0" shapeId="0" xr:uid="{48CC891E-7A92-47C8-A287-92B7A3B8A5B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70" authorId="0" shapeId="0" xr:uid="{7940223F-A1CC-458F-9597-131B54EDF8C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70" authorId="0" shapeId="0" xr:uid="{D5277808-213C-45DD-AD05-8291ABBF73E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70" authorId="0" shapeId="0" xr:uid="{D86AE632-D708-470E-B8B5-CC4DFC8FA63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70" authorId="0" shapeId="0" xr:uid="{4569C746-2F0A-47F7-B4A1-D09FEE0212A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70" authorId="0" shapeId="0" xr:uid="{2D4AF7F4-77D7-44D2-9466-37BDD78E680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71" authorId="0" shapeId="0" xr:uid="{2342AF55-189B-4CD7-A40B-0036A32BFBB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71" authorId="0" shapeId="0" xr:uid="{DEA7C054-03E1-47A3-B2EC-D2B9545741D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71" authorId="0" shapeId="0" xr:uid="{0DAEC851-9A60-4D46-8ED2-1A534C902C35}">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71" authorId="0" shapeId="0" xr:uid="{94285463-3090-49CC-BFE1-9260AB3E46F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71" authorId="0" shapeId="0" xr:uid="{5136A0E6-A2CA-47FE-ADA1-73A2F95F1622}">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71" authorId="0" shapeId="0" xr:uid="{5160086E-FE07-4B37-86EE-4CFC4111879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72" authorId="0" shapeId="0" xr:uid="{4678F6B5-C716-418A-BF63-8BEC50297C7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72" authorId="0" shapeId="0" xr:uid="{A05E8282-168A-479B-B17A-DD189ADA4BB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72" authorId="0" shapeId="0" xr:uid="{E6050620-6064-4D61-A3E4-A13AE8C2F60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72" authorId="0" shapeId="0" xr:uid="{BA0DE851-40A8-4D15-A3C1-211095EB477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72" authorId="0" shapeId="0" xr:uid="{466A3072-40B0-4F6C-973B-1EAF8C3FF47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72" authorId="0" shapeId="0" xr:uid="{36D80AB1-DD3B-4365-9070-77DF42AAAE5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73" authorId="0" shapeId="0" xr:uid="{0DA8A6A4-23CD-4E98-B037-00455968C70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73" authorId="0" shapeId="0" xr:uid="{A179732A-B2EA-47DA-932A-52A9253F2B8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73" authorId="0" shapeId="0" xr:uid="{539A7751-E2C7-0C46-8ACA-B2125C1CB16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73" authorId="0" shapeId="0" xr:uid="{2264A582-318A-9448-8DFD-CD088CD10E9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73" authorId="0" shapeId="0" xr:uid="{7EE07094-8B1B-CA4F-A7FC-4BBF445CDB3E}">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73" authorId="0" shapeId="0" xr:uid="{DAE89DF6-799B-A348-BEDB-CF3D48D3D3D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74" authorId="0" shapeId="0" xr:uid="{FC46170E-68C6-4979-A2D8-5350E0B4FEC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74" authorId="0" shapeId="0" xr:uid="{48106D73-5E1A-4BAA-9EC3-C936B783D9A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74" authorId="0" shapeId="0" xr:uid="{68D1AC94-21A5-AD4D-B253-33DD242EF8C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74" authorId="0" shapeId="0" xr:uid="{3A3538DE-6554-4C4C-93EE-279942DA4AD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74" authorId="0" shapeId="0" xr:uid="{5E26E9F4-7602-9A44-82EA-465949E9222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74" authorId="0" shapeId="0" xr:uid="{64E049B5-4EC7-4349-AB13-079B7C0D732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75" authorId="0" shapeId="0" xr:uid="{A271CD03-568D-4C18-BCEB-081A6C96C5F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75" authorId="0" shapeId="0" xr:uid="{F1AE64A9-F520-419B-B0FB-8AB6E0623B5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75" authorId="0" shapeId="0" xr:uid="{8FF83EC2-B6A8-4661-B529-6E7E6DAEB649}">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75" authorId="0" shapeId="0" xr:uid="{FE6EB140-5B7D-4D45-8D04-7E18219C6DE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75" authorId="0" shapeId="0" xr:uid="{6D07C59D-27C5-4B98-A7D0-E17C0BE46F09}">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75" authorId="0" shapeId="0" xr:uid="{A2A8036E-738B-4AA8-A38C-0E966236D02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76" authorId="0" shapeId="0" xr:uid="{3101CBC2-1542-45B4-A360-4C327C12FAF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76" authorId="0" shapeId="0" xr:uid="{BE06A9C6-1B74-41A5-B148-EF538ABEC5D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76" authorId="0" shapeId="0" xr:uid="{3C709E98-9561-4530-9620-B292EBDE1DD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76" authorId="0" shapeId="0" xr:uid="{8737D51D-DFEB-4CA9-9213-24FD406AA5E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76" authorId="0" shapeId="0" xr:uid="{D6DF3FDB-95A3-4DD3-B1FE-BA3B0C9C525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76" authorId="0" shapeId="0" xr:uid="{B0281702-1D55-49DE-B825-604FD309A26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77" authorId="0" shapeId="0" xr:uid="{97168A7A-4B95-475E-8A6A-BAE52FECFA2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77" authorId="0" shapeId="0" xr:uid="{E5C6A09F-2E9D-4C15-9821-FC16C7F6E46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77" authorId="0" shapeId="0" xr:uid="{6542C5FA-423B-47AD-8665-F7DACDF8B04B}">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77" authorId="0" shapeId="0" xr:uid="{B30E31FA-05CF-4E5C-9639-D7D6976D30E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77" authorId="0" shapeId="0" xr:uid="{ED6FBC2D-1159-456A-A380-0E95698A0101}">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77" authorId="0" shapeId="0" xr:uid="{E129542B-3E11-456C-A03F-509CF55D662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78" authorId="0" shapeId="0" xr:uid="{D6D0769A-1AAA-458D-99C4-56EBB301754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78" authorId="0" shapeId="0" xr:uid="{C9E7A207-6ACE-4AAD-9459-214240D8D86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78" authorId="0" shapeId="0" xr:uid="{D9DFA84F-7164-4C03-8F37-0E532DCD6AC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78" authorId="0" shapeId="0" xr:uid="{9CCB49E3-602F-485C-AB2E-A161CAF9244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78" authorId="0" shapeId="0" xr:uid="{BC12BDB3-C1A1-413F-A505-6E423B9EB6C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78" authorId="0" shapeId="0" xr:uid="{94BFCD77-6017-413E-A690-F2E32124757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79" authorId="0" shapeId="0" xr:uid="{8A39CD3E-D36E-4965-A576-0474F72D9B0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79" authorId="0" shapeId="0" xr:uid="{4E71F57E-49C4-482E-97D0-562F7331537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79" authorId="0" shapeId="0" xr:uid="{B40950DA-FDE2-478D-B198-913AE717DB47}">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O179" authorId="0" shapeId="0" xr:uid="{AD34D11D-6DF8-49E8-8D6A-1C91F3A2C38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79" authorId="0" shapeId="0" xr:uid="{D052C2CB-0288-4C50-BA2E-77DE277239CD}">
      <text>
        <r>
          <rPr>
            <b/>
            <sz val="10"/>
            <color rgb="FF000000"/>
            <rFont val="Tahoma"/>
            <family val="2"/>
          </rPr>
          <t>Francesco Parigi:</t>
        </r>
        <r>
          <rPr>
            <sz val="10"/>
            <color rgb="FF000000"/>
            <rFont val="Tahoma"/>
            <family val="2"/>
          </rPr>
          <t xml:space="preserve">
</t>
        </r>
        <r>
          <rPr>
            <sz val="10"/>
            <color rgb="FF000000"/>
            <rFont val="Tahoma"/>
            <family val="2"/>
          </rPr>
          <t xml:space="preserve">Text </t>
        </r>
      </text>
    </comment>
    <comment ref="R179" authorId="0" shapeId="0" xr:uid="{EB4C0BC4-7895-4B6A-ACD0-5DB8C8BE363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80" authorId="0" shapeId="0" xr:uid="{C0B6544B-52CA-4D41-9186-8D4A1BF16BB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80" authorId="0" shapeId="0" xr:uid="{05E41844-4BC4-4906-9A85-725070329EE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80" authorId="0" shapeId="0" xr:uid="{64B5D20D-04A9-46A8-8087-2857E6C4B24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80" authorId="0" shapeId="0" xr:uid="{C25F21C5-4780-4A8E-81F1-22ADB7E1281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80" authorId="0" shapeId="0" xr:uid="{C23D4CD1-B6A6-42F9-9FFA-9C32B373FE8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80" authorId="0" shapeId="0" xr:uid="{4FC84DE8-C210-4B14-B70E-79C6BF0E9C8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84" authorId="0" shapeId="0" xr:uid="{E0AE2599-4FD3-473C-9592-504DA0FC4C8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84" authorId="0" shapeId="0" xr:uid="{06FFCD78-132B-4B42-8992-83C130E5402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84" authorId="0" shapeId="0" xr:uid="{1C63EAF4-04E2-0C4D-AF1A-1B3D5D81146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84" authorId="0" shapeId="0" xr:uid="{E4F81731-0005-1649-83FE-4691E1209CC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84" authorId="0" shapeId="0" xr:uid="{18256514-CCAF-A04D-B2E9-B3EF2ED4D48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84" authorId="0" shapeId="0" xr:uid="{084B2052-27BE-3443-950E-4717C534B14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85" authorId="0" shapeId="0" xr:uid="{4A8CB345-6193-4306-905E-F9E3A57FCEE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85" authorId="0" shapeId="0" xr:uid="{23412EB9-E1AD-44FC-B5B7-2EB6FE5B7B7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85" authorId="0" shapeId="0" xr:uid="{B5CC57BF-59CF-1C44-A1E4-D5F51AA9860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85" authorId="0" shapeId="0" xr:uid="{F27C9AE7-1A5E-EA4C-B29F-AAA15B6578C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85" authorId="0" shapeId="0" xr:uid="{8302EE6E-6547-9446-A434-E77BA784CDD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85" authorId="0" shapeId="0" xr:uid="{3ECB6C95-05BF-E041-BA9F-C03EA0DC9F8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86" authorId="0" shapeId="0" xr:uid="{A603386E-F77F-408A-B31C-6010B38ACCB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86" authorId="0" shapeId="0" xr:uid="{D3041C18-3E6D-441B-B051-CDF7AD1DE07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86" authorId="0" shapeId="0" xr:uid="{CC5E93C7-837F-AE44-AC03-6D8850FE3F9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86" authorId="0" shapeId="0" xr:uid="{FA20C972-01F7-9A4D-B3D8-80F19352112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86" authorId="0" shapeId="0" xr:uid="{0A6882A8-C1A0-884C-AC6D-FC9E2AB7AFE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86" authorId="0" shapeId="0" xr:uid="{6B853E73-F8A0-7B42-B8EC-2305929C89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87" authorId="0" shapeId="0" xr:uid="{B45AF72E-10BA-4DF1-A095-FEB8F62CD37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87" authorId="0" shapeId="0" xr:uid="{CE5B19D0-8781-4080-A7F8-635CC91250A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87" authorId="0" shapeId="0" xr:uid="{F6D6092D-60C0-D647-9796-1DA1E7ACBE1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87" authorId="0" shapeId="0" xr:uid="{4D6B728E-FEB9-C54D-990A-E79A8487CDA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87" authorId="0" shapeId="0" xr:uid="{4D580629-2D8B-F94E-90BA-E819106787E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87" authorId="0" shapeId="0" xr:uid="{B92CFF7B-38FE-9849-8474-5D1FDCC1904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88" authorId="0" shapeId="0" xr:uid="{BDD91322-970D-400D-9C97-4E54DC30CF2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88" authorId="0" shapeId="0" xr:uid="{6EB478A3-B3FB-4CC1-AF18-0D74D49E08D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88" authorId="0" shapeId="0" xr:uid="{860AACEA-E353-5446-8174-5A03019B998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88" authorId="0" shapeId="0" xr:uid="{17659210-6255-FD48-B034-74174EB06B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88" authorId="0" shapeId="0" xr:uid="{A0035552-9526-4546-A973-94D9B503827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88" authorId="0" shapeId="0" xr:uid="{7F056C10-3C72-A349-A049-A1BF45487EC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89" authorId="0" shapeId="0" xr:uid="{E06D2903-1CAF-46BC-8CAB-A1F49C09FA8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89" authorId="0" shapeId="0" xr:uid="{590517F6-4BE2-4C40-9138-375CAFCC0BF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89" authorId="0" shapeId="0" xr:uid="{26E04000-A414-F046-B978-DA32E7EADFB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89" authorId="0" shapeId="0" xr:uid="{2F57E068-18A0-7F4A-8228-D6A650B50F4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89" authorId="0" shapeId="0" xr:uid="{E0527201-E39A-A048-AE56-4531404FC11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89" authorId="0" shapeId="0" xr:uid="{61579596-E354-144F-BAAA-CF6E554CB00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0" authorId="0" shapeId="0" xr:uid="{80234BFE-AE23-CF42-88B6-1AF2DE5A14D3}">
      <text>
        <r>
          <rPr>
            <b/>
            <sz val="10"/>
            <color rgb="FF000000"/>
            <rFont val="Tahoma"/>
            <family val="2"/>
          </rPr>
          <t>Francesco Parigi:</t>
        </r>
        <r>
          <rPr>
            <sz val="10"/>
            <color rgb="FF000000"/>
            <rFont val="Tahoma"/>
            <family val="2"/>
          </rPr>
          <t xml:space="preserve">
</t>
        </r>
        <r>
          <rPr>
            <sz val="10"/>
            <color rgb="FF000000"/>
            <rFont val="Calibri"/>
            <family val="2"/>
          </rPr>
          <t xml:space="preserve">e.g. Soil and Substrate Preparation, Temperature and Humidity Control, Greenhouse Maintenance
</t>
        </r>
      </text>
    </comment>
    <comment ref="K190" authorId="0" shapeId="0" xr:uid="{719CD87A-11AC-490E-8C27-6EFCC26FD68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90" authorId="0" shapeId="0" xr:uid="{056CC97C-C1A0-4FA0-AE70-57C0C17183A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90" authorId="0" shapeId="0" xr:uid="{64C323C7-6001-8F4D-A72A-27F8ED015FD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90" authorId="0" shapeId="0" xr:uid="{B5D813A6-B5F5-3348-972C-F1585534F87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90" authorId="0" shapeId="0" xr:uid="{BA2D38B6-94D0-5A4B-8CEC-BCCA8505F87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90" authorId="0" shapeId="0" xr:uid="{233876D1-7E93-2849-AB08-95F6A88F45E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91" authorId="0" shapeId="0" xr:uid="{2D213632-1F84-4DD0-B1EB-0318BDD537E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91" authorId="0" shapeId="0" xr:uid="{F10D0DBB-866D-4780-9477-5D40B15B59B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91" authorId="0" shapeId="0" xr:uid="{F1EE9984-4273-FC48-B956-61B9F123AD0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91" authorId="0" shapeId="0" xr:uid="{9FE5F99F-E59A-F44A-BAE7-AD0D1C00AE0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91" authorId="0" shapeId="0" xr:uid="{DAD5632D-8781-404D-9898-47FAD54EC2D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91" authorId="0" shapeId="0" xr:uid="{1BFD1F13-6D6B-9944-8D68-6ABBC4375EB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92" authorId="0" shapeId="0" xr:uid="{C12C7EEF-D4DD-4046-80E9-AFE213AAB34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92" authorId="0" shapeId="0" xr:uid="{BB78114A-2415-48DD-93E6-A9CB7DA8EBD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92" authorId="0" shapeId="0" xr:uid="{AAC118A8-A47F-FF46-A40D-9D685C031CA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92" authorId="0" shapeId="0" xr:uid="{BED537CB-EFBC-384E-A5B3-E94FD63F7B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92" authorId="0" shapeId="0" xr:uid="{505D8C2D-62F3-2548-8151-F063A4BC51D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92" authorId="0" shapeId="0" xr:uid="{668F3F6E-207B-174D-B90F-D5593591D3B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93" authorId="0" shapeId="0" xr:uid="{E6493634-27A3-4693-85DE-32ED07A2C2C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93" authorId="0" shapeId="0" xr:uid="{85E70A0B-E727-4989-AF07-EE75A4DF01F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93" authorId="0" shapeId="0" xr:uid="{00748D43-3CD8-A64A-B802-9586B2B6ABE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93" authorId="0" shapeId="0" xr:uid="{1995799D-8F22-CE4B-B923-EF1AD110637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93" authorId="0" shapeId="0" xr:uid="{BE4F7642-BC2A-2D42-B2D6-950FFA92EFD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93" authorId="0" shapeId="0" xr:uid="{3ACEC5BC-419D-B84B-89E5-AFEC789C055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94" authorId="0" shapeId="0" xr:uid="{C8DEFE62-4F38-4645-A889-74D6FAA41AB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94" authorId="0" shapeId="0" xr:uid="{BEE1206F-CF3F-451E-92FD-5A273C607F0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94" authorId="0" shapeId="0" xr:uid="{A3CFC5DC-DBD5-B04B-A1D7-0F27184561D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94" authorId="0" shapeId="0" xr:uid="{169A0B79-0556-0344-B63B-9D3964F786A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94" authorId="0" shapeId="0" xr:uid="{B0010D6E-A8E0-BB47-A8A2-8F643DE5395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94" authorId="0" shapeId="0" xr:uid="{E62AD844-D1D5-3047-879C-61CA5DBDCCD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95" authorId="0" shapeId="0" xr:uid="{A9882681-BD19-4D12-B663-7B2F0A68A70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95" authorId="0" shapeId="0" xr:uid="{6340D0C4-DC30-4527-A7CD-CF048D1860A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95" authorId="0" shapeId="0" xr:uid="{718E5B19-108C-6946-8880-6B24C1F8607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95" authorId="0" shapeId="0" xr:uid="{C6C5B169-DC8D-744C-A106-84574EC9329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95" authorId="0" shapeId="0" xr:uid="{01A37C6E-2C0D-1B47-85C6-E4E5608625B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95" authorId="0" shapeId="0" xr:uid="{05AE98C3-A33A-744F-8145-B758DFD4280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96" authorId="0" shapeId="0" xr:uid="{775AAC94-DAED-4596-BA01-5C6B8432EA0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96" authorId="0" shapeId="0" xr:uid="{8E4AD3C6-4AA6-4319-BF6E-D8C87A263B5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96" authorId="0" shapeId="0" xr:uid="{DAFE0C65-2744-674E-BC23-E5AB3E3C980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96" authorId="0" shapeId="0" xr:uid="{C42C36B2-FB2A-BA4F-AFB0-0189C0716C4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96" authorId="0" shapeId="0" xr:uid="{B5E036F1-4128-9244-A18A-E0245DFB43E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96" authorId="0" shapeId="0" xr:uid="{0B4402BB-DE0E-F849-995B-EFBCE64E956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97" authorId="0" shapeId="0" xr:uid="{9D284499-9F4A-4B8B-A215-3C9663A05BD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97" authorId="0" shapeId="0" xr:uid="{9590FC65-36E8-428F-98C2-F1935181800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97" authorId="0" shapeId="0" xr:uid="{F1CAF436-53E9-294D-B52A-1032032B546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97" authorId="0" shapeId="0" xr:uid="{F9AF05D4-5411-F649-9B72-AA208F2D048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97" authorId="0" shapeId="0" xr:uid="{34A12DC5-665A-E84F-88CE-636450A88A1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97" authorId="0" shapeId="0" xr:uid="{EBF73315-C71F-B843-ADCD-0AB7ED70493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98" authorId="0" shapeId="0" xr:uid="{11098102-97E8-495F-8B47-21F8D86B921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98" authorId="0" shapeId="0" xr:uid="{130BCAC6-E199-4E7C-A577-A99925155B8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98" authorId="0" shapeId="0" xr:uid="{9F5B6FF0-C890-5241-83B3-D8E885D19EF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98" authorId="0" shapeId="0" xr:uid="{41A2C6F4-6719-9E4B-B23D-086521EA7E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98" authorId="0" shapeId="0" xr:uid="{2C43F126-472B-D840-89C1-F59C6555356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98" authorId="0" shapeId="0" xr:uid="{8EA3EEB3-3353-614E-8BB7-6E4145DEE9F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199" authorId="0" shapeId="0" xr:uid="{E8495AAD-C806-4F76-AF97-2983881316B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199" authorId="0" shapeId="0" xr:uid="{2861CFFE-92A9-4044-B8D2-D831B5FED55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199" authorId="0" shapeId="0" xr:uid="{A91D3C83-8D39-094D-B5E0-15197A25BF9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199" authorId="0" shapeId="0" xr:uid="{F999DAF2-DFD5-3B4E-B352-106A9C192BD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199" authorId="0" shapeId="0" xr:uid="{D813A6F2-B498-AE40-8D90-58BE3C32370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199" authorId="0" shapeId="0" xr:uid="{53FDE243-A9D6-0847-8E41-BE2039D4DBD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00" authorId="0" shapeId="0" xr:uid="{5E33A05B-9F3A-4320-99C2-FF38B6BCD45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00" authorId="0" shapeId="0" xr:uid="{35EDCB8E-3CE9-4AAD-B72B-6C3E57D316E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00" authorId="0" shapeId="0" xr:uid="{69681141-2260-6443-8EEB-77D3557E254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00" authorId="0" shapeId="0" xr:uid="{AED7C985-463C-4645-975E-166963075D2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00" authorId="0" shapeId="0" xr:uid="{69B45290-E8FF-0A4B-B8D6-93AB0F3923C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00" authorId="0" shapeId="0" xr:uid="{73ADE7BE-1CA6-B446-87BD-DDB62AE187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01" authorId="0" shapeId="0" xr:uid="{02634448-3E67-4E44-8F9E-32F968EEA52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01" authorId="0" shapeId="0" xr:uid="{40F94FEF-8891-413F-8EC6-31A604F4D06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01" authorId="0" shapeId="0" xr:uid="{D0F71EAF-BEF5-DB49-B3F4-23DCAA4BCC0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01" authorId="0" shapeId="0" xr:uid="{6756D122-99EE-B148-AA00-734B075066A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01" authorId="0" shapeId="0" xr:uid="{3E973EC0-C620-4148-B42E-07EAF9C5FD2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01" authorId="0" shapeId="0" xr:uid="{0786661C-8992-8946-9469-DEDF7E5C431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02" authorId="0" shapeId="0" xr:uid="{5C746CF0-19B0-4BF5-81A6-A8484088EEA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02" authorId="0" shapeId="0" xr:uid="{9FA253B9-2366-4C35-8DF7-748B8A8FECB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02" authorId="0" shapeId="0" xr:uid="{865501BC-6DD9-1247-8F72-40BCF0FC5CA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02" authorId="0" shapeId="0" xr:uid="{47A205F5-11F6-7344-951B-049DC1798BD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02" authorId="0" shapeId="0" xr:uid="{8FC07A32-1F34-0E4C-A73A-689F8FCF783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02" authorId="0" shapeId="0" xr:uid="{900FBED1-F0F3-8C48-BC39-026FA792DD2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03" authorId="0" shapeId="0" xr:uid="{FCE903DB-0379-409D-82DF-CAB2EA42451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03" authorId="0" shapeId="0" xr:uid="{4F16FD26-966A-49EA-97F2-B3536FAD6BC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03" authorId="0" shapeId="0" xr:uid="{9C8AD8D4-3F92-F04D-AC38-DCEA75FF7A5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03" authorId="0" shapeId="0" xr:uid="{06FC18B4-0EFE-2741-9F2C-CC18FDC6C5B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03" authorId="0" shapeId="0" xr:uid="{04EAFA22-D3AA-EA44-AE81-D8797C21E1F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03" authorId="0" shapeId="0" xr:uid="{1210D922-C76A-FC47-944E-DCECE7E3A0A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04" authorId="0" shapeId="0" xr:uid="{A0484D01-60B6-42FB-A979-A4F6224C841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04" authorId="0" shapeId="0" xr:uid="{0F29F3F3-52F4-4E5C-80C7-303E066252B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04" authorId="0" shapeId="0" xr:uid="{3B0DB912-BDCA-9247-ABBF-5A7D9EA8F25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04" authorId="0" shapeId="0" xr:uid="{E158B2FC-68C7-4443-9669-C691E35258E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04" authorId="0" shapeId="0" xr:uid="{1CE2C71B-D237-0848-8FE2-2E3BC821DC0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04" authorId="0" shapeId="0" xr:uid="{288568D9-E133-F347-9374-8C3272A5ABE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05" authorId="0" shapeId="0" xr:uid="{CFA4A885-D549-47D9-92DA-3E01CFC61DA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05" authorId="0" shapeId="0" xr:uid="{9C8F8FA1-2B77-48C1-9792-FC95DD2848F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05" authorId="0" shapeId="0" xr:uid="{17EC500D-DB76-A741-9453-5DE3B984051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05" authorId="0" shapeId="0" xr:uid="{358343B2-6062-3E49-A4B9-B5797ACF39D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05" authorId="0" shapeId="0" xr:uid="{4CFEFEBE-43C9-4844-8222-126F0BBE2AF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05" authorId="0" shapeId="0" xr:uid="{00D21ECB-0D58-9C4B-85ED-FB23924EC0F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06" authorId="0" shapeId="0" xr:uid="{EA0FDD68-A57B-4A2A-A541-6967D675CA0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06" authorId="0" shapeId="0" xr:uid="{9EF0F731-B129-4705-BC75-32D71BDC5B2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06" authorId="0" shapeId="0" xr:uid="{A713BBE4-436D-F94B-8880-24801EE7F26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06" authorId="0" shapeId="0" xr:uid="{00B476CC-EB74-8344-A9AF-763F4008D97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06" authorId="0" shapeId="0" xr:uid="{05EC93C1-4AAF-1D4C-ADB6-ADE19120125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06" authorId="0" shapeId="0" xr:uid="{665B205F-C108-264D-9911-3897464B9F9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07" authorId="0" shapeId="0" xr:uid="{041AFCC6-F90B-47C0-855B-C78F81C86DC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07" authorId="0" shapeId="0" xr:uid="{08A3FBC7-FB67-4114-9501-526B06672F8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07" authorId="0" shapeId="0" xr:uid="{10A9C400-D7D0-D44F-A1F2-50E5BDF7618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07" authorId="0" shapeId="0" xr:uid="{1A733DF4-A6FC-D547-A24B-051DAB06009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07" authorId="0" shapeId="0" xr:uid="{9C5D1AAF-8344-A04C-B222-B06F5F0C434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07" authorId="0" shapeId="0" xr:uid="{82946060-B746-074F-A115-F499EEDB87D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08" authorId="0" shapeId="0" xr:uid="{E67DBC97-9AFA-40C3-A959-CD342AF846F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08" authorId="0" shapeId="0" xr:uid="{1F006F57-0446-4875-8007-99FFB610E9A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08" authorId="0" shapeId="0" xr:uid="{4B7B5E91-76C0-D74A-B985-BEFDF692029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08" authorId="0" shapeId="0" xr:uid="{762BE6C6-CC42-1D46-8135-EA9BDF700C0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08" authorId="0" shapeId="0" xr:uid="{2B661DC0-505B-5046-B295-7121EEEC4E1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08" authorId="0" shapeId="0" xr:uid="{41B58470-CF1B-074B-9455-13F3FD551B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D210" authorId="0" shapeId="0" xr:uid="{75918C94-75C6-9C4E-8AE1-E90CE3DCE062}">
      <text>
        <r>
          <rPr>
            <b/>
            <sz val="10"/>
            <color rgb="FF000000"/>
            <rFont val="Tahoma"/>
            <family val="2"/>
          </rPr>
          <t>Francesco Parigi:</t>
        </r>
        <r>
          <rPr>
            <sz val="10"/>
            <color rgb="FF000000"/>
            <rFont val="Tahoma"/>
            <family val="2"/>
          </rPr>
          <t xml:space="preserve">
</t>
        </r>
        <r>
          <rPr>
            <sz val="10"/>
            <color rgb="FF000000"/>
            <rFont val="Tahoma"/>
            <family val="2"/>
          </rPr>
          <t>necessary to calculate economic KPIs</t>
        </r>
      </text>
    </comment>
    <comment ref="K212" authorId="0" shapeId="0" xr:uid="{BCE3BB8D-BD91-4887-9BD9-85E3B12CC0A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12" authorId="0" shapeId="0" xr:uid="{88594E36-16A7-49B1-B1C1-D1CC5FF76BE6}">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12" authorId="0" shapeId="0" xr:uid="{9C579092-2C2F-5543-AA5B-561BA8810B64}">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212" authorId="0" shapeId="0" xr:uid="{87A43BD4-E565-A248-8FA0-0556402EB46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12" authorId="0" shapeId="0" xr:uid="{78274AA7-97B9-2147-9BC9-358BBE1AFEBD}">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212" authorId="0" shapeId="0" xr:uid="{D0C8B3D3-D61E-6043-A8DD-D800D38D5F9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13" authorId="0" shapeId="0" xr:uid="{C8F28130-8F32-4768-A985-3903E0071A9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13" authorId="0" shapeId="0" xr:uid="{2DC40FF3-99F2-4801-AD81-AA963311038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13" authorId="0" shapeId="0" xr:uid="{BF764FE1-246E-7E48-B79D-C3AAE6D9808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213" authorId="0" shapeId="0" xr:uid="{035DE5DF-2181-5849-938A-F9E7CC6D27F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13" authorId="0" shapeId="0" xr:uid="{3EB49E53-A877-B34A-B402-B89CEFDC0534}">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213" authorId="0" shapeId="0" xr:uid="{AE12671E-2218-3F4F-801C-8E3D7E75FB4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14" authorId="0" shapeId="0" xr:uid="{5154843E-0200-42E6-8E57-2FF1BD1A1DA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14" authorId="0" shapeId="0" xr:uid="{6183E2C5-DF31-45CA-BE1B-43A82CD2453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14" authorId="0" shapeId="0" xr:uid="{D28894A2-1C76-BF42-BB82-17E1421FE81A}">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O214" authorId="0" shapeId="0" xr:uid="{4A29C34E-6FE6-3448-B118-457424DBC3F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14" authorId="0" shapeId="0" xr:uid="{9B50807D-149C-2240-B596-DF1263A0DD72}">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R214" authorId="0" shapeId="0" xr:uid="{ACBCBF88-113D-374B-81D7-1D679B20F00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15" authorId="0" shapeId="0" xr:uid="{DA1397EB-6AAF-422B-A7BC-BF9272FF5C0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15" authorId="0" shapeId="0" xr:uid="{7EFF6CEC-C9BD-4E0A-AC0B-ABA05033EAC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15" authorId="0" shapeId="0" xr:uid="{3CE74008-7789-5045-83AB-19A4DA49BC06}">
      <text>
        <r>
          <rPr>
            <b/>
            <sz val="10"/>
            <color rgb="FF000000"/>
            <rFont val="Tahoma"/>
            <family val="2"/>
          </rPr>
          <t xml:space="preserve">Francesco Parigi:
</t>
        </r>
        <r>
          <rPr>
            <sz val="10"/>
            <color rgb="FF000000"/>
            <rFont val="Tahoma"/>
            <family val="2"/>
          </rPr>
          <t xml:space="preserve">Decimal number 
</t>
        </r>
      </text>
    </comment>
    <comment ref="O215" authorId="0" shapeId="0" xr:uid="{07BF838E-C2CF-9D47-89A5-BD16BF07E14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15" authorId="0" shapeId="0" xr:uid="{4B582D7D-1287-FE42-9661-5278AD3BB496}">
      <text>
        <r>
          <rPr>
            <b/>
            <sz val="10"/>
            <color rgb="FF000000"/>
            <rFont val="Tahoma"/>
            <family val="2"/>
          </rPr>
          <t xml:space="preserve">Francesco Parigi:
</t>
        </r>
        <r>
          <rPr>
            <sz val="10"/>
            <color rgb="FF000000"/>
            <rFont val="Tahoma"/>
            <family val="2"/>
          </rPr>
          <t xml:space="preserve">Decimal number 
</t>
        </r>
      </text>
    </comment>
    <comment ref="R215" authorId="0" shapeId="0" xr:uid="{34433055-1137-C042-B143-E678AEC2D05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16" authorId="0" shapeId="0" xr:uid="{C0BD69EB-B02E-4260-B157-8B791C49304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16" authorId="0" shapeId="0" xr:uid="{EA12F418-A65C-44F4-A038-20D3C4A22C3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16" authorId="0" shapeId="0" xr:uid="{DC32918B-CE66-894A-9700-5257D725501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16" authorId="0" shapeId="0" xr:uid="{3804B10F-9D1F-934D-AA9B-25CCB222662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16" authorId="0" shapeId="0" xr:uid="{49162A46-1C0D-6B4A-816E-AFD3C26A6C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16" authorId="0" shapeId="0" xr:uid="{EF397832-A6A3-9342-AAEB-25A4AA6851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17" authorId="0" shapeId="0" xr:uid="{CAA49B2E-2B5E-44ED-9D42-1623EEA0E41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17" authorId="0" shapeId="0" xr:uid="{6DD962EA-EB75-419D-A457-F089351742B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17" authorId="0" shapeId="0" xr:uid="{7E1E8898-914A-564E-8A99-D3885C2E173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17" authorId="0" shapeId="0" xr:uid="{C99311C7-A667-1843-9440-A3333EA10C1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17" authorId="0" shapeId="0" xr:uid="{D7CA9BB9-25B0-094D-9E64-EF8B4A1E781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17" authorId="0" shapeId="0" xr:uid="{CF0F82D5-EC04-BE46-9B1F-B6C1E39F5D9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18" authorId="0" shapeId="0" xr:uid="{5881023D-A37D-4D5F-8C4B-5EBB9971073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18" authorId="0" shapeId="0" xr:uid="{0C2609F1-FCD9-4AD8-843E-0F7EC5B36B3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18" authorId="0" shapeId="0" xr:uid="{AD3FA85E-D04D-5B41-905C-A944BC0B534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18" authorId="0" shapeId="0" xr:uid="{817E1CCC-8739-084F-B82F-5750065D510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18" authorId="0" shapeId="0" xr:uid="{469D1605-B225-C24A-8504-98FE2A20CDD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18" authorId="0" shapeId="0" xr:uid="{D6A0A410-D423-E142-AB66-A72A649FB5D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D220" authorId="0" shapeId="0" xr:uid="{520E04ED-07B2-4640-A1F7-F440908D70A5}">
      <text>
        <r>
          <rPr>
            <b/>
            <sz val="10"/>
            <color rgb="FF000000"/>
            <rFont val="Tahoma"/>
            <family val="2"/>
          </rPr>
          <t>Francesco Parigi:</t>
        </r>
        <r>
          <rPr>
            <sz val="10"/>
            <color rgb="FF000000"/>
            <rFont val="Tahoma"/>
            <family val="2"/>
          </rPr>
          <t xml:space="preserve">
</t>
        </r>
        <r>
          <rPr>
            <sz val="10"/>
            <color rgb="FF000000"/>
            <rFont val="Tahoma"/>
            <family val="2"/>
          </rPr>
          <t>necessary to calculate environmental KPIs</t>
        </r>
      </text>
    </comment>
    <comment ref="K222" authorId="0" shapeId="0" xr:uid="{FC23F5D2-85FD-4F0F-A5F7-3BC186B2A5F1}">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22" authorId="0" shapeId="0" xr:uid="{B3E3BA06-9BB5-4991-8F3B-F5827FBF951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22" authorId="0" shapeId="0" xr:uid="{38C6D821-48DE-DB48-B990-4176037811C3}">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222" authorId="0" shapeId="0" xr:uid="{3BF18A39-6F0C-9248-BC14-171FDE600A5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22" authorId="0" shapeId="0" xr:uid="{D89C2498-1994-E048-BFD3-02A3F04DC7E5}">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222" authorId="0" shapeId="0" xr:uid="{ACFC714B-DCD2-3B4E-BD60-1CD70E439AB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23" authorId="0" shapeId="0" xr:uid="{BED55235-C9D2-4A16-90D6-3AE8AEAD052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23" authorId="0" shapeId="0" xr:uid="{363A09FE-4432-4887-9EF5-D44276C694A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23" authorId="0" shapeId="0" xr:uid="{CE0FBD4B-2891-C446-B47A-D9FE190D5A4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223" authorId="0" shapeId="0" xr:uid="{427A8E48-64A8-574C-8AB0-8031D7432AA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23" authorId="0" shapeId="0" xr:uid="{32FE30C9-714F-9A4A-B3A2-6285827500B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223" authorId="0" shapeId="0" xr:uid="{C6BC5B40-9FB8-7D4D-B791-F64C8BE3E61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24" authorId="0" shapeId="0" xr:uid="{4FF076B0-E865-4BF6-BC1E-64AF2B7E564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24" authorId="0" shapeId="0" xr:uid="{6E60D11D-64B0-48C8-968E-B3EC4139A892}">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24" authorId="0" shapeId="0" xr:uid="{07DEF716-D5E3-B342-BD10-DE4970702F35}">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O224" authorId="0" shapeId="0" xr:uid="{75DF17E9-4675-814E-808A-D8963D1D443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24" authorId="0" shapeId="0" xr:uid="{50A8B9DA-5AC3-0A4D-9567-5344B40FD1CA}">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R224" authorId="0" shapeId="0" xr:uid="{F1AD28E9-C686-2749-B08B-668E969F820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25" authorId="0" shapeId="0" xr:uid="{71A86EC7-39CC-45D5-8B85-9446311CFCF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25" authorId="0" shapeId="0" xr:uid="{80BE2087-5A21-4873-B668-39ED03B6948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25" authorId="0" shapeId="0" xr:uid="{5A7B737C-9CCC-EF4A-949F-C5E73B17F624}">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O225" authorId="0" shapeId="0" xr:uid="{494EA135-CFB3-9D40-931A-D38C72B87C6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25" authorId="0" shapeId="0" xr:uid="{3EBE5A90-21D3-E54F-AD1D-828877FBF611}">
      <text>
        <r>
          <rPr>
            <b/>
            <sz val="10"/>
            <color rgb="FF000000"/>
            <rFont val="Tahoma"/>
            <family val="2"/>
          </rPr>
          <t>Francesco Parigi:</t>
        </r>
        <r>
          <rPr>
            <sz val="10"/>
            <color rgb="FF000000"/>
            <rFont val="Tahoma"/>
            <family val="2"/>
          </rPr>
          <t xml:space="preserve">
</t>
        </r>
        <r>
          <rPr>
            <sz val="10"/>
            <color rgb="FF000000"/>
            <rFont val="Tahoma"/>
            <family val="2"/>
          </rPr>
          <t>Number</t>
        </r>
      </text>
    </comment>
    <comment ref="R225" authorId="0" shapeId="0" xr:uid="{650664F1-86D8-F549-ACD5-460120393D8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26" authorId="0" shapeId="0" xr:uid="{EA1C5DB7-5E52-41AA-878B-8962B91D18E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26" authorId="0" shapeId="0" xr:uid="{AC8F39FF-8499-450F-B9A3-3C915280312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26" authorId="0" shapeId="0" xr:uid="{D7BCCEED-1075-3340-83F2-CBE940ADFC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26" authorId="0" shapeId="0" xr:uid="{736B7072-1929-4840-838E-AB2074FCA46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26" authorId="0" shapeId="0" xr:uid="{3CA186C0-F6CA-4A41-82A4-5EACF7F90B9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26" authorId="0" shapeId="0" xr:uid="{06621DB9-7AB6-1944-9030-875FABBE545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27" authorId="0" shapeId="0" xr:uid="{462E52CA-CC2F-44EF-B0A7-594BA555D964}">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27" authorId="0" shapeId="0" xr:uid="{376893A3-AF2E-460A-BCD1-3501C465258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27" authorId="0" shapeId="0" xr:uid="{FC9222FF-DEDA-F849-902F-23E5ADC4B30B}">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227" authorId="0" shapeId="0" xr:uid="{01DFF6DE-DB85-9C4E-97CD-70112CE320D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27" authorId="0" shapeId="0" xr:uid="{BFCD0800-196C-7841-AACF-A8EDBD9FF78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227" authorId="0" shapeId="0" xr:uid="{7DAA8160-7E8E-2743-A868-01CFFF9DD5B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D229" authorId="0" shapeId="0" xr:uid="{E932B84C-D419-5F43-8885-2E179A1A6522}">
      <text>
        <r>
          <rPr>
            <b/>
            <sz val="10"/>
            <color rgb="FF000000"/>
            <rFont val="Tahoma"/>
            <family val="2"/>
          </rPr>
          <t>Francesco Parigi:</t>
        </r>
        <r>
          <rPr>
            <sz val="10"/>
            <color rgb="FF000000"/>
            <rFont val="Tahoma"/>
            <family val="2"/>
          </rPr>
          <t xml:space="preserve">
</t>
        </r>
        <r>
          <rPr>
            <sz val="10"/>
            <color rgb="FF000000"/>
            <rFont val="Tahoma"/>
            <family val="2"/>
          </rPr>
          <t>Necessary to calculate social KPIs</t>
        </r>
      </text>
    </comment>
    <comment ref="K231" authorId="0" shapeId="0" xr:uid="{5F6269D2-A3DD-4E2B-B7D8-9E5C1069DBE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31" authorId="0" shapeId="0" xr:uid="{30BB1A85-F3B4-415F-9D9D-E69453FB27A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31" authorId="0" shapeId="0" xr:uid="{E27CAB2D-8DB1-114E-8D01-3388272BCFF2}">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231" authorId="0" shapeId="0" xr:uid="{C2866951-F5D9-9240-96FA-B6495964FF9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31" authorId="0" shapeId="0" xr:uid="{DC7531F6-057C-8141-BB69-3128A9D8C5E9}">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231" authorId="0" shapeId="0" xr:uid="{5BA80763-F149-014A-96D8-7BEB5412DFC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32" authorId="0" shapeId="0" xr:uid="{7A97C635-4A2D-4783-851F-64793E9EA46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32" authorId="0" shapeId="0" xr:uid="{4CAEC36A-CDC7-4605-93BE-063E8C89014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32" authorId="0" shapeId="0" xr:uid="{B3E0937A-52B2-234A-9F0D-C32311999076}">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232" authorId="0" shapeId="0" xr:uid="{7D25D43B-8A74-6C4E-ACA3-78299BD259F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32" authorId="0" shapeId="0" xr:uid="{FA2B56AF-58DA-1B41-8F97-FCC7A6E775F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232" authorId="0" shapeId="0" xr:uid="{CD04D27C-FF35-B244-9088-4A9EA7CC0B9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33" authorId="0" shapeId="0" xr:uid="{BD904329-BF10-4C92-A5AB-75BCD29D934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33" authorId="0" shapeId="0" xr:uid="{E9AD63E0-AEB6-420D-8D58-D83C47DF6849}">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33" authorId="0" shapeId="0" xr:uid="{59507E4A-59AF-0543-9DAA-AA5B82D3AC1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233" authorId="0" shapeId="0" xr:uid="{BFA96917-30F8-7840-B7BC-CBB5F025A98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33" authorId="0" shapeId="0" xr:uid="{10262750-67BB-464D-9A51-F2D11728126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233" authorId="0" shapeId="0" xr:uid="{A00AA161-ADB1-BD4A-AC30-6B4F756D27C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34" authorId="0" shapeId="0" xr:uid="{6EA9991A-EC6C-4C41-8337-B7AA19C1C01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34" authorId="0" shapeId="0" xr:uid="{72D1F7FD-4759-458D-B6A1-8473696FE57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34" authorId="0" shapeId="0" xr:uid="{2DCE63D9-0FCD-2041-8547-B08FC304794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234" authorId="0" shapeId="0" xr:uid="{B9930598-F75B-0E41-922E-6023A2B9D5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34" authorId="0" shapeId="0" xr:uid="{70747DC9-7384-C545-9765-2033AA126201}">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234" authorId="0" shapeId="0" xr:uid="{B8B85014-1751-5340-AA1D-EC2A156C952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35" authorId="0" shapeId="0" xr:uid="{6AB22323-7A02-4DBA-A580-F452A77F4D4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35" authorId="0" shapeId="0" xr:uid="{0E509D78-7965-4229-B3F2-279F447FDD1C}">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35" authorId="0" shapeId="0" xr:uid="{1E1CD4E3-CEB3-964A-99DE-E42C585AB134}">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235" authorId="0" shapeId="0" xr:uid="{D1346E59-09BE-F448-A991-87E1BD9A7F2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35" authorId="0" shapeId="0" xr:uid="{E6B1C3D9-880B-DA41-A7C4-C5AFE6BBA6DE}">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235" authorId="0" shapeId="0" xr:uid="{DE568824-045E-1A4A-A171-1604B63088E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36" authorId="0" shapeId="0" xr:uid="{5AFB7271-4B1D-46BF-907D-6789F443ED6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36" authorId="0" shapeId="0" xr:uid="{591F8F88-1273-44DB-AC1A-5BAC15E34C7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36" authorId="0" shapeId="0" xr:uid="{BD133E0A-550D-904D-9ACD-888556762054}">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O236" authorId="0" shapeId="0" xr:uid="{D7923462-5D36-1446-A747-D6FF0601B62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36" authorId="0" shapeId="0" xr:uid="{702C5AEB-F418-1E47-94A5-093ED235FE18}">
      <text>
        <r>
          <rPr>
            <b/>
            <sz val="10"/>
            <color rgb="FF000000"/>
            <rFont val="Tahoma"/>
            <family val="2"/>
          </rPr>
          <t>Francesco Parigi:</t>
        </r>
        <r>
          <rPr>
            <sz val="10"/>
            <color rgb="FF000000"/>
            <rFont val="Tahoma"/>
            <family val="2"/>
          </rPr>
          <t xml:space="preserve">
</t>
        </r>
        <r>
          <rPr>
            <sz val="10"/>
            <color rgb="FF000000"/>
            <rFont val="Tahoma"/>
            <family val="2"/>
          </rPr>
          <t xml:space="preserve">Number 
</t>
        </r>
      </text>
    </comment>
    <comment ref="R236" authorId="0" shapeId="0" xr:uid="{EE7D808D-85EA-0341-9E77-1FFD966C37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40" authorId="0" shapeId="0" xr:uid="{4A688AE7-4A50-4104-B469-B5563640671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40" authorId="0" shapeId="0" xr:uid="{87520DF5-C0FA-4E74-9D7C-2637A80F3868}">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40" authorId="0" shapeId="0" xr:uid="{7BD24B82-4F3C-7E41-99A8-560426DB376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40" authorId="0" shapeId="0" xr:uid="{CF683813-2FEC-F741-A39C-DCE1D988511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40" authorId="0" shapeId="0" xr:uid="{099B593D-F4FC-D742-8CC7-B63058AB48C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40" authorId="0" shapeId="0" xr:uid="{DE8ACDA4-DD71-6542-B286-C02EF79AE1B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41" authorId="0" shapeId="0" xr:uid="{4B1607E5-239B-42BC-951F-70DB3A7F6053}">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41" authorId="0" shapeId="0" xr:uid="{FC1F2702-C4E8-4CA3-9799-EE68E1A632A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41" authorId="0" shapeId="0" xr:uid="{0404BC09-8E13-3844-9330-A96A7119D26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41" authorId="0" shapeId="0" xr:uid="{A859F2E7-CDB4-2142-9230-F6D49536109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41" authorId="0" shapeId="0" xr:uid="{792DE266-6838-F241-A211-3A23263B37D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41" authorId="0" shapeId="0" xr:uid="{49C07B2A-FD08-F549-8FFF-187AC96AED3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42" authorId="0" shapeId="0" xr:uid="{3CB224AA-261D-4E66-9664-6E874D93F8D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42" authorId="0" shapeId="0" xr:uid="{6D141336-9FF9-4573-8815-6BB962AE784A}">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42" authorId="0" shapeId="0" xr:uid="{DCB03E32-030D-3241-A1B8-11A7965FC8E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42" authorId="0" shapeId="0" xr:uid="{14F25633-1B75-4D46-B5D7-04AF277A002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42" authorId="0" shapeId="0" xr:uid="{995E75BB-C10E-1D47-BD77-825D18058D8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42" authorId="0" shapeId="0" xr:uid="{3F7CEEC7-9A13-7946-8D51-DDF14995E58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43" authorId="0" shapeId="0" xr:uid="{398C4387-0173-49E0-8C63-25C9F1CC5F2D}">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43" authorId="0" shapeId="0" xr:uid="{4A173E5F-94C8-47D9-8085-C46B4A18B83F}">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43" authorId="0" shapeId="0" xr:uid="{29147F0F-2EEB-D24B-8B34-693D823141E2}">
      <text>
        <r>
          <rPr>
            <b/>
            <sz val="10"/>
            <color rgb="FF000000"/>
            <rFont val="Tahoma"/>
            <family val="2"/>
          </rPr>
          <t>Francesco Parigi:</t>
        </r>
        <r>
          <rPr>
            <sz val="10"/>
            <color rgb="FF000000"/>
            <rFont val="Tahoma"/>
            <family val="2"/>
          </rPr>
          <t xml:space="preserve">
</t>
        </r>
        <r>
          <rPr>
            <sz val="10"/>
            <color rgb="FF000000"/>
            <rFont val="Tahoma"/>
            <family val="2"/>
          </rPr>
          <t xml:space="preserve">Number
</t>
        </r>
        <r>
          <rPr>
            <sz val="10"/>
            <color rgb="FF000000"/>
            <rFont val="Tahoma"/>
            <family val="2"/>
          </rPr>
          <t xml:space="preserve">
</t>
        </r>
        <r>
          <rPr>
            <sz val="10"/>
            <color rgb="FF000000"/>
            <rFont val="Tahoma"/>
            <family val="2"/>
          </rPr>
          <t xml:space="preserve"> 
</t>
        </r>
      </text>
    </comment>
    <comment ref="O243" authorId="0" shapeId="0" xr:uid="{7D1DD681-CC39-374F-8630-55E21C60116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43" authorId="0" shapeId="0" xr:uid="{DCFB6900-01F0-5740-9779-FFD84E922277}">
      <text>
        <r>
          <rPr>
            <b/>
            <sz val="10"/>
            <color rgb="FF000000"/>
            <rFont val="Tahoma"/>
            <family val="2"/>
          </rPr>
          <t>Francesco Parigi:</t>
        </r>
        <r>
          <rPr>
            <sz val="10"/>
            <color rgb="FF000000"/>
            <rFont val="Tahoma"/>
            <family val="2"/>
          </rPr>
          <t xml:space="preserve">
</t>
        </r>
        <r>
          <rPr>
            <sz val="10"/>
            <color rgb="FF000000"/>
            <rFont val="Tahoma"/>
            <family val="2"/>
          </rPr>
          <t xml:space="preserve">Number
</t>
        </r>
        <r>
          <rPr>
            <sz val="10"/>
            <color rgb="FF000000"/>
            <rFont val="Tahoma"/>
            <family val="2"/>
          </rPr>
          <t xml:space="preserve">
</t>
        </r>
        <r>
          <rPr>
            <sz val="10"/>
            <color rgb="FF000000"/>
            <rFont val="Tahoma"/>
            <family val="2"/>
          </rPr>
          <t xml:space="preserve"> 
</t>
        </r>
      </text>
    </comment>
    <comment ref="R243" authorId="0" shapeId="0" xr:uid="{1AA3D3F0-9AD7-4B45-B957-9DFEF3A94CF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44" authorId="0" shapeId="0" xr:uid="{E1B22565-6996-4892-B18A-32BF6A1EDA7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44" authorId="0" shapeId="0" xr:uid="{1A1A7CE4-A45E-492F-A524-7F5B472CD04E}">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44" authorId="0" shapeId="0" xr:uid="{93FDCC0B-D738-5F4B-9AFE-56EED2E5846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44" authorId="0" shapeId="0" xr:uid="{D415176C-84F6-4040-9E66-2FE7B551401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44" authorId="0" shapeId="0" xr:uid="{6E74C691-F205-8B48-8E53-0977F4FE4E9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44" authorId="0" shapeId="0" xr:uid="{81D6764D-4F9C-2B4B-8A2E-D2BC521F4C5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45" authorId="0" shapeId="0" xr:uid="{24FC6A79-F686-413E-B49F-3636D90DFFD7}">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45" authorId="0" shapeId="0" xr:uid="{A096A38C-A7CD-49C6-8E16-46BDD631FB15}">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45" authorId="0" shapeId="0" xr:uid="{B8719285-3D9C-9A49-B5B8-BB117A25333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45" authorId="0" shapeId="0" xr:uid="{10B4AF12-D97B-7A42-AD9C-EFE9C3536F9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45" authorId="0" shapeId="0" xr:uid="{00E3C10D-0283-F847-9081-19A46ADD43C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45" authorId="0" shapeId="0" xr:uid="{47464C6F-23E1-F74A-8017-F9C234F7780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K246" authorId="0" shapeId="0" xr:uid="{9638E265-F153-4643-B9FB-19E210F99220}">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L246" authorId="0" shapeId="0" xr:uid="{FDBE90BF-4AAF-4372-A40D-6EE01AE1A1BB}">
      <text>
        <r>
          <rPr>
            <b/>
            <sz val="10"/>
            <color rgb="FF000000"/>
            <rFont val="Tahoma"/>
            <family val="2"/>
          </rPr>
          <t>Francesco Parigi:</t>
        </r>
        <r>
          <rPr>
            <sz val="10"/>
            <color rgb="FF000000"/>
            <rFont val="Tahoma"/>
            <family val="2"/>
          </rPr>
          <t xml:space="preserve">
</t>
        </r>
        <r>
          <rPr>
            <sz val="10"/>
            <color rgb="FF000000"/>
            <rFont val="Calibri"/>
            <family val="2"/>
          </rPr>
          <t xml:space="preserve">Decimal number </t>
        </r>
      </text>
    </comment>
    <comment ref="N246" authorId="0" shapeId="0" xr:uid="{443BC351-EF67-EB48-924E-9E707F0F117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O246" authorId="0" shapeId="0" xr:uid="{EFFAC47E-DC10-E843-BABB-A5BED5DB4CF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Q246" authorId="0" shapeId="0" xr:uid="{3B403958-DA38-A641-9433-249B5B36F5E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R246" authorId="0" shapeId="0" xr:uid="{8200E761-DED8-8440-9E6B-9A4A3A031B5C}">
      <text>
        <r>
          <rPr>
            <b/>
            <sz val="10"/>
            <color rgb="FF000000"/>
            <rFont val="Tahoma"/>
            <family val="2"/>
          </rPr>
          <t>Francesco Parigi:</t>
        </r>
        <r>
          <rPr>
            <sz val="10"/>
            <color rgb="FF000000"/>
            <rFont val="Tahoma"/>
            <family val="2"/>
          </rPr>
          <t xml:space="preserve">
</t>
        </r>
        <r>
          <rPr>
            <sz val="10"/>
            <color rgb="FF000000"/>
            <rFont val="Tahoma"/>
            <family val="2"/>
          </rPr>
          <t>Text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Francesco Parigi</author>
  </authors>
  <commentList>
    <comment ref="E10" authorId="0" shapeId="0" xr:uid="{251621A9-5E4F-4AD6-A5F9-BB0AAEB558F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0" authorId="0" shapeId="0" xr:uid="{3FE0B4E9-25FE-5A4A-B391-A6699C5D369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1" authorId="0" shapeId="0" xr:uid="{62A30EA3-7E81-4304-B1DF-4C8B18C435C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1" authorId="0" shapeId="0" xr:uid="{B9A385A4-0671-BB4D-B374-6D181F24362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2" authorId="0" shapeId="0" xr:uid="{FE145959-982D-4CE0-9AE9-37F71F60D63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2" authorId="0" shapeId="0" xr:uid="{0F20F857-53C7-8944-AF27-1B9A14F45AE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3" authorId="0" shapeId="0" xr:uid="{361CBBA8-6492-416B-85DD-2A3FAC818DB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3" authorId="0" shapeId="0" xr:uid="{4F4CBA21-E6A8-0141-B984-103508BBB7B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4" authorId="0" shapeId="0" xr:uid="{5F904864-5E2B-4FE5-8E6E-5CF5C00453B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4" authorId="0" shapeId="0" xr:uid="{03947491-0CCF-7241-9E93-0AF5FB0CF41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5" authorId="0" shapeId="0" xr:uid="{9DAEF222-A047-43C9-8A9E-21CFFD53B96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5" authorId="0" shapeId="0" xr:uid="{6D6A4202-50EB-8C42-9C2C-CF88BFCAE48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6" authorId="0" shapeId="0" xr:uid="{DA24E741-C7E0-44FB-8461-24338F5AB06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6" authorId="0" shapeId="0" xr:uid="{CC21AD6C-0938-BA49-AB63-764C8D22E27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7" authorId="0" shapeId="0" xr:uid="{F95AC22C-E327-4257-AF19-2C9A03313B8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7" authorId="0" shapeId="0" xr:uid="{7AAF0CA0-3C57-4F49-BC86-8B9F30B4912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8" authorId="0" shapeId="0" xr:uid="{DB4A136B-13DF-4DF4-ABD3-9513EB378D7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8" authorId="0" shapeId="0" xr:uid="{CB987C5E-41CB-1F4E-B994-163027621CD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19" authorId="0" shapeId="0" xr:uid="{6D0ACF9B-7FFD-4768-90F7-36DC983C2E7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19" authorId="0" shapeId="0" xr:uid="{75CD7EDD-DB19-2A4B-A8B9-8D1894BDD3B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E20" authorId="0" shapeId="0" xr:uid="{CAA97407-9641-4C5E-AD6A-6E51F5D12A7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G20" authorId="0" shapeId="0" xr:uid="{0689151C-AD22-BC40-B1CA-771690F3F79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 authorId="0" shapeId="0" xr:uid="{020E338A-99EC-2945-B631-6004E92BCB0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 authorId="0" shapeId="0" xr:uid="{227C3320-7EB0-C24C-A6A3-E191E807758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5" authorId="0" shapeId="0" xr:uid="{C4825F5F-1D43-46D7-A0C8-F6FDF661062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5" authorId="0" shapeId="0" xr:uid="{9F297F8C-82D6-B141-B65C-79512A1F665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6" authorId="0" shapeId="0" xr:uid="{7249B0AE-B8C3-43BC-9DCB-C9BEEFFD348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6" authorId="0" shapeId="0" xr:uid="{07E78EBD-C8C5-ED45-9DED-ECC9CA5EF61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7" authorId="0" shapeId="0" xr:uid="{ADA18393-A6CE-4922-882D-23165841AD7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7" authorId="0" shapeId="0" xr:uid="{C3A15E4F-57FD-5A46-8D24-91BA24C2EAB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8" authorId="0" shapeId="0" xr:uid="{08B4518B-579F-4CFB-B5DF-27B049E364B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8" authorId="0" shapeId="0" xr:uid="{EB6E37D3-EAE4-CB42-AC66-2C772FA3C14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9" authorId="0" shapeId="0" xr:uid="{B16E313F-0D35-4E4D-BED8-6EF817B6501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9" authorId="0" shapeId="0" xr:uid="{EC86C377-DA53-C34A-B388-2D5BBE8E5A0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3" authorId="0" shapeId="0" xr:uid="{0BC85A1A-8493-43EC-9649-FF88B5B7D7D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3" authorId="0" shapeId="0" xr:uid="{156D4B1D-10E3-C247-A5A1-6800448E82A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4" authorId="0" shapeId="0" xr:uid="{28F1D624-7E42-4614-9AC6-C0EE4698B70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4" authorId="0" shapeId="0" xr:uid="{CCD7AECB-1AFA-4046-A3FE-80A12FB6B9F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5" authorId="0" shapeId="0" xr:uid="{CF685952-1E03-44C7-A149-40E3F00BEE4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5" authorId="0" shapeId="0" xr:uid="{215C34BF-807D-9046-B52A-AAD4D23EC12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6" authorId="0" shapeId="0" xr:uid="{97A0F8D3-239A-4002-874B-737268C76C0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6" authorId="0" shapeId="0" xr:uid="{B7251A26-F946-6B46-864B-0DDCD999C81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7" authorId="0" shapeId="0" xr:uid="{29FAA83E-A4F5-432B-B52A-15330C2ECA7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7" authorId="0" shapeId="0" xr:uid="{0FEFFE95-EE3A-8D4F-8BD3-F023AA95693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8" authorId="0" shapeId="0" xr:uid="{8733B1F6-AFB1-43C4-8138-FD2AE03E1A9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8" authorId="0" shapeId="0" xr:uid="{73020E6E-8AB1-CB47-A8B4-38B76D8ED30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39" authorId="0" shapeId="0" xr:uid="{36B0C179-42A3-426D-AF10-DD87B29FEEA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39" authorId="0" shapeId="0" xr:uid="{EE528D53-A8C7-934F-99E8-714256EF1FC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0" authorId="0" shapeId="0" xr:uid="{94D6C9AA-14D4-4B16-8CE9-447B4130154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0" authorId="0" shapeId="0" xr:uid="{78E88E73-BB56-5F40-9092-DAEF36DD5F0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1" authorId="0" shapeId="0" xr:uid="{F4B83171-A58C-40AA-8F11-4A1648897C4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1" authorId="0" shapeId="0" xr:uid="{EC9AAE3D-7323-5B4D-A584-DC92A2302F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2" authorId="0" shapeId="0" xr:uid="{54CBB485-9CEB-425B-BB0C-4C19384B7B3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2" authorId="0" shapeId="0" xr:uid="{C2BBEECD-3A90-AD48-9D93-94F3D22F647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3" authorId="0" shapeId="0" xr:uid="{CBAE324F-5ED6-4F99-B5F2-62D235AE17D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3" authorId="0" shapeId="0" xr:uid="{F1AFA9A8-36D5-2A4D-8651-48194FA0CFD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7" authorId="0" shapeId="0" xr:uid="{9658A252-E395-4ECE-B7EE-E9E01230FA7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7" authorId="0" shapeId="0" xr:uid="{0F1FE692-568C-EA4B-AAF9-13B2AD76AC7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8" authorId="0" shapeId="0" xr:uid="{3CC5D4A3-1C03-4379-9307-95838EFD83D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8" authorId="0" shapeId="0" xr:uid="{AFB9F2B1-0673-4B4B-A5D4-40B82A3EA3B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49" authorId="0" shapeId="0" xr:uid="{8570AA80-3A2F-4FFD-B19C-1B029230674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49" authorId="0" shapeId="0" xr:uid="{E86A2669-A0AD-6546-B3F8-FECC4E1467A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0" authorId="0" shapeId="0" xr:uid="{AEDF08C1-8C1C-433F-B99D-7F0DD44B689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0" authorId="0" shapeId="0" xr:uid="{819A1ADB-E47E-BD40-A2F7-215888C19C5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1" authorId="0" shapeId="0" xr:uid="{0948D02D-F651-402F-9F3C-0212542E22A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1" authorId="0" shapeId="0" xr:uid="{1B7CECF9-2C97-4A4D-9591-5246736DBE1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2" authorId="0" shapeId="0" xr:uid="{DB046AA2-46EB-4FE5-B051-B84581C154C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2" authorId="0" shapeId="0" xr:uid="{4322933C-B335-3E48-9254-5B485E64605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3" authorId="0" shapeId="0" xr:uid="{C8255678-9A00-4D32-BDF7-7C022525902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3" authorId="0" shapeId="0" xr:uid="{EB3D213D-85F3-4F9A-9756-6D4E98DA458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4" authorId="0" shapeId="0" xr:uid="{753F8DCA-7E9A-4EB4-8DE7-4E4179DB67E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4" authorId="0" shapeId="0" xr:uid="{7BCAF58B-96E9-47AC-B396-6E2AB2C420D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5" authorId="0" shapeId="0" xr:uid="{1AB62776-8B21-45A2-809D-DAC2B8C17CF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5" authorId="0" shapeId="0" xr:uid="{E49E4D05-9697-4D18-B9C7-EDCF1A39E0C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6" authorId="0" shapeId="0" xr:uid="{25DDA753-A563-4015-9A99-644C8563F6B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6" authorId="0" shapeId="0" xr:uid="{5B7FF5A5-5FA1-46D6-83B4-3B3E11E2BA8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7" authorId="0" shapeId="0" xr:uid="{1F4EC2A2-5A71-4E67-9D26-EE7C1A378D3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7" authorId="0" shapeId="0" xr:uid="{B762426A-0829-400F-994D-142F6777503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58" authorId="0" shapeId="0" xr:uid="{3D8943FD-029C-4E5A-B826-DD828AEFECC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58" authorId="0" shapeId="0" xr:uid="{A67C8C0A-EE36-48D7-A4A8-0397412DE0D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2" authorId="0" shapeId="0" xr:uid="{8052D801-4888-484C-AC2E-B75C5398FC0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2" authorId="0" shapeId="0" xr:uid="{C2316EC3-6709-1A4D-8F71-43564A63968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3" authorId="0" shapeId="0" xr:uid="{EB16030E-A474-459F-A55A-83F95A71BF6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3" authorId="0" shapeId="0" xr:uid="{D313F46D-FF5D-6A45-8DDB-FFC012B1AD0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4" authorId="0" shapeId="0" xr:uid="{E237F5FC-559A-4A74-A1AB-38910A68A11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4" authorId="0" shapeId="0" xr:uid="{4B252C74-7250-C547-86F2-B5F1EFEAB6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5" authorId="0" shapeId="0" xr:uid="{6B0B96FA-CA34-47E8-9A27-0D84DDD9A38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5" authorId="0" shapeId="0" xr:uid="{40614713-E42D-DF4C-825A-8DB2C4D55C7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6" authorId="0" shapeId="0" xr:uid="{F6858DA3-8B58-4A86-B0E9-2360F5759D4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6" authorId="0" shapeId="0" xr:uid="{A34C8B08-60FA-5247-A2F2-94A750F3D08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7" authorId="0" shapeId="0" xr:uid="{1971BB8C-5F65-4D58-95B8-7C47B933B34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7" authorId="0" shapeId="0" xr:uid="{1F50AEEA-D9F4-FA42-98E0-A6484C1A6F4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68" authorId="0" shapeId="0" xr:uid="{C01D202E-7F23-4AFC-9C29-211A83A2C78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68" authorId="0" shapeId="0" xr:uid="{28C004A9-671F-3542-AD44-DE7DF06BD97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2" authorId="0" shapeId="0" xr:uid="{C0F9A55B-FB8D-43AB-828E-7B334A23BE1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2" authorId="0" shapeId="0" xr:uid="{64CD16FD-E9D3-D14F-B5F4-E952FD0E464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3" authorId="0" shapeId="0" xr:uid="{AE125C0F-0B69-4582-A070-CF5F1E460E2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3" authorId="0" shapeId="0" xr:uid="{CD3AAB21-DF3D-724C-B0C3-15680D5C88D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4" authorId="0" shapeId="0" xr:uid="{BF25703C-355A-4B61-B09D-D90326ED027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4" authorId="0" shapeId="0" xr:uid="{211DC2DA-4560-AA4A-A8B5-BB0C5F466A2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5" authorId="0" shapeId="0" xr:uid="{091D4630-67AC-486F-A2A5-9773394DA74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5" authorId="0" shapeId="0" xr:uid="{C27401C1-403C-E341-A0E5-584047558CB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6" authorId="0" shapeId="0" xr:uid="{632E4474-3F35-438D-90C1-8E8E8A53D8D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6" authorId="0" shapeId="0" xr:uid="{2DE724DD-6F14-2349-B2CC-5D7A57B974B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7" authorId="0" shapeId="0" xr:uid="{32DF8559-77D2-4313-A62A-8C4A6DC3EC2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7" authorId="0" shapeId="0" xr:uid="{7CC10F38-F3A3-624D-9E44-37BD0F2C51C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8" authorId="0" shapeId="0" xr:uid="{EB3EC843-9946-494D-9FFB-1F1B8A6385B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8" authorId="0" shapeId="0" xr:uid="{5812311D-D3E5-9B4F-A4F7-E24F2E0720B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79" authorId="0" shapeId="0" xr:uid="{250B0A94-CBEF-4A8C-88E1-9C4B0A05DF3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79" authorId="0" shapeId="0" xr:uid="{83B41646-98DA-8449-9C86-8AA6299DB61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80" authorId="0" shapeId="0" xr:uid="{94C7C57C-1F75-41AA-9461-EC665A1DA5A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80" authorId="0" shapeId="0" xr:uid="{970781F9-F463-384F-9C92-75584341ECB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81" authorId="0" shapeId="0" xr:uid="{32A3A9CC-B27F-473B-9E99-F8E4FE3704B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81" authorId="0" shapeId="0" xr:uid="{F6C50D20-F796-4DE4-8128-01D3F637B4E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82" authorId="0" shapeId="0" xr:uid="{9A5897E1-C428-4CFE-B629-E9D6A79303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82" authorId="0" shapeId="0" xr:uid="{71C1E275-4B97-4FA8-AE95-BA3FA921E13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83" authorId="0" shapeId="0" xr:uid="{35491900-1EA0-42AE-8981-EF366E379C9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83" authorId="0" shapeId="0" xr:uid="{C803BBF9-948A-480E-9058-32304326404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84" authorId="0" shapeId="0" xr:uid="{B348AE64-CDCB-4B24-89D2-3D5319EA7B4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84" authorId="0" shapeId="0" xr:uid="{4A9F8482-1391-45B4-B51C-67626F17767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85" authorId="0" shapeId="0" xr:uid="{D11C0EEB-9170-4836-9AD7-9542383317E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85" authorId="0" shapeId="0" xr:uid="{4B5DFA4B-C802-4216-AEF9-2FF83DF1A97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86" authorId="0" shapeId="0" xr:uid="{A744167F-F908-4C0D-AB6A-111CAD23DDD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86" authorId="0" shapeId="0" xr:uid="{858308FA-3283-42E2-8253-98B537902F1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87" authorId="0" shapeId="0" xr:uid="{06DC09F4-5ADE-4A00-9F01-F52822000FB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87" authorId="0" shapeId="0" xr:uid="{E2957A44-9470-4C9F-9D99-6716A82C443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88" authorId="0" shapeId="0" xr:uid="{91AAAA89-4251-4B01-A34F-DCAAEE4D46E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88" authorId="0" shapeId="0" xr:uid="{AB5A0FA7-C248-469B-80AA-06451C44D99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89" authorId="0" shapeId="0" xr:uid="{870F9CD6-00CE-43DA-8446-DA5424DEA1B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89" authorId="0" shapeId="0" xr:uid="{46E13FBC-DD07-4E15-9181-E6BC770ADD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93" authorId="0" shapeId="0" xr:uid="{860515AB-466C-4249-9D90-A2139310C67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93" authorId="0" shapeId="0" xr:uid="{9D40387B-86ED-9043-AE6F-40BDEC7A05B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94" authorId="0" shapeId="0" xr:uid="{E128A2BD-9D23-416A-9277-29BE32EACB2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94" authorId="0" shapeId="0" xr:uid="{5E63E95E-8D22-544D-8C66-E2D5D308FCB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95" authorId="0" shapeId="0" xr:uid="{5E8B037E-80C9-42C1-B0F9-3636929268D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95" authorId="0" shapeId="0" xr:uid="{9C74370F-4F0E-3C4A-8DA9-B70C0F58D84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96" authorId="0" shapeId="0" xr:uid="{1D75EE78-0F3A-4141-BFE2-F193D4DAF66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96" authorId="0" shapeId="0" xr:uid="{D6C07592-D04E-CF4F-AAE1-A2A0AB77B50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97" authorId="0" shapeId="0" xr:uid="{4ED932B8-6092-437B-AA7B-A0C51EA6FF9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97" authorId="0" shapeId="0" xr:uid="{64B45A1A-8B09-614C-A16B-90B306BF34F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98" authorId="0" shapeId="0" xr:uid="{586D5449-700E-4D22-A53A-C33B92C9794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98" authorId="0" shapeId="0" xr:uid="{A11B20E9-2F0A-374B-9C6F-C4EB3C7F5E6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99" authorId="0" shapeId="0" xr:uid="{38EE6422-47C5-410E-AE08-2DAB3B2F5E2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99" authorId="0" shapeId="0" xr:uid="{146E053A-08AE-A248-A1FA-C12DA86E5B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0" authorId="0" shapeId="0" xr:uid="{54007857-BC59-4514-854F-5457586620A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0" authorId="0" shapeId="0" xr:uid="{E13DFF12-E0A9-DF46-8FC7-4A300AC5097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1" authorId="0" shapeId="0" xr:uid="{8F464CC7-C3D0-44A2-989A-697A629EDD5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1" authorId="0" shapeId="0" xr:uid="{1D748873-8603-F04A-AD57-6D7042F14BF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2" authorId="0" shapeId="0" xr:uid="{C13F21C5-2835-48B3-AE91-02F15CA1B5B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2" authorId="0" shapeId="0" xr:uid="{A9C1C040-DBF6-AC42-9775-EDFDB61862C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3" authorId="0" shapeId="0" xr:uid="{23CD1854-AD8B-4297-9FB2-7108B8DE187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3" authorId="0" shapeId="0" xr:uid="{35EEF6A0-ED8D-2F49-9DC4-EE1AD700168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4" authorId="0" shapeId="0" xr:uid="{4269FDB5-12FA-4C75-B991-2F770E8D242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4" authorId="0" shapeId="0" xr:uid="{91B76071-C65D-DB4B-AD22-05E3B9ECAB4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5" authorId="0" shapeId="0" xr:uid="{A086A4D0-8BB8-4524-AD99-02236973375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5" authorId="0" shapeId="0" xr:uid="{987C191E-8467-734B-962F-A43C8F65E8C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6" authorId="0" shapeId="0" xr:uid="{49A55B86-5429-436E-A4C3-2A450A553D2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6" authorId="0" shapeId="0" xr:uid="{BE17FA01-E3A2-9F41-B2E4-86B8EBBDCD2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7" authorId="0" shapeId="0" xr:uid="{C169F215-BB4B-4EFC-BC79-62ADD421467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7" authorId="0" shapeId="0" xr:uid="{3CF70C1B-088C-EA4A-9FFD-A20C022DFD1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8" authorId="0" shapeId="0" xr:uid="{AE7BA371-8921-460D-BC22-C8153C272F0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8" authorId="0" shapeId="0" xr:uid="{CD20D737-F101-DD40-A859-3C9BCCA6995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09" authorId="0" shapeId="0" xr:uid="{3CBB7831-6915-40C4-9441-6577C059BC1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09" authorId="0" shapeId="0" xr:uid="{838EE3A2-5A5B-BF45-A13D-ED0DD24BF7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0" authorId="0" shapeId="0" xr:uid="{31F05571-ADF8-4A9A-A67D-EA0B000002A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0" authorId="0" shapeId="0" xr:uid="{7624839A-506B-F948-BB86-11059B37EA0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1" authorId="0" shapeId="0" xr:uid="{77E273A1-01DB-4B66-893A-8B86802F80B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1" authorId="0" shapeId="0" xr:uid="{DE92CA16-973F-C44E-B5FD-9795C3C0B0A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2" authorId="0" shapeId="0" xr:uid="{25B6ADCC-8D49-4859-8F37-E77C7FDCF7E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2" authorId="0" shapeId="0" xr:uid="{A565A979-B563-3E4B-ADCF-EDA8F0AB38C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3" authorId="0" shapeId="0" xr:uid="{C3AEACA5-8537-4089-911D-F86BDFFE3C4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3" authorId="0" shapeId="0" xr:uid="{36CB1122-F649-9A41-BE71-DF8A214660D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4" authorId="0" shapeId="0" xr:uid="{B03E8D59-982F-491A-A039-6A77989E991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4" authorId="0" shapeId="0" xr:uid="{B9C6E976-4001-4600-A18D-B6051C60943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5" authorId="0" shapeId="0" xr:uid="{F0FD09A9-2AB5-405E-B1B5-6666DB2CB32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5" authorId="0" shapeId="0" xr:uid="{F1929708-B2B3-486F-9900-53E9ED72C13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6" authorId="0" shapeId="0" xr:uid="{F07B435E-E957-48F9-91CD-E84DCD0D5D0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6" authorId="0" shapeId="0" xr:uid="{F638FAF8-64E3-4A4B-A6AA-8AC7ABEAE2F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7" authorId="0" shapeId="0" xr:uid="{456AE107-F151-4EEB-9A72-A9422760AC1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7" authorId="0" shapeId="0" xr:uid="{644115CE-5F91-496C-B75E-48DEB509792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8" authorId="0" shapeId="0" xr:uid="{6D414695-F434-40A2-AF75-BB65725EFA3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8" authorId="0" shapeId="0" xr:uid="{6A45F589-663A-4D8D-99AB-14CF5DD5B23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19" authorId="0" shapeId="0" xr:uid="{ECF29515-2975-4940-8347-51AECCD907B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19" authorId="0" shapeId="0" xr:uid="{EAA2D4A2-A6B1-42B7-A855-D64A69DEB59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20" authorId="0" shapeId="0" xr:uid="{BA197BC9-3302-4EFD-A91C-0369139EF63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20" authorId="0" shapeId="0" xr:uid="{2FA0A7A6-BE51-4A88-8F5D-B4B286FE581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21" authorId="0" shapeId="0" xr:uid="{0E92D70B-3D96-4421-A199-4E11941DCEE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21" authorId="0" shapeId="0" xr:uid="{CE6B93BF-42E7-4686-97CB-22031F5A11B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22" authorId="0" shapeId="0" xr:uid="{8904B747-1F5B-4FEF-9033-4D4B1D63C1E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22" authorId="0" shapeId="0" xr:uid="{450E55D6-7329-4B4D-B2F7-8699710372C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23" authorId="0" shapeId="0" xr:uid="{5BFC43DF-DDEC-422A-A585-ACE41DAE793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23" authorId="0" shapeId="0" xr:uid="{81D4A1C9-A1D6-4587-BD6F-545495BC1AB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24" authorId="0" shapeId="0" xr:uid="{7C81753B-2A7D-4A34-8371-12282C2DCA7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24" authorId="0" shapeId="0" xr:uid="{2F35871A-7C4E-43E2-80FB-AABD744968D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25" authorId="0" shapeId="0" xr:uid="{1B4F45B5-73A8-47ED-86AB-F9B89E395F1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25" authorId="0" shapeId="0" xr:uid="{6ECF1CC5-3E8F-43B5-8E48-73AF0671BF9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26" authorId="0" shapeId="0" xr:uid="{443B39D1-1074-4343-8505-7001C74B704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26" authorId="0" shapeId="0" xr:uid="{C3B97F1A-B1A9-48FF-A0BA-3DDD82A4833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27" authorId="0" shapeId="0" xr:uid="{1AEA6AA3-719C-4A08-AA0D-134EA2A7589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27" authorId="0" shapeId="0" xr:uid="{2DD9FCB1-1A9C-4836-BF15-24437FC4FD3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28" authorId="0" shapeId="0" xr:uid="{D5ACB5FB-7718-40F6-AB31-528A8C52082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28" authorId="0" shapeId="0" xr:uid="{90C96D64-E42F-4FC4-BA95-7CAA1962864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29" authorId="0" shapeId="0" xr:uid="{B336E28D-D6D4-447A-A723-B88F4020B69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29" authorId="0" shapeId="0" xr:uid="{CB75D0B6-3C24-490D-B9AB-5B286E42B4B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30" authorId="0" shapeId="0" xr:uid="{90924C7A-71B1-4888-B237-086E8413DC9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30" authorId="0" shapeId="0" xr:uid="{A41D0E35-F452-4916-9CFD-E1BD2698B0F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31" authorId="0" shapeId="0" xr:uid="{A4C51C65-4A7F-480D-A103-E8AF7454CEC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31" authorId="0" shapeId="0" xr:uid="{28F130B3-9263-41CC-BDD3-E73496EABC1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32" authorId="0" shapeId="0" xr:uid="{4D19BE04-CC32-4D6D-BB61-9AFBDDE5910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32" authorId="0" shapeId="0" xr:uid="{6452CC55-6033-4685-97DD-94265C845AB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33" authorId="0" shapeId="0" xr:uid="{71819551-5E05-4D39-879D-1E4DC0AA6E4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33" authorId="0" shapeId="0" xr:uid="{BF5BC434-26AC-420A-934D-CA5406723D2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34" authorId="0" shapeId="0" xr:uid="{84E50526-DFA6-486F-86DD-9C03240B5DA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34" authorId="0" shapeId="0" xr:uid="{3FA72A28-9743-4EFD-A054-EEC5D53450A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38" authorId="0" shapeId="0" xr:uid="{070E93B6-C0D6-4B42-9712-CA90AEB6D05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38" authorId="0" shapeId="0" xr:uid="{FD871C70-D8FC-BC48-B265-688E334A288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39" authorId="0" shapeId="0" xr:uid="{A6959ADC-4D3F-44F4-BAA4-BB64BF70B4F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39" authorId="0" shapeId="0" xr:uid="{012BA942-230E-1D4A-8242-05113DEF9E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40" authorId="0" shapeId="0" xr:uid="{019A5590-5401-45F6-9383-7758A2A4D5D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40" authorId="0" shapeId="0" xr:uid="{F569A2CC-5AE7-4F4A-83C3-D1CFC0096E4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41" authorId="0" shapeId="0" xr:uid="{68EF6379-5652-498B-A985-B7CF6936E98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41" authorId="0" shapeId="0" xr:uid="{A690C2B2-8770-D741-9CE4-00F32A7AAD9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42" authorId="0" shapeId="0" xr:uid="{826A7E47-50C8-4AC8-A500-6957C28F24D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42" authorId="0" shapeId="0" xr:uid="{6793CD2C-14B8-C542-8BF8-3C6D3175735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43" authorId="0" shapeId="0" xr:uid="{FE4BA667-04F8-45DA-9A16-3CFEA5132D1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43" authorId="0" shapeId="0" xr:uid="{92C9550F-3744-0348-A863-5DDA1966AA4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44" authorId="0" shapeId="0" xr:uid="{174F8BDF-0522-438A-8A1D-AEA45D91DD8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44" authorId="0" shapeId="0" xr:uid="{FD14F807-8F12-4AF6-88F3-4D2DCD8462A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45" authorId="0" shapeId="0" xr:uid="{1D4D8D23-798E-49B7-991E-3852C9DED62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45" authorId="0" shapeId="0" xr:uid="{27AAA523-E906-4E9A-B76F-DC6356515BA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46" authorId="0" shapeId="0" xr:uid="{426FB843-C38F-45BD-83C0-69B8D5A0C85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46" authorId="0" shapeId="0" xr:uid="{08C8FA73-EBF3-426E-A1AD-635F5054E43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47" authorId="0" shapeId="0" xr:uid="{DA1E433A-B9B5-4981-83F2-86035047701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47" authorId="0" shapeId="0" xr:uid="{1BEC1D2E-8AE9-459A-A46C-036DA85A88D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48" authorId="0" shapeId="0" xr:uid="{6E1AF4C6-30E8-4EAF-B991-DD92BE566C3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48" authorId="0" shapeId="0" xr:uid="{9C3083DF-8539-407D-A0B5-9616B5511A6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49" authorId="0" shapeId="0" xr:uid="{1BF09268-1087-4FDA-B57C-17561C69808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49" authorId="0" shapeId="0" xr:uid="{01B9E125-D373-4A0C-861C-984227C9A4C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50" authorId="0" shapeId="0" xr:uid="{21EDE048-EB5C-4CEA-85DF-615AD017417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50" authorId="0" shapeId="0" xr:uid="{605E50DB-6807-4B19-A658-C7C1DF652F3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51" authorId="0" shapeId="0" xr:uid="{AA5E5C50-2E24-41DE-9A63-B58E990E44E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51" authorId="0" shapeId="0" xr:uid="{B4D4C905-1228-4B83-BE64-153763E81EC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52" authorId="0" shapeId="0" xr:uid="{0B8895BC-F476-4076-B1A5-5DE00642E30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52" authorId="0" shapeId="0" xr:uid="{D4746D11-C7AC-4078-843C-10BC16384BB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53" authorId="0" shapeId="0" xr:uid="{17BA779F-D031-419F-9918-FB79A81163A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53" authorId="0" shapeId="0" xr:uid="{7099B4CC-DC30-40A6-8AF1-99232D8D28C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54" authorId="0" shapeId="0" xr:uid="{2577C2E5-FC62-477E-8C7A-17ACCCBA92D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54" authorId="0" shapeId="0" xr:uid="{3F67EBB3-64A4-4D0F-8A78-EA63C0CBBCE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55" authorId="0" shapeId="0" xr:uid="{3D9363CE-4F98-4FB6-898D-6AFB606A282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55" authorId="0" shapeId="0" xr:uid="{401FBD91-0657-41BC-B559-F630CC82732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56" authorId="0" shapeId="0" xr:uid="{DB493BF6-DF91-42BC-806B-D962AC4D3A4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56" authorId="0" shapeId="0" xr:uid="{7CEBAD63-7D25-4769-8848-51799AA07E6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57" authorId="0" shapeId="0" xr:uid="{CC577C96-4F9B-41F5-A442-2275C7D51F9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57" authorId="0" shapeId="0" xr:uid="{FC575445-0CFA-4C4D-B2E1-F94C5F41C95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61" authorId="0" shapeId="0" xr:uid="{8C7295AC-9D14-4E78-8E67-53838DA9FD6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61" authorId="0" shapeId="0" xr:uid="{78B0A924-4450-204E-AAC2-AAA4BF122AD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62" authorId="0" shapeId="0" xr:uid="{561EE9B6-B432-4923-ADCE-659905B494B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62" authorId="0" shapeId="0" xr:uid="{85C0A30D-7B0B-F64A-A639-9A7AA1B6B3D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63" authorId="0" shapeId="0" xr:uid="{18E21952-136D-4D4D-AB63-7D5CCDB6DD1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63" authorId="0" shapeId="0" xr:uid="{164D2245-A8B4-4B39-A314-D69EC843B11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64" authorId="0" shapeId="0" xr:uid="{15417A34-7128-47E1-B597-D1171414F3E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64" authorId="0" shapeId="0" xr:uid="{31CF94DB-217F-4B4B-9F7C-896768689C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65" authorId="0" shapeId="0" xr:uid="{FE6143A4-935F-46CF-AF59-F22056631E6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65" authorId="0" shapeId="0" xr:uid="{9C0F386D-AE0C-4826-A184-9F504F76769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66" authorId="0" shapeId="0" xr:uid="{716D784D-5882-4DC1-AEC3-C3E7F61C372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66" authorId="0" shapeId="0" xr:uid="{9B283626-507C-415B-B791-769444A3C51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67" authorId="0" shapeId="0" xr:uid="{E6256D6F-60EB-441B-B8FA-726293456B4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67" authorId="0" shapeId="0" xr:uid="{262E9F74-754B-40C0-A1A5-4994AA08153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68" authorId="0" shapeId="0" xr:uid="{4FDA4B1E-F8CA-41F3-A6C0-AB461AF47DF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68" authorId="0" shapeId="0" xr:uid="{A848227F-C576-4FEE-A59C-95E4C0ACB1A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69" authorId="0" shapeId="0" xr:uid="{92217C13-B35F-4421-BD58-90D4899359E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69" authorId="0" shapeId="0" xr:uid="{80AFE73B-037D-4600-9FFE-E192E379962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0" authorId="0" shapeId="0" xr:uid="{455E1221-6B20-4A7F-8C7D-937DEFA3150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0" authorId="0" shapeId="0" xr:uid="{D86FDB2B-D444-4803-B7D2-C87292C8F78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1" authorId="0" shapeId="0" xr:uid="{A86E360D-D08A-4295-9470-04CCF6EB963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1" authorId="0" shapeId="0" xr:uid="{9DF997C6-A9F9-413F-A1B3-FE4D67304B4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2" authorId="0" shapeId="0" xr:uid="{EAA1428D-7D61-42FE-88F0-989732B4AD0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2" authorId="0" shapeId="0" xr:uid="{E8AD648A-5718-4085-BA3D-A311A4CF8E1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3" authorId="0" shapeId="0" xr:uid="{BC498548-BC2E-476A-A475-6FC5514F3B2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3" authorId="0" shapeId="0" xr:uid="{1C2A85B0-8F86-4D74-A73E-750B6BB7841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4" authorId="0" shapeId="0" xr:uid="{F51D1F2F-764F-4A2A-B28A-04BE01565BD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4" authorId="0" shapeId="0" xr:uid="{E77D8B0F-C207-465F-AB3F-7BF7278C4CE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5" authorId="0" shapeId="0" xr:uid="{F0C05281-9798-4793-BEE3-2E6855A0378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5" authorId="0" shapeId="0" xr:uid="{6221BD24-E606-4D1B-A351-B88F301C6B6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6" authorId="0" shapeId="0" xr:uid="{42C55237-1083-4903-B92D-43303DC348F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6" authorId="0" shapeId="0" xr:uid="{36D3A7E7-C1A8-4651-A2C5-36405514F24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7" authorId="0" shapeId="0" xr:uid="{49B8D658-B42A-4188-A69B-BDC1F18FC6D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7" authorId="0" shapeId="0" xr:uid="{56941E40-6B32-4DF8-B776-FE62A56E7E8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8" authorId="0" shapeId="0" xr:uid="{F9530C68-A8E3-4D77-897E-EE8E144CC11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8" authorId="0" shapeId="0" xr:uid="{FC07BC4E-5F71-4B90-BAAF-31AE6A67F68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79" authorId="0" shapeId="0" xr:uid="{1B72CAB3-5C73-4B8E-B9F2-8626AAF591F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79" authorId="0" shapeId="0" xr:uid="{EBE57762-1484-40C7-9CAE-91D94A83764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0" authorId="0" shapeId="0" xr:uid="{C3D8222F-17E6-4F00-B82C-C30C35A13C3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80" authorId="0" shapeId="0" xr:uid="{D4A83E43-5AC1-492F-A607-F76288C8CA8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4" authorId="0" shapeId="0" xr:uid="{8F925B41-CB93-43F1-A5A7-63CEAA21722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84" authorId="0" shapeId="0" xr:uid="{4E70CE44-D434-1241-A686-499444F715C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5" authorId="0" shapeId="0" xr:uid="{6D6B78D7-1A46-4878-8D1C-722659DD47B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85" authorId="0" shapeId="0" xr:uid="{E407E1C2-D4F5-E043-A4C9-E085062F10A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6" authorId="0" shapeId="0" xr:uid="{DA30E265-CB88-4556-877F-4E3C2E554ED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86" authorId="0" shapeId="0" xr:uid="{05225858-4D02-F449-89CB-D3C6502BE4C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7" authorId="0" shapeId="0" xr:uid="{4B773C00-13C0-4336-92EC-C61C3CDF8E0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87" authorId="0" shapeId="0" xr:uid="{B12E904B-F1A8-B649-976F-F71593F310F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8" authorId="0" shapeId="0" xr:uid="{0915BF4B-86FE-4FD5-8C0C-721C9F6C3D8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88" authorId="0" shapeId="0" xr:uid="{C75A0DA2-43C5-754C-A21B-448DEEB4200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89" authorId="0" shapeId="0" xr:uid="{630A8B02-18F0-4D7E-856D-CB449C3A3FB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89" authorId="0" shapeId="0" xr:uid="{6D883316-C99A-C34E-8B9E-9EAB8C22909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C190" authorId="0" shapeId="0" xr:uid="{590A9B73-2F44-5645-B246-7CBD1C78367B}">
      <text>
        <r>
          <rPr>
            <b/>
            <sz val="10"/>
            <color rgb="FF000000"/>
            <rFont val="Tahoma"/>
            <family val="2"/>
          </rPr>
          <t>Francesco Parigi:</t>
        </r>
        <r>
          <rPr>
            <sz val="10"/>
            <color rgb="FF000000"/>
            <rFont val="Tahoma"/>
            <family val="2"/>
          </rPr>
          <t xml:space="preserve">
</t>
        </r>
        <r>
          <rPr>
            <sz val="10"/>
            <color rgb="FF000000"/>
            <rFont val="Calibri"/>
            <family val="2"/>
          </rPr>
          <t xml:space="preserve">e.g. Soil and Substrate Preparation, Temperature and Humidity Control, Greenhouse Maintenance
</t>
        </r>
      </text>
    </comment>
    <comment ref="G190" authorId="0" shapeId="0" xr:uid="{3F2A4DEF-0EF3-4C71-8BB2-B156F726298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0" authorId="0" shapeId="0" xr:uid="{A47B2362-32E0-004A-8590-600C93DDAAE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1" authorId="0" shapeId="0" xr:uid="{E3ACE99B-E571-4E89-8DCD-5ED130BCDEC8}">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1" authorId="0" shapeId="0" xr:uid="{0EFC09F5-29F8-5346-B9D1-E5447B7BDDD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2" authorId="0" shapeId="0" xr:uid="{890D3EB2-708C-4315-8743-21575609E0C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2" authorId="0" shapeId="0" xr:uid="{8F868B04-7996-624E-8FED-C2F73A1333D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3" authorId="0" shapeId="0" xr:uid="{D0E2C3A6-A357-4554-B730-4F5B3D2BD10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3" authorId="0" shapeId="0" xr:uid="{27017F8F-D7BA-E047-B087-410341AAA14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4" authorId="0" shapeId="0" xr:uid="{8DDE7257-C0C8-4CC5-B3D2-33FD303FE3D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4" authorId="0" shapeId="0" xr:uid="{4C88C332-3828-7848-8F94-88CBEDE4D98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5" authorId="0" shapeId="0" xr:uid="{C4A0CB95-33A4-4A2A-B9EA-8AFD3EE4A46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5" authorId="0" shapeId="0" xr:uid="{78A2C1BC-4EDC-5C49-9016-8099980F66B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6" authorId="0" shapeId="0" xr:uid="{2C46E5E5-B423-44D4-BD44-B8E1828EB8F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6" authorId="0" shapeId="0" xr:uid="{11E30DEF-8490-A040-8391-4762394D512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7" authorId="0" shapeId="0" xr:uid="{4DB910D4-A10B-4386-A76A-82E2A96E953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7" authorId="0" shapeId="0" xr:uid="{184B4367-863E-F94F-99AF-EF12A4AC1A1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8" authorId="0" shapeId="0" xr:uid="{8AA1FC18-CEFE-4593-A4ED-D323ABF6A48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8" authorId="0" shapeId="0" xr:uid="{D0510CCF-CE3E-6A44-9E13-4E4899126BC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199" authorId="0" shapeId="0" xr:uid="{E33144A6-E416-44A1-8C6E-0F67F55E7F81}">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199" authorId="0" shapeId="0" xr:uid="{B7DC4D42-BCE9-C545-B3CD-AC3DF8EE7C34}">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0" authorId="0" shapeId="0" xr:uid="{08A5943E-C654-4881-87A5-DAD99DB157E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0" authorId="0" shapeId="0" xr:uid="{9EB72E04-D6EB-574C-9ED1-7227308CCF8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1" authorId="0" shapeId="0" xr:uid="{04565EBD-0493-4DB3-9817-84B4FC08BCD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1" authorId="0" shapeId="0" xr:uid="{A429DFE3-1B79-D640-B654-D648F8A513B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2" authorId="0" shapeId="0" xr:uid="{72C265F0-5F97-4FA0-8615-4DD7233E81A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2" authorId="0" shapeId="0" xr:uid="{6371F627-95CC-4448-9F58-2912E83414D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3" authorId="0" shapeId="0" xr:uid="{D8AF4168-F2F6-4573-A1E3-11E8DDC0504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3" authorId="0" shapeId="0" xr:uid="{241AF93E-81F5-B349-9735-966DA78D048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4" authorId="0" shapeId="0" xr:uid="{9148D34F-C33A-4F0A-A3ED-DA48BFD541C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4" authorId="0" shapeId="0" xr:uid="{935F17E4-6200-1A4B-A925-E6CA6EA1502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5" authorId="0" shapeId="0" xr:uid="{4A12F372-DC00-4C31-A076-A6ABBAC1F41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5" authorId="0" shapeId="0" xr:uid="{597976FA-C921-2D46-AB25-A68EE7B7336D}">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6" authorId="0" shapeId="0" xr:uid="{CBE318FE-1DD4-4C91-B3E9-2E7EA276387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6" authorId="0" shapeId="0" xr:uid="{808DBCC6-FD5B-5645-815D-E5E2D7888D4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7" authorId="0" shapeId="0" xr:uid="{396B3E21-8308-40AE-BC2E-61B810D9537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7" authorId="0" shapeId="0" xr:uid="{3C480CCF-7B98-A24E-A4F1-6CFE3F270BDA}">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08" authorId="0" shapeId="0" xr:uid="{6089EF50-7A8B-44A5-88D6-24DD6B1B6A3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08" authorId="0" shapeId="0" xr:uid="{2E805A84-2E42-A848-8EE9-579A9964894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10" authorId="0" shapeId="0" xr:uid="{C0593E05-CE44-324E-9E0F-D5842CA221B1}">
      <text>
        <r>
          <rPr>
            <b/>
            <sz val="10"/>
            <color rgb="FF000000"/>
            <rFont val="Tahoma"/>
            <family val="2"/>
          </rPr>
          <t>Francesco Parigi:</t>
        </r>
        <r>
          <rPr>
            <sz val="10"/>
            <color rgb="FF000000"/>
            <rFont val="Tahoma"/>
            <family val="2"/>
          </rPr>
          <t xml:space="preserve">
</t>
        </r>
        <r>
          <rPr>
            <sz val="10"/>
            <color rgb="FF000000"/>
            <rFont val="Tahoma"/>
            <family val="2"/>
          </rPr>
          <t>necessary to calculate economic KPIs</t>
        </r>
      </text>
    </comment>
    <comment ref="G212" authorId="0" shapeId="0" xr:uid="{B39A3FA6-19DA-4DB7-A52E-4D014F4B3E87}">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2" authorId="0" shapeId="0" xr:uid="{A5B5E515-D249-D742-964A-F14612B2839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3" authorId="0" shapeId="0" xr:uid="{CD9BA01F-F309-4AF8-8B7B-D8D3E5CFCC9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3" authorId="0" shapeId="0" xr:uid="{A8B407F1-86F8-7842-AD1E-2E3AF7F59C9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4" authorId="0" shapeId="0" xr:uid="{A9DD77AB-2AF6-4475-8303-50EB7D805BDC}">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4" authorId="0" shapeId="0" xr:uid="{368F7A92-185A-314A-8000-FC1EF45EAC1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5" authorId="0" shapeId="0" xr:uid="{1E879B99-FF97-499C-A919-E4A9CB8E4B1F}">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5" authorId="0" shapeId="0" xr:uid="{657DB7A3-153C-7D46-A14D-8D52EC0A9338}">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6" authorId="0" shapeId="0" xr:uid="{BB7FDA96-52DD-464C-AA6D-DA6A3686E4B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6" authorId="0" shapeId="0" xr:uid="{22DE7EE0-106D-A041-8F93-37908C50CFD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7" authorId="0" shapeId="0" xr:uid="{DB9E3FE8-8FD3-4D00-8599-34EE9B28E1E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7" authorId="0" shapeId="0" xr:uid="{FADBB22A-11DD-E347-8968-953F086F37E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18" authorId="0" shapeId="0" xr:uid="{4D704EA4-EF61-4388-B37B-7AB290E4740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18" authorId="0" shapeId="0" xr:uid="{43C920FB-AE2E-E845-B504-0B735A41CDFC}">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20" authorId="0" shapeId="0" xr:uid="{1898B63A-C3EE-FF4C-ABBE-2A8BBB04D857}">
      <text>
        <r>
          <rPr>
            <b/>
            <sz val="10"/>
            <color rgb="FF000000"/>
            <rFont val="Tahoma"/>
            <family val="2"/>
          </rPr>
          <t>Francesco Parigi:</t>
        </r>
        <r>
          <rPr>
            <sz val="10"/>
            <color rgb="FF000000"/>
            <rFont val="Tahoma"/>
            <family val="2"/>
          </rPr>
          <t xml:space="preserve">
</t>
        </r>
        <r>
          <rPr>
            <sz val="10"/>
            <color rgb="FF000000"/>
            <rFont val="Tahoma"/>
            <family val="2"/>
          </rPr>
          <t>necessary to calculate environmental KPIs</t>
        </r>
      </text>
    </comment>
    <comment ref="G222" authorId="0" shapeId="0" xr:uid="{8E521D4C-FBA7-4511-A3E3-A2634867D38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2" authorId="0" shapeId="0" xr:uid="{610724AD-BC3C-8445-9557-81C884ACCD8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3" authorId="0" shapeId="0" xr:uid="{288B363F-F6A1-4AD5-B496-557BAE1A5F6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3" authorId="0" shapeId="0" xr:uid="{FC82539F-E22A-314D-856D-F433288969F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4" authorId="0" shapeId="0" xr:uid="{D8DFFC22-946C-43AE-964C-6898ACC0798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4" authorId="0" shapeId="0" xr:uid="{60CDC51F-44C7-5E44-92FD-29492BDF78B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5" authorId="0" shapeId="0" xr:uid="{B354980E-BA0A-42C5-872B-6C88482F7BF4}">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5" authorId="0" shapeId="0" xr:uid="{9E044D6F-9A0B-9A44-B47D-18D87D0F795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6" authorId="0" shapeId="0" xr:uid="{F2B3A36C-1310-4A81-84F8-56C71C6775B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6" authorId="0" shapeId="0" xr:uid="{A5D829BB-3A97-4C4B-B302-E272E70C1797}">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27" authorId="0" shapeId="0" xr:uid="{F4DAAD62-5C04-4B3F-9A4F-266B7021195E}">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27" authorId="0" shapeId="0" xr:uid="{96BEE78B-07C7-2544-BE29-C06385D687E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B229" authorId="0" shapeId="0" xr:uid="{CEBA2151-2542-444D-8FD2-7C3809F44332}">
      <text>
        <r>
          <rPr>
            <b/>
            <sz val="10"/>
            <color rgb="FF000000"/>
            <rFont val="Tahoma"/>
            <family val="2"/>
          </rPr>
          <t>Francesco Parigi:</t>
        </r>
        <r>
          <rPr>
            <sz val="10"/>
            <color rgb="FF000000"/>
            <rFont val="Tahoma"/>
            <family val="2"/>
          </rPr>
          <t xml:space="preserve">
</t>
        </r>
        <r>
          <rPr>
            <sz val="10"/>
            <color rgb="FF000000"/>
            <rFont val="Tahoma"/>
            <family val="2"/>
          </rPr>
          <t>Necessary to calculate social KPIs</t>
        </r>
      </text>
    </comment>
    <comment ref="G231" authorId="0" shapeId="0" xr:uid="{0EECAC8C-1FE0-4AEF-B433-79E29AB1493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31" authorId="0" shapeId="0" xr:uid="{55068EC9-51E1-2C42-ADEB-DE9FF044096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2" authorId="0" shapeId="0" xr:uid="{AE260D60-727A-40B1-B0D1-8650B231FAC5}">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32" authorId="0" shapeId="0" xr:uid="{15FDF8EC-F9F2-7443-95E4-542EC992BEB1}">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3" authorId="0" shapeId="0" xr:uid="{BF77566F-4B20-43FB-AF83-8B39FEA18F0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33" authorId="0" shapeId="0" xr:uid="{1BB355DE-B3C2-604F-B511-D03DDD853D79}">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4" authorId="0" shapeId="0" xr:uid="{2DFCFA12-AC16-47A4-905B-0C3FF540E4A0}">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34" authorId="0" shapeId="0" xr:uid="{1769DD2B-7DBF-3848-801F-351D33826AF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5" authorId="0" shapeId="0" xr:uid="{981D5C6A-B52D-45B4-963A-F3DE268CE73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35" authorId="0" shapeId="0" xr:uid="{7442A9C6-5AA0-7640-964B-DD5660CBDAA6}">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36" authorId="0" shapeId="0" xr:uid="{E8FEB066-663F-46E8-BC8B-7F426CEA11E3}">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36" authorId="0" shapeId="0" xr:uid="{9CE85EFD-B1D1-2C47-B486-31C712C5A272}">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0" authorId="0" shapeId="0" xr:uid="{6C0BC47B-F5DD-416A-9E3F-856826D2D52B}">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0" authorId="0" shapeId="0" xr:uid="{21DDB90E-6BCB-2B4F-AB4F-7237CC715B10}">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1" authorId="0" shapeId="0" xr:uid="{8928DF81-B941-4705-87DA-4058B4965E9D}">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1" authorId="0" shapeId="0" xr:uid="{722D2302-DD84-9546-A2E3-030C53236AC5}">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2" authorId="0" shapeId="0" xr:uid="{8EA35BEC-502D-41BA-AB96-9C3FEBB1F83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2" authorId="0" shapeId="0" xr:uid="{CC4A294A-77C0-B94D-BAB6-75D529B0278B}">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3" authorId="0" shapeId="0" xr:uid="{84FD4466-A1A6-4C74-BA38-C2BEA2DE1D09}">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3" authorId="0" shapeId="0" xr:uid="{D008B937-7006-A04B-ABEB-123E1021BEBF}">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4" authorId="0" shapeId="0" xr:uid="{BD6FC1E0-A213-4608-88E9-78948AF73D82}">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4" authorId="0" shapeId="0" xr:uid="{1DA89F08-98DA-074E-A751-13AA8D7F5C0E}">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5" authorId="0" shapeId="0" xr:uid="{D437979B-11FC-4918-BC6F-72F00FFFC34A}">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5" authorId="0" shapeId="0" xr:uid="{705E6117-A486-604F-9F9E-75AFCAAEA153}">
      <text>
        <r>
          <rPr>
            <b/>
            <sz val="10"/>
            <color rgb="FF000000"/>
            <rFont val="Tahoma"/>
            <family val="2"/>
          </rPr>
          <t>Francesco Parigi:</t>
        </r>
        <r>
          <rPr>
            <sz val="10"/>
            <color rgb="FF000000"/>
            <rFont val="Tahoma"/>
            <family val="2"/>
          </rPr>
          <t xml:space="preserve">
</t>
        </r>
        <r>
          <rPr>
            <sz val="10"/>
            <color rgb="FF000000"/>
            <rFont val="Tahoma"/>
            <family val="2"/>
          </rPr>
          <t>Text</t>
        </r>
      </text>
    </comment>
    <comment ref="G246" authorId="0" shapeId="0" xr:uid="{D6599F69-9A12-49A7-9006-F8BA2530D786}">
      <text>
        <r>
          <rPr>
            <b/>
            <sz val="10"/>
            <color rgb="FF000000"/>
            <rFont val="Tahoma"/>
            <family val="2"/>
          </rPr>
          <t>Francesco Parigi:</t>
        </r>
        <r>
          <rPr>
            <sz val="10"/>
            <color rgb="FF000000"/>
            <rFont val="Tahoma"/>
            <family val="2"/>
          </rPr>
          <t xml:space="preserve">
</t>
        </r>
        <r>
          <rPr>
            <sz val="10"/>
            <color rgb="FF000000"/>
            <rFont val="Tahoma"/>
            <family val="2"/>
          </rPr>
          <t xml:space="preserve">Decimal number 
</t>
        </r>
      </text>
    </comment>
    <comment ref="H246" authorId="0" shapeId="0" xr:uid="{181F0B71-28E5-9C49-A583-642790C0CB98}">
      <text>
        <r>
          <rPr>
            <b/>
            <sz val="10"/>
            <color rgb="FF000000"/>
            <rFont val="Tahoma"/>
            <family val="2"/>
          </rPr>
          <t>Francesco Parigi:</t>
        </r>
        <r>
          <rPr>
            <sz val="10"/>
            <color rgb="FF000000"/>
            <rFont val="Tahoma"/>
            <family val="2"/>
          </rPr>
          <t xml:space="preserve">
</t>
        </r>
        <r>
          <rPr>
            <sz val="10"/>
            <color rgb="FF000000"/>
            <rFont val="Tahoma"/>
            <family val="2"/>
          </rPr>
          <t>Text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chiara corbo</author>
  </authors>
  <commentList>
    <comment ref="B11" authorId="0" shapeId="0" xr:uid="{FC31F11A-442D-ED4F-9640-783178D8EBB1}">
      <text>
        <r>
          <rPr>
            <b/>
            <sz val="10"/>
            <color rgb="FF000000"/>
            <rFont val="Tahoma"/>
            <family val="2"/>
          </rPr>
          <t>chiara corbo:</t>
        </r>
        <r>
          <rPr>
            <sz val="10"/>
            <color rgb="FF000000"/>
            <rFont val="Tahoma"/>
            <family val="2"/>
          </rPr>
          <t xml:space="preserve">
</t>
        </r>
        <r>
          <rPr>
            <sz val="10"/>
            <color rgb="FF000000"/>
            <rFont val="Tahoma"/>
            <family val="2"/>
          </rPr>
          <t xml:space="preserve">cost of labour diventa singola voce, che si calcola o sommando le voci singole sulle attività oppure come complessivo come per input acqua ecc.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chiara corbo</author>
  </authors>
  <commentList>
    <comment ref="D79" authorId="0" shapeId="0" xr:uid="{3AC906AC-0694-B348-8427-4CA6BAE984F4}">
      <text>
        <r>
          <rPr>
            <b/>
            <sz val="10"/>
            <color rgb="FF000000"/>
            <rFont val="Tahoma"/>
            <family val="2"/>
          </rPr>
          <t>chiara corbo:</t>
        </r>
        <r>
          <rPr>
            <sz val="10"/>
            <color rgb="FF000000"/>
            <rFont val="Tahoma"/>
            <family val="2"/>
          </rPr>
          <t xml:space="preserve">
</t>
        </r>
        <r>
          <rPr>
            <sz val="10"/>
            <color rgb="FF000000"/>
            <rFont val="Tahoma"/>
            <family val="2"/>
          </rPr>
          <t>serve tenere tutto questo??</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<sst xmlns="http://schemas.openxmlformats.org/spreadsheetml/2006/main" count="4713" uniqueCount="1888">
  <si>
    <t xml:space="preserve">WATER </t>
  </si>
  <si>
    <t>Irrigation</t>
  </si>
  <si>
    <t>Fertigation</t>
  </si>
  <si>
    <t xml:space="preserve">Cleaning </t>
  </si>
  <si>
    <t>Fertilisation</t>
  </si>
  <si>
    <t>FUEL</t>
  </si>
  <si>
    <t xml:space="preserve">LABOUR </t>
  </si>
  <si>
    <t xml:space="preserve">N. of treatements </t>
  </si>
  <si>
    <t xml:space="preserve">FERTILISER </t>
  </si>
  <si>
    <t>FEED</t>
  </si>
  <si>
    <t>Product 1</t>
  </si>
  <si>
    <t>Product 2</t>
  </si>
  <si>
    <t xml:space="preserve">DRUGS </t>
  </si>
  <si>
    <t xml:space="preserve">ELECTRICITY </t>
  </si>
  <si>
    <t xml:space="preserve">Irrigation </t>
  </si>
  <si>
    <t xml:space="preserve">Milking </t>
  </si>
  <si>
    <t xml:space="preserve">Pesticides </t>
  </si>
  <si>
    <t>Nitrogen applied</t>
  </si>
  <si>
    <t>Nitrogen use efficiency</t>
  </si>
  <si>
    <t>Phosphorus applied</t>
  </si>
  <si>
    <t>Phosphorus use efficiency</t>
  </si>
  <si>
    <t>Irrigation water productivity</t>
  </si>
  <si>
    <t>Electricity consumption</t>
  </si>
  <si>
    <t xml:space="preserve">Fuel GHG emission </t>
  </si>
  <si>
    <t xml:space="preserve">N2O GHG emission </t>
  </si>
  <si>
    <t>Training hours (for the use of DATs)</t>
  </si>
  <si>
    <t>Working time</t>
  </si>
  <si>
    <t xml:space="preserve">Frequency rate of occupational injuries </t>
  </si>
  <si>
    <t xml:space="preserve">Incidence of occupational injuries </t>
  </si>
  <si>
    <t>Contribution to local employment</t>
  </si>
  <si>
    <t xml:space="preserve">Pest dilution </t>
  </si>
  <si>
    <t xml:space="preserve">Tracking the quantity of grain available in the silo </t>
  </si>
  <si>
    <t>Controlling purchase and sale prices and quantities</t>
  </si>
  <si>
    <t xml:space="preserve">Organise logistics </t>
  </si>
  <si>
    <t xml:space="preserve">Pruning </t>
  </si>
  <si>
    <t>Temperature and Humidity Control</t>
  </si>
  <si>
    <t xml:space="preserve">Stable visits </t>
  </si>
  <si>
    <t xml:space="preserve">Heat detection </t>
  </si>
  <si>
    <t xml:space="preserve">Calving detection </t>
  </si>
  <si>
    <t xml:space="preserve">Ease of movement </t>
  </si>
  <si>
    <t>Mortality rate at birth</t>
  </si>
  <si>
    <t xml:space="preserve">Pigsty management </t>
  </si>
  <si>
    <t>(Milk) Quality assessment</t>
  </si>
  <si>
    <t xml:space="preserve">Beehives visits </t>
  </si>
  <si>
    <t xml:space="preserve">Sampling of oysters </t>
  </si>
  <si>
    <t xml:space="preserve">Transporting oysters to the laboratory  </t>
  </si>
  <si>
    <t xml:space="preserve">Feeding </t>
  </si>
  <si>
    <t xml:space="preserve">Field visits  </t>
  </si>
  <si>
    <t>Cleaning</t>
  </si>
  <si>
    <t>Question</t>
  </si>
  <si>
    <t>TC Number</t>
  </si>
  <si>
    <t>TC Leader</t>
  </si>
  <si>
    <t>Biogeographical region</t>
  </si>
  <si>
    <t xml:space="preserve">Value </t>
  </si>
  <si>
    <t>€</t>
  </si>
  <si>
    <t>y</t>
  </si>
  <si>
    <t>DATs maintenance costs</t>
  </si>
  <si>
    <t>€/y</t>
  </si>
  <si>
    <t xml:space="preserve">Instructions to be followed to complete the Data Collection Template </t>
  </si>
  <si>
    <t>Table of abbreviations</t>
  </si>
  <si>
    <t>-</t>
  </si>
  <si>
    <t>number (1, 2, 3, …)</t>
  </si>
  <si>
    <t>euro</t>
  </si>
  <si>
    <r>
      <rPr>
        <sz val="12"/>
        <color theme="1"/>
        <rFont val="Calibri"/>
        <family val="2"/>
        <scheme val="minor"/>
      </rPr>
      <t>cm</t>
    </r>
    <r>
      <rPr>
        <vertAlign val="superscript"/>
        <sz val="12"/>
        <color theme="1"/>
        <rFont val="Calibri"/>
        <family val="2"/>
        <scheme val="minor"/>
      </rPr>
      <t>3</t>
    </r>
  </si>
  <si>
    <t>cubic centimetre</t>
  </si>
  <si>
    <r>
      <t>dm</t>
    </r>
    <r>
      <rPr>
        <vertAlign val="superscript"/>
        <sz val="12"/>
        <color theme="1"/>
        <rFont val="Calibri"/>
        <family val="2"/>
        <scheme val="minor"/>
      </rPr>
      <t>3</t>
    </r>
  </si>
  <si>
    <t>cubic decimetre</t>
  </si>
  <si>
    <t>g</t>
  </si>
  <si>
    <t xml:space="preserve">grams </t>
  </si>
  <si>
    <t>h</t>
  </si>
  <si>
    <t>hour</t>
  </si>
  <si>
    <t>ha</t>
  </si>
  <si>
    <t>hectare</t>
  </si>
  <si>
    <t>K</t>
  </si>
  <si>
    <t>potassium</t>
  </si>
  <si>
    <t>k€</t>
  </si>
  <si>
    <t>kiloeuro (€ 1,000)</t>
  </si>
  <si>
    <t>kg</t>
  </si>
  <si>
    <t>kilograms</t>
  </si>
  <si>
    <t>kWh</t>
  </si>
  <si>
    <t>kilowatt-hour</t>
  </si>
  <si>
    <t>l</t>
  </si>
  <si>
    <t>litre</t>
  </si>
  <si>
    <t>mg</t>
  </si>
  <si>
    <t>micrograms</t>
  </si>
  <si>
    <t>mo</t>
  </si>
  <si>
    <t>month</t>
  </si>
  <si>
    <r>
      <t>m</t>
    </r>
    <r>
      <rPr>
        <vertAlign val="superscript"/>
        <sz val="12"/>
        <rFont val="Calibri"/>
        <family val="2"/>
        <scheme val="minor"/>
      </rPr>
      <t>2</t>
    </r>
  </si>
  <si>
    <t xml:space="preserve">square metre </t>
  </si>
  <si>
    <r>
      <t>m</t>
    </r>
    <r>
      <rPr>
        <vertAlign val="superscript"/>
        <sz val="12"/>
        <color theme="1"/>
        <rFont val="Cambria"/>
        <family val="1"/>
      </rPr>
      <t>3</t>
    </r>
  </si>
  <si>
    <t>cubic metre</t>
  </si>
  <si>
    <t>N</t>
  </si>
  <si>
    <t>nitrogen</t>
  </si>
  <si>
    <t>P</t>
  </si>
  <si>
    <t>phosphorus</t>
  </si>
  <si>
    <t>ppm</t>
  </si>
  <si>
    <t>parts per million</t>
  </si>
  <si>
    <t>t</t>
  </si>
  <si>
    <t>tonnes</t>
  </si>
  <si>
    <t>w</t>
  </si>
  <si>
    <t>week</t>
  </si>
  <si>
    <t>year</t>
  </si>
  <si>
    <t>Identification</t>
  </si>
  <si>
    <t>Parcel Name</t>
  </si>
  <si>
    <t xml:space="preserve"> </t>
  </si>
  <si>
    <t>yes</t>
  </si>
  <si>
    <t>no</t>
  </si>
  <si>
    <t xml:space="preserve">u.m. </t>
  </si>
  <si>
    <t>value</t>
  </si>
  <si>
    <t>Notes</t>
  </si>
  <si>
    <t>Parcel dimension</t>
  </si>
  <si>
    <t>Number of animals</t>
  </si>
  <si>
    <t>Livestock units per hectare</t>
  </si>
  <si>
    <t>LSU/ha</t>
  </si>
  <si>
    <t>%</t>
  </si>
  <si>
    <t>Soil Organic Carbon</t>
  </si>
  <si>
    <t>Year 1</t>
  </si>
  <si>
    <t>Year 2</t>
  </si>
  <si>
    <t>Year 3</t>
  </si>
  <si>
    <t>data</t>
  </si>
  <si>
    <t xml:space="preserve">Drinking </t>
  </si>
  <si>
    <t>#</t>
  </si>
  <si>
    <t>n</t>
  </si>
  <si>
    <t>Calves died in the first 24h</t>
  </si>
  <si>
    <t>Total number of lost working hours due to occupational injuries</t>
  </si>
  <si>
    <t>OUTPUT</t>
  </si>
  <si>
    <t xml:space="preserve">Milk </t>
  </si>
  <si>
    <t xml:space="preserve">Meat </t>
  </si>
  <si>
    <t xml:space="preserve">Oyster </t>
  </si>
  <si>
    <t xml:space="preserve">Honey </t>
  </si>
  <si>
    <t>Water price</t>
  </si>
  <si>
    <t>Fuel price</t>
  </si>
  <si>
    <t>Electricity price</t>
  </si>
  <si>
    <t>Tot. number  of calves born</t>
  </si>
  <si>
    <t>Unit of measure</t>
  </si>
  <si>
    <t>Number of beehives</t>
  </si>
  <si>
    <t>Sowing / Planting</t>
  </si>
  <si>
    <t xml:space="preserve">Sowing / Planting </t>
  </si>
  <si>
    <t xml:space="preserve">or Total water used </t>
  </si>
  <si>
    <t>number of days per year with access to pasture and outdoor loafing area</t>
  </si>
  <si>
    <t>Outdoor loafing area</t>
  </si>
  <si>
    <t xml:space="preserve">Number of days per year with access to pasture </t>
  </si>
  <si>
    <t>New injury cases</t>
  </si>
  <si>
    <t>Working hours</t>
  </si>
  <si>
    <t>Number of new local employees hired</t>
  </si>
  <si>
    <t>Number of new employees hired</t>
  </si>
  <si>
    <t xml:space="preserve">or Total fuel used </t>
  </si>
  <si>
    <t xml:space="preserve">or Total electricity used </t>
  </si>
  <si>
    <t xml:space="preserve">INDICATOR </t>
  </si>
  <si>
    <t>SCENARIO</t>
  </si>
  <si>
    <t>UoM</t>
  </si>
  <si>
    <t>Cost of water</t>
  </si>
  <si>
    <t>Without DATs</t>
  </si>
  <si>
    <t>€/ha</t>
  </si>
  <si>
    <t>Cost of  fuel</t>
  </si>
  <si>
    <t>INDICATOR</t>
  </si>
  <si>
    <t>Formula</t>
  </si>
  <si>
    <t>kg/ha</t>
  </si>
  <si>
    <t>kWh/ha</t>
  </si>
  <si>
    <t>kg Co2e/ha</t>
  </si>
  <si>
    <t>direct + indirect N2O emissions</t>
  </si>
  <si>
    <t>direct</t>
  </si>
  <si>
    <t>indirect volatilisation</t>
  </si>
  <si>
    <t>h/week</t>
  </si>
  <si>
    <t>Hours worked per type of worker (e.g., hours of full time employees)/Number of working weeks in a year</t>
  </si>
  <si>
    <t>n./hours</t>
  </si>
  <si>
    <t xml:space="preserve">Number of new injury cases/Total number of working hours </t>
  </si>
  <si>
    <t xml:space="preserve">Total number of lost working hours due to occupational injuries/Total number of working hours </t>
  </si>
  <si>
    <t xml:space="preserve">Number of new local employees/Total new employees hired </t>
  </si>
  <si>
    <t>With DATs</t>
  </si>
  <si>
    <t>h/employee</t>
  </si>
  <si>
    <t>Time spent for training hours for all the employee/number of employees</t>
  </si>
  <si>
    <t>Cost of electricity</t>
  </si>
  <si>
    <t>d/y</t>
  </si>
  <si>
    <t>(Number of deaths in a year/Average herd size)</t>
  </si>
  <si>
    <t>(Calves died in the first 24 h / Total number of calves born)</t>
  </si>
  <si>
    <t>kg/output</t>
  </si>
  <si>
    <t>FARM DATA</t>
  </si>
  <si>
    <t>INPUT</t>
  </si>
  <si>
    <t xml:space="preserve">FUEL </t>
  </si>
  <si>
    <t>ELECTRICITY</t>
  </si>
  <si>
    <t>Cost of labour for fertilisation</t>
  </si>
  <si>
    <t>Name product 2</t>
  </si>
  <si>
    <t>u.m.</t>
  </si>
  <si>
    <t>Cost of labour for irrigation</t>
  </si>
  <si>
    <t>Cost of labour for pesticide</t>
  </si>
  <si>
    <t xml:space="preserve">Cost of labour for sowing_planting </t>
  </si>
  <si>
    <t>Cost of labour for pruning</t>
  </si>
  <si>
    <t xml:space="preserve">Cost of labour for field visits </t>
  </si>
  <si>
    <t xml:space="preserve">PESTICIDE </t>
  </si>
  <si>
    <t xml:space="preserve">Cost for pesticide </t>
  </si>
  <si>
    <t>FERTILISER</t>
  </si>
  <si>
    <t xml:space="preserve">Cost of fertiliser </t>
  </si>
  <si>
    <t>COST ANALYSIS</t>
  </si>
  <si>
    <t>REVENUES ANALYSIS</t>
  </si>
  <si>
    <t xml:space="preserve">Yield*Product market price </t>
  </si>
  <si>
    <t>(yield *Average N content (%))/(Amount of N fertilizer used /total area)*100</t>
  </si>
  <si>
    <t>Amount of N fertilizer used/total area</t>
  </si>
  <si>
    <t>Amount of P fertilizer used/total area</t>
  </si>
  <si>
    <t>(yield*Average P content (%))/(Amount of P fertilizer used/total area)*100</t>
  </si>
  <si>
    <t>Amount of water used/total area</t>
  </si>
  <si>
    <t>Yield/Amount of water used for irrigation</t>
  </si>
  <si>
    <t>Tot. amount of electricity used/tot area</t>
  </si>
  <si>
    <t>Tot. amount of fuel used *Lower heating value*Emission factor</t>
  </si>
  <si>
    <t>LABOUR</t>
  </si>
  <si>
    <t xml:space="preserve">FORMULAS </t>
  </si>
  <si>
    <t xml:space="preserve">TOTAL </t>
  </si>
  <si>
    <t>Cost of labour for greenhouse maintenance</t>
  </si>
  <si>
    <t xml:space="preserve">Cost of labour for tracking the quantity of grain available in the silo </t>
  </si>
  <si>
    <t>Cost of labour for assessing grain quality</t>
  </si>
  <si>
    <t>Cost of labour for controlling purchase and sale prices and quantities</t>
  </si>
  <si>
    <t xml:space="preserve">Cost of labour for organise logistics </t>
  </si>
  <si>
    <t>Cost of labour for cleaning</t>
  </si>
  <si>
    <t xml:space="preserve">Cost of labour for stable visits </t>
  </si>
  <si>
    <t xml:space="preserve">Cost of labour for heat detection </t>
  </si>
  <si>
    <t xml:space="preserve">Cost of labour for calving detection </t>
  </si>
  <si>
    <t xml:space="preserve">Cost of labour for pigsty management </t>
  </si>
  <si>
    <t>Cost of labour for (milk) quality assessment</t>
  </si>
  <si>
    <t xml:space="preserve">Cost of labour for feeding </t>
  </si>
  <si>
    <t xml:space="preserve">Cost of labour for beehives visits </t>
  </si>
  <si>
    <t xml:space="preserve">Cost of labour for sampling of oysters </t>
  </si>
  <si>
    <t xml:space="preserve">Cost of labour for transporting oysters to the laboratory  </t>
  </si>
  <si>
    <t xml:space="preserve">Pesticide 1 price </t>
  </si>
  <si>
    <t xml:space="preserve">Pesticide 2 price </t>
  </si>
  <si>
    <t xml:space="preserve">Pesticide n price </t>
  </si>
  <si>
    <t>Fertiliser 1 price</t>
  </si>
  <si>
    <t>Fertiliser 2 price</t>
  </si>
  <si>
    <t>Fertiliser n price</t>
  </si>
  <si>
    <t>Feed 1 price</t>
  </si>
  <si>
    <t>Feed 2 price</t>
  </si>
  <si>
    <t>Feed n price</t>
  </si>
  <si>
    <t>Drug 1 price</t>
  </si>
  <si>
    <t>Drug 2 price</t>
  </si>
  <si>
    <t>Drug n price</t>
  </si>
  <si>
    <t>Cost of feed</t>
  </si>
  <si>
    <t xml:space="preserve"> Cost of drugs</t>
  </si>
  <si>
    <t xml:space="preserve">Milk *Product market price </t>
  </si>
  <si>
    <t xml:space="preserve">Meat*Product market price </t>
  </si>
  <si>
    <t xml:space="preserve">Oyster*Product market price </t>
  </si>
  <si>
    <t xml:space="preserve">Honey*Product market price </t>
  </si>
  <si>
    <t xml:space="preserve">ENVIRONMENTAL ANALYSIS </t>
  </si>
  <si>
    <t xml:space="preserve">INPUT </t>
  </si>
  <si>
    <t>l/ha</t>
  </si>
  <si>
    <t xml:space="preserve">SOCIAL ANALYSIS </t>
  </si>
  <si>
    <t>IPCC 2006 methodology (2019 refinement) - Tier 1</t>
  </si>
  <si>
    <t xml:space="preserve">N2O EMISSIONS </t>
  </si>
  <si>
    <t>description</t>
  </si>
  <si>
    <t>direct emissions</t>
  </si>
  <si>
    <t>EF1</t>
  </si>
  <si>
    <t>(Kg N2O-N)/(kg N input)</t>
  </si>
  <si>
    <t>Emission Factor default value for direct emissions</t>
  </si>
  <si>
    <t>EF1 SW</t>
  </si>
  <si>
    <t>Emission Factor for Synthetic fertilizers in Wet climates (optional)</t>
  </si>
  <si>
    <t>EF1 OW</t>
  </si>
  <si>
    <t>Other N inputs in Wet climates (optional)</t>
  </si>
  <si>
    <t>EF1 AD</t>
  </si>
  <si>
    <t>All N inputs in Dry climates (optional)</t>
  </si>
  <si>
    <t>indirect emissions</t>
  </si>
  <si>
    <t>EF4</t>
  </si>
  <si>
    <t>(Kg N2O-N)/(kg N volatilised)</t>
  </si>
  <si>
    <t>Emission Factor default value for volatilization of N</t>
  </si>
  <si>
    <t>EF4 W</t>
  </si>
  <si>
    <t>Emission Factor default value for volatilization of N in wet cliamtes</t>
  </si>
  <si>
    <t>EF4 D</t>
  </si>
  <si>
    <t>Emission Factor default value for volatilization of N in dry climates</t>
  </si>
  <si>
    <t>Frac GASF</t>
  </si>
  <si>
    <t>(kg N volatilised)/(Kg of N input)</t>
  </si>
  <si>
    <t>Fraction of synthetic fertiliser N that volatilises</t>
  </si>
  <si>
    <t>Frac GASM</t>
  </si>
  <si>
    <t>Fraction of organic fertiliser N that volatilies</t>
  </si>
  <si>
    <t>FracLEACH</t>
  </si>
  <si>
    <t>(kg Nleaching&amp;runoff)/(Kg N input)</t>
  </si>
  <si>
    <t>For all N inputs</t>
  </si>
  <si>
    <t>FracLEACH D</t>
  </si>
  <si>
    <t>0 if leaching &amp; runoff process assumed to be absent or in dry climates</t>
  </si>
  <si>
    <t>EF5</t>
  </si>
  <si>
    <t>(kg N2O–N)/(kg N leached and runoff)</t>
  </si>
  <si>
    <t>Emission factor for N2O emissions from N leaching and runoff</t>
  </si>
  <si>
    <t>CF1</t>
  </si>
  <si>
    <t>Kg/kg</t>
  </si>
  <si>
    <t>Coversion factor from N to N2O</t>
  </si>
  <si>
    <t>GWP-N2O</t>
  </si>
  <si>
    <t>CO2 EMISSIONS FUEL</t>
  </si>
  <si>
    <t>Lower Heating Value Diesel</t>
  </si>
  <si>
    <t>MJ/l</t>
  </si>
  <si>
    <t>Castoldi &amp; Bechini, 2006</t>
  </si>
  <si>
    <t>EF diesel agri</t>
  </si>
  <si>
    <t>kg Co2e/Mj</t>
  </si>
  <si>
    <t xml:space="preserve"> IPCC 2006</t>
  </si>
  <si>
    <t xml:space="preserve">Number of employees </t>
  </si>
  <si>
    <t xml:space="preserve">Drugs use in apiculture </t>
  </si>
  <si>
    <t xml:space="preserve">Drugs use in aquaculture </t>
  </si>
  <si>
    <t>Amount of drugs used/ output</t>
  </si>
  <si>
    <t>kg/l</t>
  </si>
  <si>
    <t xml:space="preserve">Fertiliser 1 </t>
  </si>
  <si>
    <t>Fertiliser 2</t>
  </si>
  <si>
    <t>Hours worked /Number of working weeks in a year</t>
  </si>
  <si>
    <t>Number of working weeks in a year</t>
  </si>
  <si>
    <t>OTHER DATA</t>
  </si>
  <si>
    <t>OTHER LABOUR DATA</t>
  </si>
  <si>
    <t xml:space="preserve">Cost of labour for organising logistics </t>
  </si>
  <si>
    <t xml:space="preserve">Additional revenues </t>
  </si>
  <si>
    <t xml:space="preserve">PRODUCTIVITY </t>
  </si>
  <si>
    <t xml:space="preserve">Drugs use in dairy livestock </t>
  </si>
  <si>
    <t xml:space="preserve">Drugs use in meat livestock   </t>
  </si>
  <si>
    <t xml:space="preserve">Arable and horticulture water consumption </t>
  </si>
  <si>
    <t>Aquaculture water consumption</t>
  </si>
  <si>
    <t>Amount of water used/production</t>
  </si>
  <si>
    <t xml:space="preserve"> Potassium applied</t>
  </si>
  <si>
    <t>Potassium use efficiency</t>
  </si>
  <si>
    <t>Amount of K fertilizer used/total area</t>
  </si>
  <si>
    <t>(yield*Average K content (%))/(Amount of K fertilizer used/total area)*100</t>
  </si>
  <si>
    <t xml:space="preserve">Greenhouse Management </t>
  </si>
  <si>
    <t xml:space="preserve">Cost of labour for greenhouse management </t>
  </si>
  <si>
    <t xml:space="preserve">Number of full-time employees </t>
  </si>
  <si>
    <t xml:space="preserve">Number of seasonal employees </t>
  </si>
  <si>
    <t>Area under aquaculture</t>
  </si>
  <si>
    <r>
      <t>m</t>
    </r>
    <r>
      <rPr>
        <vertAlign val="superscript"/>
        <sz val="12"/>
        <color theme="1"/>
        <rFont val="Calibri"/>
        <family val="2"/>
        <scheme val="minor"/>
      </rPr>
      <t>2</t>
    </r>
  </si>
  <si>
    <t>Cost of labour for greenhouse management</t>
  </si>
  <si>
    <t>(Fixed values)</t>
  </si>
  <si>
    <t>DAT</t>
  </si>
  <si>
    <t>Cost of DAT</t>
  </si>
  <si>
    <t>Potassium applied</t>
  </si>
  <si>
    <t>pesticides, herbicides and fungicides use</t>
  </si>
  <si>
    <t>Amount of pesticides, herbicides and fungicide used/total area</t>
  </si>
  <si>
    <t>Amount of pesticides, herbicides and fungicides used/total area</t>
  </si>
  <si>
    <t xml:space="preserve">Arable and horticulture fuel consumption </t>
  </si>
  <si>
    <t xml:space="preserve">Livestock fuel consumption </t>
  </si>
  <si>
    <t xml:space="preserve">Aquaculture fuel consumption </t>
  </si>
  <si>
    <t xml:space="preserve">Apiculture fuel consumption </t>
  </si>
  <si>
    <t>t/m2</t>
  </si>
  <si>
    <t>Land Productivity</t>
  </si>
  <si>
    <t>total production / hours of labour employed</t>
  </si>
  <si>
    <t>Milk productivity</t>
  </si>
  <si>
    <t>total milk production / total number of cows</t>
  </si>
  <si>
    <t>Bees productivity</t>
  </si>
  <si>
    <t>Oyster productivity</t>
  </si>
  <si>
    <t>production / area used</t>
  </si>
  <si>
    <t xml:space="preserve">Meat productivity </t>
  </si>
  <si>
    <t>t / h</t>
  </si>
  <si>
    <t>t / ha</t>
  </si>
  <si>
    <t>kg / cow / day</t>
  </si>
  <si>
    <t>l / cow / day</t>
  </si>
  <si>
    <t>kg/m2</t>
  </si>
  <si>
    <t xml:space="preserve">EFFICIENCY </t>
  </si>
  <si>
    <t>Rate of time for quality analysis</t>
  </si>
  <si>
    <t>(hours spent for quality analysis / total number of working hours) *100</t>
  </si>
  <si>
    <t>Rate of on-time fulfilled orders</t>
  </si>
  <si>
    <t>(number of on-time fulfilled orders / number of orders received) * 100</t>
  </si>
  <si>
    <t>Number of wrong orders</t>
  </si>
  <si>
    <t xml:space="preserve">PRODUCT QUALITY  </t>
  </si>
  <si>
    <t xml:space="preserve">Intrinsic product quality </t>
  </si>
  <si>
    <t>Cows with high SCC</t>
  </si>
  <si>
    <t>number of cows producing high SCC milk / Total number of cows * 100</t>
  </si>
  <si>
    <t>Number of cows producing high SCC milk</t>
  </si>
  <si>
    <t>Tot. amount of fuel used/tot area</t>
  </si>
  <si>
    <t>Tot. amount of fuel used/LSU</t>
  </si>
  <si>
    <t xml:space="preserve">Tot. amount of fuel used/ area under aquaculture </t>
  </si>
  <si>
    <t>l/m2</t>
  </si>
  <si>
    <t>kg / beehives</t>
  </si>
  <si>
    <t xml:space="preserve">kg/beehives </t>
  </si>
  <si>
    <t>Tot. amount of fuel used/Number of beehives</t>
  </si>
  <si>
    <t xml:space="preserve">Tot. amount of fuel used/number of animals </t>
  </si>
  <si>
    <t xml:space="preserve">l/animals </t>
  </si>
  <si>
    <t>(hours assessing grain quality / total number of working hours) *100</t>
  </si>
  <si>
    <t>OTHER ECONOMIC DATA</t>
  </si>
  <si>
    <t>ENVIRONMENTAL KPIs</t>
  </si>
  <si>
    <t>SOCIAL KPIs</t>
  </si>
  <si>
    <t>€/l</t>
  </si>
  <si>
    <t>€/kWh</t>
  </si>
  <si>
    <t>€/h</t>
  </si>
  <si>
    <t xml:space="preserve">ANIMAL </t>
  </si>
  <si>
    <t xml:space="preserve">Administrative activities, data collection, etc. </t>
  </si>
  <si>
    <t xml:space="preserve">Number of people involved in the training </t>
  </si>
  <si>
    <t xml:space="preserve">Storage </t>
  </si>
  <si>
    <t xml:space="preserve">Cost of labour for storage </t>
  </si>
  <si>
    <t>€/animal</t>
  </si>
  <si>
    <t xml:space="preserve">€/beehive </t>
  </si>
  <si>
    <t xml:space="preserve">€/piece </t>
  </si>
  <si>
    <t xml:space="preserve">€/ha or €/animal or €/beehive or €/piece </t>
  </si>
  <si>
    <t>number of hours for tracking the quantity of grain available in the silo *Average salary</t>
  </si>
  <si>
    <t>number of hours for assessing grain quality *Average salary</t>
  </si>
  <si>
    <t>number of hours for controlling purchase and sale prices and quantities *Average salary</t>
  </si>
  <si>
    <t>number of hours for  organise logistics *Average salary</t>
  </si>
  <si>
    <t xml:space="preserve">Cost of Training </t>
  </si>
  <si>
    <t>pieces</t>
  </si>
  <si>
    <t xml:space="preserve">Name fertiliser 1 </t>
  </si>
  <si>
    <t>Name fertiliser 2</t>
  </si>
  <si>
    <t>Name fertiliser 3</t>
  </si>
  <si>
    <t>ADDITIONAL REVENUES</t>
  </si>
  <si>
    <t>CATEGORY</t>
  </si>
  <si>
    <t>Number of on-time fulfilled orders in a year</t>
  </si>
  <si>
    <t xml:space="preserve">Number of orders received in a year </t>
  </si>
  <si>
    <t xml:space="preserve">Number of wrong orders in a year </t>
  </si>
  <si>
    <t>Protein % DRY MATTER</t>
  </si>
  <si>
    <t>Humidity</t>
  </si>
  <si>
    <t xml:space="preserve">Test Weight </t>
  </si>
  <si>
    <t>kg/hl</t>
  </si>
  <si>
    <t>number of hours for pesticide activities *Average salary /Parcel dimension</t>
  </si>
  <si>
    <t>number of hours for field visits activities * Average professional salary /Parcel dimension</t>
  </si>
  <si>
    <t>(Amount of feed 1 * Feed 1 price) + (Amount of feed 2 * Feed 2 price) + … /animal</t>
  </si>
  <si>
    <t>number of hours for irrigation activities*Average salary /Parcel dimension</t>
  </si>
  <si>
    <t>number of hours for fertilisation activities * Average salary /Parcel dimension</t>
  </si>
  <si>
    <t>number of hours for sowing_planting activities * Average salary /Parcel dimension</t>
  </si>
  <si>
    <t>number of hours for pruning activities *Average salary /Parcel dimension</t>
  </si>
  <si>
    <t>number of hours for greenhouse management *Average salary /Parcel dimension</t>
  </si>
  <si>
    <t>number of hours for cleaning *Average salary /animal</t>
  </si>
  <si>
    <t>number of hours for stable visits*Average professional salary /animal</t>
  </si>
  <si>
    <t>number of hours for heat detection *Average salary /animal</t>
  </si>
  <si>
    <t>number of hours for calving detection *Average salary /animal</t>
  </si>
  <si>
    <t>number of hours for  pigsty management*Average salary /animal</t>
  </si>
  <si>
    <t>number of hours for (milk) quality assessment*Average salary /animal</t>
  </si>
  <si>
    <t>number of hours for feeding *Average salary /animal</t>
  </si>
  <si>
    <t>number of hours for beehives visits *Average salary / beehive</t>
  </si>
  <si>
    <t xml:space="preserve">number of hours for sampling of oysters* Average salary /piece </t>
  </si>
  <si>
    <t xml:space="preserve">number of hours for transporting oysters to the laboratory*Average salary /piece </t>
  </si>
  <si>
    <t xml:space="preserve">number of hours for harvesting oyster*Average salary /piece </t>
  </si>
  <si>
    <t xml:space="preserve">number of hours for storage *Average salary /piece </t>
  </si>
  <si>
    <t xml:space="preserve">(Amount of drugs 1 * Feed 1 price) + (Amount of drugs 2 * Feed 2 price) + … /animal or beehives  or pieces </t>
  </si>
  <si>
    <t xml:space="preserve">number of hours foradministrative activities *Average salary /parcel dimension or animal or beehives  or pieces </t>
  </si>
  <si>
    <t xml:space="preserve">Sum(Cost of labour for irrigation + Cost of labour for fertilisation + … /parcel dimension or animal or beehives  or pieces </t>
  </si>
  <si>
    <t xml:space="preserve">DAT maintenance + (Training hours*salary) /parcel dimension or animal or beehives  or pieces  </t>
  </si>
  <si>
    <t xml:space="preserve">Costs of external persons being paid to train employees on the use of DAT /parcel dimension or animal or beehives  or pieces </t>
  </si>
  <si>
    <t xml:space="preserve">kg / beehives </t>
  </si>
  <si>
    <t xml:space="preserve">total production / beehives </t>
  </si>
  <si>
    <t xml:space="preserve">total production / animals </t>
  </si>
  <si>
    <t>kg / animals / day</t>
  </si>
  <si>
    <t xml:space="preserve">total production / parcel area </t>
  </si>
  <si>
    <t>Pesticides, herbicides and fungicides use</t>
  </si>
  <si>
    <t xml:space="preserve">Aquaculture water productivity </t>
  </si>
  <si>
    <t xml:space="preserve">l/pieces </t>
  </si>
  <si>
    <t>Labour productivity (arable and horticulture)</t>
  </si>
  <si>
    <t>Labour productivity (dairy livestock)</t>
  </si>
  <si>
    <t>Labour productivity  (meat livestock)</t>
  </si>
  <si>
    <t>Labour productivity  (aquaculture)</t>
  </si>
  <si>
    <t>Labour productivity  (apiculture)</t>
  </si>
  <si>
    <t>l/h</t>
  </si>
  <si>
    <t>kg/h</t>
  </si>
  <si>
    <t>piece/h</t>
  </si>
  <si>
    <t xml:space="preserve">Tot. amount of electricity used/tot area or m2 or animal  </t>
  </si>
  <si>
    <t>Mortality rate (livestock)</t>
  </si>
  <si>
    <t>Mortality rate (aquaculture)</t>
  </si>
  <si>
    <t>Mortality rate (apiculture)</t>
  </si>
  <si>
    <t>(Number of deaths in a year/total animals)</t>
  </si>
  <si>
    <t xml:space="preserve">Mortality rate (livestock) </t>
  </si>
  <si>
    <t>indirect leaching/runoff</t>
  </si>
  <si>
    <t>Amount of N fertilizer used (kg-N) * fraction of leaching or runoff * emission factor 5</t>
  </si>
  <si>
    <t>[(Amount of synthetic N fertilizer used (kg-N) * fraction volatilized) + (Amount of organic N fertilizer used (kg-N) *fraction volatilized)] * Emission factor 4</t>
  </si>
  <si>
    <t>Amount of N fertilizer used (kg-N) * Emission factor 1</t>
  </si>
  <si>
    <t>Global Warming Potential of N2O compared to CO2 (IPCC AR6)</t>
  </si>
  <si>
    <t>Crop production</t>
  </si>
  <si>
    <t xml:space="preserve">Cost of milking </t>
  </si>
  <si>
    <t>number of hours for milking *Average salary /animal</t>
  </si>
  <si>
    <t>Cost of labour formilking</t>
  </si>
  <si>
    <t xml:space="preserve">Harvesting </t>
  </si>
  <si>
    <t>[(N. of treatements of pesticide 1*Amount of pesticide 1*pesticide 1 price)+(N. of treatements of pesticide 2 *Amount of pesticide 2 used *pesticide 2 price) + (N. of treatements of pesticide 3 *Amount of pesticide 3 used *pesticide 3 price (€/kg)]</t>
  </si>
  <si>
    <t>((Amount of fertilisers 1 used *Number of fertilizer 1 applications *Fertilisers 1 price) + (Amount of fertilisers 2 used *Number of fertilizer 2 applications *Fertilisers 2 price) + (Amount of fertilisers 3 used *Number of fertilizer 3 applications *Fertilisers 3 price)</t>
  </si>
  <si>
    <t>Cost of labour for harvesting</t>
  </si>
  <si>
    <t xml:space="preserve">Cost of labour for harvesting </t>
  </si>
  <si>
    <t>Average N content</t>
  </si>
  <si>
    <t>Average P content</t>
  </si>
  <si>
    <t>Average K content</t>
  </si>
  <si>
    <t>kg/m3</t>
  </si>
  <si>
    <t>IF(Total water used&gt;0; (Total water used * water price)/Parcel dimension; Sum(water Irrigation+ water Fertigation + water Pest dilution + …) * water price)</t>
  </si>
  <si>
    <t>IF(Total fuel used&gt;0; (Total fuel used*fuel price)/Parcel dimension; sum(Fertilisation+Pesticides +Irrigation+Sowing_Planting+Pruning+…) * fuel price)</t>
  </si>
  <si>
    <t>IF(Total electricity used &gt; 0; (Total electricity used* electricity price)/Parcel dimension; Sum(irrigation,…) *electricity price)</t>
  </si>
  <si>
    <t>Net Benefits</t>
  </si>
  <si>
    <t xml:space="preserve">TOT Cost </t>
  </si>
  <si>
    <t>Average nutrient content kg/kg</t>
  </si>
  <si>
    <t>COST BENEFIT ANALYSIS</t>
  </si>
  <si>
    <t>BENEFIT</t>
  </si>
  <si>
    <t>IMPACT ON COSTS</t>
  </si>
  <si>
    <t xml:space="preserve">IMPACT ON REVENUES </t>
  </si>
  <si>
    <t>Sum of costs</t>
  </si>
  <si>
    <t>TOT Costs</t>
  </si>
  <si>
    <t>COSTS</t>
  </si>
  <si>
    <t>DATS</t>
  </si>
  <si>
    <t>Cost of DATS</t>
  </si>
  <si>
    <t>BENEFITS</t>
  </si>
  <si>
    <t>Revenues</t>
  </si>
  <si>
    <t>INPUT category?</t>
  </si>
  <si>
    <t>NET BENEFIT</t>
  </si>
  <si>
    <t>PAYBACK PERIOD</t>
  </si>
  <si>
    <t>NPV</t>
  </si>
  <si>
    <t>ROI</t>
  </si>
  <si>
    <t>months (n)</t>
  </si>
  <si>
    <t xml:space="preserve">Total farm size </t>
  </si>
  <si>
    <t>DATS annual fees</t>
  </si>
  <si>
    <t>Cost of training service by external people (advisor, DATS providers, ...)</t>
  </si>
  <si>
    <t>Average professional salary (agronomist, veterinary, ...)</t>
  </si>
  <si>
    <t xml:space="preserve">Sold product market price </t>
  </si>
  <si>
    <t>Number of pesticide used (herbicides, fungicides, insecticides)</t>
  </si>
  <si>
    <t xml:space="preserve">Number of fertilizers used </t>
  </si>
  <si>
    <t>Number of feed used</t>
  </si>
  <si>
    <t>Number of drugs used</t>
  </si>
  <si>
    <t>Average salary (farmer and emloyees)</t>
  </si>
  <si>
    <t>Information about the TC</t>
  </si>
  <si>
    <t>Number of plants/trees</t>
  </si>
  <si>
    <r>
      <t>€/m</t>
    </r>
    <r>
      <rPr>
        <vertAlign val="superscript"/>
        <sz val="12"/>
        <color rgb="FF000000"/>
        <rFont val="Calibri"/>
        <family val="2"/>
        <scheme val="minor"/>
      </rPr>
      <t>3</t>
    </r>
  </si>
  <si>
    <r>
      <t>m</t>
    </r>
    <r>
      <rPr>
        <vertAlign val="superscript"/>
        <sz val="12"/>
        <color theme="1"/>
        <rFont val="Calibri"/>
        <family val="2"/>
        <scheme val="minor"/>
      </rPr>
      <t>3</t>
    </r>
    <r>
      <rPr>
        <sz val="12"/>
        <color theme="1"/>
        <rFont val="Calibri"/>
        <family val="2"/>
        <scheme val="minor"/>
      </rPr>
      <t>/ha</t>
    </r>
  </si>
  <si>
    <r>
      <t>m</t>
    </r>
    <r>
      <rPr>
        <vertAlign val="superscript"/>
        <sz val="12"/>
        <color theme="1"/>
        <rFont val="Calibri"/>
        <family val="2"/>
        <scheme val="minor"/>
      </rPr>
      <t>3</t>
    </r>
    <r>
      <rPr>
        <sz val="12"/>
        <color theme="1"/>
        <rFont val="Calibri"/>
        <family val="2"/>
        <scheme val="minor"/>
      </rPr>
      <t>/animal</t>
    </r>
  </si>
  <si>
    <t>l/beehive</t>
  </si>
  <si>
    <t>l/piece</t>
  </si>
  <si>
    <t>PESTICIDES (HERBICIDES, FUNGICIDES, INSECTICIDES)</t>
  </si>
  <si>
    <t>Average quantity per application</t>
  </si>
  <si>
    <t xml:space="preserve">N concentration </t>
  </si>
  <si>
    <t xml:space="preserve">P concentration </t>
  </si>
  <si>
    <t xml:space="preserve">K concentration </t>
  </si>
  <si>
    <t>€/t</t>
  </si>
  <si>
    <t>€/g</t>
  </si>
  <si>
    <t>Fuel 1</t>
  </si>
  <si>
    <t>Fuel 2</t>
  </si>
  <si>
    <t>Fuel n</t>
  </si>
  <si>
    <t>Name fuel 1</t>
  </si>
  <si>
    <t>Name fuel 2</t>
  </si>
  <si>
    <t>Quantity</t>
  </si>
  <si>
    <t>MARKET DATA</t>
  </si>
  <si>
    <t>€/kg</t>
  </si>
  <si>
    <t>€/piece</t>
  </si>
  <si>
    <r>
      <t>g/cm</t>
    </r>
    <r>
      <rPr>
        <vertAlign val="superscript"/>
        <sz val="12"/>
        <color theme="1"/>
        <rFont val="Calibri"/>
        <family val="2"/>
        <scheme val="minor"/>
      </rPr>
      <t>3</t>
    </r>
  </si>
  <si>
    <t>WATER</t>
  </si>
  <si>
    <t>l/animal</t>
  </si>
  <si>
    <t>l/kg meat</t>
  </si>
  <si>
    <t>l/l milk</t>
  </si>
  <si>
    <t>FUEL FOR GREENHOUSE TEMPERATURE CONTROL</t>
  </si>
  <si>
    <t>kWh/animal</t>
  </si>
  <si>
    <t>kWh/l milk</t>
  </si>
  <si>
    <t>kWh/kg meat</t>
  </si>
  <si>
    <t>kWh/beehive</t>
  </si>
  <si>
    <t>kWh/piece</t>
  </si>
  <si>
    <t>PESTICIDES</t>
  </si>
  <si>
    <t>kg/kg meat</t>
  </si>
  <si>
    <t>kg/animal</t>
  </si>
  <si>
    <t>kg/l milk</t>
  </si>
  <si>
    <t>FERTILIZERS</t>
  </si>
  <si>
    <t>t/ha</t>
  </si>
  <si>
    <t>DRUGS</t>
  </si>
  <si>
    <t>g/kg meat</t>
  </si>
  <si>
    <t>g/animal</t>
  </si>
  <si>
    <t>g/l milk</t>
  </si>
  <si>
    <t>g/beehive</t>
  </si>
  <si>
    <t>g/piece</t>
  </si>
  <si>
    <t>h (tot. for the activity)</t>
  </si>
  <si>
    <t>Initial investment for DATSs (the total for all the solutions assessed in the project)</t>
  </si>
  <si>
    <t>Expected life span of each DATSs</t>
  </si>
  <si>
    <t>Time to install and make DATSs operational</t>
  </si>
  <si>
    <t>Training hours for the use of the DATSs in a year</t>
  </si>
  <si>
    <t>DATSs name</t>
  </si>
  <si>
    <t xml:space="preserve">MARKET DATA FOR DATSs USER </t>
  </si>
  <si>
    <t xml:space="preserve">MARKET DATA FOR NON-DATSs USER </t>
  </si>
  <si>
    <t>PARCEL WITH DATSs</t>
  </si>
  <si>
    <t>With DATSs</t>
  </si>
  <si>
    <t>PARCEL WITHOUT DATSs</t>
  </si>
  <si>
    <t>Without DATSs</t>
  </si>
  <si>
    <t xml:space="preserve">Total water used </t>
  </si>
  <si>
    <t xml:space="preserve">Total fuel used </t>
  </si>
  <si>
    <t xml:space="preserve">Total electricity used </t>
  </si>
  <si>
    <t>Fuel 1 for greehnouse temperature control price</t>
  </si>
  <si>
    <r>
      <t>m</t>
    </r>
    <r>
      <rPr>
        <vertAlign val="superscript"/>
        <sz val="12"/>
        <color theme="1"/>
        <rFont val="Calibri"/>
        <family val="2"/>
        <scheme val="minor"/>
      </rPr>
      <t>3</t>
    </r>
    <r>
      <rPr>
        <sz val="12"/>
        <color theme="1"/>
        <rFont val="Calibri"/>
        <family val="2"/>
        <scheme val="minor"/>
      </rPr>
      <t>/kg meat</t>
    </r>
  </si>
  <si>
    <r>
      <t>m</t>
    </r>
    <r>
      <rPr>
        <vertAlign val="superscript"/>
        <sz val="12"/>
        <color theme="1"/>
        <rFont val="Calibri"/>
        <family val="2"/>
        <scheme val="minor"/>
      </rPr>
      <t>3</t>
    </r>
    <r>
      <rPr>
        <sz val="12"/>
        <color theme="1"/>
        <rFont val="Calibri"/>
        <family val="2"/>
        <scheme val="minor"/>
      </rPr>
      <t>/l milk</t>
    </r>
  </si>
  <si>
    <t>GREENHOUSE FUEL</t>
  </si>
  <si>
    <t>Cost of fuel for greenhouse</t>
  </si>
  <si>
    <t>COST</t>
  </si>
  <si>
    <t>Cost of DATSs</t>
  </si>
  <si>
    <t>DATSs</t>
  </si>
  <si>
    <r>
      <t>m</t>
    </r>
    <r>
      <rPr>
        <vertAlign val="superscript"/>
        <sz val="12"/>
        <color theme="1"/>
        <rFont val="Calibri"/>
        <family val="2"/>
        <scheme val="minor"/>
      </rPr>
      <t>3</t>
    </r>
  </si>
  <si>
    <t>Type of output/product</t>
  </si>
  <si>
    <t>crop</t>
  </si>
  <si>
    <t>meat</t>
  </si>
  <si>
    <t>milk</t>
  </si>
  <si>
    <t>honey</t>
  </si>
  <si>
    <t>oyster</t>
  </si>
  <si>
    <r>
      <t>m</t>
    </r>
    <r>
      <rPr>
        <vertAlign val="superscript"/>
        <sz val="12"/>
        <color theme="1"/>
        <rFont val="Calibri"/>
        <family val="2"/>
        <scheme val="minor"/>
      </rPr>
      <t>3</t>
    </r>
    <r>
      <rPr>
        <sz val="12"/>
        <color theme="1"/>
        <rFont val="Calibri"/>
        <family val="2"/>
        <scheme val="minor"/>
      </rPr>
      <t>/kg honey</t>
    </r>
  </si>
  <si>
    <r>
      <t>m</t>
    </r>
    <r>
      <rPr>
        <vertAlign val="superscript"/>
        <sz val="12"/>
        <color theme="1"/>
        <rFont val="Calibri"/>
        <family val="2"/>
        <scheme val="minor"/>
      </rPr>
      <t>3</t>
    </r>
    <r>
      <rPr>
        <sz val="12"/>
        <color theme="1"/>
        <rFont val="Calibri"/>
        <family val="2"/>
        <scheme val="minor"/>
      </rPr>
      <t>/piece</t>
    </r>
  </si>
  <si>
    <t>€/kg meat</t>
  </si>
  <si>
    <t>€/l milk</t>
  </si>
  <si>
    <t>€/kg honey</t>
  </si>
  <si>
    <t>water</t>
  </si>
  <si>
    <t>Production type</t>
  </si>
  <si>
    <t>costs</t>
  </si>
  <si>
    <t>animal</t>
  </si>
  <si>
    <t>Animal</t>
  </si>
  <si>
    <t>Cost of labour for pesticide application</t>
  </si>
  <si>
    <t>Cost of labour for assessing product quality</t>
  </si>
  <si>
    <t>Assessing product quality (grain, vegetables, fruit...)</t>
  </si>
  <si>
    <t>Silos product management</t>
  </si>
  <si>
    <t>grain (silos)</t>
  </si>
  <si>
    <t>Crop</t>
  </si>
  <si>
    <t>Grain (silos)</t>
  </si>
  <si>
    <t>Yield</t>
  </si>
  <si>
    <t>kg honey/beehive</t>
  </si>
  <si>
    <t>number of oysters/m2</t>
  </si>
  <si>
    <t>kg meat/h</t>
  </si>
  <si>
    <t>l milk/h</t>
  </si>
  <si>
    <t>pieces/h</t>
  </si>
  <si>
    <t>kg honey/h</t>
  </si>
  <si>
    <t>(yield *Average N content (%))/(Amount of N fertilizer applied/ha)*100</t>
  </si>
  <si>
    <t>(yield*Average P content (%))/(Amount of P fertilizer used/ha)*100</t>
  </si>
  <si>
    <t>(yield*Average K content (%))/(Amount of K fertilizer used/ha)*100</t>
  </si>
  <si>
    <t>Apple</t>
  </si>
  <si>
    <t>Grape</t>
  </si>
  <si>
    <t>Olives</t>
  </si>
  <si>
    <t>Tomato</t>
  </si>
  <si>
    <t>Potatoes</t>
  </si>
  <si>
    <t>Blueberries</t>
  </si>
  <si>
    <t>Corn</t>
  </si>
  <si>
    <t>Strawberries</t>
  </si>
  <si>
    <t>Bananas</t>
  </si>
  <si>
    <t>Wheat (T. aestivum)</t>
  </si>
  <si>
    <t>Wheat (T. durum)</t>
  </si>
  <si>
    <t>Barley</t>
  </si>
  <si>
    <t>Cotton</t>
  </si>
  <si>
    <t xml:space="preserve">Onion </t>
  </si>
  <si>
    <t>Corn (silage)</t>
  </si>
  <si>
    <t>Rye</t>
  </si>
  <si>
    <t>Rapeseed</t>
  </si>
  <si>
    <t>N content (avg.)</t>
  </si>
  <si>
    <t>P content (avg.)</t>
  </si>
  <si>
    <t>K content (avg.)</t>
  </si>
  <si>
    <t>kWh/kg honey</t>
  </si>
  <si>
    <t>kWh/t</t>
  </si>
  <si>
    <t>Number of death of animals/oyster/beehives</t>
  </si>
  <si>
    <r>
      <t>Oysters/m</t>
    </r>
    <r>
      <rPr>
        <vertAlign val="superscript"/>
        <sz val="11"/>
        <rFont val="Calibri"/>
        <family val="2"/>
        <scheme val="minor"/>
      </rPr>
      <t>2</t>
    </r>
  </si>
  <si>
    <t>g/m2</t>
  </si>
  <si>
    <t>€/m2</t>
  </si>
  <si>
    <t>€/beehive</t>
  </si>
  <si>
    <t>Name fuel n</t>
  </si>
  <si>
    <t>Product n</t>
  </si>
  <si>
    <t>Name product n</t>
  </si>
  <si>
    <t>Fertiliser n</t>
  </si>
  <si>
    <t>Quantity pruduct n</t>
  </si>
  <si>
    <t>Number of fuel for greehnouse temperature control price</t>
  </si>
  <si>
    <t>greenhouse</t>
  </si>
  <si>
    <t>This form is intended to be filled out by each farmer involved in the Test Case (TC) and aims at collecting information that will be used for assessing the impacts of Digital agriculture technology solutions (DATSs). 
Please read carefully the following instructions.
- We kindly ask you to be as accurate as possible in providing the data and monitor them periodically as these will be the input for performance assessment. 
- Please ensure you keep track of the data requested and regularly check its availability. It's crucial that these values align for both user and non-user parcels. If they differ, kindly notify us promptly via email at the provided contact details.
- The data included in the template have been carefully chosen based on their link with the DATSs used in your TC and they were further customised following your feedback. If some of the data cannot be applicable/available to your TC, please enter ‘n.a.’ in the corresponding cell and provide a comment explaining why they are not applicable.
Additionally, in case some of the data cannot be collected due to some problems you may encounter during the season, please inform us promptly by writing an e-mail to the contact details provided below.
- In order to obtain the assessment of the impacts of DATS, it is necessary to provide data for the farm(s) using DATS and for the one without. According to the QuantiFarm project proposal, each parcel using DATSs is associated with a comparable non-DATs parcel (in terms of size, geographical area, production, etc.).
- Recall that:
            - the term DATS refers to the combinations or set of technological solutions implemented within the TC;
For any doubts or clarifications, please do not hesitate to contact us at the following email address: francesco.parigi@polimi.it and andrea.bianchi@polimi.it (cc: dmoniz@consulai.com)
This form is intended to be filled out by each farmer involved in the Test Case (TC) and aims at collecting information that will be used for assessing the impacts of Digital agriculture technology solutions (DATSs).</t>
  </si>
  <si>
    <t xml:space="preserve">DATSs DATA </t>
  </si>
  <si>
    <t>(gg/mm/yyyy)</t>
  </si>
  <si>
    <t>Product name</t>
  </si>
  <si>
    <t>Cow</t>
  </si>
  <si>
    <t>Pig</t>
  </si>
  <si>
    <t xml:space="preserve">Poultry </t>
  </si>
  <si>
    <t>Milk</t>
  </si>
  <si>
    <t>Meat</t>
  </si>
  <si>
    <t>Oyster</t>
  </si>
  <si>
    <t>Honey</t>
  </si>
  <si>
    <t>Fuel 2 for greehnouse temperature control price</t>
  </si>
  <si>
    <t>Fuel 3 for greehnouse temperature control price</t>
  </si>
  <si>
    <r>
      <t>€/m</t>
    </r>
    <r>
      <rPr>
        <vertAlign val="superscript"/>
        <sz val="12"/>
        <color rgb="FF000000"/>
        <rFont val="Calibri"/>
        <family val="2"/>
        <scheme val="minor"/>
      </rPr>
      <t>4</t>
    </r>
    <r>
      <rPr>
        <sz val="11"/>
        <color theme="1"/>
        <rFont val="Calibri"/>
        <family val="2"/>
        <scheme val="minor"/>
      </rPr>
      <t/>
    </r>
  </si>
  <si>
    <t>Name product 1</t>
  </si>
  <si>
    <t>Name fertiliser n</t>
  </si>
  <si>
    <t xml:space="preserve">Name fertiliser 2 </t>
  </si>
  <si>
    <t>FERTILIZER TYPE</t>
  </si>
  <si>
    <t>Organic</t>
  </si>
  <si>
    <t>Mineral</t>
  </si>
  <si>
    <t>Mineral/Organic</t>
  </si>
  <si>
    <t>Feed 1</t>
  </si>
  <si>
    <t>Feed 2</t>
  </si>
  <si>
    <t>Feed n</t>
  </si>
  <si>
    <t>Name feed 1</t>
  </si>
  <si>
    <t>Quantity feed 1</t>
  </si>
  <si>
    <t>Name feed 2</t>
  </si>
  <si>
    <t>Quantity feed 2</t>
  </si>
  <si>
    <t>Name feed n</t>
  </si>
  <si>
    <t>Quantity feed n</t>
  </si>
  <si>
    <t>Name fertiliser 1</t>
  </si>
  <si>
    <t>Drug 1</t>
  </si>
  <si>
    <t>Drug 2</t>
  </si>
  <si>
    <t>Drug n</t>
  </si>
  <si>
    <t xml:space="preserve">Cost of administrative activities, data collection, etc. </t>
  </si>
  <si>
    <t>Crop revenue</t>
  </si>
  <si>
    <t>Milk revenue</t>
  </si>
  <si>
    <t>Meat revenue</t>
  </si>
  <si>
    <t>Oyster revenue</t>
  </si>
  <si>
    <t>Honey revenue</t>
  </si>
  <si>
    <t>Grain (silos) revenue</t>
  </si>
  <si>
    <t>Labour productivity (silos)</t>
  </si>
  <si>
    <t>t/h</t>
  </si>
  <si>
    <t>l milk/cow/day</t>
  </si>
  <si>
    <t xml:space="preserve">Start of the growing/production season </t>
  </si>
  <si>
    <t xml:space="preserve">End of the growing/production season </t>
  </si>
  <si>
    <t>kg meat/animal/day</t>
  </si>
  <si>
    <t>Protein % on dry matter</t>
  </si>
  <si>
    <t>m3/ha</t>
  </si>
  <si>
    <t>Mj/l</t>
  </si>
  <si>
    <t>Number of comparison(s)</t>
  </si>
  <si>
    <t>Soil Bulk Density</t>
  </si>
  <si>
    <t>Sand content in the soil</t>
  </si>
  <si>
    <t>Clay content in the soil</t>
  </si>
  <si>
    <t>Silt content in the soil</t>
  </si>
  <si>
    <t>testcaseNumber</t>
  </si>
  <si>
    <t>testcaseLeader</t>
  </si>
  <si>
    <t>cultivationType</t>
  </si>
  <si>
    <t>datsName</t>
  </si>
  <si>
    <t>datsInitialInvestmentCosts</t>
  </si>
  <si>
    <t>datsAnnualFees</t>
  </si>
  <si>
    <t>datsMaintenanceCosts</t>
  </si>
  <si>
    <t>datsExpectedLifespan</t>
  </si>
  <si>
    <t>datsInstallationTime</t>
  </si>
  <si>
    <t>datsTrainingTime</t>
  </si>
  <si>
    <t>datsTrainers</t>
  </si>
  <si>
    <t>datsTrainingCosts</t>
  </si>
  <si>
    <t>biogeographicalRegion</t>
  </si>
  <si>
    <t>totalFarmSize</t>
  </si>
  <si>
    <t>parcelDimension</t>
  </si>
  <si>
    <t>startMonth</t>
  </si>
  <si>
    <t>endMonth</t>
  </si>
  <si>
    <t>productType</t>
  </si>
  <si>
    <t>of parcel per comparison per year</t>
  </si>
  <si>
    <t>numberOfEmployees</t>
  </si>
  <si>
    <t>numberofFullTimeEmployees</t>
  </si>
  <si>
    <t>numberOfSeasonalEmployees</t>
  </si>
  <si>
    <t>soilFractionSand</t>
  </si>
  <si>
    <t>soilFractionClay</t>
  </si>
  <si>
    <t>soilFractionSilt</t>
  </si>
  <si>
    <t>bulkDensity</t>
  </si>
  <si>
    <t>soilOrganicCarbon</t>
  </si>
  <si>
    <t>numberOfAnimals</t>
  </si>
  <si>
    <t>numberOfPlants</t>
  </si>
  <si>
    <t>livestockUnits</t>
  </si>
  <si>
    <t>numberOfBeehives</t>
  </si>
  <si>
    <t>aquacultureArea</t>
  </si>
  <si>
    <t>totalWaterUsage</t>
  </si>
  <si>
    <t>waterUsageForIrrigation</t>
  </si>
  <si>
    <t>waterUsageForFertigation</t>
  </si>
  <si>
    <t>waterUsageForPestDilution</t>
  </si>
  <si>
    <t>waterUsageForCleaning</t>
  </si>
  <si>
    <t>waterUsageForDrinking</t>
  </si>
  <si>
    <t>totalFuelUsage</t>
  </si>
  <si>
    <t>fuelUsageForPesticides</t>
  </si>
  <si>
    <t>fuelUsageForFertilisation</t>
  </si>
  <si>
    <t>fuelUsageForIrrigation</t>
  </si>
  <si>
    <t>fuelUsageForSowing</t>
  </si>
  <si>
    <t>fuelUsageForPruning</t>
  </si>
  <si>
    <t>fuelUsageForTemperatureHumidityControl</t>
  </si>
  <si>
    <t>fuelUsageForBeehivesVisits</t>
  </si>
  <si>
    <t>fuelUsageForTransportingOysters</t>
  </si>
  <si>
    <t>fuelUsageForMilking</t>
  </si>
  <si>
    <t>fuelUsageForFeeding</t>
  </si>
  <si>
    <t>electricityUsageForTemperatureHumidityControl</t>
  </si>
  <si>
    <t>electricityUsageForIrrigation</t>
  </si>
  <si>
    <t>electricityUsageForMilking</t>
  </si>
  <si>
    <t>electricityUsageForHeatDetection</t>
  </si>
  <si>
    <t>electricityUsageForCalvingDetection</t>
  </si>
  <si>
    <t>electricityUsageForFeeding</t>
  </si>
  <si>
    <t>totalElectricityUsage</t>
  </si>
  <si>
    <t>labourForIrrigation</t>
  </si>
  <si>
    <t>labourForPesticides</t>
  </si>
  <si>
    <t>labourForFertilisation</t>
  </si>
  <si>
    <t>labourForSowingOrPlanting</t>
  </si>
  <si>
    <t>labourForPruning</t>
  </si>
  <si>
    <t>labourForFieldVisits</t>
  </si>
  <si>
    <t>labourForGreenhouseManagement</t>
  </si>
  <si>
    <t>labourForQuantityTracking</t>
  </si>
  <si>
    <t>labourForGrainQualityAssessment</t>
  </si>
  <si>
    <t>labourForControllingPricesAndQuantities</t>
  </si>
  <si>
    <t>labourForOrganisingLogistics</t>
  </si>
  <si>
    <t>labourForCleaning</t>
  </si>
  <si>
    <t>labourForStableVisits</t>
  </si>
  <si>
    <t>labourForHeatDetection</t>
  </si>
  <si>
    <t>labourForCalvingDetection</t>
  </si>
  <si>
    <t>labourForPigstyManagement</t>
  </si>
  <si>
    <t>labourForMilking</t>
  </si>
  <si>
    <t>labourForMilkQualityAssessment</t>
  </si>
  <si>
    <t>labourForFeeding</t>
  </si>
  <si>
    <t>labourForBeehiveVisits</t>
  </si>
  <si>
    <t>labourForOysterSampling</t>
  </si>
  <si>
    <t>labourForOysterTransportation</t>
  </si>
  <si>
    <t>labourForHarvesting</t>
  </si>
  <si>
    <t>labourForStorage</t>
  </si>
  <si>
    <t>labourForAdministration</t>
  </si>
  <si>
    <t>numberOfFulfilledOrders</t>
  </si>
  <si>
    <t>numberOfOrdersReceived</t>
  </si>
  <si>
    <t>numberOfWrongOrders</t>
  </si>
  <si>
    <t>additionalRevenues</t>
  </si>
  <si>
    <t>percentageProteinInDryMatter</t>
  </si>
  <si>
    <t>humidity</t>
  </si>
  <si>
    <t>testWeight</t>
  </si>
  <si>
    <t>cropProduction</t>
  </si>
  <si>
    <t>milkProduction</t>
  </si>
  <si>
    <t>meatProduction</t>
  </si>
  <si>
    <t>oysterProduction</t>
  </si>
  <si>
    <t>honeyProduction</t>
  </si>
  <si>
    <t>silosProduction</t>
  </si>
  <si>
    <t>productMarketPrice</t>
  </si>
  <si>
    <t>numberOfDeathAnimals</t>
  </si>
  <si>
    <t>calvesDiedInFirst24Hours</t>
  </si>
  <si>
    <t>totalNumberOfCalvesBorn</t>
  </si>
  <si>
    <t>numberOfDaysWithPastureAccess</t>
  </si>
  <si>
    <t>outdoorLoafingArea</t>
  </si>
  <si>
    <t>numberOfCowsWithHighSCCMilk</t>
  </si>
  <si>
    <t>numberOfNewInjuryCases</t>
  </si>
  <si>
    <t>totalNumberOfLostWorkingHours</t>
  </si>
  <si>
    <t>totalNumberOfWorkingHours</t>
  </si>
  <si>
    <t>numberOfWorkingWeeks</t>
  </si>
  <si>
    <t>numberOfNewLocalEmployeesHired</t>
  </si>
  <si>
    <t>numberOfNewEmployeesHired</t>
  </si>
  <si>
    <t>G3</t>
  </si>
  <si>
    <t>G4</t>
  </si>
  <si>
    <t>G5</t>
  </si>
  <si>
    <t>G6</t>
  </si>
  <si>
    <t>G7</t>
  </si>
  <si>
    <t>G8</t>
  </si>
  <si>
    <t>G9</t>
  </si>
  <si>
    <t>G10</t>
  </si>
  <si>
    <t>G11</t>
  </si>
  <si>
    <t>G12</t>
  </si>
  <si>
    <t>G13</t>
  </si>
  <si>
    <t>G14</t>
  </si>
  <si>
    <t>G15</t>
  </si>
  <si>
    <t>G16</t>
  </si>
  <si>
    <t>G17</t>
  </si>
  <si>
    <t>G18</t>
  </si>
  <si>
    <t>G19</t>
  </si>
  <si>
    <t>G20</t>
  </si>
  <si>
    <t>G21</t>
  </si>
  <si>
    <t>G22</t>
  </si>
  <si>
    <t>G23</t>
  </si>
  <si>
    <t>G24</t>
  </si>
  <si>
    <t>G25</t>
  </si>
  <si>
    <t>G26</t>
  </si>
  <si>
    <t>G27</t>
  </si>
  <si>
    <t>G28</t>
  </si>
  <si>
    <t>G29</t>
  </si>
  <si>
    <t>G30</t>
  </si>
  <si>
    <t>G31</t>
  </si>
  <si>
    <t>G32</t>
  </si>
  <si>
    <t>G33</t>
  </si>
  <si>
    <t>G34</t>
  </si>
  <si>
    <t>G35</t>
  </si>
  <si>
    <t>G36</t>
  </si>
  <si>
    <t>G37</t>
  </si>
  <si>
    <t>G38</t>
  </si>
  <si>
    <t>G39</t>
  </si>
  <si>
    <t>G40</t>
  </si>
  <si>
    <t>G41</t>
  </si>
  <si>
    <t>G42</t>
  </si>
  <si>
    <t>G43</t>
  </si>
  <si>
    <t>G44</t>
  </si>
  <si>
    <t>G45</t>
  </si>
  <si>
    <t>G46</t>
  </si>
  <si>
    <t>G47</t>
  </si>
  <si>
    <t>G48</t>
  </si>
  <si>
    <t>G49</t>
  </si>
  <si>
    <t>G50</t>
  </si>
  <si>
    <t>G51</t>
  </si>
  <si>
    <t>G52</t>
  </si>
  <si>
    <t>G53</t>
  </si>
  <si>
    <t>G54</t>
  </si>
  <si>
    <t>G55</t>
  </si>
  <si>
    <t>G56</t>
  </si>
  <si>
    <t>G57</t>
  </si>
  <si>
    <t>waterPrice</t>
  </si>
  <si>
    <t>fuelPrice</t>
  </si>
  <si>
    <t>electricityPrice</t>
  </si>
  <si>
    <t>n_fuel_for_greenhouse</t>
  </si>
  <si>
    <t>averageSalary</t>
  </si>
  <si>
    <t>averageProfessionalSalary</t>
  </si>
  <si>
    <t>n_of_pesticide_used</t>
  </si>
  <si>
    <t>n_of_fertilizers_used</t>
  </si>
  <si>
    <t>n_of_feed_used</t>
  </si>
  <si>
    <t>n_of_drugs_used</t>
  </si>
  <si>
    <t>numberOfComparisons</t>
  </si>
  <si>
    <t>parcelInformation</t>
  </si>
  <si>
    <t>waterUsageInformation</t>
  </si>
  <si>
    <t>fuelUsageInformation</t>
  </si>
  <si>
    <t>electricityUsageInformation</t>
  </si>
  <si>
    <t>fertilizersUsageInformation</t>
  </si>
  <si>
    <t>drugsUsageInformation</t>
  </si>
  <si>
    <t>feedUsageInformation</t>
  </si>
  <si>
    <t>labourInformation</t>
  </si>
  <si>
    <t>economicInformation</t>
  </si>
  <si>
    <t>additionalAnimalInformation</t>
  </si>
  <si>
    <t>additionalLabourInformation</t>
  </si>
  <si>
    <t>outputInformation</t>
  </si>
  <si>
    <t>pesticidesUsageInformation</t>
  </si>
  <si>
    <t>fuelForTemperatureControlInformation</t>
  </si>
  <si>
    <t>Ivaylo Parent</t>
  </si>
  <si>
    <t>Jack Naming</t>
  </si>
  <si>
    <t>datsInformation</t>
  </si>
  <si>
    <t>marketinformation</t>
  </si>
  <si>
    <t>fuelfortemperaturecontrolinformation</t>
  </si>
  <si>
    <t>pesticidesusageinformation</t>
  </si>
  <si>
    <t>fertilizersusageinformation</t>
  </si>
  <si>
    <t>feedusageinformation</t>
  </si>
  <si>
    <t>drugsusageinformation</t>
  </si>
  <si>
    <t xml:space="preserve">Pesticide 3 price </t>
  </si>
  <si>
    <t xml:space="preserve">Pesticide 4 price </t>
  </si>
  <si>
    <t xml:space="preserve">Pesticide 5 price </t>
  </si>
  <si>
    <t xml:space="preserve">Pesticide 6 price </t>
  </si>
  <si>
    <t xml:space="preserve">Pesticide 7 price </t>
  </si>
  <si>
    <t xml:space="preserve">Pesticide 8 price </t>
  </si>
  <si>
    <t xml:space="preserve">Pesticide 9 price </t>
  </si>
  <si>
    <t xml:space="preserve">Pesticide 10 price </t>
  </si>
  <si>
    <t>productPrice_0</t>
  </si>
  <si>
    <t>productPrice_1</t>
  </si>
  <si>
    <t>productPrice_2</t>
  </si>
  <si>
    <t>productPrice_3</t>
  </si>
  <si>
    <t>productPrice_4</t>
  </si>
  <si>
    <t>productPrice_5</t>
  </si>
  <si>
    <t>productPrice_6</t>
  </si>
  <si>
    <t>productPrice_7</t>
  </si>
  <si>
    <t>productPrice_8</t>
  </si>
  <si>
    <t>productPrice_9</t>
  </si>
  <si>
    <t>G58</t>
  </si>
  <si>
    <t>G59</t>
  </si>
  <si>
    <t>G60</t>
  </si>
  <si>
    <t>G61</t>
  </si>
  <si>
    <t>G62</t>
  </si>
  <si>
    <t>G63</t>
  </si>
  <si>
    <t>G64</t>
  </si>
  <si>
    <t>G65</t>
  </si>
  <si>
    <t>G66</t>
  </si>
  <si>
    <t>G67</t>
  </si>
  <si>
    <t>G68</t>
  </si>
  <si>
    <t>G69</t>
  </si>
  <si>
    <t>G70</t>
  </si>
  <si>
    <t>G71</t>
  </si>
  <si>
    <t>G72</t>
  </si>
  <si>
    <t>G73</t>
  </si>
  <si>
    <t>G74</t>
  </si>
  <si>
    <t>G75</t>
  </si>
  <si>
    <t>G76</t>
  </si>
  <si>
    <t>G77</t>
  </si>
  <si>
    <t>G78</t>
  </si>
  <si>
    <t>G79</t>
  </si>
  <si>
    <t>G80</t>
  </si>
  <si>
    <t>G81</t>
  </si>
  <si>
    <t>G82</t>
  </si>
  <si>
    <t>G83</t>
  </si>
  <si>
    <t>G84</t>
  </si>
  <si>
    <t>G85</t>
  </si>
  <si>
    <t>productName_0</t>
  </si>
  <si>
    <t>quantity_1</t>
  </si>
  <si>
    <t>quantity_0</t>
  </si>
  <si>
    <t>productName_1</t>
  </si>
  <si>
    <t>productName_2</t>
  </si>
  <si>
    <t>quantity_2</t>
  </si>
  <si>
    <t>productName_3</t>
  </si>
  <si>
    <t>quantity_3</t>
  </si>
  <si>
    <t>productName_4</t>
  </si>
  <si>
    <t>quantity_4</t>
  </si>
  <si>
    <t>productName_5</t>
  </si>
  <si>
    <t>quantity_5</t>
  </si>
  <si>
    <t>productName_6</t>
  </si>
  <si>
    <t>quantity_6</t>
  </si>
  <si>
    <t>productName_7</t>
  </si>
  <si>
    <t>quantity_7</t>
  </si>
  <si>
    <t>productName_8</t>
  </si>
  <si>
    <t>quantity_8</t>
  </si>
  <si>
    <t>productName_9</t>
  </si>
  <si>
    <t>quantity_9</t>
  </si>
  <si>
    <t>productType_0</t>
  </si>
  <si>
    <t>numberOfTreatments_0</t>
  </si>
  <si>
    <t>averageQuantity_0</t>
  </si>
  <si>
    <t>averageNitrogenQuantity_0</t>
  </si>
  <si>
    <t>averagePhosphorusQuantity_0</t>
  </si>
  <si>
    <t>averagePotassiumQuantity_0</t>
  </si>
  <si>
    <t>productType_1</t>
  </si>
  <si>
    <t>numberOfTreatments_1</t>
  </si>
  <si>
    <t>averageQuantity_1</t>
  </si>
  <si>
    <t>averageNitrogenQuantity_1</t>
  </si>
  <si>
    <t>averagePhosphorusQuantity_1</t>
  </si>
  <si>
    <t>averagePotassiumQuantity_1</t>
  </si>
  <si>
    <t>productType_2</t>
  </si>
  <si>
    <t>numberOfTreatments_2</t>
  </si>
  <si>
    <t>averageQuantity_2</t>
  </si>
  <si>
    <t>averageNitrogenQuantity_2</t>
  </si>
  <si>
    <t>averagePhosphorusQuantity_2</t>
  </si>
  <si>
    <t>averagePotassiumQuantity_2</t>
  </si>
  <si>
    <t>productType_3</t>
  </si>
  <si>
    <t>numberOfTreatments_3</t>
  </si>
  <si>
    <t>averageQuantity_3</t>
  </si>
  <si>
    <t>averageNitrogenQuantity_3</t>
  </si>
  <si>
    <t>averagePhosphorusQuantity_3</t>
  </si>
  <si>
    <t>averagePotassiumQuantity_3</t>
  </si>
  <si>
    <t>productType_4</t>
  </si>
  <si>
    <t>numberOfTreatments_4</t>
  </si>
  <si>
    <t>averageQuantity_4</t>
  </si>
  <si>
    <t>averageNitrogenQuantity_4</t>
  </si>
  <si>
    <t>averagePhosphorusQuantity_4</t>
  </si>
  <si>
    <t>averagePotassiumQuantity_4</t>
  </si>
  <si>
    <t>productType_5</t>
  </si>
  <si>
    <t>numberOfTreatments_5</t>
  </si>
  <si>
    <t>averageQuantity_5</t>
  </si>
  <si>
    <t>averageNitrogenQuantity_5</t>
  </si>
  <si>
    <t>averagePhosphorusQuantity_5</t>
  </si>
  <si>
    <t>averagePotassiumQuantity_5</t>
  </si>
  <si>
    <t>H218</t>
  </si>
  <si>
    <t>G86</t>
  </si>
  <si>
    <t>G87</t>
  </si>
  <si>
    <t>G88</t>
  </si>
  <si>
    <t>G89</t>
  </si>
  <si>
    <t>G90</t>
  </si>
  <si>
    <t>G91</t>
  </si>
  <si>
    <t>G92</t>
  </si>
  <si>
    <t>G93</t>
  </si>
  <si>
    <t>G94</t>
  </si>
  <si>
    <t>G95</t>
  </si>
  <si>
    <t>G96</t>
  </si>
  <si>
    <t>G97</t>
  </si>
  <si>
    <t>G98</t>
  </si>
  <si>
    <t>G99</t>
  </si>
  <si>
    <t>G100</t>
  </si>
  <si>
    <t>G101</t>
  </si>
  <si>
    <t>G102</t>
  </si>
  <si>
    <t>G103</t>
  </si>
  <si>
    <t>G104</t>
  </si>
  <si>
    <t>G105</t>
  </si>
  <si>
    <t>G106</t>
  </si>
  <si>
    <t>G107</t>
  </si>
  <si>
    <t>G108</t>
  </si>
  <si>
    <t>G109</t>
  </si>
  <si>
    <t>G110</t>
  </si>
  <si>
    <t>G111</t>
  </si>
  <si>
    <t>G112</t>
  </si>
  <si>
    <t>G113</t>
  </si>
  <si>
    <t>G114</t>
  </si>
  <si>
    <t>G115</t>
  </si>
  <si>
    <t>G116</t>
  </si>
  <si>
    <t>G117</t>
  </si>
  <si>
    <t>G118</t>
  </si>
  <si>
    <t>G119</t>
  </si>
  <si>
    <t>G120</t>
  </si>
  <si>
    <t>G121</t>
  </si>
  <si>
    <t>J10</t>
  </si>
  <si>
    <t>J11</t>
  </si>
  <si>
    <t>J12</t>
  </si>
  <si>
    <t>J13</t>
  </si>
  <si>
    <t>J14</t>
  </si>
  <si>
    <t>J15</t>
  </si>
  <si>
    <t>J16</t>
  </si>
  <si>
    <t>J17</t>
  </si>
  <si>
    <t>J18</t>
  </si>
  <si>
    <t>J19</t>
  </si>
  <si>
    <t>J20</t>
  </si>
  <si>
    <t>J21</t>
  </si>
  <si>
    <t>J22</t>
  </si>
  <si>
    <t>J23</t>
  </si>
  <si>
    <t>J24</t>
  </si>
  <si>
    <t>J25</t>
  </si>
  <si>
    <t>J26</t>
  </si>
  <si>
    <t>J27</t>
  </si>
  <si>
    <t>J28</t>
  </si>
  <si>
    <t>J29</t>
  </si>
  <si>
    <t>J30</t>
  </si>
  <si>
    <t>J31</t>
  </si>
  <si>
    <t>J32</t>
  </si>
  <si>
    <t>J33</t>
  </si>
  <si>
    <t>J34</t>
  </si>
  <si>
    <t>J35</t>
  </si>
  <si>
    <t>J36</t>
  </si>
  <si>
    <t>J37</t>
  </si>
  <si>
    <t>J38</t>
  </si>
  <si>
    <t>J39</t>
  </si>
  <si>
    <t>J40</t>
  </si>
  <si>
    <t>J41</t>
  </si>
  <si>
    <t>J42</t>
  </si>
  <si>
    <t>J43</t>
  </si>
  <si>
    <t>J44</t>
  </si>
  <si>
    <t>J45</t>
  </si>
  <si>
    <t>J46</t>
  </si>
  <si>
    <t>J47</t>
  </si>
  <si>
    <t>J48</t>
  </si>
  <si>
    <t>J49</t>
  </si>
  <si>
    <t>J50</t>
  </si>
  <si>
    <t>J51</t>
  </si>
  <si>
    <t>J52</t>
  </si>
  <si>
    <t>J53</t>
  </si>
  <si>
    <t>J54</t>
  </si>
  <si>
    <t>J55</t>
  </si>
  <si>
    <t>J56</t>
  </si>
  <si>
    <t>J57</t>
  </si>
  <si>
    <t>J58</t>
  </si>
  <si>
    <t>J59</t>
  </si>
  <si>
    <t>J60</t>
  </si>
  <si>
    <t>J61</t>
  </si>
  <si>
    <t>J62</t>
  </si>
  <si>
    <t>J63</t>
  </si>
  <si>
    <t>J64</t>
  </si>
  <si>
    <t>J65</t>
  </si>
  <si>
    <t>J66</t>
  </si>
  <si>
    <t>J67</t>
  </si>
  <si>
    <t>J68</t>
  </si>
  <si>
    <t>J69</t>
  </si>
  <si>
    <t>J70</t>
  </si>
  <si>
    <t>J71</t>
  </si>
  <si>
    <t>J72</t>
  </si>
  <si>
    <t>J73</t>
  </si>
  <si>
    <t>J74</t>
  </si>
  <si>
    <t>J75</t>
  </si>
  <si>
    <t>J76</t>
  </si>
  <si>
    <t>J77</t>
  </si>
  <si>
    <t>J78</t>
  </si>
  <si>
    <t>J79</t>
  </si>
  <si>
    <t>J80</t>
  </si>
  <si>
    <t>J81</t>
  </si>
  <si>
    <t>J82</t>
  </si>
  <si>
    <t>J83</t>
  </si>
  <si>
    <t>J84</t>
  </si>
  <si>
    <t>J85</t>
  </si>
  <si>
    <t>J86</t>
  </si>
  <si>
    <t>J87</t>
  </si>
  <si>
    <t>J88</t>
  </si>
  <si>
    <t>J89</t>
  </si>
  <si>
    <t>J90</t>
  </si>
  <si>
    <t>J91</t>
  </si>
  <si>
    <t>J92</t>
  </si>
  <si>
    <t>J93</t>
  </si>
  <si>
    <t>J94</t>
  </si>
  <si>
    <t>J95</t>
  </si>
  <si>
    <t>J96</t>
  </si>
  <si>
    <t>J97</t>
  </si>
  <si>
    <t>J98</t>
  </si>
  <si>
    <t>J99</t>
  </si>
  <si>
    <t>J100</t>
  </si>
  <si>
    <t>J101</t>
  </si>
  <si>
    <t>J102</t>
  </si>
  <si>
    <t>J103</t>
  </si>
  <si>
    <t>J104</t>
  </si>
  <si>
    <t>J105</t>
  </si>
  <si>
    <t>J106</t>
  </si>
  <si>
    <t>J107</t>
  </si>
  <si>
    <t>J108</t>
  </si>
  <si>
    <t>J109</t>
  </si>
  <si>
    <t>J110</t>
  </si>
  <si>
    <t>J111</t>
  </si>
  <si>
    <t>J112</t>
  </si>
  <si>
    <t>J113</t>
  </si>
  <si>
    <t>J114</t>
  </si>
  <si>
    <t>J115</t>
  </si>
  <si>
    <t>J116</t>
  </si>
  <si>
    <t>J117</t>
  </si>
  <si>
    <t>J118</t>
  </si>
  <si>
    <t>J119</t>
  </si>
  <si>
    <t>J120</t>
  </si>
  <si>
    <t>J121</t>
  </si>
  <si>
    <t>J122</t>
  </si>
  <si>
    <t>J123</t>
  </si>
  <si>
    <t>J124</t>
  </si>
  <si>
    <t>J125</t>
  </si>
  <si>
    <t>J126</t>
  </si>
  <si>
    <t>J127</t>
  </si>
  <si>
    <t>J128</t>
  </si>
  <si>
    <t>J129</t>
  </si>
  <si>
    <t>J130</t>
  </si>
  <si>
    <t>J131</t>
  </si>
  <si>
    <t>J132</t>
  </si>
  <si>
    <t>J133</t>
  </si>
  <si>
    <t>J134</t>
  </si>
  <si>
    <t>J135</t>
  </si>
  <si>
    <t>J136</t>
  </si>
  <si>
    <t>J137</t>
  </si>
  <si>
    <t>J138</t>
  </si>
  <si>
    <t>J139</t>
  </si>
  <si>
    <t>J140</t>
  </si>
  <si>
    <t>J141</t>
  </si>
  <si>
    <t>J142</t>
  </si>
  <si>
    <t>J143</t>
  </si>
  <si>
    <t>J144</t>
  </si>
  <si>
    <t>J145</t>
  </si>
  <si>
    <t>J146</t>
  </si>
  <si>
    <t>J147</t>
  </si>
  <si>
    <t>J148</t>
  </si>
  <si>
    <t>J149</t>
  </si>
  <si>
    <t>J150</t>
  </si>
  <si>
    <t>J151</t>
  </si>
  <si>
    <t>J152</t>
  </si>
  <si>
    <t>J153</t>
  </si>
  <si>
    <t>J154</t>
  </si>
  <si>
    <t>J155</t>
  </si>
  <si>
    <t>J156</t>
  </si>
  <si>
    <t>J157</t>
  </si>
  <si>
    <t>J158</t>
  </si>
  <si>
    <t>J159</t>
  </si>
  <si>
    <t>J160</t>
  </si>
  <si>
    <t>J161</t>
  </si>
  <si>
    <t>J162</t>
  </si>
  <si>
    <t>J163</t>
  </si>
  <si>
    <t>J164</t>
  </si>
  <si>
    <t>J165</t>
  </si>
  <si>
    <t>J166</t>
  </si>
  <si>
    <t>J167</t>
  </si>
  <si>
    <t>J168</t>
  </si>
  <si>
    <t>J169</t>
  </si>
  <si>
    <t>J170</t>
  </si>
  <si>
    <t>J171</t>
  </si>
  <si>
    <t>J172</t>
  </si>
  <si>
    <t>J173</t>
  </si>
  <si>
    <t>J174</t>
  </si>
  <si>
    <t>J175</t>
  </si>
  <si>
    <t>J176</t>
  </si>
  <si>
    <t>J177</t>
  </si>
  <si>
    <t>J178</t>
  </si>
  <si>
    <t>J179</t>
  </si>
  <si>
    <t>J180</t>
  </si>
  <si>
    <t>J181</t>
  </si>
  <si>
    <t>J182</t>
  </si>
  <si>
    <t>J183</t>
  </si>
  <si>
    <t>J184</t>
  </si>
  <si>
    <t>J185</t>
  </si>
  <si>
    <t>J186</t>
  </si>
  <si>
    <t>J187</t>
  </si>
  <si>
    <t>J188</t>
  </si>
  <si>
    <t>J189</t>
  </si>
  <si>
    <t>J190</t>
  </si>
  <si>
    <t>J191</t>
  </si>
  <si>
    <t>J192</t>
  </si>
  <si>
    <t>J193</t>
  </si>
  <si>
    <t>J194</t>
  </si>
  <si>
    <t>J195</t>
  </si>
  <si>
    <t>J196</t>
  </si>
  <si>
    <t>J197</t>
  </si>
  <si>
    <t>J198</t>
  </si>
  <si>
    <t>J199</t>
  </si>
  <si>
    <t>J200</t>
  </si>
  <si>
    <t>J201</t>
  </si>
  <si>
    <t>J202</t>
  </si>
  <si>
    <t>J203</t>
  </si>
  <si>
    <t>J204</t>
  </si>
  <si>
    <t>J205</t>
  </si>
  <si>
    <t>J206</t>
  </si>
  <si>
    <t>J207</t>
  </si>
  <si>
    <t>J208</t>
  </si>
  <si>
    <t>J209</t>
  </si>
  <si>
    <t>J210</t>
  </si>
  <si>
    <t>J211</t>
  </si>
  <si>
    <t>J212</t>
  </si>
  <si>
    <t>J213</t>
  </si>
  <si>
    <t>J214</t>
  </si>
  <si>
    <t>J215</t>
  </si>
  <si>
    <t>J216</t>
  </si>
  <si>
    <t>J217</t>
  </si>
  <si>
    <t>J218</t>
  </si>
  <si>
    <t>J219</t>
  </si>
  <si>
    <t>J220</t>
  </si>
  <si>
    <t>J221</t>
  </si>
  <si>
    <t>J222</t>
  </si>
  <si>
    <t>J223</t>
  </si>
  <si>
    <t>J224</t>
  </si>
  <si>
    <t>J225</t>
  </si>
  <si>
    <t>J226</t>
  </si>
  <si>
    <t>J227</t>
  </si>
  <si>
    <t>J228</t>
  </si>
  <si>
    <t>J229</t>
  </si>
  <si>
    <t>J230</t>
  </si>
  <si>
    <t>J231</t>
  </si>
  <si>
    <t>J232</t>
  </si>
  <si>
    <t>J233</t>
  </si>
  <si>
    <t>J234</t>
  </si>
  <si>
    <t>J235</t>
  </si>
  <si>
    <t>J236</t>
  </si>
  <si>
    <t>J237</t>
  </si>
  <si>
    <t>J238</t>
  </si>
  <si>
    <t>J239</t>
  </si>
  <si>
    <t>J240</t>
  </si>
  <si>
    <t>J241</t>
  </si>
  <si>
    <t>J242</t>
  </si>
  <si>
    <t>J243</t>
  </si>
  <si>
    <t>J244</t>
  </si>
  <si>
    <t>J245</t>
  </si>
  <si>
    <t>J246</t>
  </si>
  <si>
    <t>K10</t>
  </si>
  <si>
    <t>K11</t>
  </si>
  <si>
    <t>K12</t>
  </si>
  <si>
    <t>K13</t>
  </si>
  <si>
    <t>K14</t>
  </si>
  <si>
    <t>K15</t>
  </si>
  <si>
    <t>K16</t>
  </si>
  <si>
    <t>K17</t>
  </si>
  <si>
    <t>K18</t>
  </si>
  <si>
    <t>K19</t>
  </si>
  <si>
    <t>K20</t>
  </si>
  <si>
    <t>K21</t>
  </si>
  <si>
    <t>K22</t>
  </si>
  <si>
    <t>K23</t>
  </si>
  <si>
    <t>K24</t>
  </si>
  <si>
    <t>K25</t>
  </si>
  <si>
    <t>K26</t>
  </si>
  <si>
    <t>K27</t>
  </si>
  <si>
    <t>K28</t>
  </si>
  <si>
    <t>K29</t>
  </si>
  <si>
    <t>K30</t>
  </si>
  <si>
    <t>K31</t>
  </si>
  <si>
    <t>K32</t>
  </si>
  <si>
    <t>K33</t>
  </si>
  <si>
    <t>K34</t>
  </si>
  <si>
    <t>K35</t>
  </si>
  <si>
    <t>K36</t>
  </si>
  <si>
    <t>K37</t>
  </si>
  <si>
    <t>K38</t>
  </si>
  <si>
    <t>K39</t>
  </si>
  <si>
    <t>K40</t>
  </si>
  <si>
    <t>K41</t>
  </si>
  <si>
    <t>K42</t>
  </si>
  <si>
    <t>K43</t>
  </si>
  <si>
    <t>K44</t>
  </si>
  <si>
    <t>K45</t>
  </si>
  <si>
    <t>K46</t>
  </si>
  <si>
    <t>K47</t>
  </si>
  <si>
    <t>K48</t>
  </si>
  <si>
    <t>K49</t>
  </si>
  <si>
    <t>K50</t>
  </si>
  <si>
    <t>K51</t>
  </si>
  <si>
    <t>K52</t>
  </si>
  <si>
    <t>K53</t>
  </si>
  <si>
    <t>K54</t>
  </si>
  <si>
    <t>K55</t>
  </si>
  <si>
    <t>K56</t>
  </si>
  <si>
    <t>K57</t>
  </si>
  <si>
    <t>K58</t>
  </si>
  <si>
    <t>K59</t>
  </si>
  <si>
    <t>K60</t>
  </si>
  <si>
    <t>K61</t>
  </si>
  <si>
    <t>K62</t>
  </si>
  <si>
    <t>K63</t>
  </si>
  <si>
    <t>K64</t>
  </si>
  <si>
    <t>K65</t>
  </si>
  <si>
    <t>K66</t>
  </si>
  <si>
    <t>K67</t>
  </si>
  <si>
    <t>K68</t>
  </si>
  <si>
    <t>K69</t>
  </si>
  <si>
    <t>K70</t>
  </si>
  <si>
    <t>K71</t>
  </si>
  <si>
    <t>K72</t>
  </si>
  <si>
    <t>K73</t>
  </si>
  <si>
    <t>K74</t>
  </si>
  <si>
    <t>K75</t>
  </si>
  <si>
    <t>K76</t>
  </si>
  <si>
    <t>K77</t>
  </si>
  <si>
    <t>K78</t>
  </si>
  <si>
    <t>K79</t>
  </si>
  <si>
    <t>K80</t>
  </si>
  <si>
    <t>K81</t>
  </si>
  <si>
    <t>K82</t>
  </si>
  <si>
    <t>K83</t>
  </si>
  <si>
    <t>K84</t>
  </si>
  <si>
    <t>K85</t>
  </si>
  <si>
    <t>K86</t>
  </si>
  <si>
    <t>K87</t>
  </si>
  <si>
    <t>K88</t>
  </si>
  <si>
    <t>K89</t>
  </si>
  <si>
    <t>K90</t>
  </si>
  <si>
    <t>K91</t>
  </si>
  <si>
    <t>K92</t>
  </si>
  <si>
    <t>K93</t>
  </si>
  <si>
    <t>K94</t>
  </si>
  <si>
    <t>K95</t>
  </si>
  <si>
    <t>K96</t>
  </si>
  <si>
    <t>K97</t>
  </si>
  <si>
    <t>K98</t>
  </si>
  <si>
    <t>K99</t>
  </si>
  <si>
    <t>K100</t>
  </si>
  <si>
    <t>K101</t>
  </si>
  <si>
    <t>K102</t>
  </si>
  <si>
    <t>K103</t>
  </si>
  <si>
    <t>K104</t>
  </si>
  <si>
    <t>K105</t>
  </si>
  <si>
    <t>K106</t>
  </si>
  <si>
    <t>K107</t>
  </si>
  <si>
    <t>K108</t>
  </si>
  <si>
    <t>K109</t>
  </si>
  <si>
    <t>K110</t>
  </si>
  <si>
    <t>K111</t>
  </si>
  <si>
    <t>K112</t>
  </si>
  <si>
    <t>K113</t>
  </si>
  <si>
    <t>K114</t>
  </si>
  <si>
    <t>K115</t>
  </si>
  <si>
    <t>K116</t>
  </si>
  <si>
    <t>K117</t>
  </si>
  <si>
    <t>K118</t>
  </si>
  <si>
    <t>K119</t>
  </si>
  <si>
    <t>K120</t>
  </si>
  <si>
    <t>K121</t>
  </si>
  <si>
    <t>K122</t>
  </si>
  <si>
    <t>K123</t>
  </si>
  <si>
    <t>K124</t>
  </si>
  <si>
    <t>K125</t>
  </si>
  <si>
    <t>K126</t>
  </si>
  <si>
    <t>K127</t>
  </si>
  <si>
    <t>K128</t>
  </si>
  <si>
    <t>K129</t>
  </si>
  <si>
    <t>K130</t>
  </si>
  <si>
    <t>K131</t>
  </si>
  <si>
    <t>K132</t>
  </si>
  <si>
    <t>K133</t>
  </si>
  <si>
    <t>K134</t>
  </si>
  <si>
    <t>K135</t>
  </si>
  <si>
    <t>K136</t>
  </si>
  <si>
    <t>K137</t>
  </si>
  <si>
    <t>K138</t>
  </si>
  <si>
    <t>K139</t>
  </si>
  <si>
    <t>K140</t>
  </si>
  <si>
    <t>K141</t>
  </si>
  <si>
    <t>K142</t>
  </si>
  <si>
    <t>K143</t>
  </si>
  <si>
    <t>K144</t>
  </si>
  <si>
    <t>K145</t>
  </si>
  <si>
    <t>K146</t>
  </si>
  <si>
    <t>K147</t>
  </si>
  <si>
    <t>K148</t>
  </si>
  <si>
    <t>K149</t>
  </si>
  <si>
    <t>K150</t>
  </si>
  <si>
    <t>K151</t>
  </si>
  <si>
    <t>K152</t>
  </si>
  <si>
    <t>K153</t>
  </si>
  <si>
    <t>K154</t>
  </si>
  <si>
    <t>K155</t>
  </si>
  <si>
    <t>K156</t>
  </si>
  <si>
    <t>K157</t>
  </si>
  <si>
    <t>K158</t>
  </si>
  <si>
    <t>K159</t>
  </si>
  <si>
    <t>K160</t>
  </si>
  <si>
    <t>K161</t>
  </si>
  <si>
    <t>K162</t>
  </si>
  <si>
    <t>K163</t>
  </si>
  <si>
    <t>K164</t>
  </si>
  <si>
    <t>K165</t>
  </si>
  <si>
    <t>K166</t>
  </si>
  <si>
    <t>K167</t>
  </si>
  <si>
    <t>K168</t>
  </si>
  <si>
    <t>K169</t>
  </si>
  <si>
    <t>K170</t>
  </si>
  <si>
    <t>K171</t>
  </si>
  <si>
    <t>K172</t>
  </si>
  <si>
    <t>K173</t>
  </si>
  <si>
    <t>K174</t>
  </si>
  <si>
    <t>K175</t>
  </si>
  <si>
    <t>K176</t>
  </si>
  <si>
    <t>K177</t>
  </si>
  <si>
    <t>K178</t>
  </si>
  <si>
    <t>K179</t>
  </si>
  <si>
    <t>K180</t>
  </si>
  <si>
    <t>K181</t>
  </si>
  <si>
    <t>K182</t>
  </si>
  <si>
    <t>K183</t>
  </si>
  <si>
    <t>K184</t>
  </si>
  <si>
    <t>K185</t>
  </si>
  <si>
    <t>K186</t>
  </si>
  <si>
    <t>K187</t>
  </si>
  <si>
    <t>K188</t>
  </si>
  <si>
    <t>K189</t>
  </si>
  <si>
    <t>K190</t>
  </si>
  <si>
    <t>K191</t>
  </si>
  <si>
    <t>K192</t>
  </si>
  <si>
    <t>K193</t>
  </si>
  <si>
    <t>K194</t>
  </si>
  <si>
    <t>K195</t>
  </si>
  <si>
    <t>K196</t>
  </si>
  <si>
    <t>K197</t>
  </si>
  <si>
    <t>K198</t>
  </si>
  <si>
    <t>K199</t>
  </si>
  <si>
    <t>K200</t>
  </si>
  <si>
    <t>K201</t>
  </si>
  <si>
    <t>K202</t>
  </si>
  <si>
    <t>K203</t>
  </si>
  <si>
    <t>K204</t>
  </si>
  <si>
    <t>K205</t>
  </si>
  <si>
    <t>K206</t>
  </si>
  <si>
    <t>K207</t>
  </si>
  <si>
    <t>K208</t>
  </si>
  <si>
    <t>K209</t>
  </si>
  <si>
    <t>K210</t>
  </si>
  <si>
    <t>K211</t>
  </si>
  <si>
    <t>K212</t>
  </si>
  <si>
    <t>K213</t>
  </si>
  <si>
    <t>K214</t>
  </si>
  <si>
    <t>K215</t>
  </si>
  <si>
    <t>K216</t>
  </si>
  <si>
    <t>K217</t>
  </si>
  <si>
    <t>K218</t>
  </si>
  <si>
    <t>K219</t>
  </si>
  <si>
    <t>K220</t>
  </si>
  <si>
    <t>K221</t>
  </si>
  <si>
    <t>K222</t>
  </si>
  <si>
    <t>K223</t>
  </si>
  <si>
    <t>K224</t>
  </si>
  <si>
    <t>K225</t>
  </si>
  <si>
    <t>K226</t>
  </si>
  <si>
    <t>K227</t>
  </si>
  <si>
    <t>K228</t>
  </si>
  <si>
    <t>K229</t>
  </si>
  <si>
    <t>K230</t>
  </si>
  <si>
    <t>K231</t>
  </si>
  <si>
    <t>K232</t>
  </si>
  <si>
    <t>K233</t>
  </si>
  <si>
    <t>K234</t>
  </si>
  <si>
    <t>K235</t>
  </si>
  <si>
    <t>K236</t>
  </si>
  <si>
    <t>K237</t>
  </si>
  <si>
    <t>K238</t>
  </si>
  <si>
    <t>K239</t>
  </si>
  <si>
    <t>K240</t>
  </si>
  <si>
    <t>K241</t>
  </si>
  <si>
    <t>K242</t>
  </si>
  <si>
    <t>K243</t>
  </si>
  <si>
    <t>K244</t>
  </si>
  <si>
    <t>K245</t>
  </si>
  <si>
    <t>K246</t>
  </si>
  <si>
    <t>L10</t>
  </si>
  <si>
    <t>L11</t>
  </si>
  <si>
    <t>L12</t>
  </si>
  <si>
    <t>L13</t>
  </si>
  <si>
    <t>L14</t>
  </si>
  <si>
    <t>L15</t>
  </si>
  <si>
    <t>L16</t>
  </si>
  <si>
    <t>L17</t>
  </si>
  <si>
    <t>L18</t>
  </si>
  <si>
    <t>L19</t>
  </si>
  <si>
    <t>L20</t>
  </si>
  <si>
    <t>L21</t>
  </si>
  <si>
    <t>L22</t>
  </si>
  <si>
    <t>L23</t>
  </si>
  <si>
    <t>L24</t>
  </si>
  <si>
    <t>L25</t>
  </si>
  <si>
    <t>L26</t>
  </si>
  <si>
    <t>L27</t>
  </si>
  <si>
    <t>L28</t>
  </si>
  <si>
    <t>L29</t>
  </si>
  <si>
    <t>L30</t>
  </si>
  <si>
    <t>L31</t>
  </si>
  <si>
    <t>L32</t>
  </si>
  <si>
    <t>L33</t>
  </si>
  <si>
    <t>L34</t>
  </si>
  <si>
    <t>L35</t>
  </si>
  <si>
    <t>L36</t>
  </si>
  <si>
    <t>L37</t>
  </si>
  <si>
    <t>L38</t>
  </si>
  <si>
    <t>L39</t>
  </si>
  <si>
    <t>L40</t>
  </si>
  <si>
    <t>L41</t>
  </si>
  <si>
    <t>L42</t>
  </si>
  <si>
    <t>L43</t>
  </si>
  <si>
    <t>L44</t>
  </si>
  <si>
    <t>L45</t>
  </si>
  <si>
    <t>L46</t>
  </si>
  <si>
    <t>L47</t>
  </si>
  <si>
    <t>L48</t>
  </si>
  <si>
    <t>L49</t>
  </si>
  <si>
    <t>L50</t>
  </si>
  <si>
    <t>L51</t>
  </si>
  <si>
    <t>L52</t>
  </si>
  <si>
    <t>L53</t>
  </si>
  <si>
    <t>L54</t>
  </si>
  <si>
    <t>L55</t>
  </si>
  <si>
    <t>L56</t>
  </si>
  <si>
    <t>L57</t>
  </si>
  <si>
    <t>L58</t>
  </si>
  <si>
    <t>L59</t>
  </si>
  <si>
    <t>L60</t>
  </si>
  <si>
    <t>L61</t>
  </si>
  <si>
    <t>L62</t>
  </si>
  <si>
    <t>L63</t>
  </si>
  <si>
    <t>L64</t>
  </si>
  <si>
    <t>L65</t>
  </si>
  <si>
    <t>L66</t>
  </si>
  <si>
    <t>L67</t>
  </si>
  <si>
    <t>L68</t>
  </si>
  <si>
    <t>L69</t>
  </si>
  <si>
    <t>L70</t>
  </si>
  <si>
    <t>L71</t>
  </si>
  <si>
    <t>L72</t>
  </si>
  <si>
    <t>L73</t>
  </si>
  <si>
    <t>L74</t>
  </si>
  <si>
    <t>L75</t>
  </si>
  <si>
    <t>L76</t>
  </si>
  <si>
    <t>L77</t>
  </si>
  <si>
    <t>L78</t>
  </si>
  <si>
    <t>L79</t>
  </si>
  <si>
    <t>L80</t>
  </si>
  <si>
    <t>L81</t>
  </si>
  <si>
    <t>L82</t>
  </si>
  <si>
    <t>L83</t>
  </si>
  <si>
    <t>L84</t>
  </si>
  <si>
    <t>L85</t>
  </si>
  <si>
    <t>L86</t>
  </si>
  <si>
    <t>L87</t>
  </si>
  <si>
    <t>L88</t>
  </si>
  <si>
    <t>L89</t>
  </si>
  <si>
    <t>L90</t>
  </si>
  <si>
    <t>L91</t>
  </si>
  <si>
    <t>L92</t>
  </si>
  <si>
    <t>L93</t>
  </si>
  <si>
    <t>L94</t>
  </si>
  <si>
    <t>L95</t>
  </si>
  <si>
    <t>L96</t>
  </si>
  <si>
    <t>L97</t>
  </si>
  <si>
    <t>L98</t>
  </si>
  <si>
    <t>L99</t>
  </si>
  <si>
    <t>L100</t>
  </si>
  <si>
    <t>L101</t>
  </si>
  <si>
    <t>L102</t>
  </si>
  <si>
    <t>L103</t>
  </si>
  <si>
    <t>L104</t>
  </si>
  <si>
    <t>L105</t>
  </si>
  <si>
    <t>L106</t>
  </si>
  <si>
    <t>L107</t>
  </si>
  <si>
    <t>L108</t>
  </si>
  <si>
    <t>L109</t>
  </si>
  <si>
    <t>L110</t>
  </si>
  <si>
    <t>L111</t>
  </si>
  <si>
    <t>L112</t>
  </si>
  <si>
    <t>L113</t>
  </si>
  <si>
    <t>L114</t>
  </si>
  <si>
    <t>L115</t>
  </si>
  <si>
    <t>L116</t>
  </si>
  <si>
    <t>L117</t>
  </si>
  <si>
    <t>L118</t>
  </si>
  <si>
    <t>L119</t>
  </si>
  <si>
    <t>L120</t>
  </si>
  <si>
    <t>L121</t>
  </si>
  <si>
    <t>L122</t>
  </si>
  <si>
    <t>L123</t>
  </si>
  <si>
    <t>L124</t>
  </si>
  <si>
    <t>L125</t>
  </si>
  <si>
    <t>L126</t>
  </si>
  <si>
    <t>L127</t>
  </si>
  <si>
    <t>L128</t>
  </si>
  <si>
    <t>L129</t>
  </si>
  <si>
    <t>L130</t>
  </si>
  <si>
    <t>L131</t>
  </si>
  <si>
    <t>L132</t>
  </si>
  <si>
    <t>L133</t>
  </si>
  <si>
    <t>L134</t>
  </si>
  <si>
    <t>L135</t>
  </si>
  <si>
    <t>L136</t>
  </si>
  <si>
    <t>L137</t>
  </si>
  <si>
    <t>L138</t>
  </si>
  <si>
    <t>L139</t>
  </si>
  <si>
    <t>L140</t>
  </si>
  <si>
    <t>L141</t>
  </si>
  <si>
    <t>L142</t>
  </si>
  <si>
    <t>L143</t>
  </si>
  <si>
    <t>L144</t>
  </si>
  <si>
    <t>L145</t>
  </si>
  <si>
    <t>L146</t>
  </si>
  <si>
    <t>L147</t>
  </si>
  <si>
    <t>L148</t>
  </si>
  <si>
    <t>L149</t>
  </si>
  <si>
    <t>L150</t>
  </si>
  <si>
    <t>L151</t>
  </si>
  <si>
    <t>L152</t>
  </si>
  <si>
    <t>L153</t>
  </si>
  <si>
    <t>L154</t>
  </si>
  <si>
    <t>L155</t>
  </si>
  <si>
    <t>L156</t>
  </si>
  <si>
    <t>L157</t>
  </si>
  <si>
    <t>L158</t>
  </si>
  <si>
    <t>L159</t>
  </si>
  <si>
    <t>L160</t>
  </si>
  <si>
    <t>L161</t>
  </si>
  <si>
    <t>L162</t>
  </si>
  <si>
    <t>L163</t>
  </si>
  <si>
    <t>L164</t>
  </si>
  <si>
    <t>L165</t>
  </si>
  <si>
    <t>L166</t>
  </si>
  <si>
    <t>L167</t>
  </si>
  <si>
    <t>L168</t>
  </si>
  <si>
    <t>L169</t>
  </si>
  <si>
    <t>L170</t>
  </si>
  <si>
    <t>L171</t>
  </si>
  <si>
    <t>L172</t>
  </si>
  <si>
    <t>L173</t>
  </si>
  <si>
    <t>L174</t>
  </si>
  <si>
    <t>L175</t>
  </si>
  <si>
    <t>L176</t>
  </si>
  <si>
    <t>L177</t>
  </si>
  <si>
    <t>L178</t>
  </si>
  <si>
    <t>L179</t>
  </si>
  <si>
    <t>L180</t>
  </si>
  <si>
    <t>L181</t>
  </si>
  <si>
    <t>L182</t>
  </si>
  <si>
    <t>L183</t>
  </si>
  <si>
    <t>L184</t>
  </si>
  <si>
    <t>L185</t>
  </si>
  <si>
    <t>L186</t>
  </si>
  <si>
    <t>L187</t>
  </si>
  <si>
    <t>L188</t>
  </si>
  <si>
    <t>L189</t>
  </si>
  <si>
    <t>L190</t>
  </si>
  <si>
    <t>L191</t>
  </si>
  <si>
    <t>L192</t>
  </si>
  <si>
    <t>L193</t>
  </si>
  <si>
    <t>L194</t>
  </si>
  <si>
    <t>L195</t>
  </si>
  <si>
    <t>L196</t>
  </si>
  <si>
    <t>L197</t>
  </si>
  <si>
    <t>L198</t>
  </si>
  <si>
    <t>L199</t>
  </si>
  <si>
    <t>L200</t>
  </si>
  <si>
    <t>L201</t>
  </si>
  <si>
    <t>L202</t>
  </si>
  <si>
    <t>L203</t>
  </si>
  <si>
    <t>L204</t>
  </si>
  <si>
    <t>L205</t>
  </si>
  <si>
    <t>L206</t>
  </si>
  <si>
    <t>L207</t>
  </si>
  <si>
    <t>L208</t>
  </si>
  <si>
    <t>L209</t>
  </si>
  <si>
    <t>L210</t>
  </si>
  <si>
    <t>L211</t>
  </si>
  <si>
    <t>L212</t>
  </si>
  <si>
    <t>L213</t>
  </si>
  <si>
    <t>L214</t>
  </si>
  <si>
    <t>L215</t>
  </si>
  <si>
    <t>L216</t>
  </si>
  <si>
    <t>L217</t>
  </si>
  <si>
    <t>L218</t>
  </si>
  <si>
    <t>L219</t>
  </si>
  <si>
    <t>L220</t>
  </si>
  <si>
    <t>L221</t>
  </si>
  <si>
    <t>L222</t>
  </si>
  <si>
    <t>L223</t>
  </si>
  <si>
    <t>L224</t>
  </si>
  <si>
    <t>L225</t>
  </si>
  <si>
    <t>L226</t>
  </si>
  <si>
    <t>L227</t>
  </si>
  <si>
    <t>L228</t>
  </si>
  <si>
    <t>L229</t>
  </si>
  <si>
    <t>L230</t>
  </si>
  <si>
    <t>L231</t>
  </si>
  <si>
    <t>L232</t>
  </si>
  <si>
    <t>L233</t>
  </si>
  <si>
    <t>L234</t>
  </si>
  <si>
    <t>L235</t>
  </si>
  <si>
    <t>L236</t>
  </si>
  <si>
    <t>L237</t>
  </si>
  <si>
    <t>L238</t>
  </si>
  <si>
    <t>L239</t>
  </si>
  <si>
    <t>L240</t>
  </si>
  <si>
    <t>L241</t>
  </si>
  <si>
    <t>L242</t>
  </si>
  <si>
    <t>L243</t>
  </si>
  <si>
    <t>L244</t>
  </si>
  <si>
    <t>L245</t>
  </si>
  <si>
    <t>L246</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</si>
  <si>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</si>
  <si>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</si>
  <si>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</si>
  <si>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</si>
  <si>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</si>
  <si>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</si>
  <si>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</si>
  <si>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</si>
  <si>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</si>
  <si>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</si>
  <si>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</si>
  <si>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</si>
  <si>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</si>
  <si>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</si>
  <si>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</si>
  <si>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</si>
  <si>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</si>
  <si>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</si>
  <si>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</si>
  <si>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</si>
  <si>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</si>
  <si>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</si>
  <si>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</si>
  <si>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</si>
  <si>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</si>
  <si>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</si>
  <si>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</si>
  <si>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</si>
  <si>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</si>
  <si>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</si>
  <si>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</si>
  <si>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</si>
  <si>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</si>
  <si>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</si>
  <si>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Total</t>
  </si>
  <si>
    <t>No Data</t>
  </si>
  <si>
    <t xml:space="preserve">Economic PRODUCTIVITY </t>
  </si>
  <si>
    <t xml:space="preserve">Economic EFFICIENCY </t>
  </si>
  <si>
    <t>product</t>
  </si>
  <si>
    <t>total</t>
  </si>
  <si>
    <t>E3</t>
  </si>
  <si>
    <t>E4</t>
  </si>
  <si>
    <t>E5</t>
  </si>
  <si>
    <t>E6</t>
  </si>
  <si>
    <t>E7</t>
  </si>
  <si>
    <t>E8</t>
  </si>
  <si>
    <t>E9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</si>
  <si>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</si>
  <si>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</si>
  <si>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</si>
  <si>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</si>
  <si>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</si>
  <si>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</si>
  <si>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</si>
  <si>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</si>
  <si>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</si>
  <si>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</si>
  <si>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</si>
  <si>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</si>
  <si>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</si>
  <si>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</si>
  <si>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</si>
  <si>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</si>
  <si>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</si>
  <si>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</si>
  <si>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</si>
  <si>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</si>
  <si>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</si>
  <si>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</si>
  <si>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</si>
  <si>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</si>
  <si>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</si>
  <si>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</si>
  <si>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</si>
  <si>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</si>
  <si>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</si>
  <si>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</si>
  <si>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</si>
  <si>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</si>
  <si>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</si>
  <si>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</si>
  <si>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</si>
  <si>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</si>
  <si>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</si>
  <si>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</si>
  <si>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</si>
  <si>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</si>
  <si>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</si>
  <si>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</si>
  <si>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</si>
  <si>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</si>
  <si>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</si>
  <si>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</si>
  <si>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</si>
  <si>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</si>
  <si>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</si>
  <si>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</si>
  <si>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</si>
  <si>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</si>
  <si>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</si>
  <si>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</si>
  <si>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</si>
  <si>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</si>
  <si>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E66</t>
  </si>
  <si>
    <t>E67</t>
  </si>
  <si>
    <t>E68</t>
  </si>
  <si>
    <t>E69</t>
  </si>
  <si>
    <t>E70</t>
  </si>
  <si>
    <t>E71</t>
  </si>
  <si>
    <t>E72</t>
  </si>
  <si>
    <t>E73</t>
  </si>
  <si>
    <t>E74</t>
  </si>
  <si>
    <t>E75</t>
  </si>
  <si>
    <t>E76</t>
  </si>
  <si>
    <t>E77</t>
  </si>
  <si>
    <t>E78</t>
  </si>
  <si>
    <t>E79</t>
  </si>
  <si>
    <t>E80</t>
  </si>
  <si>
    <t>E81</t>
  </si>
  <si>
    <t>E82</t>
  </si>
  <si>
    <t>E83</t>
  </si>
  <si>
    <t>E84</t>
  </si>
  <si>
    <t>E85</t>
  </si>
  <si>
    <t>E86</t>
  </si>
  <si>
    <t>E87</t>
  </si>
  <si>
    <t>E88</t>
  </si>
  <si>
    <t>E89</t>
  </si>
  <si>
    <t>E90</t>
  </si>
  <si>
    <t>E91</t>
  </si>
  <si>
    <t>E92</t>
  </si>
  <si>
    <t>E93</t>
  </si>
  <si>
    <t>E94</t>
  </si>
  <si>
    <t>E95</t>
  </si>
  <si>
    <t>E96</t>
  </si>
  <si>
    <t>E97</t>
  </si>
  <si>
    <t>E98</t>
  </si>
  <si>
    <t>E99</t>
  </si>
  <si>
    <t>E100</t>
  </si>
  <si>
    <t>E101</t>
  </si>
  <si>
    <t>E102</t>
  </si>
  <si>
    <t>E103</t>
  </si>
  <si>
    <t>E104</t>
  </si>
  <si>
    <t>E105</t>
  </si>
  <si>
    <t>E106</t>
  </si>
  <si>
    <t>E107</t>
  </si>
  <si>
    <t>E108</t>
  </si>
  <si>
    <t>E109</t>
  </si>
  <si>
    <t>E110</t>
  </si>
  <si>
    <t>E111</t>
  </si>
  <si>
    <t>E112</t>
  </si>
  <si>
    <t>E113</t>
  </si>
  <si>
    <t>E114</t>
  </si>
  <si>
    <t>E115</t>
  </si>
  <si>
    <t>E116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</si>
</sst>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quot;€&quot;\ #,##0.00"/>
    <numFmt numFmtId="165" formatCode="0.0"/>
  </numFmts>
  <fonts count="41">
    <font>
      <sz val="12"/>
      <color theme="1"/>
      <name val="Calibri"/>
      <family val="2"/>
      <scheme val="minor"/>
    </font>
    <font>
      <sz val="11"/>
      <color theme="1"/>
      <name val="Calibri"/>
      <family val="2"/>
      <scheme val="minor"/>
    </font>
    <font>
      <sz val="8"/>
      <name val="Calibri"/>
      <family val="2"/>
      <scheme val="minor"/>
    </font>
    <font>
      <sz val="11"/>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b/>
      <sz val="12"/>
      <color rgb="FF000000"/>
      <name val="Calibri"/>
      <family val="2"/>
      <scheme val="minor"/>
    </font>
    <font>
      <sz val="12"/>
      <color rgb="FF000000"/>
      <name val="Cambria"/>
      <family val="1"/>
    </font>
    <font>
      <b/>
      <sz val="12"/>
      <color theme="0"/>
      <name val="Cambria"/>
      <family val="1"/>
    </font>
    <font>
      <sz val="12"/>
      <color theme="1"/>
      <name val="Cambria"/>
      <family val="1"/>
    </font>
    <font>
      <sz val="12"/>
      <color theme="1"/>
      <name val="Calibri"/>
      <family val="2"/>
    </font>
    <font>
      <vertAlign val="superscript"/>
      <sz val="12"/>
      <color theme="1"/>
      <name val="Calibri"/>
      <family val="2"/>
      <scheme val="minor"/>
    </font>
    <font>
      <vertAlign val="superscript"/>
      <sz val="12"/>
      <name val="Calibri"/>
      <family val="2"/>
      <scheme val="minor"/>
    </font>
    <font>
      <vertAlign val="superscript"/>
      <sz val="12"/>
      <color theme="1"/>
      <name val="Cambria"/>
      <family val="1"/>
    </font>
    <font>
      <b/>
      <sz val="20"/>
      <color theme="1"/>
      <name val="Calibri"/>
      <family val="2"/>
      <scheme val="minor"/>
    </font>
    <font>
      <b/>
      <sz val="12"/>
      <name val="Calibri"/>
      <family val="2"/>
      <scheme val="minor"/>
    </font>
    <font>
      <b/>
      <sz val="12"/>
      <color theme="0"/>
      <name val="Calibri"/>
      <family val="2"/>
    </font>
    <font>
      <sz val="12"/>
      <color rgb="FFFFFFFF"/>
      <name val="Calibri"/>
      <family val="2"/>
      <scheme val="minor"/>
    </font>
    <font>
      <b/>
      <sz val="12"/>
      <color theme="1"/>
      <name val="Calibri"/>
      <family val="2"/>
    </font>
    <font>
      <sz val="12"/>
      <name val="Calibri"/>
      <family val="2"/>
      <scheme val="minor"/>
    </font>
    <font>
      <sz val="14"/>
      <color rgb="FF000000"/>
      <name val="-webkit-standard"/>
    </font>
    <font>
      <sz val="12"/>
      <color theme="1"/>
      <name val="Calibri"/>
      <family val="2"/>
      <scheme val="minor"/>
    </font>
    <font>
      <sz val="11"/>
      <name val="TrebuchetMS"/>
    </font>
    <font>
      <b/>
      <sz val="11"/>
      <color theme="0"/>
      <name val="TrebuchetMS"/>
      <family val="2"/>
    </font>
    <font>
      <sz val="11"/>
      <color theme="1"/>
      <name val="Calibri"/>
      <family val="2"/>
      <scheme val="minor"/>
    </font>
    <font>
      <i/>
      <sz val="11"/>
      <color theme="0" tint="-0.34998626667073579"/>
      <name val="Calibri"/>
      <family val="2"/>
      <scheme val="minor"/>
    </font>
    <font>
      <i/>
      <sz val="11"/>
      <color theme="0" tint="-0.34998626667073579"/>
      <name val="TrebuchetMS"/>
    </font>
    <font>
      <sz val="11"/>
      <color rgb="FFFF0000"/>
      <name val="Calibri"/>
      <family val="2"/>
      <scheme val="minor"/>
    </font>
    <font>
      <b/>
      <i/>
      <sz val="11"/>
      <color theme="0"/>
      <name val="TrebuchetMS"/>
    </font>
    <font>
      <b/>
      <sz val="11"/>
      <name val="Calibri"/>
      <family val="2"/>
      <scheme val="minor"/>
    </font>
    <font>
      <sz val="10"/>
      <color rgb="FF000000"/>
      <name val="Tahoma"/>
      <family val="2"/>
    </font>
    <font>
      <b/>
      <sz val="10"/>
      <color rgb="FF000000"/>
      <name val="Tahoma"/>
      <family val="2"/>
    </font>
    <font>
      <i/>
      <sz val="12"/>
      <color rgb="FF000000"/>
      <name val="Calibri"/>
      <family val="2"/>
      <scheme val="minor"/>
    </font>
    <font>
      <b/>
      <sz val="11"/>
      <color theme="4"/>
      <name val="TrebuchetMS"/>
      <family val="2"/>
    </font>
    <font>
      <b/>
      <sz val="12"/>
      <color theme="0"/>
      <name val="Calibri"/>
      <family val="2"/>
      <scheme val="minor"/>
    </font>
    <font>
      <sz val="10"/>
      <color rgb="FF000000"/>
      <name val="Calibri"/>
      <family val="2"/>
    </font>
    <font>
      <sz val="12"/>
      <color rgb="FFFF0000"/>
      <name val="Calibri"/>
      <family val="2"/>
      <scheme val="minor"/>
    </font>
    <font>
      <vertAlign val="superscript"/>
      <sz val="12"/>
      <color rgb="FF000000"/>
      <name val="Calibri"/>
      <family val="2"/>
      <scheme val="minor"/>
    </font>
    <font>
      <vertAlign val="superscript"/>
      <sz val="11"/>
      <name val="Calibri"/>
      <family val="2"/>
      <scheme val="minor"/>
    </font>
    <font>
      <b/>
      <sz val="11"/>
      <name val="TrebuchetMS"/>
      <family val="2"/>
    </font>
  </fonts>
  <fills count="34">
    <fill>
      <patternFill patternType="none"/>
    </fill>
    <fill>
      <patternFill patternType="gray125"/>
    </fill>
    <fill>
      <patternFill patternType="solid">
        <fgColor rgb="FF44546A"/>
        <bgColor rgb="FF000000"/>
      </patternFill>
    </fill>
    <fill>
      <patternFill patternType="solid">
        <fgColor rgb="FFD6DCE4"/>
        <bgColor rgb="FF000000"/>
      </patternFill>
    </fill>
    <fill>
      <patternFill patternType="solid">
        <fgColor theme="3"/>
        <bgColor indexed="64"/>
      </patternFill>
    </fill>
    <fill>
      <patternFill patternType="solid">
        <fgColor theme="3" tint="0.79998168889431442"/>
        <bgColor indexed="64"/>
      </patternFill>
    </fill>
    <fill>
      <patternFill patternType="solid">
        <fgColor theme="0"/>
        <bgColor indexed="64"/>
      </patternFill>
    </fill>
    <fill>
      <patternFill patternType="solid">
        <fgColor rgb="FFFFFAEB"/>
        <bgColor indexed="64"/>
      </patternFill>
    </fill>
    <fill>
      <patternFill patternType="solid">
        <fgColor rgb="FF44546A"/>
        <bgColor rgb="FF44546A"/>
      </patternFill>
    </fill>
    <fill>
      <patternFill patternType="solid">
        <fgColor rgb="FFD6DCE4"/>
        <bgColor rgb="FFD6DCE4"/>
      </patternFill>
    </fill>
    <fill>
      <patternFill patternType="solid">
        <fgColor rgb="FFD6DCE4"/>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rgb="FF92D05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44" fontId="22" fillId="0" borderId="0" applyFont="0" applyFill="0" applyBorder="0" applyAlignment="0" applyProtection="0"/>
  </cellStyleXfs>
  <cellXfs count="203">
    <xf numFmtId="0" fontId="0" fillId="0" borderId="0" xfId="0"/>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vertical="center"/>
    </xf>
    <xf numFmtId="0" fontId="0" fillId="0" borderId="0" xfId="0" applyAlignment="1">
      <alignment wrapText="1"/>
    </xf>
    <xf numFmtId="0" fontId="4" fillId="5" borderId="5" xfId="0" applyFont="1" applyFill="1" applyBorder="1" applyAlignment="1">
      <alignment horizontal="center" vertical="center"/>
    </xf>
    <xf numFmtId="0" fontId="15" fillId="0" borderId="5" xfId="0" applyFont="1" applyBorder="1" applyAlignment="1">
      <alignment horizontal="center" vertical="center" wrapText="1"/>
    </xf>
    <xf numFmtId="0" fontId="4" fillId="0" borderId="5" xfId="0" applyFont="1" applyBorder="1" applyAlignment="1">
      <alignment horizontal="center" vertical="center"/>
    </xf>
    <xf numFmtId="0" fontId="4" fillId="0" borderId="0" xfId="0" applyFont="1"/>
    <xf numFmtId="0" fontId="11" fillId="0" borderId="0" xfId="0" applyFont="1" applyAlignment="1">
      <alignment vertical="center"/>
    </xf>
    <xf numFmtId="0" fontId="0" fillId="0" borderId="0" xfId="0" applyAlignment="1">
      <alignment vertical="center"/>
    </xf>
    <xf numFmtId="0" fontId="19" fillId="0" borderId="0" xfId="0" applyFont="1" applyAlignment="1">
      <alignment vertical="center"/>
    </xf>
    <xf numFmtId="0" fontId="4" fillId="0" borderId="0" xfId="0" applyFont="1" applyAlignment="1">
      <alignment vertical="center"/>
    </xf>
    <xf numFmtId="49" fontId="11" fillId="0" borderId="0" xfId="0" applyNumberFormat="1" applyFont="1" applyAlignment="1">
      <alignment vertical="center" wrapText="1"/>
    </xf>
    <xf numFmtId="0" fontId="16" fillId="0" borderId="0" xfId="0" applyFont="1" applyAlignment="1">
      <alignment vertical="center"/>
    </xf>
    <xf numFmtId="0" fontId="16" fillId="0" borderId="0" xfId="0" applyFont="1" applyAlignment="1">
      <alignment horizontal="center" vertical="center"/>
    </xf>
    <xf numFmtId="0" fontId="17" fillId="0" borderId="0" xfId="0" applyFont="1" applyAlignment="1">
      <alignment horizontal="left" vertical="center"/>
    </xf>
    <xf numFmtId="0" fontId="7" fillId="0" borderId="0" xfId="0" applyFont="1" applyAlignment="1">
      <alignment horizontal="center" vertical="center"/>
    </xf>
    <xf numFmtId="0" fontId="4" fillId="0" borderId="0" xfId="0" applyFont="1" applyAlignment="1">
      <alignment horizontal="center" vertical="center"/>
    </xf>
    <xf numFmtId="0" fontId="4" fillId="0" borderId="0" xfId="0" quotePrefix="1" applyFont="1"/>
    <xf numFmtId="0" fontId="10" fillId="0" borderId="0" xfId="0" applyFont="1" applyAlignment="1">
      <alignment horizontal="center" vertical="center" wrapText="1"/>
    </xf>
    <xf numFmtId="44" fontId="0" fillId="0" borderId="0" xfId="0" applyNumberFormat="1" applyAlignment="1">
      <alignment horizontal="center"/>
    </xf>
    <xf numFmtId="0" fontId="0" fillId="0" borderId="0" xfId="0" applyAlignment="1">
      <alignment horizontal="center"/>
    </xf>
    <xf numFmtId="0" fontId="27" fillId="0" borderId="0" xfId="0" applyFont="1" applyAlignment="1">
      <alignment horizontal="center" vertical="center"/>
    </xf>
    <xf numFmtId="0" fontId="0" fillId="0" borderId="0" xfId="0" applyAlignment="1">
      <alignment horizontal="center" wrapText="1"/>
    </xf>
    <xf numFmtId="0" fontId="28" fillId="0" borderId="0" xfId="0" applyFont="1" applyAlignment="1">
      <alignment vertical="center"/>
    </xf>
    <xf numFmtId="0" fontId="29" fillId="25" borderId="0" xfId="0" applyFont="1" applyFill="1" applyAlignment="1">
      <alignment horizontal="center" vertical="center"/>
    </xf>
    <xf numFmtId="0" fontId="24" fillId="18" borderId="15" xfId="0" applyFont="1" applyFill="1" applyBorder="1" applyAlignment="1">
      <alignment horizontal="center" vertical="center"/>
    </xf>
    <xf numFmtId="0" fontId="27" fillId="0" borderId="16" xfId="0" applyFont="1" applyBorder="1" applyAlignment="1">
      <alignment horizontal="center" vertical="center"/>
    </xf>
    <xf numFmtId="0" fontId="24" fillId="0" borderId="0" xfId="0" applyFont="1" applyAlignment="1">
      <alignment horizontal="center" vertical="center"/>
    </xf>
    <xf numFmtId="0" fontId="0" fillId="0" borderId="0" xfId="0" applyAlignment="1">
      <alignment vertical="center" wrapText="1"/>
    </xf>
    <xf numFmtId="0" fontId="3" fillId="0" borderId="0" xfId="0" applyFont="1" applyAlignment="1">
      <alignment vertical="center" wrapText="1"/>
    </xf>
    <xf numFmtId="0" fontId="26" fillId="0" borderId="0" xfId="0" applyFont="1" applyAlignment="1">
      <alignment horizontal="center" vertical="center" wrapText="1"/>
    </xf>
    <xf numFmtId="0" fontId="0" fillId="12" borderId="5" xfId="0" applyFill="1" applyBorder="1" applyAlignment="1">
      <alignment horizontal="center" vertical="center" wrapText="1"/>
    </xf>
    <xf numFmtId="0" fontId="3" fillId="12" borderId="5" xfId="0" applyFont="1" applyFill="1" applyBorder="1" applyAlignment="1">
      <alignment horizontal="left" vertical="center" wrapText="1"/>
    </xf>
    <xf numFmtId="0" fontId="26" fillId="0" borderId="5" xfId="0" applyFont="1" applyBorder="1" applyAlignment="1">
      <alignment horizontal="center" vertical="center" wrapText="1"/>
    </xf>
    <xf numFmtId="0" fontId="3" fillId="12" borderId="5" xfId="0" applyFont="1" applyFill="1" applyBorder="1" applyAlignment="1">
      <alignment horizontal="center" vertical="center" wrapText="1"/>
    </xf>
    <xf numFmtId="0" fontId="0" fillId="12" borderId="5" xfId="0" applyFill="1" applyBorder="1" applyAlignment="1">
      <alignment vertical="center" wrapText="1"/>
    </xf>
    <xf numFmtId="44" fontId="0" fillId="0" borderId="0" xfId="0" applyNumberFormat="1" applyAlignment="1">
      <alignment horizontal="center" wrapText="1"/>
    </xf>
    <xf numFmtId="44" fontId="23" fillId="0" borderId="0" xfId="1" applyFont="1" applyFill="1" applyAlignment="1">
      <alignment vertical="center" wrapText="1"/>
    </xf>
    <xf numFmtId="0" fontId="0" fillId="12" borderId="5" xfId="0" applyFill="1" applyBorder="1" applyAlignment="1">
      <alignment horizontal="center" vertical="center"/>
    </xf>
    <xf numFmtId="0" fontId="3" fillId="12" borderId="5" xfId="0" applyFont="1" applyFill="1" applyBorder="1" applyAlignment="1">
      <alignment vertical="center"/>
    </xf>
    <xf numFmtId="0" fontId="26" fillId="0" borderId="5" xfId="0" applyFont="1" applyBorder="1" applyAlignment="1">
      <alignment horizontal="center" vertical="center"/>
    </xf>
    <xf numFmtId="0" fontId="3" fillId="12" borderId="5" xfId="0" applyFont="1" applyFill="1" applyBorder="1" applyAlignment="1">
      <alignment horizontal="center" vertical="center"/>
    </xf>
    <xf numFmtId="0" fontId="3" fillId="12" borderId="5" xfId="0" applyFont="1" applyFill="1" applyBorder="1" applyAlignment="1">
      <alignment vertical="center" wrapText="1"/>
    </xf>
    <xf numFmtId="0" fontId="30" fillId="12" borderId="5" xfId="0" applyFont="1" applyFill="1" applyBorder="1" applyAlignment="1">
      <alignment vertical="center" wrapText="1"/>
    </xf>
    <xf numFmtId="0" fontId="4" fillId="26" borderId="0" xfId="0" applyFont="1" applyFill="1" applyAlignment="1">
      <alignment wrapText="1"/>
    </xf>
    <xf numFmtId="0" fontId="24" fillId="27" borderId="0" xfId="0" applyFont="1" applyFill="1" applyAlignment="1">
      <alignment horizontal="center" vertical="center" wrapText="1"/>
    </xf>
    <xf numFmtId="0" fontId="27" fillId="0" borderId="0" xfId="0" applyFont="1" applyAlignment="1">
      <alignment horizontal="center" vertical="center" wrapText="1"/>
    </xf>
    <xf numFmtId="0" fontId="24" fillId="25" borderId="15" xfId="0" applyFont="1" applyFill="1" applyBorder="1" applyAlignment="1">
      <alignment horizontal="center" vertical="center" wrapText="1"/>
    </xf>
    <xf numFmtId="0" fontId="24" fillId="0" borderId="0" xfId="0" applyFont="1" applyAlignment="1">
      <alignment horizontal="center" vertical="center" wrapText="1"/>
    </xf>
    <xf numFmtId="0" fontId="0" fillId="0" borderId="0" xfId="0" applyAlignment="1">
      <alignment horizontal="center" vertical="center"/>
    </xf>
    <xf numFmtId="0" fontId="26" fillId="0" borderId="0" xfId="0" applyFont="1" applyAlignment="1">
      <alignment horizontal="center" vertical="center"/>
    </xf>
    <xf numFmtId="0" fontId="25" fillId="0" borderId="0" xfId="0" applyFont="1" applyAlignment="1">
      <alignment horizontal="center" vertical="center" wrapText="1"/>
    </xf>
    <xf numFmtId="0" fontId="27" fillId="0" borderId="5" xfId="0" applyFont="1" applyBorder="1" applyAlignment="1">
      <alignment horizontal="center" vertical="center"/>
    </xf>
    <xf numFmtId="44" fontId="23" fillId="0" borderId="0" xfId="1" applyFont="1" applyFill="1" applyBorder="1" applyAlignment="1">
      <alignment vertical="center" wrapText="1"/>
    </xf>
    <xf numFmtId="0" fontId="0" fillId="29" borderId="0" xfId="0" applyFill="1"/>
    <xf numFmtId="0" fontId="34" fillId="29" borderId="0" xfId="0" applyFont="1" applyFill="1" applyAlignment="1">
      <alignment vertical="center"/>
    </xf>
    <xf numFmtId="0" fontId="0" fillId="29" borderId="0" xfId="0" applyFill="1" applyAlignment="1">
      <alignment horizontal="center"/>
    </xf>
    <xf numFmtId="0" fontId="20" fillId="29" borderId="0" xfId="0" applyFont="1" applyFill="1" applyAlignment="1">
      <alignment vertical="center"/>
    </xf>
    <xf numFmtId="0" fontId="0" fillId="29" borderId="0" xfId="0" applyFill="1" applyAlignment="1">
      <alignment wrapText="1"/>
    </xf>
    <xf numFmtId="0" fontId="0" fillId="24" borderId="0" xfId="0" applyFill="1"/>
    <xf numFmtId="0" fontId="35" fillId="30" borderId="0" xfId="0" applyFont="1" applyFill="1"/>
    <xf numFmtId="0" fontId="5" fillId="30" borderId="0" xfId="0" applyFont="1" applyFill="1"/>
    <xf numFmtId="0" fontId="24" fillId="24" borderId="0" xfId="0" applyFont="1" applyFill="1" applyAlignment="1">
      <alignment vertical="center"/>
    </xf>
    <xf numFmtId="0" fontId="24" fillId="24" borderId="0" xfId="0" applyFont="1" applyFill="1" applyAlignment="1">
      <alignment horizontal="center" vertical="center"/>
    </xf>
    <xf numFmtId="0" fontId="0" fillId="12" borderId="0" xfId="0" applyFill="1" applyAlignment="1">
      <alignment horizontal="center" vertical="center" wrapText="1"/>
    </xf>
    <xf numFmtId="0" fontId="26" fillId="31" borderId="5" xfId="0" applyFont="1" applyFill="1" applyBorder="1" applyAlignment="1">
      <alignment horizontal="center" vertical="center" wrapText="1"/>
    </xf>
    <xf numFmtId="0" fontId="35" fillId="26" borderId="0" xfId="0" applyFont="1" applyFill="1" applyAlignment="1">
      <alignment wrapText="1"/>
    </xf>
    <xf numFmtId="0" fontId="6" fillId="0" borderId="0" xfId="0" applyFont="1" applyAlignment="1">
      <alignment horizontal="left" vertical="center"/>
    </xf>
    <xf numFmtId="0" fontId="33" fillId="0" borderId="0" xfId="0" applyFont="1" applyAlignment="1">
      <alignment vertical="center"/>
    </xf>
    <xf numFmtId="0" fontId="0" fillId="0" borderId="0" xfId="0" applyAlignment="1">
      <alignment horizontal="right"/>
    </xf>
    <xf numFmtId="164" fontId="0" fillId="0" borderId="0" xfId="0" applyNumberFormat="1"/>
    <xf numFmtId="0" fontId="20" fillId="29" borderId="0" xfId="0" applyFont="1" applyFill="1" applyAlignment="1">
      <alignment horizontal="center" vertical="center"/>
    </xf>
    <xf numFmtId="0" fontId="0" fillId="29" borderId="0" xfId="0" applyFill="1" applyAlignment="1">
      <alignment horizontal="center" wrapText="1"/>
    </xf>
    <xf numFmtId="0" fontId="37" fillId="0" borderId="0" xfId="0" applyFont="1"/>
    <xf numFmtId="0" fontId="0" fillId="0" borderId="18" xfId="0" applyBorder="1"/>
    <xf numFmtId="0" fontId="24" fillId="29" borderId="0" xfId="0" applyFont="1" applyFill="1" applyAlignment="1">
      <alignment horizontal="center" vertical="center"/>
    </xf>
    <xf numFmtId="0" fontId="0" fillId="0" borderId="0" xfId="0" applyAlignment="1">
      <alignment horizontal="center" vertical="center" wrapText="1"/>
    </xf>
    <xf numFmtId="0" fontId="3" fillId="0" borderId="0" xfId="0" applyFont="1" applyAlignment="1">
      <alignment horizontal="center" vertical="center" wrapText="1"/>
    </xf>
    <xf numFmtId="0" fontId="24" fillId="32" borderId="0" xfId="0" applyFont="1" applyFill="1" applyAlignment="1">
      <alignment horizontal="center" vertical="center"/>
    </xf>
    <xf numFmtId="0" fontId="30" fillId="12" borderId="5" xfId="0" applyFont="1" applyFill="1" applyBorder="1" applyAlignment="1">
      <alignment horizontal="center" wrapText="1"/>
    </xf>
    <xf numFmtId="165" fontId="0" fillId="0" borderId="0" xfId="0" applyNumberFormat="1" applyAlignment="1">
      <alignment horizontal="center" wrapText="1"/>
    </xf>
    <xf numFmtId="165" fontId="4" fillId="0" borderId="0" xfId="0" applyNumberFormat="1" applyFont="1" applyAlignment="1">
      <alignment horizontal="center" vertical="center" wrapText="1"/>
    </xf>
    <xf numFmtId="165" fontId="4" fillId="0" borderId="0" xfId="0" applyNumberFormat="1" applyFont="1" applyAlignment="1">
      <alignment wrapText="1"/>
    </xf>
    <xf numFmtId="0" fontId="0" fillId="6" borderId="0" xfId="0" applyFill="1" applyAlignment="1">
      <alignment horizontal="left" vertical="center"/>
    </xf>
    <xf numFmtId="0" fontId="4" fillId="6" borderId="0" xfId="0" applyFont="1" applyFill="1" applyAlignment="1">
      <alignment horizontal="left" vertical="center"/>
    </xf>
    <xf numFmtId="0" fontId="0" fillId="33" borderId="0" xfId="0" applyFill="1" applyAlignment="1">
      <alignment horizontal="center" wrapText="1"/>
    </xf>
    <xf numFmtId="2" fontId="20" fillId="0" borderId="0" xfId="0" applyNumberFormat="1" applyFont="1" applyAlignment="1">
      <alignment vertical="center" wrapText="1"/>
    </xf>
    <xf numFmtId="0" fontId="0" fillId="0" borderId="0" xfId="0" applyProtection="1">
      <protection locked="0"/>
    </xf>
    <xf numFmtId="0" fontId="4" fillId="5" borderId="5" xfId="0" applyFont="1" applyFill="1" applyBorder="1" applyAlignment="1" applyProtection="1">
      <alignment horizontal="center" vertical="center"/>
      <protection locked="0"/>
    </xf>
    <xf numFmtId="0" fontId="4" fillId="0" borderId="5" xfId="0" applyFont="1" applyBorder="1" applyProtection="1">
      <protection locked="0"/>
    </xf>
    <xf numFmtId="0" fontId="0" fillId="0" borderId="5" xfId="0" applyBorder="1"/>
    <xf numFmtId="0" fontId="0" fillId="0" borderId="5" xfId="0" quotePrefix="1" applyBorder="1"/>
    <xf numFmtId="0" fontId="4" fillId="0" borderId="5" xfId="0" applyFont="1" applyBorder="1"/>
    <xf numFmtId="0" fontId="0" fillId="0" borderId="5" xfId="0" applyBorder="1" applyAlignment="1">
      <alignment horizontal="left" vertical="center"/>
    </xf>
    <xf numFmtId="0" fontId="6" fillId="0" borderId="5" xfId="0" applyFont="1" applyBorder="1" applyAlignment="1">
      <alignment vertical="center"/>
    </xf>
    <xf numFmtId="0" fontId="6" fillId="0" borderId="6" xfId="0" applyFont="1" applyBorder="1" applyAlignment="1">
      <alignment horizontal="left" vertical="center"/>
    </xf>
    <xf numFmtId="0" fontId="6" fillId="0" borderId="3" xfId="0" applyFont="1" applyBorder="1" applyAlignment="1">
      <alignment vertical="center"/>
    </xf>
    <xf numFmtId="0" fontId="6" fillId="0" borderId="4" xfId="0" applyFont="1" applyBorder="1" applyAlignment="1">
      <alignment horizontal="left" vertical="center"/>
    </xf>
    <xf numFmtId="0" fontId="4" fillId="0" borderId="5" xfId="0" quotePrefix="1" applyFont="1" applyBorder="1"/>
    <xf numFmtId="0" fontId="33" fillId="0" borderId="5" xfId="0" applyFont="1" applyBorder="1" applyAlignment="1">
      <alignment vertical="center"/>
    </xf>
    <xf numFmtId="14" fontId="4" fillId="0" borderId="5" xfId="0" applyNumberFormat="1" applyFont="1" applyBorder="1" applyProtection="1">
      <protection locked="0"/>
    </xf>
    <xf numFmtId="0" fontId="16" fillId="7" borderId="5" xfId="0" applyFont="1" applyFill="1" applyBorder="1" applyAlignment="1" applyProtection="1">
      <alignment horizontal="center" vertical="center"/>
      <protection locked="0"/>
    </xf>
    <xf numFmtId="0" fontId="16" fillId="7" borderId="5" xfId="0" applyFont="1" applyFill="1" applyBorder="1" applyAlignment="1" applyProtection="1">
      <alignment vertical="center"/>
      <protection locked="0"/>
    </xf>
    <xf numFmtId="0" fontId="0" fillId="6" borderId="5" xfId="0" applyFill="1" applyBorder="1" applyAlignment="1">
      <alignment horizontal="left" vertical="center"/>
    </xf>
    <xf numFmtId="0" fontId="4" fillId="13" borderId="1" xfId="0" applyFont="1" applyFill="1" applyBorder="1" applyAlignment="1">
      <alignment vertical="center"/>
    </xf>
    <xf numFmtId="0" fontId="4" fillId="13" borderId="2" xfId="0" applyFont="1" applyFill="1" applyBorder="1" applyAlignment="1">
      <alignment vertical="center"/>
    </xf>
    <xf numFmtId="0" fontId="4" fillId="14" borderId="5" xfId="0" applyFont="1" applyFill="1" applyBorder="1" applyAlignment="1">
      <alignment vertical="center"/>
    </xf>
    <xf numFmtId="0" fontId="4" fillId="6" borderId="5" xfId="0" applyFont="1" applyFill="1" applyBorder="1" applyAlignment="1">
      <alignment horizontal="left" vertical="center"/>
    </xf>
    <xf numFmtId="0" fontId="4" fillId="15" borderId="1" xfId="0" applyFont="1" applyFill="1" applyBorder="1" applyAlignment="1">
      <alignment vertical="center"/>
    </xf>
    <xf numFmtId="0" fontId="4" fillId="15" borderId="2" xfId="0" applyFont="1" applyFill="1" applyBorder="1" applyAlignment="1">
      <alignment vertical="center"/>
    </xf>
    <xf numFmtId="0" fontId="4" fillId="15" borderId="6" xfId="0" applyFont="1" applyFill="1" applyBorder="1" applyAlignment="1">
      <alignment vertical="center"/>
    </xf>
    <xf numFmtId="0" fontId="4" fillId="5" borderId="5" xfId="0" applyFont="1" applyFill="1" applyBorder="1" applyAlignment="1">
      <alignment vertical="center"/>
    </xf>
    <xf numFmtId="0" fontId="4" fillId="0" borderId="0" xfId="0" applyFont="1" applyAlignment="1" applyProtection="1">
      <alignment vertical="center"/>
      <protection locked="0"/>
    </xf>
    <xf numFmtId="0" fontId="16" fillId="0" borderId="0" xfId="0" applyFont="1" applyAlignment="1" applyProtection="1">
      <alignment vertical="center"/>
      <protection locked="0"/>
    </xf>
    <xf numFmtId="0" fontId="4" fillId="16" borderId="1" xfId="0" applyFont="1" applyFill="1" applyBorder="1" applyAlignment="1">
      <alignment vertical="center"/>
    </xf>
    <xf numFmtId="0" fontId="4" fillId="16" borderId="2" xfId="0" applyFont="1" applyFill="1" applyBorder="1" applyAlignment="1">
      <alignment vertical="center"/>
    </xf>
    <xf numFmtId="0" fontId="4" fillId="16" borderId="6" xfId="0" applyFont="1" applyFill="1" applyBorder="1" applyAlignment="1">
      <alignment vertical="center"/>
    </xf>
    <xf numFmtId="0" fontId="4" fillId="17" borderId="5" xfId="0" applyFont="1" applyFill="1" applyBorder="1" applyAlignment="1">
      <alignment vertical="center"/>
    </xf>
    <xf numFmtId="0" fontId="4" fillId="20" borderId="1" xfId="0" applyFont="1" applyFill="1" applyBorder="1" applyAlignment="1">
      <alignment vertical="center"/>
    </xf>
    <xf numFmtId="0" fontId="4" fillId="20" borderId="2" xfId="0" applyFont="1" applyFill="1" applyBorder="1" applyAlignment="1">
      <alignment vertical="center"/>
    </xf>
    <xf numFmtId="0" fontId="4" fillId="20" borderId="6" xfId="0" applyFont="1" applyFill="1" applyBorder="1" applyAlignment="1">
      <alignment vertical="center"/>
    </xf>
    <xf numFmtId="0" fontId="4" fillId="21" borderId="5" xfId="0" applyFont="1" applyFill="1" applyBorder="1" applyAlignment="1">
      <alignment vertical="center"/>
    </xf>
    <xf numFmtId="0" fontId="4" fillId="11" borderId="1" xfId="0" applyFont="1" applyFill="1" applyBorder="1" applyAlignment="1">
      <alignment vertical="center"/>
    </xf>
    <xf numFmtId="0" fontId="4" fillId="11" borderId="2" xfId="0" applyFont="1" applyFill="1" applyBorder="1" applyAlignment="1">
      <alignment vertical="center"/>
    </xf>
    <xf numFmtId="0" fontId="4" fillId="11" borderId="6" xfId="0" applyFont="1" applyFill="1" applyBorder="1" applyAlignment="1">
      <alignment vertical="center"/>
    </xf>
    <xf numFmtId="0" fontId="4" fillId="12" borderId="5" xfId="0" applyFont="1" applyFill="1" applyBorder="1" applyAlignment="1">
      <alignment vertical="center"/>
    </xf>
    <xf numFmtId="0" fontId="4" fillId="22" borderId="1" xfId="0" applyFont="1" applyFill="1" applyBorder="1" applyAlignment="1">
      <alignment vertical="center"/>
    </xf>
    <xf numFmtId="0" fontId="4" fillId="22" borderId="2" xfId="0" applyFont="1" applyFill="1" applyBorder="1" applyAlignment="1">
      <alignment vertical="center"/>
    </xf>
    <xf numFmtId="0" fontId="4" fillId="22" borderId="6" xfId="0" applyFont="1" applyFill="1" applyBorder="1" applyAlignment="1">
      <alignment vertical="center"/>
    </xf>
    <xf numFmtId="0" fontId="4" fillId="23" borderId="5" xfId="0" applyFont="1" applyFill="1" applyBorder="1" applyAlignment="1">
      <alignment vertical="center"/>
    </xf>
    <xf numFmtId="0" fontId="4" fillId="24" borderId="1" xfId="0" applyFont="1" applyFill="1" applyBorder="1" applyAlignment="1">
      <alignment vertical="center"/>
    </xf>
    <xf numFmtId="0" fontId="4" fillId="24" borderId="2" xfId="0" applyFont="1" applyFill="1" applyBorder="1" applyAlignment="1">
      <alignment vertical="center"/>
    </xf>
    <xf numFmtId="0" fontId="4" fillId="24" borderId="6" xfId="0" applyFont="1" applyFill="1" applyBorder="1" applyAlignment="1">
      <alignment vertical="center"/>
    </xf>
    <xf numFmtId="0" fontId="4" fillId="18" borderId="1" xfId="0" applyFont="1" applyFill="1" applyBorder="1" applyAlignment="1">
      <alignment vertical="center"/>
    </xf>
    <xf numFmtId="0" fontId="4" fillId="18" borderId="2" xfId="0" applyFont="1" applyFill="1" applyBorder="1" applyAlignment="1">
      <alignment vertical="center"/>
    </xf>
    <xf numFmtId="0" fontId="4" fillId="18" borderId="6" xfId="0" applyFont="1" applyFill="1" applyBorder="1" applyAlignment="1">
      <alignment vertical="center"/>
    </xf>
    <xf numFmtId="0" fontId="4" fillId="19" borderId="5" xfId="0" applyFont="1" applyFill="1" applyBorder="1" applyAlignment="1">
      <alignment vertical="center"/>
    </xf>
    <xf numFmtId="0" fontId="4" fillId="0" borderId="14" xfId="0" applyFont="1" applyBorder="1" applyAlignment="1">
      <alignment vertical="center"/>
    </xf>
    <xf numFmtId="0" fontId="4" fillId="0" borderId="14" xfId="0" applyFont="1" applyBorder="1" applyAlignment="1">
      <alignment horizontal="center" vertical="center"/>
    </xf>
    <xf numFmtId="0" fontId="21" fillId="0" borderId="0" xfId="0" applyFont="1"/>
    <xf numFmtId="0" fontId="20" fillId="0" borderId="5" xfId="0" applyFont="1" applyBorder="1"/>
    <xf numFmtId="0" fontId="0" fillId="0" borderId="0" xfId="0" applyAlignment="1" applyProtection="1">
      <alignment vertical="center"/>
      <protection locked="0"/>
    </xf>
    <xf numFmtId="0" fontId="20" fillId="0" borderId="0" xfId="0" applyFont="1" applyAlignment="1" applyProtection="1">
      <alignment horizontal="center" vertical="center"/>
      <protection locked="0"/>
    </xf>
    <xf numFmtId="2" fontId="16" fillId="7" borderId="5" xfId="0" applyNumberFormat="1" applyFont="1" applyFill="1" applyBorder="1" applyAlignment="1" applyProtection="1">
      <alignment vertical="center"/>
      <protection locked="0"/>
    </xf>
    <xf numFmtId="0" fontId="4" fillId="23" borderId="3" xfId="0" applyFont="1" applyFill="1" applyBorder="1" applyAlignment="1">
      <alignment vertical="center"/>
    </xf>
    <xf numFmtId="0" fontId="4" fillId="14" borderId="3" xfId="0" applyFont="1" applyFill="1" applyBorder="1" applyAlignment="1">
      <alignment vertical="center"/>
    </xf>
    <xf numFmtId="0" fontId="4" fillId="29" borderId="0" xfId="0" applyFont="1" applyFill="1"/>
    <xf numFmtId="0" fontId="4" fillId="29" borderId="0" xfId="0" applyFont="1" applyFill="1" applyAlignment="1">
      <alignment horizontal="center"/>
    </xf>
    <xf numFmtId="0" fontId="4" fillId="29" borderId="0" xfId="0" applyFont="1" applyFill="1" applyAlignment="1">
      <alignment wrapText="1"/>
    </xf>
    <xf numFmtId="0" fontId="4" fillId="29" borderId="0" xfId="0" applyFont="1" applyFill="1" applyAlignment="1">
      <alignment horizontal="center" wrapText="1"/>
    </xf>
    <xf numFmtId="0" fontId="16" fillId="29" borderId="0" xfId="0" applyFont="1" applyFill="1" applyAlignment="1">
      <alignment horizontal="center" vertical="center"/>
    </xf>
    <xf numFmtId="0" fontId="4" fillId="29" borderId="0" xfId="0" applyFont="1" applyFill="1" applyAlignment="1">
      <alignment horizontal="right" wrapText="1"/>
    </xf>
    <xf numFmtId="0" fontId="16" fillId="29" borderId="0" xfId="0" applyFont="1" applyFill="1" applyAlignment="1">
      <alignment vertical="center"/>
    </xf>
    <xf numFmtId="0" fontId="16" fillId="29" borderId="0" xfId="0" applyFont="1" applyFill="1" applyAlignment="1">
      <alignment horizontal="center"/>
    </xf>
    <xf numFmtId="0" fontId="11"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19" fillId="9" borderId="13" xfId="0" applyFont="1" applyFill="1" applyBorder="1" applyAlignment="1">
      <alignment horizontal="left" vertical="center"/>
    </xf>
    <xf numFmtId="0" fontId="7" fillId="3" borderId="3" xfId="0" applyFont="1" applyFill="1" applyBorder="1" applyAlignment="1">
      <alignment horizontal="left" vertical="center"/>
    </xf>
    <xf numFmtId="0" fontId="0" fillId="0" borderId="5" xfId="0" applyBorder="1" applyAlignment="1">
      <alignment horizontal="left"/>
    </xf>
    <xf numFmtId="0" fontId="20" fillId="0" borderId="0" xfId="0" applyFont="1" applyAlignment="1">
      <alignment vertical="center"/>
    </xf>
    <xf numFmtId="0" fontId="17" fillId="8" borderId="10" xfId="0" applyFont="1" applyFill="1" applyBorder="1" applyAlignment="1">
      <alignment vertical="center"/>
    </xf>
    <xf numFmtId="0" fontId="17" fillId="8" borderId="11" xfId="0" applyFont="1" applyFill="1" applyBorder="1" applyAlignment="1">
      <alignment vertical="center"/>
    </xf>
    <xf numFmtId="0" fontId="4" fillId="15" borderId="17" xfId="0" applyFont="1" applyFill="1" applyBorder="1" applyAlignment="1">
      <alignment vertical="center"/>
    </xf>
    <xf numFmtId="1" fontId="0" fillId="0" borderId="0" xfId="0" applyNumberFormat="1" applyAlignment="1">
      <alignment horizontal="center" wrapText="1"/>
    </xf>
    <xf numFmtId="0" fontId="20" fillId="0" borderId="0" xfId="0" applyFont="1"/>
    <xf numFmtId="0" fontId="19" fillId="9" borderId="0" xfId="0" applyFont="1" applyFill="1" applyAlignment="1">
      <alignment horizontal="left" vertical="center"/>
    </xf>
    <xf numFmtId="0" fontId="5" fillId="4" borderId="9" xfId="0" applyFont="1" applyFill="1" applyBorder="1" applyAlignment="1" applyProtection="1">
      <alignment vertical="center"/>
      <protection locked="0"/>
    </xf>
    <xf numFmtId="0" fontId="6" fillId="0" borderId="6" xfId="0" applyFont="1" applyBorder="1" applyAlignment="1" applyProtection="1">
      <alignment horizontal="right" vertical="center"/>
      <protection locked="0"/>
    </xf>
    <xf numFmtId="0" fontId="0" fillId="6" borderId="19" xfId="0" applyFill="1" applyBorder="1" applyAlignment="1">
      <alignment horizontal="left" vertical="center"/>
    </xf>
    <xf numFmtId="0" fontId="20" fillId="33" borderId="0" xfId="0" applyFont="1" applyFill="1" applyAlignment="1">
      <alignment vertical="center" wrapText="1"/>
    </xf>
    <xf numFmtId="2" fontId="20" fillId="33" borderId="0" xfId="0" applyNumberFormat="1" applyFont="1" applyFill="1" applyAlignment="1">
      <alignment vertical="center" wrapText="1"/>
    </xf>
    <xf numFmtId="0" fontId="3" fillId="33" borderId="0" xfId="0" applyFont="1" applyFill="1" applyAlignment="1">
      <alignment vertical="center"/>
    </xf>
    <xf numFmtId="0" fontId="0" fillId="33" borderId="0" xfId="0" applyFill="1" applyAlignment="1">
      <alignment horizontal="center" vertical="center" wrapText="1"/>
    </xf>
    <xf numFmtId="0" fontId="40" fillId="0" borderId="0" xfId="0" applyFont="1" applyAlignment="1">
      <alignment horizontal="center" vertical="center" wrapText="1"/>
    </xf>
    <xf numFmtId="0" fontId="3" fillId="12" borderId="0" xfId="0" applyFont="1" applyFill="1" applyAlignment="1">
      <alignment horizontal="center" vertical="center" wrapText="1"/>
    </xf>
    <xf numFmtId="0" fontId="30" fillId="12" borderId="0" xfId="0" applyFont="1" applyFill="1" applyAlignment="1">
      <alignment horizontal="center" wrapText="1"/>
    </xf>
    <xf numFmtId="0" fontId="3" fillId="12" borderId="0" xfId="0" applyFont="1" applyFill="1" applyAlignment="1">
      <alignment horizontal="center" vertical="center"/>
    </xf>
    <xf numFmtId="0" fontId="0" fillId="12" borderId="0" xfId="0" applyFill="1" applyAlignment="1">
      <alignment horizontal="center" vertical="center"/>
    </xf>
    <xf numFmtId="0" fontId="9" fillId="4" borderId="1"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4" xfId="0" applyFont="1" applyBorder="1" applyAlignment="1">
      <alignment horizontal="left" vertical="top" wrapText="1"/>
    </xf>
    <xf numFmtId="0" fontId="9" fillId="4" borderId="5"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5" fillId="4" borderId="9" xfId="0" applyFont="1" applyFill="1" applyBorder="1" applyAlignment="1" applyProtection="1">
      <alignment horizontal="center" vertical="center"/>
      <protection locked="0"/>
    </xf>
    <xf numFmtId="0" fontId="5" fillId="4" borderId="4" xfId="0" applyFont="1" applyFill="1" applyBorder="1" applyAlignment="1" applyProtection="1">
      <alignment horizontal="center" vertical="center"/>
      <protection locked="0"/>
    </xf>
    <xf numFmtId="0" fontId="18" fillId="2" borderId="1" xfId="0" applyFont="1" applyFill="1" applyBorder="1" applyAlignment="1" applyProtection="1">
      <alignment horizontal="center" vertical="center"/>
      <protection locked="0"/>
    </xf>
    <xf numFmtId="0" fontId="18" fillId="2" borderId="12" xfId="0" applyFont="1" applyFill="1" applyBorder="1" applyAlignment="1" applyProtection="1">
      <alignment horizontal="center" vertical="center"/>
      <protection locked="0"/>
    </xf>
    <xf numFmtId="0" fontId="15" fillId="0" borderId="5" xfId="0" applyFont="1" applyBorder="1" applyAlignment="1" applyProtection="1">
      <alignment horizontal="center" vertical="center"/>
      <protection locked="0"/>
    </xf>
    <xf numFmtId="0" fontId="20" fillId="7" borderId="1" xfId="0" applyFont="1" applyFill="1" applyBorder="1" applyAlignment="1" applyProtection="1">
      <alignment horizontal="left" vertical="center"/>
      <protection locked="0"/>
    </xf>
    <xf numFmtId="0" fontId="20" fillId="7" borderId="6" xfId="0" applyFont="1" applyFill="1" applyBorder="1" applyAlignment="1" applyProtection="1">
      <alignment horizontal="left" vertical="center"/>
      <protection locked="0"/>
    </xf>
    <xf numFmtId="0" fontId="15" fillId="0" borderId="5" xfId="0" applyFont="1" applyBorder="1" applyAlignment="1">
      <alignment horizontal="center" vertical="center"/>
    </xf>
    <xf numFmtId="0" fontId="17" fillId="8" borderId="10" xfId="0" applyFont="1" applyFill="1" applyBorder="1" applyAlignment="1">
      <alignment horizontal="left" vertical="center"/>
    </xf>
    <xf numFmtId="0" fontId="17" fillId="8" borderId="11" xfId="0" applyFont="1" applyFill="1" applyBorder="1" applyAlignment="1">
      <alignment horizontal="left" vertical="center"/>
    </xf>
    <xf numFmtId="0" fontId="16" fillId="10" borderId="1" xfId="0" applyFont="1" applyFill="1" applyBorder="1" applyAlignment="1" applyProtection="1">
      <alignment horizontal="center" vertical="center"/>
      <protection locked="0"/>
    </xf>
    <xf numFmtId="0" fontId="16" fillId="10" borderId="6" xfId="0" applyFont="1" applyFill="1" applyBorder="1" applyAlignment="1" applyProtection="1">
      <alignment horizontal="center" vertical="center"/>
      <protection locked="0"/>
    </xf>
    <xf numFmtId="0" fontId="4" fillId="15" borderId="9" xfId="0" applyFont="1" applyFill="1" applyBorder="1" applyAlignment="1">
      <alignment horizontal="left" vertical="center"/>
    </xf>
    <xf numFmtId="0" fontId="4" fillId="15" borderId="17" xfId="0" applyFont="1" applyFill="1" applyBorder="1" applyAlignment="1">
      <alignment horizontal="left" vertical="center"/>
    </xf>
    <xf numFmtId="0" fontId="24" fillId="28" borderId="15" xfId="0" applyFont="1" applyFill="1" applyBorder="1" applyAlignment="1">
      <alignment horizontal="center" vertical="center"/>
    </xf>
  </cellXfs>
  <cellStyles count="2">
    <cellStyle name="Currency" xfId="1" builtinId="4"/>
    <cellStyle name="Normal" xfId="0" builtinId="0"/>
  </cellStyles>
  <dxfs count="156">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colors>
    <mruColors>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7</xdr:col>
      <xdr:colOff>646234</xdr:colOff>
      <xdr:row>0</xdr:row>
      <xdr:rowOff>0</xdr:rowOff>
    </xdr:from>
    <xdr:ext cx="65" cy="172227"/>
    <xdr:sp macro="" textlink="">
      <xdr:nvSpPr>
        <xdr:cNvPr id="3" name="CasellaDiTesto 2">
          <a:extLst>
            <a:ext uri="{FF2B5EF4-FFF2-40B4-BE49-F238E27FC236}">
              <a16:creationId xmlns:a16="http://schemas.microsoft.com/office/drawing/2014/main" id="{FB06C884-F87D-724A-A84B-55557E7F0A33}"/>
            </a:ext>
          </a:extLst>
        </xdr:cNvPr>
        <xdr:cNvSpPr txBox="1"/>
      </xdr:nvSpPr>
      <xdr:spPr>
        <a:xfrm>
          <a:off x="12101634" y="1485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13</xdr:col>
      <xdr:colOff>646234</xdr:colOff>
      <xdr:row>0</xdr:row>
      <xdr:rowOff>0</xdr:rowOff>
    </xdr:from>
    <xdr:ext cx="65" cy="172227"/>
    <xdr:sp macro="" textlink="">
      <xdr:nvSpPr>
        <xdr:cNvPr id="4" name="CasellaDiTesto 3">
          <a:extLst>
            <a:ext uri="{FF2B5EF4-FFF2-40B4-BE49-F238E27FC236}">
              <a16:creationId xmlns:a16="http://schemas.microsoft.com/office/drawing/2014/main" id="{0F897454-AB24-DE41-B8B4-1C4AC279864F}"/>
            </a:ext>
          </a:extLst>
        </xdr:cNvPr>
        <xdr:cNvSpPr txBox="1"/>
      </xdr:nvSpPr>
      <xdr:spPr>
        <a:xfrm>
          <a:off x="22909334" y="10566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7</xdr:col>
      <xdr:colOff>646234</xdr:colOff>
      <xdr:row>0</xdr:row>
      <xdr:rowOff>0</xdr:rowOff>
    </xdr:from>
    <xdr:ext cx="65" cy="172227"/>
    <xdr:sp macro="" textlink="">
      <xdr:nvSpPr>
        <xdr:cNvPr id="6" name="CasellaDiTesto 5">
          <a:extLst>
            <a:ext uri="{FF2B5EF4-FFF2-40B4-BE49-F238E27FC236}">
              <a16:creationId xmlns:a16="http://schemas.microsoft.com/office/drawing/2014/main" id="{5D858BFB-E40D-E642-A773-5E654BF00019}"/>
            </a:ext>
          </a:extLst>
        </xdr:cNvPr>
        <xdr:cNvSpPr txBox="1"/>
      </xdr:nvSpPr>
      <xdr:spPr>
        <a:xfrm>
          <a:off x="12101634" y="2501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xdr:col>
      <xdr:colOff>646234</xdr:colOff>
      <xdr:row>50</xdr:row>
      <xdr:rowOff>0</xdr:rowOff>
    </xdr:from>
    <xdr:ext cx="65" cy="172227"/>
    <xdr:sp macro="" textlink="">
      <xdr:nvSpPr>
        <xdr:cNvPr id="2" name="CasellaDiTesto 1">
          <a:extLst>
            <a:ext uri="{FF2B5EF4-FFF2-40B4-BE49-F238E27FC236}">
              <a16:creationId xmlns:a16="http://schemas.microsoft.com/office/drawing/2014/main" id="{A24352EE-E47D-C540-A0B5-C24FF3F2AF4F}"/>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13</xdr:col>
      <xdr:colOff>646234</xdr:colOff>
      <xdr:row>50</xdr:row>
      <xdr:rowOff>0</xdr:rowOff>
    </xdr:from>
    <xdr:ext cx="65" cy="172227"/>
    <xdr:sp macro="" textlink="">
      <xdr:nvSpPr>
        <xdr:cNvPr id="3" name="CasellaDiTesto 2">
          <a:extLst>
            <a:ext uri="{FF2B5EF4-FFF2-40B4-BE49-F238E27FC236}">
              <a16:creationId xmlns:a16="http://schemas.microsoft.com/office/drawing/2014/main" id="{53C98242-1EEB-1F41-8FF8-A199EDFA5D44}"/>
            </a:ext>
          </a:extLst>
        </xdr:cNvPr>
        <xdr:cNvSpPr txBox="1"/>
      </xdr:nvSpPr>
      <xdr:spPr>
        <a:xfrm>
          <a:off x="262240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7</xdr:col>
      <xdr:colOff>646234</xdr:colOff>
      <xdr:row>50</xdr:row>
      <xdr:rowOff>0</xdr:rowOff>
    </xdr:from>
    <xdr:ext cx="65" cy="172227"/>
    <xdr:sp macro="" textlink="">
      <xdr:nvSpPr>
        <xdr:cNvPr id="4" name="CasellaDiTesto 3">
          <a:extLst>
            <a:ext uri="{FF2B5EF4-FFF2-40B4-BE49-F238E27FC236}">
              <a16:creationId xmlns:a16="http://schemas.microsoft.com/office/drawing/2014/main" id="{7C1E56A9-6250-F84B-8899-9CEFAFB39AEF}"/>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6</xdr:col>
      <xdr:colOff>0</xdr:colOff>
      <xdr:row>27</xdr:row>
      <xdr:rowOff>0</xdr:rowOff>
    </xdr:from>
    <xdr:ext cx="65" cy="172227"/>
    <xdr:sp macro="" textlink="">
      <xdr:nvSpPr>
        <xdr:cNvPr id="2" name="CasellaDiTesto 1">
          <a:extLst>
            <a:ext uri="{FF2B5EF4-FFF2-40B4-BE49-F238E27FC236}">
              <a16:creationId xmlns:a16="http://schemas.microsoft.com/office/drawing/2014/main" id="{2CA2E9E3-76BE-3445-8F0D-FE6991139BF0}"/>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7</xdr:col>
      <xdr:colOff>646234</xdr:colOff>
      <xdr:row>27</xdr:row>
      <xdr:rowOff>0</xdr:rowOff>
    </xdr:from>
    <xdr:ext cx="65" cy="172227"/>
    <xdr:sp macro="" textlink="">
      <xdr:nvSpPr>
        <xdr:cNvPr id="3" name="CasellaDiTesto 2">
          <a:extLst>
            <a:ext uri="{FF2B5EF4-FFF2-40B4-BE49-F238E27FC236}">
              <a16:creationId xmlns:a16="http://schemas.microsoft.com/office/drawing/2014/main" id="{635BA367-A770-7D49-941B-5044EBE6AA8B}"/>
            </a:ext>
          </a:extLst>
        </xdr:cNvPr>
        <xdr:cNvSpPr txBox="1"/>
      </xdr:nvSpPr>
      <xdr:spPr>
        <a:xfrm>
          <a:off x="262240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6</xdr:col>
      <xdr:colOff>0</xdr:colOff>
      <xdr:row>27</xdr:row>
      <xdr:rowOff>0</xdr:rowOff>
    </xdr:from>
    <xdr:ext cx="65" cy="172227"/>
    <xdr:sp macro="" textlink="">
      <xdr:nvSpPr>
        <xdr:cNvPr id="4" name="CasellaDiTesto 3">
          <a:extLst>
            <a:ext uri="{FF2B5EF4-FFF2-40B4-BE49-F238E27FC236}">
              <a16:creationId xmlns:a16="http://schemas.microsoft.com/office/drawing/2014/main" id="{71E51610-1403-3D45-8EB5-4E0D059948C0}"/>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7</xdr:col>
      <xdr:colOff>646234</xdr:colOff>
      <xdr:row>68</xdr:row>
      <xdr:rowOff>0</xdr:rowOff>
    </xdr:from>
    <xdr:ext cx="65" cy="172227"/>
    <xdr:sp macro="" textlink="">
      <xdr:nvSpPr>
        <xdr:cNvPr id="2" name="CasellaDiTesto 1">
          <a:extLst>
            <a:ext uri="{FF2B5EF4-FFF2-40B4-BE49-F238E27FC236}">
              <a16:creationId xmlns:a16="http://schemas.microsoft.com/office/drawing/2014/main" id="{F8A5BB21-D545-3243-A59E-C5A642B9C208}"/>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13</xdr:col>
      <xdr:colOff>646234</xdr:colOff>
      <xdr:row>68</xdr:row>
      <xdr:rowOff>0</xdr:rowOff>
    </xdr:from>
    <xdr:ext cx="65" cy="172227"/>
    <xdr:sp macro="" textlink="">
      <xdr:nvSpPr>
        <xdr:cNvPr id="3" name="CasellaDiTesto 2">
          <a:extLst>
            <a:ext uri="{FF2B5EF4-FFF2-40B4-BE49-F238E27FC236}">
              <a16:creationId xmlns:a16="http://schemas.microsoft.com/office/drawing/2014/main" id="{006149BE-FD6E-8241-A9DC-A0554F6E0630}"/>
            </a:ext>
          </a:extLst>
        </xdr:cNvPr>
        <xdr:cNvSpPr txBox="1"/>
      </xdr:nvSpPr>
      <xdr:spPr>
        <a:xfrm>
          <a:off x="262240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7</xdr:col>
      <xdr:colOff>646234</xdr:colOff>
      <xdr:row>68</xdr:row>
      <xdr:rowOff>0</xdr:rowOff>
    </xdr:from>
    <xdr:ext cx="65" cy="172227"/>
    <xdr:sp macro="" textlink="">
      <xdr:nvSpPr>
        <xdr:cNvPr id="4" name="CasellaDiTesto 3">
          <a:extLst>
            <a:ext uri="{FF2B5EF4-FFF2-40B4-BE49-F238E27FC236}">
              <a16:creationId xmlns:a16="http://schemas.microsoft.com/office/drawing/2014/main" id="{5EDF543B-A34C-0F43-9BA1-DF1E4858206E}"/>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6</xdr:col>
      <xdr:colOff>0</xdr:colOff>
      <xdr:row>27</xdr:row>
      <xdr:rowOff>0</xdr:rowOff>
    </xdr:from>
    <xdr:ext cx="65" cy="172227"/>
    <xdr:sp macro="" textlink="">
      <xdr:nvSpPr>
        <xdr:cNvPr id="5" name="CasellaDiTesto 1">
          <a:extLst>
            <a:ext uri="{FF2B5EF4-FFF2-40B4-BE49-F238E27FC236}">
              <a16:creationId xmlns:a16="http://schemas.microsoft.com/office/drawing/2014/main" id="{ED438895-BED9-4C1F-8807-19FA71CF131E}"/>
            </a:ext>
          </a:extLst>
        </xdr:cNvPr>
        <xdr:cNvSpPr txBox="1"/>
      </xdr:nvSpPr>
      <xdr:spPr>
        <a:xfrm>
          <a:off x="11887200" y="7324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6</xdr:col>
      <xdr:colOff>0</xdr:colOff>
      <xdr:row>27</xdr:row>
      <xdr:rowOff>0</xdr:rowOff>
    </xdr:from>
    <xdr:ext cx="65" cy="172227"/>
    <xdr:sp macro="" textlink="">
      <xdr:nvSpPr>
        <xdr:cNvPr id="6" name="CasellaDiTesto 3">
          <a:extLst>
            <a:ext uri="{FF2B5EF4-FFF2-40B4-BE49-F238E27FC236}">
              <a16:creationId xmlns:a16="http://schemas.microsoft.com/office/drawing/2014/main" id="{A8BD8C3C-AE1B-4021-8D12-9D9E4ECDF775}"/>
            </a:ext>
          </a:extLst>
        </xdr:cNvPr>
        <xdr:cNvSpPr txBox="1"/>
      </xdr:nvSpPr>
      <xdr:spPr>
        <a:xfrm>
          <a:off x="11887200" y="7324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11</xdr:col>
      <xdr:colOff>646234</xdr:colOff>
      <xdr:row>0</xdr:row>
      <xdr:rowOff>0</xdr:rowOff>
    </xdr:from>
    <xdr:ext cx="65" cy="172227"/>
    <xdr:sp macro="" textlink="">
      <xdr:nvSpPr>
        <xdr:cNvPr id="2" name="CasellaDiTesto 1">
          <a:extLst>
            <a:ext uri="{FF2B5EF4-FFF2-40B4-BE49-F238E27FC236}">
              <a16:creationId xmlns:a16="http://schemas.microsoft.com/office/drawing/2014/main" id="{4FF86B18-0B85-714A-B8F1-51BEEBE6A7BF}"/>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17</xdr:col>
      <xdr:colOff>646234</xdr:colOff>
      <xdr:row>0</xdr:row>
      <xdr:rowOff>0</xdr:rowOff>
    </xdr:from>
    <xdr:ext cx="65" cy="172227"/>
    <xdr:sp macro="" textlink="">
      <xdr:nvSpPr>
        <xdr:cNvPr id="3" name="CasellaDiTesto 2">
          <a:extLst>
            <a:ext uri="{FF2B5EF4-FFF2-40B4-BE49-F238E27FC236}">
              <a16:creationId xmlns:a16="http://schemas.microsoft.com/office/drawing/2014/main" id="{E08F0D6D-CD94-6F4D-9699-A6182762C16E}"/>
            </a:ext>
          </a:extLst>
        </xdr:cNvPr>
        <xdr:cNvSpPr txBox="1"/>
      </xdr:nvSpPr>
      <xdr:spPr>
        <a:xfrm>
          <a:off x="262240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oneCellAnchor>
    <xdr:from>
      <xdr:col>11</xdr:col>
      <xdr:colOff>646234</xdr:colOff>
      <xdr:row>0</xdr:row>
      <xdr:rowOff>0</xdr:rowOff>
    </xdr:from>
    <xdr:ext cx="65" cy="172227"/>
    <xdr:sp macro="" textlink="">
      <xdr:nvSpPr>
        <xdr:cNvPr id="4" name="CasellaDiTesto 3">
          <a:extLst>
            <a:ext uri="{FF2B5EF4-FFF2-40B4-BE49-F238E27FC236}">
              <a16:creationId xmlns:a16="http://schemas.microsoft.com/office/drawing/2014/main" id="{CB172537-BCC0-BA4B-A452-6D33E9691646}"/>
            </a:ext>
          </a:extLst>
        </xdr:cNvPr>
        <xdr:cNvSpPr txBox="1"/>
      </xdr:nvSpPr>
      <xdr:spPr>
        <a:xfrm>
          <a:off x="15009934" y="58026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it-IT"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34C6-CD51-2B44-A0A0-0FAD4E609A56}">
  <sheetPr codeName="F____1"/>
  <dimension ref="B2:C27"/>
  <sheetViews>
    <sheetView zoomScale="57" workbookViewId="0">
      <selection activeCell="C8" sqref="C8"/>
    </sheetView>
  </sheetViews>
  <sheetFormatPr defaultColWidth="11.125" defaultRowHeight="15.75"/>
  <cols>
    <col min="1" max="1" width="3.875" customWidth="1"/>
    <col min="2" max="2" width="40.125" customWidth="1"/>
    <col min="3" max="3" width="98.375" customWidth="1"/>
  </cols>
  <sheetData>
    <row r="2" spans="2:3">
      <c r="B2" s="180" t="s">
        <v>58</v>
      </c>
      <c r="C2" s="181"/>
    </row>
    <row r="3" spans="2:3" ht="260.10000000000002" customHeight="1">
      <c r="B3" s="182" t="s">
        <v>633</v>
      </c>
      <c r="C3" s="183"/>
    </row>
    <row r="4" spans="2:3" ht="185.1" customHeight="1">
      <c r="B4" s="184"/>
      <c r="C4" s="185"/>
    </row>
    <row r="5" spans="2:3" ht="15.95" customHeight="1">
      <c r="B5" s="180" t="s">
        <v>59</v>
      </c>
      <c r="C5" s="181"/>
    </row>
    <row r="6" spans="2:3">
      <c r="B6" s="156" t="s">
        <v>60</v>
      </c>
      <c r="C6" s="157" t="s">
        <v>61</v>
      </c>
    </row>
    <row r="7" spans="2:3">
      <c r="B7" s="157" t="s">
        <v>54</v>
      </c>
      <c r="C7" s="157" t="s">
        <v>62</v>
      </c>
    </row>
    <row r="8" spans="2:3" ht="18">
      <c r="B8" s="157" t="s">
        <v>63</v>
      </c>
      <c r="C8" s="157" t="s">
        <v>64</v>
      </c>
    </row>
    <row r="9" spans="2:3" ht="18">
      <c r="B9" s="157" t="s">
        <v>65</v>
      </c>
      <c r="C9" s="157" t="s">
        <v>66</v>
      </c>
    </row>
    <row r="10" spans="2:3">
      <c r="B10" s="157" t="s">
        <v>67</v>
      </c>
      <c r="C10" s="157" t="s">
        <v>68</v>
      </c>
    </row>
    <row r="11" spans="2:3">
      <c r="B11" s="157" t="s">
        <v>69</v>
      </c>
      <c r="C11" s="157" t="s">
        <v>70</v>
      </c>
    </row>
    <row r="12" spans="2:3">
      <c r="B12" s="157" t="s">
        <v>71</v>
      </c>
      <c r="C12" s="157" t="s">
        <v>72</v>
      </c>
    </row>
    <row r="13" spans="2:3">
      <c r="B13" s="157" t="s">
        <v>73</v>
      </c>
      <c r="C13" s="157" t="s">
        <v>74</v>
      </c>
    </row>
    <row r="14" spans="2:3">
      <c r="B14" s="157" t="s">
        <v>75</v>
      </c>
      <c r="C14" s="157" t="s">
        <v>76</v>
      </c>
    </row>
    <row r="15" spans="2:3">
      <c r="B15" s="157" t="s">
        <v>77</v>
      </c>
      <c r="C15" s="157" t="s">
        <v>78</v>
      </c>
    </row>
    <row r="16" spans="2:3">
      <c r="B16" s="157" t="s">
        <v>79</v>
      </c>
      <c r="C16" s="157" t="s">
        <v>80</v>
      </c>
    </row>
    <row r="17" spans="2:3">
      <c r="B17" s="157" t="s">
        <v>81</v>
      </c>
      <c r="C17" s="157" t="s">
        <v>82</v>
      </c>
    </row>
    <row r="18" spans="2:3">
      <c r="B18" s="157" t="s">
        <v>83</v>
      </c>
      <c r="C18" s="157" t="s">
        <v>84</v>
      </c>
    </row>
    <row r="19" spans="2:3">
      <c r="B19" s="157" t="s">
        <v>85</v>
      </c>
      <c r="C19" s="157" t="s">
        <v>86</v>
      </c>
    </row>
    <row r="20" spans="2:3" ht="18">
      <c r="B20" s="157" t="s">
        <v>87</v>
      </c>
      <c r="C20" s="157" t="s">
        <v>88</v>
      </c>
    </row>
    <row r="21" spans="2:3" ht="18">
      <c r="B21" s="157" t="s">
        <v>89</v>
      </c>
      <c r="C21" s="157" t="s">
        <v>90</v>
      </c>
    </row>
    <row r="22" spans="2:3">
      <c r="B22" s="157" t="s">
        <v>91</v>
      </c>
      <c r="C22" s="157" t="s">
        <v>92</v>
      </c>
    </row>
    <row r="23" spans="2:3">
      <c r="B23" s="157" t="s">
        <v>93</v>
      </c>
      <c r="C23" s="157" t="s">
        <v>94</v>
      </c>
    </row>
    <row r="24" spans="2:3">
      <c r="B24" s="157" t="s">
        <v>95</v>
      </c>
      <c r="C24" s="157" t="s">
        <v>96</v>
      </c>
    </row>
    <row r="25" spans="2:3">
      <c r="B25" s="157" t="s">
        <v>97</v>
      </c>
      <c r="C25" s="157" t="s">
        <v>98</v>
      </c>
    </row>
    <row r="26" spans="2:3">
      <c r="B26" s="157" t="s">
        <v>99</v>
      </c>
      <c r="C26" s="157" t="s">
        <v>100</v>
      </c>
    </row>
    <row r="27" spans="2:3">
      <c r="B27" s="157" t="s">
        <v>55</v>
      </c>
      <c r="C27" s="157" t="s">
        <v>101</v>
      </c>
    </row>
  </sheetData>
  <sheetProtection selectLockedCells="1"/>
  <mergeCells count="3">
    <mergeCell ref="B2:C2"/>
    <mergeCell ref="B3:C4"/>
    <mergeCell ref="B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4CF82-C2C2-5142-A475-956F27F74C35}">
  <sheetPr codeName="F____2"/>
  <dimension ref="A2:H130"/>
  <sheetViews>
    <sheetView zoomScale="85" zoomScaleNormal="85" workbookViewId="0"/>
  </sheetViews>
  <sheetFormatPr defaultColWidth="11.125" defaultRowHeight="15.75"/>
  <cols>
    <col min="1" max="1" width="25.25" customWidth="1"/>
    <col min="2" max="2" width="41.375" customWidth="1"/>
    <col min="3" max="3" width="76.375" customWidth="1"/>
    <col min="4" max="4" width="25.25" customWidth="1"/>
    <col min="5" max="5" width="70.125" bestFit="1" customWidth="1"/>
    <col min="6" max="6" width="14.5" customWidth="1"/>
    <col min="7" max="7" width="9.875" customWidth="1"/>
    <col min="8" max="8" width="40.375" customWidth="1"/>
  </cols>
  <sheetData>
    <row r="2" spans="1:8">
      <c r="A2" s="11" t="s">
        <v>875</v>
      </c>
      <c r="B2" s="11" t="s">
        <v>876</v>
      </c>
      <c r="C2" s="11"/>
      <c r="D2" s="158"/>
      <c r="E2" s="5" t="s">
        <v>49</v>
      </c>
      <c r="F2" s="5" t="s">
        <v>134</v>
      </c>
      <c r="G2" s="5" t="s">
        <v>53</v>
      </c>
    </row>
    <row r="3" spans="1:8" ht="15.95" customHeight="1">
      <c r="A3" s="76"/>
      <c r="B3" s="76" t="s">
        <v>688</v>
      </c>
      <c r="C3" s="161" t="str">
        <f>CONCATENATE("""",D3,"""",":","""",LOWER(A3),"_",LOWER(B3),"""")</f>
        <v>"G3":"_testcasenumber"</v>
      </c>
      <c r="D3" s="105" t="s">
        <v>795</v>
      </c>
      <c r="E3" s="92" t="s">
        <v>50</v>
      </c>
      <c r="F3" s="92" t="s">
        <v>122</v>
      </c>
      <c r="G3" s="91"/>
    </row>
    <row r="4" spans="1:8" ht="15.95" customHeight="1">
      <c r="B4" t="s">
        <v>689</v>
      </c>
      <c r="C4" s="161" t="str">
        <f t="shared" ref="C4:C93" si="0">CONCATENATE("""",D4,"""",":","""",LOWER(A4),"_",LOWER(B4),"""")</f>
        <v>"G4":"_testcaseleader"</v>
      </c>
      <c r="D4" s="105" t="s">
        <v>796</v>
      </c>
      <c r="E4" s="92" t="s">
        <v>51</v>
      </c>
      <c r="F4" s="93" t="s">
        <v>60</v>
      </c>
      <c r="G4" s="91"/>
    </row>
    <row r="5" spans="1:8" ht="15.95" customHeight="1">
      <c r="C5" s="161" t="str">
        <f t="shared" si="0"/>
        <v>"G5":"_"</v>
      </c>
      <c r="D5" s="105" t="s">
        <v>797</v>
      </c>
      <c r="E5" s="186" t="s">
        <v>177</v>
      </c>
      <c r="F5" s="186"/>
      <c r="G5" s="186"/>
    </row>
    <row r="6" spans="1:8" ht="18.600000000000001" customHeight="1">
      <c r="A6" t="s">
        <v>861</v>
      </c>
      <c r="B6" t="s">
        <v>690</v>
      </c>
      <c r="C6" s="161" t="str">
        <f t="shared" si="0"/>
        <v>"G6":"parcelinformation_cultivationtype"</v>
      </c>
      <c r="D6" s="105" t="s">
        <v>798</v>
      </c>
      <c r="E6" s="94" t="s">
        <v>566</v>
      </c>
      <c r="F6" s="94" t="s">
        <v>60</v>
      </c>
      <c r="G6" s="91" t="s">
        <v>640</v>
      </c>
    </row>
    <row r="7" spans="1:8" ht="15.95" customHeight="1">
      <c r="A7" t="s">
        <v>861</v>
      </c>
      <c r="B7" t="s">
        <v>705</v>
      </c>
      <c r="C7" s="161" t="str">
        <f t="shared" si="0"/>
        <v>"G7":"parcelinformation_producttype"</v>
      </c>
      <c r="D7" s="105" t="s">
        <v>799</v>
      </c>
      <c r="E7" s="94" t="s">
        <v>587</v>
      </c>
      <c r="F7" s="93" t="s">
        <v>60</v>
      </c>
      <c r="G7" s="91" t="s">
        <v>599</v>
      </c>
      <c r="H7" t="s">
        <v>706</v>
      </c>
    </row>
    <row r="8" spans="1:8" ht="15.95" customHeight="1">
      <c r="A8" t="s">
        <v>861</v>
      </c>
      <c r="B8" t="s">
        <v>705</v>
      </c>
      <c r="C8" s="161" t="str">
        <f t="shared" si="0"/>
        <v>"G8":"parcelinformation_producttype"</v>
      </c>
      <c r="D8" s="105" t="s">
        <v>800</v>
      </c>
      <c r="E8" s="94" t="s">
        <v>581</v>
      </c>
      <c r="F8" s="93"/>
      <c r="G8" s="91"/>
      <c r="H8" t="s">
        <v>706</v>
      </c>
    </row>
    <row r="9" spans="1:8" ht="15.95" customHeight="1">
      <c r="A9" t="s">
        <v>861</v>
      </c>
      <c r="B9" t="s">
        <v>703</v>
      </c>
      <c r="C9" s="161" t="str">
        <f t="shared" si="0"/>
        <v>"G9":"parcelinformation_startmonth"</v>
      </c>
      <c r="D9" s="105" t="s">
        <v>801</v>
      </c>
      <c r="E9" s="92" t="s">
        <v>677</v>
      </c>
      <c r="F9" s="92" t="s">
        <v>635</v>
      </c>
      <c r="G9" s="102"/>
      <c r="H9" t="s">
        <v>706</v>
      </c>
    </row>
    <row r="10" spans="1:8" ht="15.95" customHeight="1">
      <c r="A10" t="s">
        <v>861</v>
      </c>
      <c r="B10" t="s">
        <v>704</v>
      </c>
      <c r="C10" s="161" t="str">
        <f t="shared" si="0"/>
        <v>"G10":"parcelinformation_endmonth"</v>
      </c>
      <c r="D10" s="105" t="s">
        <v>802</v>
      </c>
      <c r="E10" s="92" t="s">
        <v>678</v>
      </c>
      <c r="F10" s="92" t="s">
        <v>635</v>
      </c>
      <c r="G10" s="102"/>
      <c r="H10" t="s">
        <v>706</v>
      </c>
    </row>
    <row r="11" spans="1:8" ht="15.95" customHeight="1">
      <c r="A11" t="s">
        <v>861</v>
      </c>
      <c r="B11" t="s">
        <v>700</v>
      </c>
      <c r="C11" s="161" t="str">
        <f t="shared" si="0"/>
        <v>"G11":"parcelinformation_biogeographicalregion"</v>
      </c>
      <c r="D11" s="105" t="s">
        <v>803</v>
      </c>
      <c r="E11" s="92" t="s">
        <v>52</v>
      </c>
      <c r="F11" s="93" t="s">
        <v>60</v>
      </c>
      <c r="G11" s="104">
        <v>1</v>
      </c>
    </row>
    <row r="12" spans="1:8" ht="15.95" customHeight="1">
      <c r="A12" t="s">
        <v>861</v>
      </c>
      <c r="B12" t="s">
        <v>701</v>
      </c>
      <c r="C12" s="161" t="str">
        <f t="shared" si="0"/>
        <v>"G12":"parcelinformation_totalfarmsize"</v>
      </c>
      <c r="D12" s="105" t="s">
        <v>804</v>
      </c>
      <c r="E12" s="92" t="s">
        <v>486</v>
      </c>
      <c r="F12" s="95" t="s">
        <v>71</v>
      </c>
      <c r="G12" s="104">
        <v>1</v>
      </c>
    </row>
    <row r="13" spans="1:8" ht="15.95" customHeight="1">
      <c r="A13" t="s">
        <v>861</v>
      </c>
      <c r="B13" t="s">
        <v>860</v>
      </c>
      <c r="C13" s="161" t="str">
        <f t="shared" si="0"/>
        <v>"G13":"parcelinformation_numberofcomparisons"</v>
      </c>
      <c r="D13" s="105" t="s">
        <v>805</v>
      </c>
      <c r="E13" s="92" t="s">
        <v>683</v>
      </c>
      <c r="F13" s="92" t="s">
        <v>122</v>
      </c>
      <c r="G13" s="104">
        <v>1</v>
      </c>
    </row>
    <row r="14" spans="1:8" ht="15.95" customHeight="1">
      <c r="A14" t="s">
        <v>861</v>
      </c>
      <c r="B14" t="s">
        <v>707</v>
      </c>
      <c r="C14" s="161" t="str">
        <f t="shared" si="0"/>
        <v>"G14":"parcelinformation_numberofemployees"</v>
      </c>
      <c r="D14" s="105" t="s">
        <v>806</v>
      </c>
      <c r="E14" s="94" t="s">
        <v>289</v>
      </c>
      <c r="F14" s="94" t="s">
        <v>122</v>
      </c>
      <c r="G14" s="104">
        <v>1</v>
      </c>
      <c r="H14" t="s">
        <v>706</v>
      </c>
    </row>
    <row r="15" spans="1:8" ht="15.95" customHeight="1">
      <c r="A15" t="s">
        <v>861</v>
      </c>
      <c r="B15" t="s">
        <v>708</v>
      </c>
      <c r="C15" s="161" t="str">
        <f t="shared" si="0"/>
        <v>"G15":"parcelinformation_numberoffulltimeemployees"</v>
      </c>
      <c r="D15" s="105" t="s">
        <v>807</v>
      </c>
      <c r="E15" s="95" t="s">
        <v>314</v>
      </c>
      <c r="F15" s="95" t="s">
        <v>122</v>
      </c>
      <c r="G15" s="104">
        <v>1</v>
      </c>
      <c r="H15" t="s">
        <v>706</v>
      </c>
    </row>
    <row r="16" spans="1:8" ht="15.95" customHeight="1">
      <c r="A16" t="s">
        <v>861</v>
      </c>
      <c r="B16" t="s">
        <v>709</v>
      </c>
      <c r="C16" s="161" t="str">
        <f t="shared" si="0"/>
        <v>"G16":"parcelinformation_numberofseasonalemployees"</v>
      </c>
      <c r="D16" s="105" t="s">
        <v>808</v>
      </c>
      <c r="E16" s="92" t="s">
        <v>315</v>
      </c>
      <c r="F16" s="92" t="s">
        <v>122</v>
      </c>
      <c r="G16" s="104">
        <v>1</v>
      </c>
      <c r="H16" t="s">
        <v>706</v>
      </c>
    </row>
    <row r="17" spans="1:7" ht="15.95" customHeight="1">
      <c r="C17" s="161" t="str">
        <f t="shared" si="0"/>
        <v>"G17":"_"</v>
      </c>
      <c r="D17" s="105" t="s">
        <v>809</v>
      </c>
      <c r="F17" s="19"/>
      <c r="G17" s="20"/>
    </row>
    <row r="18" spans="1:7">
      <c r="C18" s="161" t="str">
        <f t="shared" si="0"/>
        <v>"G18":"_"</v>
      </c>
      <c r="D18" s="105" t="s">
        <v>810</v>
      </c>
      <c r="E18" s="186" t="s">
        <v>634</v>
      </c>
      <c r="F18" s="186"/>
      <c r="G18" s="186"/>
    </row>
    <row r="19" spans="1:7">
      <c r="C19" s="161" t="str">
        <f t="shared" si="0"/>
        <v>"G19":"_"</v>
      </c>
      <c r="D19" s="105" t="s">
        <v>811</v>
      </c>
      <c r="E19" s="5" t="s">
        <v>49</v>
      </c>
      <c r="F19" s="5" t="s">
        <v>134</v>
      </c>
      <c r="G19" s="5" t="s">
        <v>53</v>
      </c>
    </row>
    <row r="20" spans="1:7">
      <c r="A20" t="s">
        <v>877</v>
      </c>
      <c r="B20" t="s">
        <v>692</v>
      </c>
      <c r="C20" s="161" t="str">
        <f t="shared" si="0"/>
        <v>"G20":"datsinformation_datsinitialinvestmentcosts"</v>
      </c>
      <c r="D20" s="105" t="s">
        <v>812</v>
      </c>
      <c r="E20" s="96" t="s">
        <v>543</v>
      </c>
      <c r="F20" s="97" t="s">
        <v>54</v>
      </c>
      <c r="G20" s="104">
        <v>1</v>
      </c>
    </row>
    <row r="21" spans="1:7">
      <c r="A21" t="s">
        <v>877</v>
      </c>
      <c r="B21" t="s">
        <v>695</v>
      </c>
      <c r="C21" s="161" t="str">
        <f t="shared" si="0"/>
        <v>"G21":"datsinformation_datsexpectedlifespan"</v>
      </c>
      <c r="D21" s="105" t="s">
        <v>813</v>
      </c>
      <c r="E21" s="98" t="s">
        <v>544</v>
      </c>
      <c r="F21" s="99" t="s">
        <v>55</v>
      </c>
      <c r="G21" s="104">
        <v>1</v>
      </c>
    </row>
    <row r="22" spans="1:7">
      <c r="A22" t="s">
        <v>877</v>
      </c>
      <c r="B22" t="s">
        <v>696</v>
      </c>
      <c r="C22" s="161" t="str">
        <f t="shared" si="0"/>
        <v>"G22":"datsinformation_datsinstallationtime"</v>
      </c>
      <c r="D22" s="105" t="s">
        <v>814</v>
      </c>
      <c r="E22" s="98" t="s">
        <v>545</v>
      </c>
      <c r="F22" s="99" t="s">
        <v>69</v>
      </c>
      <c r="G22" s="104">
        <v>1</v>
      </c>
    </row>
    <row r="23" spans="1:7">
      <c r="A23" t="s">
        <v>877</v>
      </c>
      <c r="B23" t="s">
        <v>694</v>
      </c>
      <c r="C23" s="161" t="str">
        <f t="shared" si="0"/>
        <v>"G23":"datsinformation_datsmaintenancecosts"</v>
      </c>
      <c r="D23" s="105" t="s">
        <v>815</v>
      </c>
      <c r="E23" s="98" t="s">
        <v>56</v>
      </c>
      <c r="F23" s="99" t="s">
        <v>57</v>
      </c>
      <c r="G23" s="104">
        <v>1</v>
      </c>
    </row>
    <row r="24" spans="1:7">
      <c r="A24" t="s">
        <v>877</v>
      </c>
      <c r="B24" t="s">
        <v>693</v>
      </c>
      <c r="C24" s="161" t="str">
        <f t="shared" si="0"/>
        <v>"G24":"datsinformation_datsannualfees"</v>
      </c>
      <c r="D24" s="105" t="s">
        <v>816</v>
      </c>
      <c r="E24" s="98" t="s">
        <v>487</v>
      </c>
      <c r="F24" s="99" t="s">
        <v>57</v>
      </c>
      <c r="G24" s="104">
        <v>1</v>
      </c>
    </row>
    <row r="25" spans="1:7">
      <c r="A25" t="s">
        <v>877</v>
      </c>
      <c r="B25" t="s">
        <v>697</v>
      </c>
      <c r="C25" s="161" t="str">
        <f t="shared" si="0"/>
        <v>"G25":"datsinformation_datstrainingtime"</v>
      </c>
      <c r="D25" s="105" t="s">
        <v>817</v>
      </c>
      <c r="E25" s="98" t="s">
        <v>546</v>
      </c>
      <c r="F25" s="99" t="s">
        <v>69</v>
      </c>
      <c r="G25" s="104">
        <v>1</v>
      </c>
    </row>
    <row r="26" spans="1:7">
      <c r="A26" t="s">
        <v>877</v>
      </c>
      <c r="B26" t="s">
        <v>698</v>
      </c>
      <c r="C26" s="161" t="str">
        <f t="shared" si="0"/>
        <v>"G26":"datsinformation_datstrainers"</v>
      </c>
      <c r="D26" s="105" t="s">
        <v>818</v>
      </c>
      <c r="E26" s="98" t="s">
        <v>373</v>
      </c>
      <c r="F26" s="99" t="s">
        <v>122</v>
      </c>
      <c r="G26" s="104">
        <v>1</v>
      </c>
    </row>
    <row r="27" spans="1:7">
      <c r="A27" t="s">
        <v>877</v>
      </c>
      <c r="B27" t="s">
        <v>699</v>
      </c>
      <c r="C27" s="161" t="str">
        <f t="shared" si="0"/>
        <v>"G27":"datsinformation_datstrainingcosts"</v>
      </c>
      <c r="D27" s="105" t="s">
        <v>819</v>
      </c>
      <c r="E27" s="98" t="s">
        <v>488</v>
      </c>
      <c r="F27" s="99" t="s">
        <v>57</v>
      </c>
      <c r="G27" s="104">
        <v>1</v>
      </c>
    </row>
    <row r="28" spans="1:7" ht="15.95" customHeight="1">
      <c r="A28" t="s">
        <v>877</v>
      </c>
      <c r="B28" t="s">
        <v>691</v>
      </c>
      <c r="C28" s="161" t="str">
        <f t="shared" si="0"/>
        <v>"G28":"datsinformation_datsname"</v>
      </c>
      <c r="D28" s="105" t="s">
        <v>820</v>
      </c>
      <c r="E28" s="92" t="s">
        <v>547</v>
      </c>
      <c r="F28" s="100" t="s">
        <v>60</v>
      </c>
      <c r="G28" s="104">
        <v>1</v>
      </c>
    </row>
    <row r="29" spans="1:7" ht="15.95" customHeight="1">
      <c r="C29" s="161" t="str">
        <f t="shared" si="0"/>
        <v>"G29":"_"</v>
      </c>
      <c r="D29" s="105" t="s">
        <v>821</v>
      </c>
      <c r="F29" s="19"/>
      <c r="G29" s="20"/>
    </row>
    <row r="30" spans="1:7">
      <c r="C30" s="161" t="str">
        <f t="shared" si="0"/>
        <v>"G30":"_"</v>
      </c>
      <c r="D30" s="105" t="s">
        <v>822</v>
      </c>
      <c r="E30" s="187" t="s">
        <v>548</v>
      </c>
      <c r="F30" s="187"/>
      <c r="G30" s="187"/>
    </row>
    <row r="31" spans="1:7" ht="15.95" customHeight="1">
      <c r="C31" s="161" t="str">
        <f t="shared" si="0"/>
        <v>"G31":"_"</v>
      </c>
      <c r="D31" s="105" t="s">
        <v>823</v>
      </c>
      <c r="E31" s="5" t="s">
        <v>49</v>
      </c>
      <c r="F31" s="5" t="s">
        <v>134</v>
      </c>
      <c r="G31" s="5" t="s">
        <v>53</v>
      </c>
    </row>
    <row r="32" spans="1:7" ht="18">
      <c r="A32" t="s">
        <v>878</v>
      </c>
      <c r="B32" t="s">
        <v>850</v>
      </c>
      <c r="C32" s="161" t="str">
        <f>CONCATENATE("""",D32,"""",":","""","parcelassessmentwithdats_",LOWER(A32),"_",LOWER(B32),"""")</f>
        <v>"G32":"parcelassessmentwithdats_marketinformation_waterprice"</v>
      </c>
      <c r="D32" s="105" t="s">
        <v>824</v>
      </c>
      <c r="E32" s="96" t="s">
        <v>130</v>
      </c>
      <c r="F32" s="97" t="s">
        <v>498</v>
      </c>
      <c r="G32" s="104">
        <v>1</v>
      </c>
    </row>
    <row r="33" spans="1:7">
      <c r="A33" t="s">
        <v>878</v>
      </c>
      <c r="B33" t="s">
        <v>851</v>
      </c>
      <c r="C33" s="161" t="str">
        <f t="shared" ref="C33:C92" si="1">CONCATENATE("""",D33,"""",":","""","parcelassessmentwithdats_",LOWER(A33),"_",LOWER(B33),"""")</f>
        <v>"G33":"parcelassessmentwithdats_marketinformation_fuelprice"</v>
      </c>
      <c r="D33" s="105" t="s">
        <v>825</v>
      </c>
      <c r="E33" s="96" t="s">
        <v>131</v>
      </c>
      <c r="F33" s="97" t="s">
        <v>368</v>
      </c>
      <c r="G33" s="104">
        <v>1</v>
      </c>
    </row>
    <row r="34" spans="1:7">
      <c r="A34" t="s">
        <v>878</v>
      </c>
      <c r="B34" t="s">
        <v>853</v>
      </c>
      <c r="C34" s="161" t="str">
        <f t="shared" si="1"/>
        <v>"G34":"parcelassessmentwithdats_marketinformation_n_fuel_for_greenhouse"</v>
      </c>
      <c r="D34" s="105" t="s">
        <v>826</v>
      </c>
      <c r="E34" s="96" t="s">
        <v>631</v>
      </c>
      <c r="F34" s="97" t="s">
        <v>122</v>
      </c>
      <c r="G34" s="104">
        <v>1</v>
      </c>
    </row>
    <row r="35" spans="1:7" ht="18">
      <c r="A35" t="s">
        <v>879</v>
      </c>
      <c r="B35" t="s">
        <v>892</v>
      </c>
      <c r="C35" s="161" t="str">
        <f t="shared" si="1"/>
        <v>"G35":"parcelassessmentwithdats_fuelfortemperaturecontrolinformation_productprice_0"</v>
      </c>
      <c r="D35" s="105" t="s">
        <v>827</v>
      </c>
      <c r="E35" s="96" t="s">
        <v>557</v>
      </c>
      <c r="F35" s="97" t="s">
        <v>498</v>
      </c>
      <c r="G35" s="104">
        <v>1</v>
      </c>
    </row>
    <row r="36" spans="1:7" ht="18">
      <c r="A36" t="s">
        <v>879</v>
      </c>
      <c r="B36" t="s">
        <v>893</v>
      </c>
      <c r="C36" s="161" t="str">
        <f t="shared" si="1"/>
        <v>"G36":"parcelassessmentwithdats_fuelfortemperaturecontrolinformation_productprice_1"</v>
      </c>
      <c r="D36" s="105" t="s">
        <v>828</v>
      </c>
      <c r="E36" s="96" t="s">
        <v>644</v>
      </c>
      <c r="F36" s="97" t="s">
        <v>498</v>
      </c>
      <c r="G36" s="104">
        <v>1</v>
      </c>
    </row>
    <row r="37" spans="1:7" ht="18">
      <c r="A37" t="s">
        <v>879</v>
      </c>
      <c r="B37" t="s">
        <v>894</v>
      </c>
      <c r="C37" s="161" t="str">
        <f t="shared" si="1"/>
        <v>"G37":"parcelassessmentwithdats_fuelfortemperaturecontrolinformation_productprice_2"</v>
      </c>
      <c r="D37" s="105" t="s">
        <v>829</v>
      </c>
      <c r="E37" s="96" t="s">
        <v>645</v>
      </c>
      <c r="F37" s="97" t="s">
        <v>498</v>
      </c>
      <c r="G37" s="104">
        <v>1</v>
      </c>
    </row>
    <row r="38" spans="1:7" ht="18">
      <c r="A38" t="s">
        <v>879</v>
      </c>
      <c r="B38" t="s">
        <v>895</v>
      </c>
      <c r="C38" s="161" t="str">
        <f t="shared" si="1"/>
        <v>"G38":"parcelassessmentwithdats_fuelfortemperaturecontrolinformation_productprice_3"</v>
      </c>
      <c r="D38" s="105" t="s">
        <v>830</v>
      </c>
      <c r="E38" s="96" t="s">
        <v>557</v>
      </c>
      <c r="F38" s="97" t="s">
        <v>498</v>
      </c>
      <c r="G38" s="104">
        <v>1</v>
      </c>
    </row>
    <row r="39" spans="1:7" ht="18">
      <c r="A39" t="s">
        <v>879</v>
      </c>
      <c r="B39" t="s">
        <v>896</v>
      </c>
      <c r="C39" s="161" t="str">
        <f t="shared" si="1"/>
        <v>"G39":"parcelassessmentwithdats_fuelfortemperaturecontrolinformation_productprice_4"</v>
      </c>
      <c r="D39" s="105" t="s">
        <v>831</v>
      </c>
      <c r="E39" s="96" t="s">
        <v>557</v>
      </c>
      <c r="F39" s="97" t="s">
        <v>498</v>
      </c>
      <c r="G39" s="104">
        <v>1</v>
      </c>
    </row>
    <row r="40" spans="1:7" ht="18">
      <c r="A40" t="s">
        <v>879</v>
      </c>
      <c r="B40" t="s">
        <v>897</v>
      </c>
      <c r="C40" s="161" t="str">
        <f t="shared" si="1"/>
        <v>"G40":"parcelassessmentwithdats_fuelfortemperaturecontrolinformation_productprice_5"</v>
      </c>
      <c r="D40" s="105" t="s">
        <v>832</v>
      </c>
      <c r="E40" s="96" t="s">
        <v>644</v>
      </c>
      <c r="F40" s="97" t="s">
        <v>498</v>
      </c>
      <c r="G40" s="104">
        <v>1</v>
      </c>
    </row>
    <row r="41" spans="1:7" ht="18">
      <c r="A41" t="s">
        <v>879</v>
      </c>
      <c r="B41" t="s">
        <v>898</v>
      </c>
      <c r="C41" s="161" t="str">
        <f t="shared" si="1"/>
        <v>"G41":"parcelassessmentwithdats_fuelfortemperaturecontrolinformation_productprice_6"</v>
      </c>
      <c r="D41" s="105" t="s">
        <v>833</v>
      </c>
      <c r="E41" s="96" t="s">
        <v>645</v>
      </c>
      <c r="F41" s="97" t="s">
        <v>498</v>
      </c>
      <c r="G41" s="104">
        <v>1</v>
      </c>
    </row>
    <row r="42" spans="1:7" ht="18">
      <c r="A42" t="s">
        <v>879</v>
      </c>
      <c r="B42" t="s">
        <v>899</v>
      </c>
      <c r="C42" s="161" t="str">
        <f t="shared" si="1"/>
        <v>"G42":"parcelassessmentwithdats_fuelfortemperaturecontrolinformation_productprice_7"</v>
      </c>
      <c r="D42" s="105" t="s">
        <v>834</v>
      </c>
      <c r="E42" s="96" t="s">
        <v>557</v>
      </c>
      <c r="F42" s="97" t="s">
        <v>498</v>
      </c>
      <c r="G42" s="104">
        <v>1</v>
      </c>
    </row>
    <row r="43" spans="1:7" ht="18">
      <c r="A43" t="s">
        <v>879</v>
      </c>
      <c r="B43" t="s">
        <v>900</v>
      </c>
      <c r="C43" s="161" t="str">
        <f t="shared" si="1"/>
        <v>"G43":"parcelassessmentwithdats_fuelfortemperaturecontrolinformation_productprice_8"</v>
      </c>
      <c r="D43" s="105" t="s">
        <v>835</v>
      </c>
      <c r="E43" s="96" t="s">
        <v>644</v>
      </c>
      <c r="F43" s="97" t="s">
        <v>498</v>
      </c>
      <c r="G43" s="104">
        <v>1</v>
      </c>
    </row>
    <row r="44" spans="1:7" ht="18">
      <c r="A44" t="s">
        <v>879</v>
      </c>
      <c r="B44" t="s">
        <v>901</v>
      </c>
      <c r="C44" s="161" t="str">
        <f t="shared" si="1"/>
        <v>"G44":"parcelassessmentwithdats_fuelfortemperaturecontrolinformation_productprice_9"</v>
      </c>
      <c r="D44" s="105" t="s">
        <v>836</v>
      </c>
      <c r="E44" s="96" t="s">
        <v>645</v>
      </c>
      <c r="F44" s="97" t="s">
        <v>498</v>
      </c>
      <c r="G44" s="104">
        <v>1</v>
      </c>
    </row>
    <row r="45" spans="1:7">
      <c r="A45" t="s">
        <v>878</v>
      </c>
      <c r="B45" t="s">
        <v>852</v>
      </c>
      <c r="C45" s="161" t="str">
        <f t="shared" si="1"/>
        <v>"G45":"parcelassessmentwithdats_marketinformation_electricityprice"</v>
      </c>
      <c r="D45" s="105" t="s">
        <v>837</v>
      </c>
      <c r="E45" s="96" t="s">
        <v>132</v>
      </c>
      <c r="F45" s="97" t="s">
        <v>369</v>
      </c>
      <c r="G45" s="104">
        <v>1</v>
      </c>
    </row>
    <row r="46" spans="1:7">
      <c r="A46" t="s">
        <v>878</v>
      </c>
      <c r="B46" s="75" t="s">
        <v>854</v>
      </c>
      <c r="C46" s="161" t="str">
        <f t="shared" si="1"/>
        <v>"G46":"parcelassessmentwithdats_marketinformation_averagesalary"</v>
      </c>
      <c r="D46" s="105" t="s">
        <v>838</v>
      </c>
      <c r="E46" s="96" t="s">
        <v>495</v>
      </c>
      <c r="F46" s="97" t="s">
        <v>370</v>
      </c>
      <c r="G46" s="104">
        <v>1</v>
      </c>
    </row>
    <row r="47" spans="1:7">
      <c r="A47" t="s">
        <v>878</v>
      </c>
      <c r="B47" s="75" t="s">
        <v>855</v>
      </c>
      <c r="C47" s="161" t="str">
        <f t="shared" si="1"/>
        <v>"G47":"parcelassessmentwithdats_marketinformation_averageprofessionalsalary"</v>
      </c>
      <c r="D47" s="105" t="s">
        <v>839</v>
      </c>
      <c r="E47" s="96" t="s">
        <v>489</v>
      </c>
      <c r="F47" s="97" t="s">
        <v>370</v>
      </c>
      <c r="G47" s="104">
        <v>1</v>
      </c>
    </row>
    <row r="48" spans="1:7">
      <c r="A48" t="s">
        <v>878</v>
      </c>
      <c r="B48" t="s">
        <v>782</v>
      </c>
      <c r="C48" s="161" t="str">
        <f t="shared" si="1"/>
        <v>"G48":"parcelassessmentwithdats_marketinformation_productmarketprice"</v>
      </c>
      <c r="D48" s="105" t="s">
        <v>840</v>
      </c>
      <c r="E48" s="96" t="s">
        <v>490</v>
      </c>
      <c r="F48" s="97" t="s">
        <v>508</v>
      </c>
      <c r="G48" s="104">
        <v>1</v>
      </c>
    </row>
    <row r="49" spans="1:7">
      <c r="A49" t="s">
        <v>878</v>
      </c>
      <c r="B49" t="s">
        <v>856</v>
      </c>
      <c r="C49" s="161" t="str">
        <f t="shared" si="1"/>
        <v>"G49":"parcelassessmentwithdats_marketinformation_n_of_pesticide_used"</v>
      </c>
      <c r="D49" s="105" t="s">
        <v>841</v>
      </c>
      <c r="E49" s="96" t="s">
        <v>491</v>
      </c>
      <c r="F49" s="97" t="s">
        <v>122</v>
      </c>
      <c r="G49" s="104">
        <v>1</v>
      </c>
    </row>
    <row r="50" spans="1:7">
      <c r="A50" t="s">
        <v>880</v>
      </c>
      <c r="B50" t="s">
        <v>892</v>
      </c>
      <c r="C50" s="161" t="str">
        <f t="shared" si="1"/>
        <v>"G50":"parcelassessmentwithdats_pesticidesusageinformation_productprice_0"</v>
      </c>
      <c r="D50" s="105" t="s">
        <v>842</v>
      </c>
      <c r="E50" s="96" t="s">
        <v>222</v>
      </c>
      <c r="F50" s="97" t="s">
        <v>517</v>
      </c>
      <c r="G50" s="104">
        <v>1</v>
      </c>
    </row>
    <row r="51" spans="1:7">
      <c r="A51" t="s">
        <v>880</v>
      </c>
      <c r="B51" t="s">
        <v>893</v>
      </c>
      <c r="C51" s="161" t="str">
        <f t="shared" si="1"/>
        <v>"G51":"parcelassessmentwithdats_pesticidesusageinformation_productprice_1"</v>
      </c>
      <c r="D51" s="105" t="s">
        <v>843</v>
      </c>
      <c r="E51" s="96" t="s">
        <v>223</v>
      </c>
      <c r="F51" s="97" t="s">
        <v>517</v>
      </c>
      <c r="G51" s="104">
        <v>1</v>
      </c>
    </row>
    <row r="52" spans="1:7">
      <c r="A52" t="s">
        <v>880</v>
      </c>
      <c r="B52" t="s">
        <v>894</v>
      </c>
      <c r="C52" s="161" t="str">
        <f t="shared" si="1"/>
        <v>"G52":"parcelassessmentwithdats_pesticidesusageinformation_productprice_2"</v>
      </c>
      <c r="D52" s="105" t="s">
        <v>844</v>
      </c>
      <c r="E52" s="96" t="s">
        <v>884</v>
      </c>
      <c r="F52" s="97" t="s">
        <v>517</v>
      </c>
      <c r="G52" s="104"/>
    </row>
    <row r="53" spans="1:7">
      <c r="A53" t="s">
        <v>880</v>
      </c>
      <c r="B53" t="s">
        <v>895</v>
      </c>
      <c r="C53" s="161" t="str">
        <f t="shared" si="1"/>
        <v>"G53":"parcelassessmentwithdats_pesticidesusageinformation_productprice_3"</v>
      </c>
      <c r="D53" s="105" t="s">
        <v>845</v>
      </c>
      <c r="E53" s="96" t="s">
        <v>885</v>
      </c>
      <c r="F53" s="97" t="s">
        <v>517</v>
      </c>
      <c r="G53" s="104">
        <v>1</v>
      </c>
    </row>
    <row r="54" spans="1:7">
      <c r="A54" t="s">
        <v>880</v>
      </c>
      <c r="B54" t="s">
        <v>896</v>
      </c>
      <c r="C54" s="161" t="str">
        <f t="shared" si="1"/>
        <v>"G54":"parcelassessmentwithdats_pesticidesusageinformation_productprice_4"</v>
      </c>
      <c r="D54" s="105" t="s">
        <v>846</v>
      </c>
      <c r="E54" s="96" t="s">
        <v>886</v>
      </c>
      <c r="F54" s="97" t="s">
        <v>517</v>
      </c>
      <c r="G54" s="104">
        <v>1</v>
      </c>
    </row>
    <row r="55" spans="1:7">
      <c r="A55" t="s">
        <v>880</v>
      </c>
      <c r="B55" t="s">
        <v>897</v>
      </c>
      <c r="C55" s="161" t="str">
        <f t="shared" si="1"/>
        <v>"G55":"parcelassessmentwithdats_pesticidesusageinformation_productprice_5"</v>
      </c>
      <c r="D55" s="105" t="s">
        <v>847</v>
      </c>
      <c r="E55" s="96" t="s">
        <v>887</v>
      </c>
      <c r="F55" s="97" t="s">
        <v>517</v>
      </c>
      <c r="G55" s="104"/>
    </row>
    <row r="56" spans="1:7">
      <c r="A56" t="s">
        <v>880</v>
      </c>
      <c r="B56" t="s">
        <v>898</v>
      </c>
      <c r="C56" s="161" t="str">
        <f t="shared" si="1"/>
        <v>"G56":"parcelassessmentwithdats_pesticidesusageinformation_productprice_6"</v>
      </c>
      <c r="D56" s="105" t="s">
        <v>848</v>
      </c>
      <c r="E56" s="96" t="s">
        <v>888</v>
      </c>
      <c r="F56" s="97" t="s">
        <v>517</v>
      </c>
      <c r="G56" s="104">
        <v>1</v>
      </c>
    </row>
    <row r="57" spans="1:7">
      <c r="A57" t="s">
        <v>880</v>
      </c>
      <c r="B57" t="s">
        <v>899</v>
      </c>
      <c r="C57" s="161" t="str">
        <f t="shared" si="1"/>
        <v>"G57":"parcelassessmentwithdats_pesticidesusageinformation_productprice_7"</v>
      </c>
      <c r="D57" s="105" t="s">
        <v>849</v>
      </c>
      <c r="E57" s="96" t="s">
        <v>889</v>
      </c>
      <c r="F57" s="97" t="s">
        <v>517</v>
      </c>
      <c r="G57" s="104">
        <v>1</v>
      </c>
    </row>
    <row r="58" spans="1:7">
      <c r="A58" t="s">
        <v>880</v>
      </c>
      <c r="B58" t="s">
        <v>900</v>
      </c>
      <c r="C58" s="161" t="str">
        <f t="shared" si="1"/>
        <v>"G58":"parcelassessmentwithdats_pesticidesusageinformation_productprice_8"</v>
      </c>
      <c r="D58" s="105" t="s">
        <v>902</v>
      </c>
      <c r="E58" s="96" t="s">
        <v>890</v>
      </c>
      <c r="F58" s="97" t="s">
        <v>517</v>
      </c>
      <c r="G58" s="104">
        <v>1</v>
      </c>
    </row>
    <row r="59" spans="1:7">
      <c r="A59" t="s">
        <v>880</v>
      </c>
      <c r="B59" t="s">
        <v>901</v>
      </c>
      <c r="C59" s="161" t="str">
        <f t="shared" si="1"/>
        <v>"G59":"parcelassessmentwithdats_pesticidesusageinformation_productprice_9"</v>
      </c>
      <c r="D59" s="105" t="s">
        <v>903</v>
      </c>
      <c r="E59" s="96" t="s">
        <v>891</v>
      </c>
      <c r="F59" s="97" t="s">
        <v>517</v>
      </c>
      <c r="G59" s="104">
        <v>1</v>
      </c>
    </row>
    <row r="60" spans="1:7">
      <c r="A60" t="s">
        <v>878</v>
      </c>
      <c r="B60" t="s">
        <v>857</v>
      </c>
      <c r="C60" s="161" t="str">
        <f t="shared" si="1"/>
        <v>"G60":"parcelassessmentwithdats_marketinformation_n_of_fertilizers_used"</v>
      </c>
      <c r="D60" s="105" t="s">
        <v>904</v>
      </c>
      <c r="E60" s="96" t="s">
        <v>492</v>
      </c>
      <c r="F60" s="97" t="s">
        <v>122</v>
      </c>
      <c r="G60" s="104">
        <v>1</v>
      </c>
    </row>
    <row r="61" spans="1:7">
      <c r="A61" t="s">
        <v>881</v>
      </c>
      <c r="B61" t="s">
        <v>892</v>
      </c>
      <c r="C61" s="161" t="str">
        <f t="shared" si="1"/>
        <v>"G61":"parcelassessmentwithdats_fertilizersusageinformation_productprice_0"</v>
      </c>
      <c r="D61" s="105" t="s">
        <v>905</v>
      </c>
      <c r="E61" s="96" t="s">
        <v>227</v>
      </c>
      <c r="F61" s="97" t="s">
        <v>508</v>
      </c>
      <c r="G61" s="104">
        <v>1</v>
      </c>
    </row>
    <row r="62" spans="1:7">
      <c r="A62" t="s">
        <v>881</v>
      </c>
      <c r="B62" t="s">
        <v>893</v>
      </c>
      <c r="C62" s="161" t="str">
        <f t="shared" si="1"/>
        <v>"G62":"parcelassessmentwithdats_fertilizersusageinformation_productprice_1"</v>
      </c>
      <c r="D62" s="105" t="s">
        <v>906</v>
      </c>
      <c r="E62" s="96" t="s">
        <v>227</v>
      </c>
      <c r="F62" s="97" t="s">
        <v>508</v>
      </c>
      <c r="G62" s="104">
        <v>1</v>
      </c>
    </row>
    <row r="63" spans="1:7">
      <c r="A63" t="s">
        <v>881</v>
      </c>
      <c r="B63" t="s">
        <v>894</v>
      </c>
      <c r="C63" s="161" t="str">
        <f t="shared" si="1"/>
        <v>"G63":"parcelassessmentwithdats_fertilizersusageinformation_productprice_2"</v>
      </c>
      <c r="D63" s="105" t="s">
        <v>907</v>
      </c>
      <c r="E63" s="96" t="s">
        <v>227</v>
      </c>
      <c r="F63" s="97" t="s">
        <v>508</v>
      </c>
      <c r="G63" s="104">
        <v>1</v>
      </c>
    </row>
    <row r="64" spans="1:7">
      <c r="A64" t="s">
        <v>881</v>
      </c>
      <c r="B64" t="s">
        <v>895</v>
      </c>
      <c r="C64" s="161" t="str">
        <f t="shared" si="1"/>
        <v>"G64":"parcelassessmentwithdats_fertilizersusageinformation_productprice_3"</v>
      </c>
      <c r="D64" s="105" t="s">
        <v>908</v>
      </c>
      <c r="E64" s="96" t="s">
        <v>227</v>
      </c>
      <c r="F64" s="97" t="s">
        <v>508</v>
      </c>
      <c r="G64" s="104">
        <v>1</v>
      </c>
    </row>
    <row r="65" spans="1:7">
      <c r="A65" t="s">
        <v>881</v>
      </c>
      <c r="B65" t="s">
        <v>896</v>
      </c>
      <c r="C65" s="161" t="str">
        <f t="shared" si="1"/>
        <v>"G65":"parcelassessmentwithdats_fertilizersusageinformation_productprice_4"</v>
      </c>
      <c r="D65" s="105" t="s">
        <v>909</v>
      </c>
      <c r="E65" s="96" t="s">
        <v>227</v>
      </c>
      <c r="F65" s="97" t="s">
        <v>508</v>
      </c>
      <c r="G65" s="104">
        <v>1</v>
      </c>
    </row>
    <row r="66" spans="1:7">
      <c r="A66" t="s">
        <v>881</v>
      </c>
      <c r="B66" t="s">
        <v>897</v>
      </c>
      <c r="C66" s="161" t="str">
        <f t="shared" si="1"/>
        <v>"G66":"parcelassessmentwithdats_fertilizersusageinformation_productprice_5"</v>
      </c>
      <c r="D66" s="105" t="s">
        <v>910</v>
      </c>
      <c r="E66" s="96" t="s">
        <v>227</v>
      </c>
      <c r="F66" s="97" t="s">
        <v>508</v>
      </c>
      <c r="G66" s="104">
        <v>1</v>
      </c>
    </row>
    <row r="67" spans="1:7">
      <c r="A67" t="s">
        <v>881</v>
      </c>
      <c r="B67" t="s">
        <v>898</v>
      </c>
      <c r="C67" s="161" t="str">
        <f t="shared" si="1"/>
        <v>"G67":"parcelassessmentwithdats_fertilizersusageinformation_productprice_6"</v>
      </c>
      <c r="D67" s="105" t="s">
        <v>911</v>
      </c>
      <c r="E67" s="96" t="s">
        <v>227</v>
      </c>
      <c r="F67" s="97" t="s">
        <v>508</v>
      </c>
      <c r="G67" s="104">
        <v>1</v>
      </c>
    </row>
    <row r="68" spans="1:7">
      <c r="A68" t="s">
        <v>881</v>
      </c>
      <c r="B68" t="s">
        <v>899</v>
      </c>
      <c r="C68" s="161" t="str">
        <f t="shared" si="1"/>
        <v>"G68":"parcelassessmentwithdats_fertilizersusageinformation_productprice_7"</v>
      </c>
      <c r="D68" s="105" t="s">
        <v>912</v>
      </c>
      <c r="E68" s="96" t="s">
        <v>227</v>
      </c>
      <c r="F68" s="97" t="s">
        <v>508</v>
      </c>
      <c r="G68" s="104">
        <v>1</v>
      </c>
    </row>
    <row r="69" spans="1:7">
      <c r="A69" t="s">
        <v>881</v>
      </c>
      <c r="B69" t="s">
        <v>900</v>
      </c>
      <c r="C69" s="161" t="str">
        <f t="shared" si="1"/>
        <v>"G69":"parcelassessmentwithdats_fertilizersusageinformation_productprice_8"</v>
      </c>
      <c r="D69" s="105" t="s">
        <v>913</v>
      </c>
      <c r="E69" s="96" t="s">
        <v>227</v>
      </c>
      <c r="F69" s="97" t="s">
        <v>508</v>
      </c>
      <c r="G69" s="104">
        <v>1</v>
      </c>
    </row>
    <row r="70" spans="1:7">
      <c r="A70" t="s">
        <v>881</v>
      </c>
      <c r="B70" t="s">
        <v>901</v>
      </c>
      <c r="C70" s="161" t="str">
        <f t="shared" si="1"/>
        <v>"G70":"parcelassessmentwithdats_fertilizersusageinformation_productprice_9"</v>
      </c>
      <c r="D70" s="105" t="s">
        <v>914</v>
      </c>
      <c r="E70" s="96" t="s">
        <v>227</v>
      </c>
      <c r="F70" s="97" t="s">
        <v>508</v>
      </c>
      <c r="G70" s="104">
        <v>1</v>
      </c>
    </row>
    <row r="71" spans="1:7">
      <c r="A71" t="s">
        <v>878</v>
      </c>
      <c r="B71" t="s">
        <v>858</v>
      </c>
      <c r="C71" s="161" t="str">
        <f t="shared" si="1"/>
        <v>"G71":"parcelassessmentwithdats_marketinformation_n_of_feed_used"</v>
      </c>
      <c r="D71" s="105" t="s">
        <v>915</v>
      </c>
      <c r="E71" s="101" t="s">
        <v>493</v>
      </c>
      <c r="F71" s="97" t="s">
        <v>122</v>
      </c>
      <c r="G71" s="104">
        <v>1</v>
      </c>
    </row>
    <row r="72" spans="1:7">
      <c r="A72" t="s">
        <v>882</v>
      </c>
      <c r="B72" t="s">
        <v>892</v>
      </c>
      <c r="C72" s="161" t="str">
        <f t="shared" si="1"/>
        <v>"G72":"parcelassessmentwithdats_feedusageinformation_productprice_0"</v>
      </c>
      <c r="D72" s="105" t="s">
        <v>916</v>
      </c>
      <c r="E72" s="101" t="s">
        <v>230</v>
      </c>
      <c r="F72" s="97" t="s">
        <v>508</v>
      </c>
      <c r="G72" s="104">
        <v>1</v>
      </c>
    </row>
    <row r="73" spans="1:7">
      <c r="A73" t="s">
        <v>882</v>
      </c>
      <c r="B73" t="s">
        <v>893</v>
      </c>
      <c r="C73" s="161" t="str">
        <f t="shared" si="1"/>
        <v>"G73":"parcelassessmentwithdats_feedusageinformation_productprice_1"</v>
      </c>
      <c r="D73" s="105" t="s">
        <v>917</v>
      </c>
      <c r="E73" s="101" t="s">
        <v>230</v>
      </c>
      <c r="F73" s="97" t="s">
        <v>508</v>
      </c>
      <c r="G73" s="104">
        <v>1</v>
      </c>
    </row>
    <row r="74" spans="1:7">
      <c r="A74" t="s">
        <v>882</v>
      </c>
      <c r="B74" t="s">
        <v>894</v>
      </c>
      <c r="C74" s="161" t="str">
        <f t="shared" si="1"/>
        <v>"G74":"parcelassessmentwithdats_feedusageinformation_productprice_2"</v>
      </c>
      <c r="D74" s="105" t="s">
        <v>918</v>
      </c>
      <c r="E74" s="101" t="s">
        <v>230</v>
      </c>
      <c r="F74" s="97" t="s">
        <v>508</v>
      </c>
      <c r="G74" s="104">
        <v>1</v>
      </c>
    </row>
    <row r="75" spans="1:7">
      <c r="A75" t="s">
        <v>882</v>
      </c>
      <c r="B75" t="s">
        <v>895</v>
      </c>
      <c r="C75" s="161" t="str">
        <f t="shared" si="1"/>
        <v>"G75":"parcelassessmentwithdats_feedusageinformation_productprice_3"</v>
      </c>
      <c r="D75" s="105" t="s">
        <v>919</v>
      </c>
      <c r="E75" s="101" t="s">
        <v>230</v>
      </c>
      <c r="F75" s="97" t="s">
        <v>508</v>
      </c>
      <c r="G75" s="104">
        <v>1</v>
      </c>
    </row>
    <row r="76" spans="1:7">
      <c r="A76" t="s">
        <v>882</v>
      </c>
      <c r="B76" t="s">
        <v>896</v>
      </c>
      <c r="C76" s="161" t="str">
        <f t="shared" si="1"/>
        <v>"G76":"parcelassessmentwithdats_feedusageinformation_productprice_4"</v>
      </c>
      <c r="D76" s="105" t="s">
        <v>920</v>
      </c>
      <c r="E76" s="101" t="s">
        <v>230</v>
      </c>
      <c r="F76" s="97" t="s">
        <v>508</v>
      </c>
      <c r="G76" s="104">
        <v>1</v>
      </c>
    </row>
    <row r="77" spans="1:7">
      <c r="A77" t="s">
        <v>882</v>
      </c>
      <c r="B77" t="s">
        <v>897</v>
      </c>
      <c r="C77" s="161" t="str">
        <f t="shared" si="1"/>
        <v>"G77":"parcelassessmentwithdats_feedusageinformation_productprice_5"</v>
      </c>
      <c r="D77" s="105" t="s">
        <v>921</v>
      </c>
      <c r="E77" s="101" t="s">
        <v>230</v>
      </c>
      <c r="F77" s="97" t="s">
        <v>508</v>
      </c>
      <c r="G77" s="104">
        <v>1</v>
      </c>
    </row>
    <row r="78" spans="1:7">
      <c r="A78" t="s">
        <v>882</v>
      </c>
      <c r="B78" t="s">
        <v>898</v>
      </c>
      <c r="C78" s="161" t="str">
        <f t="shared" si="1"/>
        <v>"G78":"parcelassessmentwithdats_feedusageinformation_productprice_6"</v>
      </c>
      <c r="D78" s="105" t="s">
        <v>922</v>
      </c>
      <c r="E78" s="101" t="s">
        <v>230</v>
      </c>
      <c r="F78" s="97" t="s">
        <v>508</v>
      </c>
      <c r="G78" s="104">
        <v>1</v>
      </c>
    </row>
    <row r="79" spans="1:7">
      <c r="A79" t="s">
        <v>882</v>
      </c>
      <c r="B79" t="s">
        <v>899</v>
      </c>
      <c r="C79" s="161" t="str">
        <f t="shared" si="1"/>
        <v>"G79":"parcelassessmentwithdats_feedusageinformation_productprice_7"</v>
      </c>
      <c r="D79" s="105" t="s">
        <v>923</v>
      </c>
      <c r="E79" s="101" t="s">
        <v>230</v>
      </c>
      <c r="F79" s="97" t="s">
        <v>508</v>
      </c>
      <c r="G79" s="104">
        <v>1</v>
      </c>
    </row>
    <row r="80" spans="1:7">
      <c r="A80" t="s">
        <v>882</v>
      </c>
      <c r="B80" t="s">
        <v>900</v>
      </c>
      <c r="C80" s="161" t="str">
        <f t="shared" si="1"/>
        <v>"G80":"parcelassessmentwithdats_feedusageinformation_productprice_8"</v>
      </c>
      <c r="D80" s="105" t="s">
        <v>924</v>
      </c>
      <c r="E80" s="101" t="s">
        <v>230</v>
      </c>
      <c r="F80" s="97" t="s">
        <v>508</v>
      </c>
      <c r="G80" s="104">
        <v>1</v>
      </c>
    </row>
    <row r="81" spans="1:8">
      <c r="A81" t="s">
        <v>882</v>
      </c>
      <c r="B81" t="s">
        <v>901</v>
      </c>
      <c r="C81" s="161" t="str">
        <f t="shared" si="1"/>
        <v>"G81":"parcelassessmentwithdats_feedusageinformation_productprice_9"</v>
      </c>
      <c r="D81" s="105" t="s">
        <v>925</v>
      </c>
      <c r="E81" s="101" t="s">
        <v>230</v>
      </c>
      <c r="F81" s="97" t="s">
        <v>508</v>
      </c>
      <c r="G81" s="104">
        <v>1</v>
      </c>
    </row>
    <row r="82" spans="1:8">
      <c r="A82" t="s">
        <v>878</v>
      </c>
      <c r="B82" t="s">
        <v>859</v>
      </c>
      <c r="C82" s="161" t="str">
        <f t="shared" si="1"/>
        <v>"G82":"parcelassessmentwithdats_marketinformation_n_of_drugs_used"</v>
      </c>
      <c r="D82" s="105" t="s">
        <v>926</v>
      </c>
      <c r="E82" s="96" t="s">
        <v>494</v>
      </c>
      <c r="F82" s="97" t="s">
        <v>122</v>
      </c>
      <c r="G82" s="104">
        <v>1</v>
      </c>
    </row>
    <row r="83" spans="1:8">
      <c r="A83" t="s">
        <v>883</v>
      </c>
      <c r="B83" t="s">
        <v>892</v>
      </c>
      <c r="C83" s="161" t="str">
        <f t="shared" si="1"/>
        <v>"G83":"parcelassessmentwithdats_drugsusageinformation_productprice_0"</v>
      </c>
      <c r="D83" s="105" t="s">
        <v>927</v>
      </c>
      <c r="E83" s="101" t="s">
        <v>233</v>
      </c>
      <c r="F83" s="97" t="s">
        <v>509</v>
      </c>
      <c r="G83" s="104">
        <v>1</v>
      </c>
    </row>
    <row r="84" spans="1:8">
      <c r="A84" t="s">
        <v>883</v>
      </c>
      <c r="B84" t="s">
        <v>893</v>
      </c>
      <c r="C84" s="161" t="str">
        <f t="shared" si="1"/>
        <v>"G84":"parcelassessmentwithdats_drugsusageinformation_productprice_1"</v>
      </c>
      <c r="D84" s="105" t="s">
        <v>928</v>
      </c>
      <c r="E84" s="101" t="s">
        <v>233</v>
      </c>
      <c r="F84" s="97" t="s">
        <v>509</v>
      </c>
      <c r="G84" s="104">
        <v>1</v>
      </c>
    </row>
    <row r="85" spans="1:8">
      <c r="A85" t="s">
        <v>883</v>
      </c>
      <c r="B85" t="s">
        <v>894</v>
      </c>
      <c r="C85" s="161" t="str">
        <f t="shared" si="1"/>
        <v>"G85":"parcelassessmentwithdats_drugsusageinformation_productprice_2"</v>
      </c>
      <c r="D85" s="105" t="s">
        <v>929</v>
      </c>
      <c r="E85" s="101" t="s">
        <v>233</v>
      </c>
      <c r="F85" s="97" t="s">
        <v>509</v>
      </c>
      <c r="G85" s="104">
        <v>1</v>
      </c>
    </row>
    <row r="86" spans="1:8">
      <c r="A86" t="s">
        <v>883</v>
      </c>
      <c r="B86" t="s">
        <v>895</v>
      </c>
      <c r="C86" s="161" t="str">
        <f t="shared" si="1"/>
        <v>"G86":"parcelassessmentwithdats_drugsusageinformation_productprice_3"</v>
      </c>
      <c r="D86" s="105" t="s">
        <v>987</v>
      </c>
      <c r="E86" s="101" t="s">
        <v>233</v>
      </c>
      <c r="F86" s="97" t="s">
        <v>509</v>
      </c>
      <c r="G86" s="104">
        <v>1</v>
      </c>
    </row>
    <row r="87" spans="1:8">
      <c r="A87" t="s">
        <v>883</v>
      </c>
      <c r="B87" t="s">
        <v>896</v>
      </c>
      <c r="C87" s="161" t="str">
        <f t="shared" si="1"/>
        <v>"G87":"parcelassessmentwithdats_drugsusageinformation_productprice_4"</v>
      </c>
      <c r="D87" s="105" t="s">
        <v>988</v>
      </c>
      <c r="E87" s="101" t="s">
        <v>233</v>
      </c>
      <c r="F87" s="97" t="s">
        <v>509</v>
      </c>
      <c r="G87" s="104">
        <v>1</v>
      </c>
    </row>
    <row r="88" spans="1:8">
      <c r="A88" t="s">
        <v>883</v>
      </c>
      <c r="B88" t="s">
        <v>897</v>
      </c>
      <c r="C88" s="161" t="str">
        <f t="shared" si="1"/>
        <v>"G88":"parcelassessmentwithdats_drugsusageinformation_productprice_5"</v>
      </c>
      <c r="D88" s="105" t="s">
        <v>989</v>
      </c>
      <c r="E88" s="101" t="s">
        <v>233</v>
      </c>
      <c r="F88" s="97" t="s">
        <v>509</v>
      </c>
      <c r="G88" s="104">
        <v>1</v>
      </c>
    </row>
    <row r="89" spans="1:8">
      <c r="A89" t="s">
        <v>883</v>
      </c>
      <c r="B89" t="s">
        <v>898</v>
      </c>
      <c r="C89" s="161" t="str">
        <f t="shared" si="1"/>
        <v>"G89":"parcelassessmentwithdats_drugsusageinformation_productprice_6"</v>
      </c>
      <c r="D89" s="105" t="s">
        <v>990</v>
      </c>
      <c r="E89" s="101" t="s">
        <v>233</v>
      </c>
      <c r="F89" s="97" t="s">
        <v>509</v>
      </c>
      <c r="G89" s="104">
        <v>1</v>
      </c>
    </row>
    <row r="90" spans="1:8">
      <c r="A90" t="s">
        <v>883</v>
      </c>
      <c r="B90" t="s">
        <v>899</v>
      </c>
      <c r="C90" s="161" t="str">
        <f t="shared" si="1"/>
        <v>"G90":"parcelassessmentwithdats_drugsusageinformation_productprice_7"</v>
      </c>
      <c r="D90" s="105" t="s">
        <v>991</v>
      </c>
      <c r="E90" s="101" t="s">
        <v>233</v>
      </c>
      <c r="F90" s="97" t="s">
        <v>509</v>
      </c>
      <c r="G90" s="104">
        <v>1</v>
      </c>
    </row>
    <row r="91" spans="1:8">
      <c r="A91" t="s">
        <v>883</v>
      </c>
      <c r="B91" t="s">
        <v>900</v>
      </c>
      <c r="C91" s="161" t="str">
        <f t="shared" si="1"/>
        <v>"G91":"parcelassessmentwithdats_drugsusageinformation_productprice_8"</v>
      </c>
      <c r="D91" s="105" t="s">
        <v>992</v>
      </c>
      <c r="E91" s="101" t="s">
        <v>233</v>
      </c>
      <c r="F91" s="97" t="s">
        <v>509</v>
      </c>
      <c r="G91" s="104">
        <v>1</v>
      </c>
    </row>
    <row r="92" spans="1:8">
      <c r="A92" t="s">
        <v>883</v>
      </c>
      <c r="B92" t="s">
        <v>901</v>
      </c>
      <c r="C92" s="161" t="str">
        <f t="shared" si="1"/>
        <v>"G92":"parcelassessmentwithdats_drugsusageinformation_productprice_9"</v>
      </c>
      <c r="D92" s="105" t="s">
        <v>993</v>
      </c>
      <c r="E92" s="101" t="s">
        <v>233</v>
      </c>
      <c r="F92" s="97" t="s">
        <v>509</v>
      </c>
      <c r="G92" s="104">
        <v>1</v>
      </c>
    </row>
    <row r="93" spans="1:8">
      <c r="C93" s="161" t="str">
        <f t="shared" si="0"/>
        <v>"G93":"_"</v>
      </c>
      <c r="D93" s="105" t="s">
        <v>994</v>
      </c>
      <c r="E93" s="70"/>
      <c r="F93" s="69"/>
      <c r="G93" s="20"/>
      <c r="H93" s="70"/>
    </row>
    <row r="94" spans="1:8">
      <c r="C94" s="161" t="str">
        <f t="shared" ref="C94:C95" si="2">CONCATENATE("""",D94,"""",":","""",LOWER(A94),"_",LOWER(B94),"""")</f>
        <v>"G94":"_"</v>
      </c>
      <c r="D94" s="105" t="s">
        <v>995</v>
      </c>
      <c r="E94" s="187" t="s">
        <v>549</v>
      </c>
      <c r="F94" s="187"/>
      <c r="G94" s="187"/>
    </row>
    <row r="95" spans="1:8">
      <c r="C95" s="161" t="str">
        <f t="shared" si="2"/>
        <v>"G95":"_"</v>
      </c>
      <c r="D95" s="105" t="s">
        <v>996</v>
      </c>
      <c r="E95" s="5" t="s">
        <v>49</v>
      </c>
      <c r="F95" s="5" t="s">
        <v>134</v>
      </c>
      <c r="G95" s="5" t="s">
        <v>53</v>
      </c>
    </row>
    <row r="96" spans="1:8" ht="18">
      <c r="A96" t="s">
        <v>878</v>
      </c>
      <c r="B96" t="s">
        <v>850</v>
      </c>
      <c r="C96" s="161" t="str">
        <f>CONCATENATE("""",D96,"""",":","""","parcelassessmentwithoutdats_",LOWER(A96),"_",LOWER(B96),"""")</f>
        <v>"G96":"parcelassessmentwithoutdats_marketinformation_waterprice"</v>
      </c>
      <c r="D96" s="105" t="s">
        <v>997</v>
      </c>
      <c r="E96" s="96" t="s">
        <v>130</v>
      </c>
      <c r="F96" s="97" t="s">
        <v>498</v>
      </c>
      <c r="G96" s="169">
        <v>1</v>
      </c>
    </row>
    <row r="97" spans="1:7">
      <c r="A97" t="s">
        <v>878</v>
      </c>
      <c r="B97" t="s">
        <v>851</v>
      </c>
      <c r="C97" s="161" t="str">
        <f t="shared" ref="C97:C121" si="3">CONCATENATE("""",D97,"""",":","""","parcelassessmentwithoutdats_",LOWER(A97),"_",LOWER(B97),"""")</f>
        <v>"G97":"parcelassessmentwithoutdats_marketinformation_fuelprice"</v>
      </c>
      <c r="D97" s="105" t="s">
        <v>998</v>
      </c>
      <c r="E97" s="96" t="s">
        <v>131</v>
      </c>
      <c r="F97" s="97" t="s">
        <v>368</v>
      </c>
      <c r="G97" s="169">
        <v>1</v>
      </c>
    </row>
    <row r="98" spans="1:7">
      <c r="A98" t="s">
        <v>878</v>
      </c>
      <c r="B98" t="s">
        <v>853</v>
      </c>
      <c r="C98" s="161" t="str">
        <f t="shared" si="3"/>
        <v>"G98":"parcelassessmentwithoutdats_marketinformation_n_fuel_for_greenhouse"</v>
      </c>
      <c r="D98" s="105" t="s">
        <v>999</v>
      </c>
      <c r="E98" s="96" t="s">
        <v>631</v>
      </c>
      <c r="F98" s="97" t="s">
        <v>122</v>
      </c>
      <c r="G98" s="169">
        <v>1</v>
      </c>
    </row>
    <row r="99" spans="1:7" ht="18">
      <c r="A99" t="s">
        <v>879</v>
      </c>
      <c r="B99" t="s">
        <v>892</v>
      </c>
      <c r="C99" s="161" t="str">
        <f t="shared" si="3"/>
        <v>"G99":"parcelassessmentwithoutdats_fuelfortemperaturecontrolinformation_productprice_0"</v>
      </c>
      <c r="D99" s="105" t="s">
        <v>1000</v>
      </c>
      <c r="E99" s="96" t="s">
        <v>557</v>
      </c>
      <c r="F99" s="97" t="s">
        <v>498</v>
      </c>
      <c r="G99" s="169">
        <v>1</v>
      </c>
    </row>
    <row r="100" spans="1:7" ht="18">
      <c r="A100" t="s">
        <v>879</v>
      </c>
      <c r="B100" t="s">
        <v>893</v>
      </c>
      <c r="C100" s="161" t="str">
        <f t="shared" si="3"/>
        <v>"G100":"parcelassessmentwithoutdats_fuelfortemperaturecontrolinformation_productprice_1"</v>
      </c>
      <c r="D100" s="105" t="s">
        <v>1001</v>
      </c>
      <c r="E100" s="96" t="s">
        <v>644</v>
      </c>
      <c r="F100" s="97" t="s">
        <v>498</v>
      </c>
      <c r="G100" s="169">
        <v>1</v>
      </c>
    </row>
    <row r="101" spans="1:7" ht="18">
      <c r="A101" t="s">
        <v>879</v>
      </c>
      <c r="B101" t="s">
        <v>894</v>
      </c>
      <c r="C101" s="161" t="str">
        <f t="shared" si="3"/>
        <v>"G101":"parcelassessmentwithoutdats_fuelfortemperaturecontrolinformation_productprice_2"</v>
      </c>
      <c r="D101" s="105" t="s">
        <v>1002</v>
      </c>
      <c r="E101" s="96" t="s">
        <v>645</v>
      </c>
      <c r="F101" s="97" t="s">
        <v>646</v>
      </c>
      <c r="G101" s="169">
        <v>1</v>
      </c>
    </row>
    <row r="102" spans="1:7">
      <c r="A102" t="s">
        <v>878</v>
      </c>
      <c r="B102" t="s">
        <v>852</v>
      </c>
      <c r="C102" s="161" t="str">
        <f t="shared" si="3"/>
        <v>"G102":"parcelassessmentwithoutdats_marketinformation_electricityprice"</v>
      </c>
      <c r="D102" s="105" t="s">
        <v>1003</v>
      </c>
      <c r="E102" s="96" t="s">
        <v>132</v>
      </c>
      <c r="F102" s="97" t="s">
        <v>369</v>
      </c>
      <c r="G102" s="169">
        <v>1</v>
      </c>
    </row>
    <row r="103" spans="1:7">
      <c r="A103" t="s">
        <v>878</v>
      </c>
      <c r="B103" s="75" t="s">
        <v>854</v>
      </c>
      <c r="C103" s="161" t="str">
        <f t="shared" si="3"/>
        <v>"G103":"parcelassessmentwithoutdats_marketinformation_averagesalary"</v>
      </c>
      <c r="D103" s="105" t="s">
        <v>1004</v>
      </c>
      <c r="E103" s="96" t="s">
        <v>495</v>
      </c>
      <c r="F103" s="97" t="s">
        <v>370</v>
      </c>
      <c r="G103" s="169">
        <v>1</v>
      </c>
    </row>
    <row r="104" spans="1:7">
      <c r="A104" t="s">
        <v>878</v>
      </c>
      <c r="B104" s="75" t="s">
        <v>855</v>
      </c>
      <c r="C104" s="161" t="str">
        <f t="shared" si="3"/>
        <v>"G104":"parcelassessmentwithoutdats_marketinformation_averageprofessionalsalary"</v>
      </c>
      <c r="D104" s="105" t="s">
        <v>1005</v>
      </c>
      <c r="E104" s="96" t="s">
        <v>489</v>
      </c>
      <c r="F104" s="97" t="s">
        <v>370</v>
      </c>
      <c r="G104" s="169">
        <v>1</v>
      </c>
    </row>
    <row r="105" spans="1:7">
      <c r="A105" t="s">
        <v>878</v>
      </c>
      <c r="B105" t="s">
        <v>782</v>
      </c>
      <c r="C105" s="161" t="str">
        <f t="shared" si="3"/>
        <v>"G105":"parcelassessmentwithoutdats_marketinformation_productmarketprice"</v>
      </c>
      <c r="D105" s="105" t="s">
        <v>1006</v>
      </c>
      <c r="E105" s="96" t="s">
        <v>490</v>
      </c>
      <c r="F105" s="97" t="s">
        <v>508</v>
      </c>
      <c r="G105" s="169">
        <v>1</v>
      </c>
    </row>
    <row r="106" spans="1:7">
      <c r="A106" t="s">
        <v>878</v>
      </c>
      <c r="B106" t="s">
        <v>856</v>
      </c>
      <c r="C106" s="161" t="str">
        <f t="shared" si="3"/>
        <v>"G106":"parcelassessmentwithoutdats_marketinformation_n_of_pesticide_used"</v>
      </c>
      <c r="D106" s="105" t="s">
        <v>1007</v>
      </c>
      <c r="E106" s="96" t="s">
        <v>491</v>
      </c>
      <c r="F106" s="97" t="s">
        <v>122</v>
      </c>
      <c r="G106" s="169">
        <v>1</v>
      </c>
    </row>
    <row r="107" spans="1:7">
      <c r="A107" t="s">
        <v>880</v>
      </c>
      <c r="B107" t="s">
        <v>892</v>
      </c>
      <c r="C107" s="161" t="str">
        <f t="shared" si="3"/>
        <v>"G107":"parcelassessmentwithoutdats_pesticidesusageinformation_productprice_0"</v>
      </c>
      <c r="D107" s="105" t="s">
        <v>1008</v>
      </c>
      <c r="E107" s="96" t="s">
        <v>222</v>
      </c>
      <c r="F107" s="97" t="s">
        <v>517</v>
      </c>
      <c r="G107" s="169">
        <v>1</v>
      </c>
    </row>
    <row r="108" spans="1:7">
      <c r="A108" t="s">
        <v>880</v>
      </c>
      <c r="B108" t="s">
        <v>893</v>
      </c>
      <c r="C108" s="161" t="str">
        <f t="shared" si="3"/>
        <v>"G108":"parcelassessmentwithoutdats_pesticidesusageinformation_productprice_1"</v>
      </c>
      <c r="D108" s="105" t="s">
        <v>1009</v>
      </c>
      <c r="E108" s="96" t="s">
        <v>223</v>
      </c>
      <c r="F108" s="97" t="s">
        <v>517</v>
      </c>
      <c r="G108" s="169">
        <v>1</v>
      </c>
    </row>
    <row r="109" spans="1:7">
      <c r="A109" t="s">
        <v>880</v>
      </c>
      <c r="B109" t="s">
        <v>894</v>
      </c>
      <c r="C109" s="161" t="str">
        <f t="shared" si="3"/>
        <v>"G109":"parcelassessmentwithoutdats_pesticidesusageinformation_productprice_2"</v>
      </c>
      <c r="D109" s="105" t="s">
        <v>1010</v>
      </c>
      <c r="E109" s="96" t="s">
        <v>224</v>
      </c>
      <c r="F109" s="97" t="s">
        <v>517</v>
      </c>
      <c r="G109" s="169">
        <v>1</v>
      </c>
    </row>
    <row r="110" spans="1:7">
      <c r="A110" t="s">
        <v>878</v>
      </c>
      <c r="B110" t="s">
        <v>857</v>
      </c>
      <c r="C110" s="161" t="str">
        <f t="shared" si="3"/>
        <v>"G110":"parcelassessmentwithoutdats_marketinformation_n_of_fertilizers_used"</v>
      </c>
      <c r="D110" s="105" t="s">
        <v>1011</v>
      </c>
      <c r="E110" s="96" t="s">
        <v>492</v>
      </c>
      <c r="F110" s="97" t="s">
        <v>122</v>
      </c>
      <c r="G110" s="169">
        <v>1</v>
      </c>
    </row>
    <row r="111" spans="1:7">
      <c r="A111" t="s">
        <v>881</v>
      </c>
      <c r="B111" t="s">
        <v>892</v>
      </c>
      <c r="C111" s="161" t="str">
        <f t="shared" si="3"/>
        <v>"G111":"parcelassessmentwithoutdats_fertilizersusageinformation_productprice_0"</v>
      </c>
      <c r="D111" s="105" t="s">
        <v>1012</v>
      </c>
      <c r="E111" s="96" t="s">
        <v>225</v>
      </c>
      <c r="F111" s="97" t="s">
        <v>508</v>
      </c>
      <c r="G111" s="169">
        <v>1</v>
      </c>
    </row>
    <row r="112" spans="1:7">
      <c r="A112" t="s">
        <v>881</v>
      </c>
      <c r="B112" t="s">
        <v>893</v>
      </c>
      <c r="C112" s="161" t="str">
        <f t="shared" si="3"/>
        <v>"G112":"parcelassessmentwithoutdats_fertilizersusageinformation_productprice_1"</v>
      </c>
      <c r="D112" s="105" t="s">
        <v>1013</v>
      </c>
      <c r="E112" s="96" t="s">
        <v>226</v>
      </c>
      <c r="F112" s="97" t="s">
        <v>508</v>
      </c>
      <c r="G112" s="169">
        <v>1</v>
      </c>
    </row>
    <row r="113" spans="1:7">
      <c r="A113" t="s">
        <v>881</v>
      </c>
      <c r="B113" t="s">
        <v>894</v>
      </c>
      <c r="C113" s="161" t="str">
        <f t="shared" si="3"/>
        <v>"G113":"parcelassessmentwithoutdats_fertilizersusageinformation_productprice_2"</v>
      </c>
      <c r="D113" s="105" t="s">
        <v>1014</v>
      </c>
      <c r="E113" s="96" t="s">
        <v>227</v>
      </c>
      <c r="F113" s="97" t="s">
        <v>508</v>
      </c>
      <c r="G113" s="169">
        <v>1</v>
      </c>
    </row>
    <row r="114" spans="1:7">
      <c r="A114" t="s">
        <v>878</v>
      </c>
      <c r="B114" t="s">
        <v>858</v>
      </c>
      <c r="C114" s="161" t="str">
        <f t="shared" si="3"/>
        <v>"G114":"parcelassessmentwithoutdats_marketinformation_n_of_feed_used"</v>
      </c>
      <c r="D114" s="105" t="s">
        <v>1015</v>
      </c>
      <c r="E114" s="101" t="s">
        <v>493</v>
      </c>
      <c r="F114" s="97" t="s">
        <v>122</v>
      </c>
      <c r="G114" s="169">
        <v>1</v>
      </c>
    </row>
    <row r="115" spans="1:7">
      <c r="A115" t="s">
        <v>882</v>
      </c>
      <c r="B115" t="s">
        <v>892</v>
      </c>
      <c r="C115" s="161" t="str">
        <f t="shared" si="3"/>
        <v>"G115":"parcelassessmentwithoutdats_feedusageinformation_productprice_0"</v>
      </c>
      <c r="D115" s="105" t="s">
        <v>1016</v>
      </c>
      <c r="E115" s="96" t="s">
        <v>228</v>
      </c>
      <c r="F115" s="97" t="s">
        <v>508</v>
      </c>
      <c r="G115" s="169">
        <v>1</v>
      </c>
    </row>
    <row r="116" spans="1:7">
      <c r="A116" t="s">
        <v>882</v>
      </c>
      <c r="B116" t="s">
        <v>893</v>
      </c>
      <c r="C116" s="161" t="str">
        <f t="shared" si="3"/>
        <v>"G116":"parcelassessmentwithoutdats_feedusageinformation_productprice_1"</v>
      </c>
      <c r="D116" s="105" t="s">
        <v>1017</v>
      </c>
      <c r="E116" s="96" t="s">
        <v>229</v>
      </c>
      <c r="F116" s="97" t="s">
        <v>508</v>
      </c>
      <c r="G116" s="169">
        <v>1</v>
      </c>
    </row>
    <row r="117" spans="1:7">
      <c r="A117" t="s">
        <v>882</v>
      </c>
      <c r="B117" t="s">
        <v>894</v>
      </c>
      <c r="C117" s="161" t="str">
        <f t="shared" si="3"/>
        <v>"G117":"parcelassessmentwithoutdats_feedusageinformation_productprice_2"</v>
      </c>
      <c r="D117" s="105" t="s">
        <v>1018</v>
      </c>
      <c r="E117" s="101" t="s">
        <v>230</v>
      </c>
      <c r="F117" s="97" t="s">
        <v>508</v>
      </c>
      <c r="G117" s="169">
        <v>1</v>
      </c>
    </row>
    <row r="118" spans="1:7">
      <c r="A118" t="s">
        <v>878</v>
      </c>
      <c r="B118" t="s">
        <v>859</v>
      </c>
      <c r="C118" s="161" t="str">
        <f t="shared" si="3"/>
        <v>"G118":"parcelassessmentwithoutdats_marketinformation_n_of_drugs_used"</v>
      </c>
      <c r="D118" s="105" t="s">
        <v>1019</v>
      </c>
      <c r="E118" s="96" t="s">
        <v>494</v>
      </c>
      <c r="F118" s="97" t="s">
        <v>122</v>
      </c>
      <c r="G118" s="169">
        <v>1</v>
      </c>
    </row>
    <row r="119" spans="1:7">
      <c r="A119" t="s">
        <v>883</v>
      </c>
      <c r="B119" t="s">
        <v>892</v>
      </c>
      <c r="C119" s="161" t="str">
        <f t="shared" si="3"/>
        <v>"G119":"parcelassessmentwithoutdats_drugsusageinformation_productprice_0"</v>
      </c>
      <c r="D119" s="105" t="s">
        <v>1020</v>
      </c>
      <c r="E119" s="96" t="s">
        <v>231</v>
      </c>
      <c r="F119" s="97" t="s">
        <v>509</v>
      </c>
      <c r="G119" s="169">
        <v>1</v>
      </c>
    </row>
    <row r="120" spans="1:7">
      <c r="A120" t="s">
        <v>883</v>
      </c>
      <c r="B120" t="s">
        <v>893</v>
      </c>
      <c r="C120" s="161" t="str">
        <f t="shared" si="3"/>
        <v>"G120":"parcelassessmentwithoutdats_drugsusageinformation_productprice_1"</v>
      </c>
      <c r="D120" s="105" t="s">
        <v>1021</v>
      </c>
      <c r="E120" s="96" t="s">
        <v>232</v>
      </c>
      <c r="F120" s="97" t="s">
        <v>509</v>
      </c>
      <c r="G120" s="169">
        <v>1</v>
      </c>
    </row>
    <row r="121" spans="1:7">
      <c r="A121" t="s">
        <v>883</v>
      </c>
      <c r="B121" t="s">
        <v>894</v>
      </c>
      <c r="C121" s="161" t="str">
        <f t="shared" si="3"/>
        <v>"G121":"parcelassessmentwithoutdats_drugsusageinformation_productprice_2"</v>
      </c>
      <c r="D121" s="105" t="s">
        <v>1022</v>
      </c>
      <c r="E121" s="101" t="s">
        <v>233</v>
      </c>
      <c r="F121" s="97" t="s">
        <v>509</v>
      </c>
      <c r="G121" s="169">
        <v>1</v>
      </c>
    </row>
    <row r="122" spans="1:7">
      <c r="C122" s="161"/>
    </row>
    <row r="128" spans="1:7">
      <c r="C128" s="161"/>
    </row>
    <row r="129" spans="3:3">
      <c r="C129" s="161"/>
    </row>
    <row r="130" spans="3:3">
      <c r="C130" s="161"/>
    </row>
  </sheetData>
  <sheetProtection selectLockedCells="1"/>
  <mergeCells count="4">
    <mergeCell ref="E18:G18"/>
    <mergeCell ref="E5:G5"/>
    <mergeCell ref="E30:G30"/>
    <mergeCell ref="E94:G94"/>
  </mergeCells>
  <phoneticPr fontId="2" type="noConversion"/>
  <dataValidations count="2">
    <dataValidation type="date" allowBlank="1" showInputMessage="1" showErrorMessage="1" sqref="G9:G10" xr:uid="{C6A301D0-E32A-7847-9D02-7AF2045B1370}">
      <formula1>36526</formula1>
      <formula2>54789</formula2>
    </dataValidation>
    <dataValidation type="decimal" allowBlank="1" showInputMessage="1" showErrorMessage="1" sqref="G11:G16 G32:G92 G20:G28 G96:G121" xr:uid="{84AC0B6C-4865-4341-B879-4551C2B70916}">
      <formula1>0</formula1>
      <formula2>1000000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0B895427-9A7D-4765-A51F-AB5FFCB380AA}">
          <x14:formula1>
            <xm:f>Convalide!$A$2:$A$5</xm:f>
          </x14:formula1>
          <xm:sqref>F48 F105</xm:sqref>
        </x14:dataValidation>
        <x14:dataValidation type="list" allowBlank="1" showInputMessage="1" showErrorMessage="1" xr:uid="{EBBAE4A3-CD13-42DD-910A-ABF65BA58D5A}">
          <x14:formula1>
            <xm:f>Convalide!$A$3:$A$4</xm:f>
          </x14:formula1>
          <xm:sqref>F107:F109 F50:F59</xm:sqref>
        </x14:dataValidation>
        <x14:dataValidation type="list" allowBlank="1" showInputMessage="1" showErrorMessage="1" xr:uid="{DA6AEAF9-E20E-4442-A856-45C35E406954}">
          <x14:formula1>
            <xm:f>Convalide!$A$2:$A$3</xm:f>
          </x14:formula1>
          <xm:sqref>F111:F113 F61:F70</xm:sqref>
        </x14:dataValidation>
        <x14:dataValidation type="list" allowBlank="1" showInputMessage="1" showErrorMessage="1" xr:uid="{80B04104-D707-446D-A500-678AEBD39C8E}">
          <x14:formula1>
            <xm:f>Convalide!$O$2:$O$18</xm:f>
          </x14:formula1>
          <xm:sqref>G7</xm:sqref>
        </x14:dataValidation>
        <x14:dataValidation type="list" allowBlank="1" showInputMessage="1" showErrorMessage="1" xr:uid="{09D627A1-9048-C948-A9EA-198FA209793B}">
          <x14:formula1>
            <xm:f>Convalide!$X$2:$X$4</xm:f>
          </x14:formula1>
          <xm:sqref>G8</xm:sqref>
        </x14:dataValidation>
        <x14:dataValidation type="list" allowBlank="1" showInputMessage="1" showErrorMessage="1" xr:uid="{FA4592DB-7EBA-4C9C-8F9C-C9108F0070B5}">
          <x14:formula1>
            <xm:f>Convalide!$J$2:$J$8</xm:f>
          </x14:formula1>
          <xm:sqref>G6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45BA1-B7FE-5E43-AF5E-4A2ACDA665DC}">
  <sheetPr codeName="F____4">
    <tabColor theme="7"/>
  </sheetPr>
  <dimension ref="A1:BJ294"/>
  <sheetViews>
    <sheetView zoomScale="70" zoomScaleNormal="70" workbookViewId="0">
      <selection activeCell="G10" sqref="G10:G20"/>
    </sheetView>
  </sheetViews>
  <sheetFormatPr defaultColWidth="11.125" defaultRowHeight="15.75"/>
  <cols>
    <col min="1" max="2" width="34.375" customWidth="1"/>
    <col min="3" max="3" width="79" customWidth="1"/>
    <col min="4" max="4" width="11.375" customWidth="1"/>
    <col min="5" max="5" width="75.625" customWidth="1"/>
    <col min="6" max="6" width="11.375" customWidth="1"/>
    <col min="7" max="7" width="43" customWidth="1"/>
    <col min="8" max="8" width="32.875" customWidth="1"/>
    <col min="9" max="9" width="105.5" customWidth="1"/>
    <col min="10" max="10" width="14" customWidth="1"/>
    <col min="11" max="11" width="12.5" customWidth="1"/>
    <col min="12" max="12" width="21.75" customWidth="1"/>
    <col min="13" max="13" width="10.875" customWidth="1"/>
    <col min="14" max="14" width="12.5" customWidth="1"/>
    <col min="15" max="15" width="25" customWidth="1"/>
    <col min="16" max="16" width="10.625" customWidth="1"/>
    <col min="17" max="17" width="12.5" customWidth="1"/>
    <col min="18" max="18" width="25" customWidth="1"/>
  </cols>
  <sheetData>
    <row r="1" spans="1:62">
      <c r="A1" t="s">
        <v>104</v>
      </c>
      <c r="BJ1" t="s">
        <v>105</v>
      </c>
    </row>
    <row r="2" spans="1:62" ht="20.100000000000001" customHeight="1">
      <c r="K2" s="192" t="s">
        <v>550</v>
      </c>
      <c r="L2" s="192"/>
      <c r="BJ2" t="s">
        <v>106</v>
      </c>
    </row>
    <row r="3" spans="1:62" ht="15.95" customHeight="1">
      <c r="K3" s="192"/>
      <c r="L3" s="192"/>
    </row>
    <row r="4" spans="1:62" ht="27" customHeight="1">
      <c r="G4" s="6" t="s">
        <v>102</v>
      </c>
      <c r="H4" s="7" t="s">
        <v>103</v>
      </c>
      <c r="I4" s="7"/>
      <c r="J4" s="103"/>
      <c r="K4" s="192"/>
      <c r="L4" s="192"/>
    </row>
    <row r="5" spans="1:62" ht="15.95" customHeight="1">
      <c r="K5" s="192"/>
      <c r="L5" s="192"/>
    </row>
    <row r="6" spans="1:62" ht="15.95" customHeight="1">
      <c r="K6" s="192"/>
      <c r="L6" s="192"/>
    </row>
    <row r="7" spans="1:62">
      <c r="H7" s="8"/>
      <c r="I7" s="8"/>
      <c r="J7" s="8"/>
      <c r="K7" s="8"/>
      <c r="L7" s="8"/>
    </row>
    <row r="8" spans="1:62" ht="21" customHeight="1">
      <c r="A8" s="9"/>
      <c r="B8" s="9"/>
      <c r="C8" s="9"/>
      <c r="D8" s="162"/>
      <c r="E8" s="163"/>
      <c r="F8" s="163"/>
      <c r="G8" s="163"/>
      <c r="H8" s="163"/>
      <c r="I8" s="163"/>
      <c r="J8" s="163"/>
      <c r="K8" s="8"/>
      <c r="L8" s="8"/>
      <c r="M8" s="89"/>
      <c r="N8" s="143"/>
      <c r="O8" s="143"/>
      <c r="P8" s="143"/>
      <c r="Q8" s="143"/>
      <c r="R8" s="143"/>
      <c r="S8" s="9"/>
      <c r="T8" s="9"/>
      <c r="U8" s="9"/>
      <c r="V8" s="9"/>
      <c r="W8" s="9"/>
      <c r="X8" s="9"/>
      <c r="Y8" s="9"/>
      <c r="Z8" s="9"/>
      <c r="AA8" s="9"/>
      <c r="AB8" s="9"/>
      <c r="AC8" s="9"/>
      <c r="AD8" s="9"/>
    </row>
    <row r="9" spans="1:62" ht="21" customHeight="1">
      <c r="A9" s="11" t="s">
        <v>875</v>
      </c>
      <c r="B9" s="11" t="s">
        <v>876</v>
      </c>
      <c r="C9" s="11"/>
      <c r="D9" s="158"/>
      <c r="E9" s="167"/>
      <c r="F9" s="167"/>
      <c r="G9" s="159" t="s">
        <v>119</v>
      </c>
      <c r="H9" s="158" t="s">
        <v>107</v>
      </c>
      <c r="I9" s="167"/>
      <c r="K9" s="159" t="s">
        <v>108</v>
      </c>
      <c r="L9" s="159" t="s">
        <v>108</v>
      </c>
      <c r="M9" s="89"/>
      <c r="N9" s="114"/>
      <c r="O9" s="114"/>
      <c r="P9" s="114"/>
      <c r="Q9" s="114"/>
      <c r="R9" s="114"/>
      <c r="S9" s="11"/>
      <c r="T9" s="11"/>
      <c r="U9" s="11"/>
      <c r="V9" s="11"/>
      <c r="W9" s="11"/>
      <c r="X9" s="11"/>
      <c r="Y9" s="11"/>
      <c r="Z9" s="11"/>
      <c r="AA9" s="11"/>
      <c r="AB9" s="11"/>
      <c r="AC9" s="11"/>
      <c r="AD9" s="11"/>
    </row>
    <row r="10" spans="1:62" ht="21" customHeight="1">
      <c r="A10" s="9" t="s">
        <v>861</v>
      </c>
      <c r="B10" s="161" t="s">
        <v>702</v>
      </c>
      <c r="C10" s="161" t="str">
        <f>CONCATENATE("""",D10,"""",":","""","parcelassessmentwithdats_",LOWER($A10),"_",LOWER($B10),"""")</f>
        <v>"J10":"parcelassessmentwithdats_parcelinformation_parceldimension"</v>
      </c>
      <c r="D10" s="105" t="s">
        <v>1023</v>
      </c>
      <c r="E10" s="161" t="str">
        <f>CONCATENATE("""",F10,"""",":","""","parcelassessmentwithdats_",LOWER(A10),"_",LOWER(B10),"""")</f>
        <v>"K10":"parcelassessmentwithdats_parcelinformation_parceldimension"</v>
      </c>
      <c r="F10" s="105" t="s">
        <v>1260</v>
      </c>
      <c r="G10" s="105" t="s">
        <v>110</v>
      </c>
      <c r="H10" s="105" t="s">
        <v>71</v>
      </c>
      <c r="I10" s="161" t="str">
        <f>CONCATENATE("""",J10,"""",":","""","parcelassessmentwithoutdats_",LOWER($A10),"_",LOWER($B10),"""")</f>
        <v>"L10":"parcelassessmentwithoutdats_parcelinformation_parceldimension"</v>
      </c>
      <c r="J10" s="170" t="s">
        <v>1497</v>
      </c>
      <c r="K10" s="104">
        <v>1</v>
      </c>
      <c r="L10" s="104">
        <v>1</v>
      </c>
      <c r="M10" s="89"/>
      <c r="N10" s="143"/>
      <c r="O10" s="143"/>
      <c r="P10" s="143"/>
      <c r="Q10" s="143"/>
      <c r="R10" s="143"/>
      <c r="S10" s="9"/>
      <c r="T10" s="9"/>
      <c r="U10" s="9"/>
      <c r="V10" s="9"/>
      <c r="W10" s="9"/>
      <c r="X10" s="9"/>
      <c r="Y10" s="9"/>
      <c r="Z10" s="9"/>
      <c r="AA10" s="9"/>
      <c r="AB10" s="9"/>
      <c r="AC10" s="9"/>
      <c r="AD10" s="9"/>
    </row>
    <row r="11" spans="1:62" ht="21" customHeight="1">
      <c r="A11" s="9" t="s">
        <v>861</v>
      </c>
      <c r="B11" s="161" t="s">
        <v>716</v>
      </c>
      <c r="C11" s="161" t="str">
        <f t="shared" ref="C11:C74" si="0">CONCATENATE("""",D11,"""",":","""","parcelassessmentwithdats_",LOWER($A11),"_",LOWER($B11),"""")</f>
        <v>"J11":"parcelassessmentwithdats_parcelinformation_numberofplants"</v>
      </c>
      <c r="D11" s="105" t="s">
        <v>1024</v>
      </c>
      <c r="E11" s="161" t="str">
        <f t="shared" ref="E11:E74" si="1">CONCATENATE("""",F11,"""",":","""","parcelassessmentwithdats_",LOWER(A11),"_",LOWER(B11),"""")</f>
        <v>"K11":"parcelassessmentwithdats_parcelinformation_numberofplants"</v>
      </c>
      <c r="F11" s="105" t="s">
        <v>1261</v>
      </c>
      <c r="G11" s="105" t="s">
        <v>497</v>
      </c>
      <c r="H11" s="105" t="s">
        <v>122</v>
      </c>
      <c r="I11" s="161" t="str">
        <f t="shared" ref="I11:I74" si="2">CONCATENATE("""",J11,"""",":","""","parcelassessmentwithoutdats_",LOWER($A11),"_",LOWER($B11),"""")</f>
        <v>"L11":"parcelassessmentwithoutdats_parcelinformation_numberofplants"</v>
      </c>
      <c r="J11" s="170" t="s">
        <v>1498</v>
      </c>
      <c r="K11" s="104">
        <v>1</v>
      </c>
      <c r="L11" s="104">
        <v>1</v>
      </c>
      <c r="M11" s="89"/>
      <c r="N11" s="143"/>
      <c r="O11" s="143"/>
      <c r="P11" s="143"/>
      <c r="Q11" s="143"/>
      <c r="R11" s="143"/>
      <c r="S11" s="9"/>
      <c r="T11" s="9"/>
      <c r="U11" s="9"/>
      <c r="V11" s="9"/>
      <c r="W11" s="9"/>
      <c r="X11" s="9"/>
      <c r="Y11" s="9"/>
      <c r="Z11" s="9"/>
      <c r="AA11" s="9"/>
      <c r="AB11" s="9"/>
      <c r="AC11" s="9"/>
      <c r="AD11" s="9"/>
    </row>
    <row r="12" spans="1:62" s="10" customFormat="1">
      <c r="A12" s="9" t="s">
        <v>861</v>
      </c>
      <c r="B12" s="161" t="s">
        <v>710</v>
      </c>
      <c r="C12" s="161" t="str">
        <f t="shared" si="0"/>
        <v>"J12":"parcelassessmentwithdats_parcelinformation_soilfractionsand"</v>
      </c>
      <c r="D12" s="105" t="s">
        <v>1025</v>
      </c>
      <c r="E12" s="161" t="str">
        <f t="shared" si="1"/>
        <v>"K12":"parcelassessmentwithdats_parcelinformation_soilfractionsand"</v>
      </c>
      <c r="F12" s="105" t="s">
        <v>1262</v>
      </c>
      <c r="G12" s="105" t="s">
        <v>685</v>
      </c>
      <c r="H12" s="105" t="s">
        <v>114</v>
      </c>
      <c r="I12" s="161" t="str">
        <f t="shared" si="2"/>
        <v>"L12":"parcelassessmentwithoutdats_parcelinformation_soilfractionsand"</v>
      </c>
      <c r="J12" s="170" t="s">
        <v>1499</v>
      </c>
      <c r="K12" s="104">
        <v>1</v>
      </c>
      <c r="L12" s="104">
        <v>1</v>
      </c>
      <c r="M12" s="143"/>
      <c r="N12" s="143"/>
      <c r="O12" s="143"/>
      <c r="P12" s="143"/>
      <c r="Q12" s="143"/>
      <c r="R12" s="143"/>
    </row>
    <row r="13" spans="1:62" s="10" customFormat="1">
      <c r="A13" s="9" t="s">
        <v>861</v>
      </c>
      <c r="B13" s="161" t="s">
        <v>711</v>
      </c>
      <c r="C13" s="161" t="str">
        <f t="shared" si="0"/>
        <v>"J13":"parcelassessmentwithdats_parcelinformation_soilfractionclay"</v>
      </c>
      <c r="D13" s="105" t="s">
        <v>1026</v>
      </c>
      <c r="E13" s="161" t="str">
        <f t="shared" si="1"/>
        <v>"K13":"parcelassessmentwithdats_parcelinformation_soilfractionclay"</v>
      </c>
      <c r="F13" s="105" t="s">
        <v>1263</v>
      </c>
      <c r="G13" s="105" t="s">
        <v>686</v>
      </c>
      <c r="H13" s="105" t="s">
        <v>114</v>
      </c>
      <c r="I13" s="161" t="str">
        <f t="shared" si="2"/>
        <v>"L13":"parcelassessmentwithoutdats_parcelinformation_soilfractionclay"</v>
      </c>
      <c r="J13" s="170" t="s">
        <v>1500</v>
      </c>
      <c r="K13" s="104">
        <v>1</v>
      </c>
      <c r="L13" s="104">
        <v>1</v>
      </c>
      <c r="M13" s="143"/>
      <c r="N13" s="143"/>
      <c r="O13" s="143"/>
      <c r="P13" s="143"/>
      <c r="Q13" s="143"/>
      <c r="R13" s="143"/>
    </row>
    <row r="14" spans="1:62" s="10" customFormat="1">
      <c r="A14" s="9" t="s">
        <v>861</v>
      </c>
      <c r="B14" s="161" t="s">
        <v>712</v>
      </c>
      <c r="C14" s="161" t="str">
        <f t="shared" si="0"/>
        <v>"J14":"parcelassessmentwithdats_parcelinformation_soilfractionsilt"</v>
      </c>
      <c r="D14" s="105" t="s">
        <v>1027</v>
      </c>
      <c r="E14" s="161" t="str">
        <f t="shared" si="1"/>
        <v>"K14":"parcelassessmentwithdats_parcelinformation_soilfractionsilt"</v>
      </c>
      <c r="F14" s="105" t="s">
        <v>1264</v>
      </c>
      <c r="G14" s="105" t="s">
        <v>687</v>
      </c>
      <c r="H14" s="105" t="s">
        <v>114</v>
      </c>
      <c r="I14" s="161" t="str">
        <f t="shared" si="2"/>
        <v>"L14":"parcelassessmentwithoutdats_parcelinformation_soilfractionsilt"</v>
      </c>
      <c r="J14" s="170" t="s">
        <v>1501</v>
      </c>
      <c r="K14" s="104">
        <v>1</v>
      </c>
      <c r="L14" s="104">
        <v>1</v>
      </c>
      <c r="M14" s="143"/>
      <c r="N14" s="143"/>
      <c r="O14" s="143"/>
      <c r="P14" s="143"/>
      <c r="Q14" s="143"/>
      <c r="R14" s="143"/>
    </row>
    <row r="15" spans="1:62" s="10" customFormat="1" ht="18">
      <c r="A15" s="9" t="s">
        <v>861</v>
      </c>
      <c r="B15" s="161" t="s">
        <v>713</v>
      </c>
      <c r="C15" s="161" t="str">
        <f t="shared" si="0"/>
        <v>"J15":"parcelassessmentwithdats_parcelinformation_bulkdensity"</v>
      </c>
      <c r="D15" s="105" t="s">
        <v>1028</v>
      </c>
      <c r="E15" s="161" t="str">
        <f t="shared" si="1"/>
        <v>"K15":"parcelassessmentwithdats_parcelinformation_bulkdensity"</v>
      </c>
      <c r="F15" s="105" t="s">
        <v>1265</v>
      </c>
      <c r="G15" s="105" t="s">
        <v>684</v>
      </c>
      <c r="H15" s="105" t="s">
        <v>519</v>
      </c>
      <c r="I15" s="161" t="str">
        <f t="shared" si="2"/>
        <v>"L15":"parcelassessmentwithoutdats_parcelinformation_bulkdensity"</v>
      </c>
      <c r="J15" s="170" t="s">
        <v>1502</v>
      </c>
      <c r="K15" s="104">
        <v>1</v>
      </c>
      <c r="L15" s="104">
        <v>1</v>
      </c>
      <c r="M15" s="143"/>
      <c r="N15" s="143"/>
      <c r="O15" s="143"/>
      <c r="P15" s="143"/>
      <c r="Q15" s="143"/>
      <c r="R15" s="143"/>
    </row>
    <row r="16" spans="1:62" s="10" customFormat="1">
      <c r="A16" s="9" t="s">
        <v>861</v>
      </c>
      <c r="B16" s="161" t="s">
        <v>714</v>
      </c>
      <c r="C16" s="161" t="str">
        <f t="shared" si="0"/>
        <v>"J16":"parcelassessmentwithdats_parcelinformation_soilorganiccarbon"</v>
      </c>
      <c r="D16" s="105" t="s">
        <v>1029</v>
      </c>
      <c r="E16" s="161" t="str">
        <f t="shared" si="1"/>
        <v>"K16":"parcelassessmentwithdats_parcelinformation_soilorganiccarbon"</v>
      </c>
      <c r="F16" s="105" t="s">
        <v>1266</v>
      </c>
      <c r="G16" s="105" t="s">
        <v>115</v>
      </c>
      <c r="H16" s="105" t="s">
        <v>114</v>
      </c>
      <c r="I16" s="161" t="str">
        <f t="shared" si="2"/>
        <v>"L16":"parcelassessmentwithoutdats_parcelinformation_soilorganiccarbon"</v>
      </c>
      <c r="J16" s="170" t="s">
        <v>1503</v>
      </c>
      <c r="K16" s="104">
        <v>1</v>
      </c>
      <c r="L16" s="104">
        <v>1</v>
      </c>
      <c r="M16" s="143"/>
      <c r="N16" s="143"/>
      <c r="O16" s="143"/>
      <c r="P16" s="143"/>
      <c r="Q16" s="143"/>
      <c r="R16" s="143"/>
    </row>
    <row r="17" spans="1:30">
      <c r="A17" s="9" t="s">
        <v>861</v>
      </c>
      <c r="B17" s="161" t="s">
        <v>715</v>
      </c>
      <c r="C17" s="161" t="str">
        <f t="shared" si="0"/>
        <v>"J17":"parcelassessmentwithdats_parcelinformation_numberofanimals"</v>
      </c>
      <c r="D17" s="105" t="s">
        <v>1030</v>
      </c>
      <c r="E17" s="161" t="str">
        <f t="shared" si="1"/>
        <v>"K17":"parcelassessmentwithdats_parcelinformation_numberofanimals"</v>
      </c>
      <c r="F17" s="105" t="s">
        <v>1267</v>
      </c>
      <c r="G17" s="105" t="s">
        <v>111</v>
      </c>
      <c r="H17" s="105" t="s">
        <v>122</v>
      </c>
      <c r="I17" s="161" t="str">
        <f t="shared" si="2"/>
        <v>"L17":"parcelassessmentwithoutdats_parcelinformation_numberofanimals"</v>
      </c>
      <c r="J17" s="170" t="s">
        <v>1504</v>
      </c>
      <c r="K17" s="104">
        <v>1</v>
      </c>
      <c r="L17" s="104">
        <v>1</v>
      </c>
      <c r="M17" s="89"/>
      <c r="N17" s="143"/>
      <c r="O17" s="143"/>
      <c r="P17" s="143"/>
      <c r="Q17" s="143"/>
      <c r="R17" s="143"/>
      <c r="S17" s="9"/>
      <c r="T17" s="9"/>
      <c r="U17" s="9"/>
      <c r="V17" s="9"/>
      <c r="W17" s="9"/>
      <c r="X17" s="9"/>
      <c r="Y17" s="9"/>
      <c r="Z17" s="9"/>
      <c r="AA17" s="9"/>
      <c r="AB17" s="9"/>
      <c r="AC17" s="9"/>
      <c r="AD17" s="9"/>
    </row>
    <row r="18" spans="1:30">
      <c r="A18" s="9" t="s">
        <v>861</v>
      </c>
      <c r="B18" s="161" t="s">
        <v>717</v>
      </c>
      <c r="C18" s="161" t="str">
        <f t="shared" si="0"/>
        <v>"J18":"parcelassessmentwithdats_parcelinformation_livestockunits"</v>
      </c>
      <c r="D18" s="105" t="s">
        <v>1031</v>
      </c>
      <c r="E18" s="161" t="str">
        <f t="shared" si="1"/>
        <v>"K18":"parcelassessmentwithdats_parcelinformation_livestockunits"</v>
      </c>
      <c r="F18" s="105" t="s">
        <v>1268</v>
      </c>
      <c r="G18" s="105" t="s">
        <v>112</v>
      </c>
      <c r="H18" s="105" t="s">
        <v>113</v>
      </c>
      <c r="I18" s="161" t="str">
        <f t="shared" si="2"/>
        <v>"L18":"parcelassessmentwithoutdats_parcelinformation_livestockunits"</v>
      </c>
      <c r="J18" s="170" t="s">
        <v>1505</v>
      </c>
      <c r="K18" s="104">
        <v>1</v>
      </c>
      <c r="L18" s="104">
        <v>1</v>
      </c>
      <c r="M18" s="89"/>
      <c r="N18" s="143"/>
      <c r="O18" s="143"/>
      <c r="P18" s="143"/>
      <c r="Q18" s="143"/>
      <c r="R18" s="143"/>
      <c r="S18" s="9"/>
      <c r="T18" s="9"/>
      <c r="U18" s="9"/>
      <c r="V18" s="9"/>
      <c r="W18" s="9"/>
      <c r="X18" s="9"/>
      <c r="Y18" s="9"/>
      <c r="Z18" s="9"/>
      <c r="AA18" s="9"/>
      <c r="AB18" s="9"/>
      <c r="AC18" s="9"/>
      <c r="AD18" s="9"/>
    </row>
    <row r="19" spans="1:30">
      <c r="A19" s="9" t="s">
        <v>861</v>
      </c>
      <c r="B19" s="161" t="s">
        <v>718</v>
      </c>
      <c r="C19" s="161" t="str">
        <f t="shared" si="0"/>
        <v>"J19":"parcelassessmentwithdats_parcelinformation_numberofbeehives"</v>
      </c>
      <c r="D19" s="105" t="s">
        <v>1032</v>
      </c>
      <c r="E19" s="161" t="str">
        <f t="shared" si="1"/>
        <v>"K19":"parcelassessmentwithdats_parcelinformation_numberofbeehives"</v>
      </c>
      <c r="F19" s="105" t="s">
        <v>1269</v>
      </c>
      <c r="G19" s="105" t="s">
        <v>135</v>
      </c>
      <c r="H19" s="105" t="s">
        <v>122</v>
      </c>
      <c r="I19" s="161" t="str">
        <f t="shared" si="2"/>
        <v>"L19":"parcelassessmentwithoutdats_parcelinformation_numberofbeehives"</v>
      </c>
      <c r="J19" s="170" t="s">
        <v>1506</v>
      </c>
      <c r="K19" s="104">
        <v>1</v>
      </c>
      <c r="L19" s="104">
        <v>1</v>
      </c>
      <c r="M19" s="89"/>
      <c r="N19" s="89"/>
      <c r="O19" s="89"/>
      <c r="P19" s="89"/>
      <c r="Q19" s="89"/>
      <c r="R19" s="89"/>
    </row>
    <row r="20" spans="1:30" ht="18">
      <c r="A20" s="9" t="s">
        <v>861</v>
      </c>
      <c r="B20" s="161" t="s">
        <v>719</v>
      </c>
      <c r="C20" s="161" t="str">
        <f t="shared" si="0"/>
        <v>"J20":"parcelassessmentwithdats_parcelinformation_aquaculturearea"</v>
      </c>
      <c r="D20" s="105" t="s">
        <v>1033</v>
      </c>
      <c r="E20" s="161" t="str">
        <f t="shared" si="1"/>
        <v>"K20":"parcelassessmentwithdats_parcelinformation_aquaculturearea"</v>
      </c>
      <c r="F20" s="105" t="s">
        <v>1270</v>
      </c>
      <c r="G20" s="105" t="s">
        <v>316</v>
      </c>
      <c r="H20" s="105" t="s">
        <v>317</v>
      </c>
      <c r="I20" s="161" t="str">
        <f t="shared" si="2"/>
        <v>"L20":"parcelassessmentwithoutdats_parcelinformation_aquaculturearea"</v>
      </c>
      <c r="J20" s="170" t="s">
        <v>1507</v>
      </c>
      <c r="K20" s="104">
        <v>1</v>
      </c>
      <c r="L20" s="104">
        <v>1</v>
      </c>
      <c r="M20" s="89"/>
      <c r="N20" s="89"/>
      <c r="O20" s="89"/>
      <c r="P20" s="89"/>
      <c r="Q20" s="89"/>
      <c r="R20" s="89"/>
    </row>
    <row r="21" spans="1:30" ht="21" customHeight="1">
      <c r="A21" s="9"/>
      <c r="B21" s="14"/>
      <c r="C21" s="161" t="str">
        <f t="shared" si="0"/>
        <v>"J21":"parcelassessmentwithdats__"</v>
      </c>
      <c r="D21" s="105" t="s">
        <v>1034</v>
      </c>
      <c r="E21" s="161" t="str">
        <f t="shared" si="1"/>
        <v>"K21":"parcelassessmentwithdats__"</v>
      </c>
      <c r="F21" s="105" t="s">
        <v>1271</v>
      </c>
      <c r="G21" s="13"/>
      <c r="H21" s="9"/>
      <c r="I21" s="161" t="str">
        <f t="shared" si="2"/>
        <v>"L21":"parcelassessmentwithoutdats__"</v>
      </c>
      <c r="J21" s="170" t="s">
        <v>1508</v>
      </c>
      <c r="K21" s="143"/>
      <c r="L21" s="143"/>
      <c r="M21" s="144"/>
      <c r="N21" s="143"/>
      <c r="O21" s="143"/>
      <c r="P21" s="143"/>
      <c r="Q21" s="143"/>
      <c r="R21" s="143"/>
      <c r="S21" s="9"/>
      <c r="T21" s="9"/>
      <c r="U21" s="9"/>
      <c r="V21" s="9"/>
      <c r="W21" s="9"/>
      <c r="X21" s="9"/>
      <c r="Y21" s="9"/>
      <c r="Z21" s="9"/>
      <c r="AA21" s="9"/>
      <c r="AB21" s="9"/>
      <c r="AC21" s="9"/>
      <c r="AD21" s="9"/>
    </row>
    <row r="22" spans="1:30" s="10" customFormat="1">
      <c r="C22" s="161" t="str">
        <f t="shared" si="0"/>
        <v>"J22":"parcelassessmentwithdats__"</v>
      </c>
      <c r="D22" s="105" t="s">
        <v>1035</v>
      </c>
      <c r="E22" s="161" t="str">
        <f t="shared" si="1"/>
        <v>"K22":"parcelassessmentwithdats__"</v>
      </c>
      <c r="F22" s="105" t="s">
        <v>1272</v>
      </c>
      <c r="G22" s="107"/>
      <c r="H22" s="107"/>
      <c r="I22" s="161" t="str">
        <f t="shared" si="2"/>
        <v>"L22":"parcelassessmentwithoutdats__"</v>
      </c>
      <c r="J22" s="170" t="s">
        <v>1509</v>
      </c>
      <c r="K22" s="168" t="s">
        <v>116</v>
      </c>
      <c r="L22" s="168" t="s">
        <v>116</v>
      </c>
      <c r="M22" s="143"/>
      <c r="N22" s="188" t="s">
        <v>117</v>
      </c>
      <c r="O22" s="189"/>
      <c r="P22" s="143"/>
      <c r="Q22" s="190" t="s">
        <v>118</v>
      </c>
      <c r="R22" s="191"/>
    </row>
    <row r="23" spans="1:30" s="10" customFormat="1">
      <c r="C23" s="161" t="str">
        <f t="shared" si="0"/>
        <v>"J23":"parcelassessmentwithdats__"</v>
      </c>
      <c r="D23" s="105" t="s">
        <v>1036</v>
      </c>
      <c r="E23" s="161" t="str">
        <f t="shared" si="1"/>
        <v>"K23":"parcelassessmentwithdats__"</v>
      </c>
      <c r="F23" s="105" t="s">
        <v>1273</v>
      </c>
      <c r="G23" s="108" t="s">
        <v>119</v>
      </c>
      <c r="H23" s="108" t="s">
        <v>107</v>
      </c>
      <c r="I23" s="161" t="str">
        <f t="shared" si="2"/>
        <v>"L23":"parcelassessmentwithoutdats__"</v>
      </c>
      <c r="J23" s="170" t="s">
        <v>1510</v>
      </c>
      <c r="K23" s="90" t="s">
        <v>551</v>
      </c>
      <c r="L23" s="90" t="s">
        <v>551</v>
      </c>
      <c r="M23" s="143"/>
      <c r="N23" s="90" t="s">
        <v>551</v>
      </c>
      <c r="O23" s="90" t="s">
        <v>109</v>
      </c>
      <c r="P23" s="143"/>
      <c r="Q23" s="90" t="s">
        <v>551</v>
      </c>
      <c r="R23" s="90" t="s">
        <v>109</v>
      </c>
    </row>
    <row r="24" spans="1:30" ht="15.95" customHeight="1">
      <c r="A24" t="s">
        <v>862</v>
      </c>
      <c r="B24" t="s">
        <v>721</v>
      </c>
      <c r="C24" s="161" t="str">
        <f t="shared" si="0"/>
        <v>"J24":"parcelassessmentwithdats_waterusageinformation_waterusageforirrigation"</v>
      </c>
      <c r="D24" s="105" t="s">
        <v>1037</v>
      </c>
      <c r="E24" s="161" t="str">
        <f t="shared" si="1"/>
        <v>"K24":"parcelassessmentwithdats_waterusageinformation_waterusageforirrigation"</v>
      </c>
      <c r="F24" s="105" t="s">
        <v>1274</v>
      </c>
      <c r="G24" s="105" t="s">
        <v>1</v>
      </c>
      <c r="H24" s="105" t="s">
        <v>565</v>
      </c>
      <c r="I24" s="161" t="str">
        <f t="shared" si="2"/>
        <v>"L24":"parcelassessmentwithoutdats_waterusageinformation_waterusageforirrigation"</v>
      </c>
      <c r="J24" s="170" t="s">
        <v>1511</v>
      </c>
      <c r="K24" s="104">
        <v>1</v>
      </c>
      <c r="L24" s="104">
        <v>1</v>
      </c>
      <c r="M24" s="89"/>
      <c r="N24" s="104"/>
      <c r="O24" s="104"/>
      <c r="P24" s="89"/>
      <c r="Q24" s="104"/>
      <c r="R24" s="104"/>
    </row>
    <row r="25" spans="1:30" ht="15.95" customHeight="1">
      <c r="A25" t="s">
        <v>862</v>
      </c>
      <c r="B25" t="s">
        <v>722</v>
      </c>
      <c r="C25" s="161" t="str">
        <f t="shared" si="0"/>
        <v>"J25":"parcelassessmentwithdats_waterusageinformation_waterusageforfertigation"</v>
      </c>
      <c r="D25" s="105" t="s">
        <v>1038</v>
      </c>
      <c r="E25" s="161" t="str">
        <f t="shared" si="1"/>
        <v>"K25":"parcelassessmentwithdats_waterusageinformation_waterusageforfertigation"</v>
      </c>
      <c r="F25" s="105" t="s">
        <v>1275</v>
      </c>
      <c r="G25" s="105" t="s">
        <v>2</v>
      </c>
      <c r="H25" s="105" t="s">
        <v>565</v>
      </c>
      <c r="I25" s="161" t="str">
        <f t="shared" si="2"/>
        <v>"L25":"parcelassessmentwithoutdats_waterusageinformation_waterusageforfertigation"</v>
      </c>
      <c r="J25" s="170" t="s">
        <v>1512</v>
      </c>
      <c r="K25" s="104">
        <v>1</v>
      </c>
      <c r="L25" s="104">
        <v>1</v>
      </c>
      <c r="M25" s="89"/>
      <c r="N25" s="104"/>
      <c r="O25" s="104"/>
      <c r="P25" s="89"/>
      <c r="Q25" s="104"/>
      <c r="R25" s="104"/>
    </row>
    <row r="26" spans="1:30" ht="18">
      <c r="A26" t="s">
        <v>862</v>
      </c>
      <c r="B26" t="s">
        <v>723</v>
      </c>
      <c r="C26" s="161" t="str">
        <f t="shared" si="0"/>
        <v>"J26":"parcelassessmentwithdats_waterusageinformation_waterusageforpestdilution"</v>
      </c>
      <c r="D26" s="105" t="s">
        <v>1039</v>
      </c>
      <c r="E26" s="161" t="str">
        <f t="shared" si="1"/>
        <v>"K26":"parcelassessmentwithdats_waterusageinformation_waterusageforpestdilution"</v>
      </c>
      <c r="F26" s="105" t="s">
        <v>1276</v>
      </c>
      <c r="G26" s="105" t="s">
        <v>30</v>
      </c>
      <c r="H26" s="105" t="s">
        <v>565</v>
      </c>
      <c r="I26" s="161" t="str">
        <f t="shared" si="2"/>
        <v>"L26":"parcelassessmentwithoutdats_waterusageinformation_waterusageforpestdilution"</v>
      </c>
      <c r="J26" s="170" t="s">
        <v>1513</v>
      </c>
      <c r="K26" s="104">
        <v>1</v>
      </c>
      <c r="L26" s="104">
        <v>1</v>
      </c>
      <c r="M26" s="89"/>
      <c r="N26" s="104"/>
      <c r="O26" s="104"/>
      <c r="P26" s="89"/>
      <c r="Q26" s="104"/>
      <c r="R26" s="104"/>
    </row>
    <row r="27" spans="1:30" ht="15.95" customHeight="1">
      <c r="A27" t="s">
        <v>862</v>
      </c>
      <c r="B27" t="s">
        <v>724</v>
      </c>
      <c r="C27" s="161" t="str">
        <f t="shared" si="0"/>
        <v>"J27":"parcelassessmentwithdats_waterusageinformation_waterusageforcleaning"</v>
      </c>
      <c r="D27" s="105" t="s">
        <v>1040</v>
      </c>
      <c r="E27" s="161" t="str">
        <f t="shared" si="1"/>
        <v>"K27":"parcelassessmentwithdats_waterusageinformation_waterusageforcleaning"</v>
      </c>
      <c r="F27" s="105" t="s">
        <v>1277</v>
      </c>
      <c r="G27" s="105" t="s">
        <v>3</v>
      </c>
      <c r="H27" s="105" t="s">
        <v>565</v>
      </c>
      <c r="I27" s="161" t="str">
        <f t="shared" si="2"/>
        <v>"L27":"parcelassessmentwithoutdats_waterusageinformation_waterusageforcleaning"</v>
      </c>
      <c r="J27" s="170" t="s">
        <v>1514</v>
      </c>
      <c r="K27" s="104">
        <v>1</v>
      </c>
      <c r="L27" s="104">
        <v>1</v>
      </c>
      <c r="M27" s="89"/>
      <c r="N27" s="104"/>
      <c r="O27" s="104"/>
      <c r="P27" s="89"/>
      <c r="Q27" s="104"/>
      <c r="R27" s="104"/>
    </row>
    <row r="28" spans="1:30" ht="18">
      <c r="A28" t="s">
        <v>862</v>
      </c>
      <c r="B28" t="s">
        <v>725</v>
      </c>
      <c r="C28" s="161" t="str">
        <f t="shared" si="0"/>
        <v>"J28":"parcelassessmentwithdats_waterusageinformation_waterusagefordrinking"</v>
      </c>
      <c r="D28" s="105" t="s">
        <v>1041</v>
      </c>
      <c r="E28" s="161" t="str">
        <f t="shared" si="1"/>
        <v>"K28":"parcelassessmentwithdats_waterusageinformation_waterusagefordrinking"</v>
      </c>
      <c r="F28" s="105" t="s">
        <v>1278</v>
      </c>
      <c r="G28" s="105" t="s">
        <v>120</v>
      </c>
      <c r="H28" s="105" t="s">
        <v>565</v>
      </c>
      <c r="I28" s="161" t="str">
        <f t="shared" si="2"/>
        <v>"L28":"parcelassessmentwithoutdats_waterusageinformation_waterusagefordrinking"</v>
      </c>
      <c r="J28" s="170" t="s">
        <v>1515</v>
      </c>
      <c r="K28" s="104">
        <v>1</v>
      </c>
      <c r="L28" s="104">
        <v>1</v>
      </c>
      <c r="M28" s="89"/>
      <c r="N28" s="104"/>
      <c r="O28" s="104"/>
      <c r="P28" s="89"/>
      <c r="Q28" s="104"/>
      <c r="R28" s="104"/>
    </row>
    <row r="29" spans="1:30" ht="18">
      <c r="A29" t="s">
        <v>862</v>
      </c>
      <c r="B29" t="s">
        <v>720</v>
      </c>
      <c r="C29" s="161" t="str">
        <f t="shared" si="0"/>
        <v>"J29":"parcelassessmentwithdats_waterusageinformation_totalwaterusage"</v>
      </c>
      <c r="D29" s="105" t="s">
        <v>1042</v>
      </c>
      <c r="E29" s="161" t="str">
        <f t="shared" si="1"/>
        <v>"K29":"parcelassessmentwithdats_waterusageinformation_totalwaterusage"</v>
      </c>
      <c r="F29" s="105" t="s">
        <v>1279</v>
      </c>
      <c r="G29" s="109" t="s">
        <v>554</v>
      </c>
      <c r="H29" s="105" t="s">
        <v>565</v>
      </c>
      <c r="I29" s="161" t="str">
        <f t="shared" si="2"/>
        <v>"L29":"parcelassessmentwithoutdats_waterusageinformation_totalwaterusage"</v>
      </c>
      <c r="J29" s="170" t="s">
        <v>1516</v>
      </c>
      <c r="K29" s="104">
        <v>1</v>
      </c>
      <c r="L29" s="104">
        <v>1</v>
      </c>
      <c r="M29" s="89"/>
      <c r="N29" s="104"/>
      <c r="O29" s="104"/>
      <c r="P29" s="89"/>
      <c r="Q29" s="104"/>
      <c r="R29" s="104"/>
    </row>
    <row r="30" spans="1:30">
      <c r="C30" s="161" t="str">
        <f t="shared" si="0"/>
        <v>"J30":"parcelassessmentwithdats__"</v>
      </c>
      <c r="D30" s="105" t="s">
        <v>1043</v>
      </c>
      <c r="E30" s="161" t="str">
        <f t="shared" si="1"/>
        <v>"K30":"parcelassessmentwithdats__"</v>
      </c>
      <c r="F30" s="105" t="s">
        <v>1280</v>
      </c>
      <c r="I30" s="161" t="str">
        <f t="shared" si="2"/>
        <v>"L30":"parcelassessmentwithoutdats__"</v>
      </c>
      <c r="J30" s="170" t="s">
        <v>1517</v>
      </c>
      <c r="K30" s="89"/>
      <c r="L30" s="89"/>
      <c r="M30" s="89"/>
      <c r="N30" s="89"/>
      <c r="O30" s="89"/>
      <c r="P30" s="89"/>
      <c r="Q30" s="89"/>
      <c r="R30" s="89"/>
    </row>
    <row r="31" spans="1:30">
      <c r="C31" s="161" t="str">
        <f t="shared" si="0"/>
        <v>"J31":"parcelassessmentwithdats__"</v>
      </c>
      <c r="D31" s="105" t="s">
        <v>1044</v>
      </c>
      <c r="E31" s="161" t="str">
        <f t="shared" si="1"/>
        <v>"K31":"parcelassessmentwithdats__"</v>
      </c>
      <c r="F31" s="105" t="s">
        <v>1281</v>
      </c>
      <c r="G31" s="111"/>
      <c r="H31" s="112"/>
      <c r="I31" s="161" t="str">
        <f t="shared" si="2"/>
        <v>"L31":"parcelassessmentwithoutdats__"</v>
      </c>
      <c r="J31" s="170" t="s">
        <v>1518</v>
      </c>
      <c r="K31" s="168" t="s">
        <v>116</v>
      </c>
      <c r="L31" s="168" t="s">
        <v>116</v>
      </c>
      <c r="M31" s="143"/>
      <c r="N31" s="188" t="s">
        <v>117</v>
      </c>
      <c r="O31" s="189"/>
      <c r="P31" s="143"/>
      <c r="Q31" s="190" t="s">
        <v>118</v>
      </c>
      <c r="R31" s="191"/>
    </row>
    <row r="32" spans="1:30">
      <c r="C32" s="161" t="str">
        <f t="shared" si="0"/>
        <v>"J32":"parcelassessmentwithdats__"</v>
      </c>
      <c r="D32" s="105" t="s">
        <v>1045</v>
      </c>
      <c r="E32" s="161" t="str">
        <f t="shared" si="1"/>
        <v>"K32":"parcelassessmentwithdats__"</v>
      </c>
      <c r="F32" s="105" t="s">
        <v>1282</v>
      </c>
      <c r="G32" s="113" t="s">
        <v>119</v>
      </c>
      <c r="H32" s="113" t="s">
        <v>183</v>
      </c>
      <c r="I32" s="161" t="str">
        <f t="shared" si="2"/>
        <v>"L32":"parcelassessmentwithoutdats__"</v>
      </c>
      <c r="J32" s="170" t="s">
        <v>1519</v>
      </c>
      <c r="K32" s="90" t="s">
        <v>551</v>
      </c>
      <c r="L32" s="90" t="s">
        <v>553</v>
      </c>
      <c r="M32" s="143"/>
      <c r="N32" s="90" t="s">
        <v>551</v>
      </c>
      <c r="O32" s="90" t="s">
        <v>109</v>
      </c>
      <c r="P32" s="143"/>
      <c r="Q32" s="90" t="s">
        <v>551</v>
      </c>
      <c r="R32" s="90" t="s">
        <v>109</v>
      </c>
    </row>
    <row r="33" spans="1:18">
      <c r="A33" t="s">
        <v>863</v>
      </c>
      <c r="B33" s="166" t="s">
        <v>728</v>
      </c>
      <c r="C33" s="161" t="str">
        <f t="shared" si="0"/>
        <v>"J33":"parcelassessmentwithdats_fuelusageinformation_fuelusageforfertilisation"</v>
      </c>
      <c r="D33" s="105" t="s">
        <v>1046</v>
      </c>
      <c r="E33" s="161" t="str">
        <f t="shared" si="1"/>
        <v>"K33":"parcelassessmentwithdats_fuelusageinformation_fuelusageforfertilisation"</v>
      </c>
      <c r="F33" s="105" t="s">
        <v>1283</v>
      </c>
      <c r="G33" s="105" t="s">
        <v>4</v>
      </c>
      <c r="H33" s="105" t="s">
        <v>81</v>
      </c>
      <c r="I33" s="161" t="str">
        <f t="shared" si="2"/>
        <v>"L33":"parcelassessmentwithoutdats_fuelusageinformation_fuelusageforfertilisation"</v>
      </c>
      <c r="J33" s="170" t="s">
        <v>1520</v>
      </c>
      <c r="K33" s="104">
        <v>1</v>
      </c>
      <c r="L33" s="104">
        <v>1</v>
      </c>
      <c r="M33" s="89"/>
      <c r="N33" s="104"/>
      <c r="O33" s="104"/>
      <c r="P33" s="89"/>
      <c r="Q33" s="104"/>
      <c r="R33" s="104"/>
    </row>
    <row r="34" spans="1:18">
      <c r="A34" t="s">
        <v>863</v>
      </c>
      <c r="B34" s="166" t="s">
        <v>727</v>
      </c>
      <c r="C34" s="161" t="str">
        <f t="shared" si="0"/>
        <v>"J34":"parcelassessmentwithdats_fuelusageinformation_fuelusageforpesticides"</v>
      </c>
      <c r="D34" s="105" t="s">
        <v>1047</v>
      </c>
      <c r="E34" s="161" t="str">
        <f t="shared" si="1"/>
        <v>"K34":"parcelassessmentwithdats_fuelusageinformation_fuelusageforpesticides"</v>
      </c>
      <c r="F34" s="105" t="s">
        <v>1284</v>
      </c>
      <c r="G34" s="105" t="s">
        <v>16</v>
      </c>
      <c r="H34" s="105" t="s">
        <v>81</v>
      </c>
      <c r="I34" s="161" t="str">
        <f t="shared" si="2"/>
        <v>"L34":"parcelassessmentwithoutdats_fuelusageinformation_fuelusageforpesticides"</v>
      </c>
      <c r="J34" s="170" t="s">
        <v>1521</v>
      </c>
      <c r="K34" s="104">
        <v>1</v>
      </c>
      <c r="L34" s="104">
        <v>1</v>
      </c>
      <c r="M34" s="89"/>
      <c r="N34" s="104"/>
      <c r="O34" s="104"/>
      <c r="P34" s="89"/>
      <c r="Q34" s="104"/>
      <c r="R34" s="104"/>
    </row>
    <row r="35" spans="1:18">
      <c r="A35" t="s">
        <v>863</v>
      </c>
      <c r="B35" s="166" t="s">
        <v>729</v>
      </c>
      <c r="C35" s="161" t="str">
        <f t="shared" si="0"/>
        <v>"J35":"parcelassessmentwithdats_fuelusageinformation_fuelusageforirrigation"</v>
      </c>
      <c r="D35" s="105" t="s">
        <v>1048</v>
      </c>
      <c r="E35" s="161" t="str">
        <f t="shared" si="1"/>
        <v>"K35":"parcelassessmentwithdats_fuelusageinformation_fuelusageforirrigation"</v>
      </c>
      <c r="F35" s="105" t="s">
        <v>1285</v>
      </c>
      <c r="G35" s="105" t="s">
        <v>1</v>
      </c>
      <c r="H35" s="105" t="s">
        <v>81</v>
      </c>
      <c r="I35" s="161" t="str">
        <f t="shared" si="2"/>
        <v>"L35":"parcelassessmentwithoutdats_fuelusageinformation_fuelusageforirrigation"</v>
      </c>
      <c r="J35" s="170" t="s">
        <v>1522</v>
      </c>
      <c r="K35" s="104">
        <v>1</v>
      </c>
      <c r="L35" s="104">
        <v>1</v>
      </c>
      <c r="M35" s="89"/>
      <c r="N35" s="104"/>
      <c r="O35" s="104"/>
      <c r="P35" s="89"/>
      <c r="Q35" s="104"/>
      <c r="R35" s="104"/>
    </row>
    <row r="36" spans="1:18">
      <c r="A36" t="s">
        <v>863</v>
      </c>
      <c r="B36" s="166" t="s">
        <v>730</v>
      </c>
      <c r="C36" s="161" t="str">
        <f t="shared" si="0"/>
        <v>"J36":"parcelassessmentwithdats_fuelusageinformation_fuelusageforsowing"</v>
      </c>
      <c r="D36" s="105" t="s">
        <v>1049</v>
      </c>
      <c r="E36" s="161" t="str">
        <f t="shared" si="1"/>
        <v>"K36":"parcelassessmentwithdats_fuelusageinformation_fuelusageforsowing"</v>
      </c>
      <c r="F36" s="105" t="s">
        <v>1286</v>
      </c>
      <c r="G36" s="105" t="s">
        <v>136</v>
      </c>
      <c r="H36" s="105" t="s">
        <v>81</v>
      </c>
      <c r="I36" s="161" t="str">
        <f t="shared" si="2"/>
        <v>"L36":"parcelassessmentwithoutdats_fuelusageinformation_fuelusageforsowing"</v>
      </c>
      <c r="J36" s="170" t="s">
        <v>1523</v>
      </c>
      <c r="K36" s="104">
        <v>1</v>
      </c>
      <c r="L36" s="104">
        <v>1</v>
      </c>
      <c r="M36" s="89"/>
      <c r="N36" s="104"/>
      <c r="O36" s="104"/>
      <c r="P36" s="89"/>
      <c r="Q36" s="104"/>
      <c r="R36" s="104"/>
    </row>
    <row r="37" spans="1:18">
      <c r="A37" t="s">
        <v>863</v>
      </c>
      <c r="B37" s="166" t="s">
        <v>731</v>
      </c>
      <c r="C37" s="161" t="str">
        <f t="shared" si="0"/>
        <v>"J37":"parcelassessmentwithdats_fuelusageinformation_fuelusageforpruning"</v>
      </c>
      <c r="D37" s="105" t="s">
        <v>1050</v>
      </c>
      <c r="E37" s="161" t="str">
        <f t="shared" si="1"/>
        <v>"K37":"parcelassessmentwithdats_fuelusageinformation_fuelusageforpruning"</v>
      </c>
      <c r="F37" s="105" t="s">
        <v>1287</v>
      </c>
      <c r="G37" s="105" t="s">
        <v>35</v>
      </c>
      <c r="H37" s="105" t="s">
        <v>81</v>
      </c>
      <c r="I37" s="161" t="str">
        <f t="shared" si="2"/>
        <v>"L37":"parcelassessmentwithoutdats_fuelusageinformation_fuelusageforpruning"</v>
      </c>
      <c r="J37" s="170" t="s">
        <v>1524</v>
      </c>
      <c r="K37" s="104">
        <v>1</v>
      </c>
      <c r="L37" s="104">
        <v>1</v>
      </c>
      <c r="M37" s="89"/>
      <c r="N37" s="104"/>
      <c r="O37" s="104"/>
      <c r="P37" s="89"/>
      <c r="Q37" s="104"/>
      <c r="R37" s="104"/>
    </row>
    <row r="38" spans="1:18">
      <c r="A38" t="s">
        <v>863</v>
      </c>
      <c r="B38" s="166" t="s">
        <v>732</v>
      </c>
      <c r="C38" s="161" t="str">
        <f t="shared" si="0"/>
        <v>"J38":"parcelassessmentwithdats_fuelusageinformation_fuelusagefortemperaturehumiditycontrol"</v>
      </c>
      <c r="D38" s="105" t="s">
        <v>1051</v>
      </c>
      <c r="E38" s="161" t="str">
        <f t="shared" si="1"/>
        <v>"K38":"parcelassessmentwithdats_fuelusageinformation_fuelusagefortemperaturehumiditycontrol"</v>
      </c>
      <c r="F38" s="105" t="s">
        <v>1288</v>
      </c>
      <c r="G38" s="105" t="s">
        <v>34</v>
      </c>
      <c r="H38" s="105" t="s">
        <v>81</v>
      </c>
      <c r="I38" s="161" t="str">
        <f t="shared" si="2"/>
        <v>"L38":"parcelassessmentwithoutdats_fuelusageinformation_fuelusagefortemperaturehumiditycontrol"</v>
      </c>
      <c r="J38" s="170" t="s">
        <v>1525</v>
      </c>
      <c r="K38" s="104">
        <v>1</v>
      </c>
      <c r="L38" s="104">
        <v>1</v>
      </c>
      <c r="M38" s="89"/>
      <c r="N38" s="104"/>
      <c r="O38" s="104"/>
      <c r="P38" s="89"/>
      <c r="Q38" s="104"/>
      <c r="R38" s="104"/>
    </row>
    <row r="39" spans="1:18">
      <c r="A39" t="s">
        <v>863</v>
      </c>
      <c r="B39" s="166" t="s">
        <v>733</v>
      </c>
      <c r="C39" s="161" t="str">
        <f t="shared" si="0"/>
        <v>"J39":"parcelassessmentwithdats_fuelusageinformation_fuelusageforbeehivesvisits"</v>
      </c>
      <c r="D39" s="105" t="s">
        <v>1052</v>
      </c>
      <c r="E39" s="161" t="str">
        <f t="shared" si="1"/>
        <v>"K39":"parcelassessmentwithdats_fuelusageinformation_fuelusageforbeehivesvisits"</v>
      </c>
      <c r="F39" s="105" t="s">
        <v>1289</v>
      </c>
      <c r="G39" s="105" t="s">
        <v>43</v>
      </c>
      <c r="H39" s="105" t="s">
        <v>81</v>
      </c>
      <c r="I39" s="161" t="str">
        <f t="shared" si="2"/>
        <v>"L39":"parcelassessmentwithoutdats_fuelusageinformation_fuelusageforbeehivesvisits"</v>
      </c>
      <c r="J39" s="170" t="s">
        <v>1526</v>
      </c>
      <c r="K39" s="104">
        <v>1</v>
      </c>
      <c r="L39" s="104">
        <v>1</v>
      </c>
      <c r="M39" s="89"/>
      <c r="N39" s="104"/>
      <c r="O39" s="104"/>
      <c r="P39" s="89"/>
      <c r="Q39" s="104"/>
      <c r="R39" s="104"/>
    </row>
    <row r="40" spans="1:18">
      <c r="A40" t="s">
        <v>863</v>
      </c>
      <c r="B40" s="166" t="s">
        <v>734</v>
      </c>
      <c r="C40" s="161" t="str">
        <f t="shared" si="0"/>
        <v>"J40":"parcelassessmentwithdats_fuelusageinformation_fuelusagefortransportingoysters"</v>
      </c>
      <c r="D40" s="105" t="s">
        <v>1053</v>
      </c>
      <c r="E40" s="161" t="str">
        <f t="shared" si="1"/>
        <v>"K40":"parcelassessmentwithdats_fuelusageinformation_fuelusagefortransportingoysters"</v>
      </c>
      <c r="F40" s="105" t="s">
        <v>1290</v>
      </c>
      <c r="G40" s="105" t="s">
        <v>45</v>
      </c>
      <c r="H40" s="105" t="s">
        <v>81</v>
      </c>
      <c r="I40" s="161" t="str">
        <f t="shared" si="2"/>
        <v>"L40":"parcelassessmentwithoutdats_fuelusageinformation_fuelusagefortransportingoysters"</v>
      </c>
      <c r="J40" s="170" t="s">
        <v>1527</v>
      </c>
      <c r="K40" s="104">
        <v>1</v>
      </c>
      <c r="L40" s="104">
        <v>1</v>
      </c>
      <c r="M40" s="89"/>
      <c r="N40" s="104"/>
      <c r="O40" s="104"/>
      <c r="P40" s="89"/>
      <c r="Q40" s="104"/>
      <c r="R40" s="104"/>
    </row>
    <row r="41" spans="1:18">
      <c r="A41" t="s">
        <v>863</v>
      </c>
      <c r="B41" s="166" t="s">
        <v>735</v>
      </c>
      <c r="C41" s="161" t="str">
        <f t="shared" si="0"/>
        <v>"J41":"parcelassessmentwithdats_fuelusageinformation_fuelusageformilking"</v>
      </c>
      <c r="D41" s="105" t="s">
        <v>1054</v>
      </c>
      <c r="E41" s="161" t="str">
        <f t="shared" si="1"/>
        <v>"K41":"parcelassessmentwithdats_fuelusageinformation_fuelusageformilking"</v>
      </c>
      <c r="F41" s="105" t="s">
        <v>1291</v>
      </c>
      <c r="G41" s="105" t="s">
        <v>15</v>
      </c>
      <c r="H41" s="105" t="s">
        <v>81</v>
      </c>
      <c r="I41" s="161" t="str">
        <f t="shared" si="2"/>
        <v>"L41":"parcelassessmentwithoutdats_fuelusageinformation_fuelusageformilking"</v>
      </c>
      <c r="J41" s="170" t="s">
        <v>1528</v>
      </c>
      <c r="K41" s="104">
        <v>1</v>
      </c>
      <c r="L41" s="104">
        <v>1</v>
      </c>
      <c r="M41" s="89"/>
      <c r="N41" s="104"/>
      <c r="O41" s="104"/>
      <c r="P41" s="89"/>
      <c r="Q41" s="104"/>
      <c r="R41" s="104"/>
    </row>
    <row r="42" spans="1:18">
      <c r="A42" t="s">
        <v>863</v>
      </c>
      <c r="B42" s="166" t="s">
        <v>736</v>
      </c>
      <c r="C42" s="161" t="str">
        <f t="shared" si="0"/>
        <v>"J42":"parcelassessmentwithdats_fuelusageinformation_fuelusageforfeeding"</v>
      </c>
      <c r="D42" s="105" t="s">
        <v>1055</v>
      </c>
      <c r="E42" s="161" t="str">
        <f t="shared" si="1"/>
        <v>"K42":"parcelassessmentwithdats_fuelusageinformation_fuelusageforfeeding"</v>
      </c>
      <c r="F42" s="105" t="s">
        <v>1292</v>
      </c>
      <c r="G42" s="105" t="s">
        <v>46</v>
      </c>
      <c r="H42" s="105" t="s">
        <v>81</v>
      </c>
      <c r="I42" s="161" t="str">
        <f t="shared" si="2"/>
        <v>"L42":"parcelassessmentwithoutdats_fuelusageinformation_fuelusageforfeeding"</v>
      </c>
      <c r="J42" s="170" t="s">
        <v>1529</v>
      </c>
      <c r="K42" s="104">
        <v>1</v>
      </c>
      <c r="L42" s="104">
        <v>1</v>
      </c>
      <c r="M42" s="89"/>
      <c r="N42" s="104"/>
      <c r="O42" s="104"/>
      <c r="P42" s="89"/>
      <c r="Q42" s="104"/>
      <c r="R42" s="104"/>
    </row>
    <row r="43" spans="1:18">
      <c r="A43" t="s">
        <v>863</v>
      </c>
      <c r="B43" t="s">
        <v>726</v>
      </c>
      <c r="C43" s="161" t="str">
        <f t="shared" si="0"/>
        <v>"J43":"parcelassessmentwithdats_fuelusageinformation_totalfuelusage"</v>
      </c>
      <c r="D43" s="105" t="s">
        <v>1056</v>
      </c>
      <c r="E43" s="161" t="str">
        <f t="shared" si="1"/>
        <v>"K43":"parcelassessmentwithdats_fuelusageinformation_totalfuelusage"</v>
      </c>
      <c r="F43" s="105" t="s">
        <v>1293</v>
      </c>
      <c r="G43" s="109" t="s">
        <v>555</v>
      </c>
      <c r="H43" s="105" t="s">
        <v>81</v>
      </c>
      <c r="I43" s="161" t="str">
        <f t="shared" si="2"/>
        <v>"L43":"parcelassessmentwithoutdats_fuelusageinformation_totalfuelusage"</v>
      </c>
      <c r="J43" s="170" t="s">
        <v>1530</v>
      </c>
      <c r="K43" s="104">
        <v>1</v>
      </c>
      <c r="L43" s="104">
        <v>1</v>
      </c>
      <c r="M43" s="89"/>
      <c r="N43" s="104"/>
      <c r="O43" s="104"/>
      <c r="P43" s="89"/>
      <c r="Q43" s="104"/>
      <c r="R43" s="104"/>
    </row>
    <row r="44" spans="1:18">
      <c r="C44" s="161" t="str">
        <f t="shared" si="0"/>
        <v>"J44":"parcelassessmentwithdats__"</v>
      </c>
      <c r="D44" s="105" t="s">
        <v>1057</v>
      </c>
      <c r="E44" s="161" t="str">
        <f t="shared" si="1"/>
        <v>"K44":"parcelassessmentwithdats__"</v>
      </c>
      <c r="F44" s="105" t="s">
        <v>1294</v>
      </c>
      <c r="G44" s="86"/>
      <c r="H44" s="85"/>
      <c r="I44" s="161" t="str">
        <f t="shared" si="2"/>
        <v>"L44":"parcelassessmentwithoutdats__"</v>
      </c>
      <c r="J44" s="170" t="s">
        <v>1531</v>
      </c>
      <c r="K44" s="89"/>
      <c r="L44" s="89"/>
      <c r="M44" s="89"/>
      <c r="N44" s="89"/>
      <c r="O44" s="89"/>
      <c r="P44" s="89"/>
      <c r="Q44" s="89"/>
      <c r="R44" s="89"/>
    </row>
    <row r="45" spans="1:18">
      <c r="C45" s="161" t="str">
        <f t="shared" si="0"/>
        <v>"J45":"parcelassessmentwithdats__"</v>
      </c>
      <c r="D45" s="105" t="s">
        <v>1058</v>
      </c>
      <c r="E45" s="161" t="str">
        <f t="shared" si="1"/>
        <v>"K45":"parcelassessmentwithdats__"</v>
      </c>
      <c r="F45" s="105" t="s">
        <v>1295</v>
      </c>
      <c r="G45" s="164"/>
      <c r="H45" s="164"/>
      <c r="I45" s="161" t="str">
        <f t="shared" si="2"/>
        <v>"L45":"parcelassessmentwithoutdats__"</v>
      </c>
      <c r="J45" s="170" t="s">
        <v>1532</v>
      </c>
      <c r="K45" s="168" t="s">
        <v>116</v>
      </c>
      <c r="L45" s="168" t="s">
        <v>116</v>
      </c>
      <c r="M45" s="143"/>
      <c r="N45" s="188" t="s">
        <v>117</v>
      </c>
      <c r="O45" s="189"/>
      <c r="P45" s="143"/>
      <c r="Q45" s="190" t="s">
        <v>118</v>
      </c>
      <c r="R45" s="191"/>
    </row>
    <row r="46" spans="1:18">
      <c r="C46" s="161" t="str">
        <f t="shared" si="0"/>
        <v>"J46":"parcelassessmentwithdats__"</v>
      </c>
      <c r="D46" s="105" t="s">
        <v>1059</v>
      </c>
      <c r="E46" s="161" t="str">
        <f t="shared" si="1"/>
        <v>"K46":"parcelassessmentwithdats__"</v>
      </c>
      <c r="F46" s="105" t="s">
        <v>1296</v>
      </c>
      <c r="G46" s="113" t="s">
        <v>119</v>
      </c>
      <c r="H46" s="113"/>
      <c r="I46" s="161" t="str">
        <f t="shared" si="2"/>
        <v>"L46":"parcelassessmentwithoutdats__"</v>
      </c>
      <c r="J46" s="170" t="s">
        <v>1533</v>
      </c>
      <c r="K46" s="90" t="s">
        <v>551</v>
      </c>
      <c r="L46" s="90" t="s">
        <v>553</v>
      </c>
      <c r="M46" s="143"/>
      <c r="N46" s="90" t="s">
        <v>551</v>
      </c>
      <c r="O46" s="90" t="s">
        <v>109</v>
      </c>
      <c r="P46" s="143"/>
      <c r="Q46" s="90" t="s">
        <v>551</v>
      </c>
      <c r="R46" s="90" t="s">
        <v>109</v>
      </c>
    </row>
    <row r="47" spans="1:18">
      <c r="A47" t="s">
        <v>874</v>
      </c>
      <c r="B47" t="s">
        <v>930</v>
      </c>
      <c r="C47" s="161" t="str">
        <f t="shared" si="0"/>
        <v>"J47":"parcelassessmentwithdats_fuelfortemperaturecontrolinformation_productname_0"</v>
      </c>
      <c r="D47" s="105" t="s">
        <v>1060</v>
      </c>
      <c r="E47" s="161" t="str">
        <f t="shared" si="1"/>
        <v>"K47":"parcelassessmentwithdats_fuelfortemperaturecontrolinformation_productname_0"</v>
      </c>
      <c r="F47" s="105" t="s">
        <v>1297</v>
      </c>
      <c r="G47" s="105" t="s">
        <v>510</v>
      </c>
      <c r="H47" s="105" t="s">
        <v>513</v>
      </c>
      <c r="I47" s="161" t="str">
        <f t="shared" si="2"/>
        <v>"L47":"parcelassessmentwithoutdats_fuelfortemperaturecontrolinformation_productname_0"</v>
      </c>
      <c r="J47" s="170" t="s">
        <v>1534</v>
      </c>
      <c r="K47" s="104">
        <v>1</v>
      </c>
      <c r="L47" s="104">
        <v>1</v>
      </c>
      <c r="M47" s="89"/>
      <c r="N47" s="104"/>
      <c r="O47" s="104"/>
      <c r="P47" s="89"/>
      <c r="Q47" s="104"/>
      <c r="R47" s="104"/>
    </row>
    <row r="48" spans="1:18">
      <c r="A48" t="s">
        <v>874</v>
      </c>
      <c r="B48" s="85" t="s">
        <v>932</v>
      </c>
      <c r="C48" s="161" t="str">
        <f t="shared" si="0"/>
        <v>"J48":"parcelassessmentwithdats_fuelfortemperaturecontrolinformation_quantity_0"</v>
      </c>
      <c r="D48" s="105" t="s">
        <v>1061</v>
      </c>
      <c r="E48" s="161" t="str">
        <f t="shared" si="1"/>
        <v>"K48":"parcelassessmentwithdats_fuelfortemperaturecontrolinformation_quantity_0"</v>
      </c>
      <c r="F48" s="105" t="s">
        <v>1298</v>
      </c>
      <c r="G48" s="105" t="s">
        <v>510</v>
      </c>
      <c r="H48" s="105" t="s">
        <v>515</v>
      </c>
      <c r="I48" s="161" t="str">
        <f t="shared" si="2"/>
        <v>"L48":"parcelassessmentwithoutdats_fuelfortemperaturecontrolinformation_quantity_0"</v>
      </c>
      <c r="J48" s="170" t="s">
        <v>1535</v>
      </c>
      <c r="K48" s="104">
        <v>1</v>
      </c>
      <c r="L48" s="104">
        <v>1</v>
      </c>
      <c r="M48" s="89"/>
      <c r="N48" s="104"/>
      <c r="O48" s="104"/>
      <c r="P48" s="89"/>
      <c r="Q48" s="104"/>
      <c r="R48" s="104"/>
    </row>
    <row r="49" spans="1:18">
      <c r="A49" t="s">
        <v>874</v>
      </c>
      <c r="B49" t="s">
        <v>933</v>
      </c>
      <c r="C49" s="161" t="str">
        <f t="shared" si="0"/>
        <v>"J49":"parcelassessmentwithdats_fuelfortemperaturecontrolinformation_productname_1"</v>
      </c>
      <c r="D49" s="105" t="s">
        <v>1062</v>
      </c>
      <c r="E49" s="161" t="str">
        <f t="shared" si="1"/>
        <v>"K49":"parcelassessmentwithdats_fuelfortemperaturecontrolinformation_productname_1"</v>
      </c>
      <c r="F49" s="105" t="s">
        <v>1299</v>
      </c>
      <c r="G49" s="105" t="s">
        <v>511</v>
      </c>
      <c r="H49" s="105" t="s">
        <v>514</v>
      </c>
      <c r="I49" s="161" t="str">
        <f t="shared" si="2"/>
        <v>"L49":"parcelassessmentwithoutdats_fuelfortemperaturecontrolinformation_productname_1"</v>
      </c>
      <c r="J49" s="170" t="s">
        <v>1536</v>
      </c>
      <c r="K49" s="104">
        <v>1</v>
      </c>
      <c r="L49" s="104">
        <v>1</v>
      </c>
      <c r="M49" s="89"/>
      <c r="N49" s="104"/>
      <c r="O49" s="104"/>
      <c r="P49" s="89"/>
      <c r="Q49" s="104"/>
      <c r="R49" s="104"/>
    </row>
    <row r="50" spans="1:18">
      <c r="A50" t="s">
        <v>874</v>
      </c>
      <c r="B50" s="85" t="s">
        <v>931</v>
      </c>
      <c r="C50" s="161" t="str">
        <f t="shared" si="0"/>
        <v>"J50":"parcelassessmentwithdats_fuelfortemperaturecontrolinformation_quantity_1"</v>
      </c>
      <c r="D50" s="105" t="s">
        <v>1063</v>
      </c>
      <c r="E50" s="161" t="str">
        <f t="shared" si="1"/>
        <v>"K50":"parcelassessmentwithdats_fuelfortemperaturecontrolinformation_quantity_1"</v>
      </c>
      <c r="F50" s="105" t="s">
        <v>1300</v>
      </c>
      <c r="G50" s="105" t="s">
        <v>511</v>
      </c>
      <c r="H50" s="105" t="s">
        <v>515</v>
      </c>
      <c r="I50" s="161" t="str">
        <f t="shared" si="2"/>
        <v>"L50":"parcelassessmentwithoutdats_fuelfortemperaturecontrolinformation_quantity_1"</v>
      </c>
      <c r="J50" s="170" t="s">
        <v>1537</v>
      </c>
      <c r="K50" s="104">
        <v>1</v>
      </c>
      <c r="L50" s="104">
        <v>1</v>
      </c>
      <c r="M50" s="89"/>
      <c r="N50" s="104"/>
      <c r="O50" s="104"/>
      <c r="P50" s="89"/>
      <c r="Q50" s="104"/>
      <c r="R50" s="104"/>
    </row>
    <row r="51" spans="1:18">
      <c r="A51" t="s">
        <v>874</v>
      </c>
      <c r="B51" t="s">
        <v>934</v>
      </c>
      <c r="C51" s="161" t="str">
        <f t="shared" si="0"/>
        <v>"J51":"parcelassessmentwithdats_fuelfortemperaturecontrolinformation_productname_2"</v>
      </c>
      <c r="D51" s="105" t="s">
        <v>1064</v>
      </c>
      <c r="E51" s="161" t="str">
        <f t="shared" si="1"/>
        <v>"K51":"parcelassessmentwithdats_fuelfortemperaturecontrolinformation_productname_2"</v>
      </c>
      <c r="F51" s="105" t="s">
        <v>1301</v>
      </c>
      <c r="G51" s="105" t="s">
        <v>512</v>
      </c>
      <c r="H51" s="105" t="s">
        <v>626</v>
      </c>
      <c r="I51" s="161" t="str">
        <f t="shared" si="2"/>
        <v>"L51":"parcelassessmentwithoutdats_fuelfortemperaturecontrolinformation_productname_2"</v>
      </c>
      <c r="J51" s="170" t="s">
        <v>1538</v>
      </c>
      <c r="K51" s="104">
        <v>1</v>
      </c>
      <c r="L51" s="104">
        <v>1</v>
      </c>
      <c r="M51" s="89"/>
      <c r="N51" s="104"/>
      <c r="O51" s="104"/>
      <c r="P51" s="89"/>
      <c r="Q51" s="104"/>
      <c r="R51" s="104"/>
    </row>
    <row r="52" spans="1:18">
      <c r="A52" t="s">
        <v>874</v>
      </c>
      <c r="B52" s="85" t="s">
        <v>935</v>
      </c>
      <c r="C52" s="161" t="str">
        <f t="shared" si="0"/>
        <v>"J52":"parcelassessmentwithdats_fuelfortemperaturecontrolinformation_quantity_2"</v>
      </c>
      <c r="D52" s="105" t="s">
        <v>1065</v>
      </c>
      <c r="E52" s="161" t="str">
        <f t="shared" si="1"/>
        <v>"K52":"parcelassessmentwithdats_fuelfortemperaturecontrolinformation_quantity_2"</v>
      </c>
      <c r="F52" s="105" t="s">
        <v>1302</v>
      </c>
      <c r="G52" s="105" t="s">
        <v>512</v>
      </c>
      <c r="H52" s="105" t="s">
        <v>515</v>
      </c>
      <c r="I52" s="161" t="str">
        <f t="shared" si="2"/>
        <v>"L52":"parcelassessmentwithoutdats_fuelfortemperaturecontrolinformation_quantity_2"</v>
      </c>
      <c r="J52" s="170" t="s">
        <v>1539</v>
      </c>
      <c r="K52" s="104">
        <v>1</v>
      </c>
      <c r="L52" s="104">
        <v>1</v>
      </c>
      <c r="M52" s="89"/>
      <c r="N52" s="104"/>
      <c r="O52" s="104"/>
      <c r="P52" s="89"/>
      <c r="Q52" s="104"/>
      <c r="R52" s="104"/>
    </row>
    <row r="53" spans="1:18">
      <c r="A53" t="s">
        <v>874</v>
      </c>
      <c r="B53" t="s">
        <v>936</v>
      </c>
      <c r="C53" s="161" t="str">
        <f t="shared" si="0"/>
        <v>"J53":"parcelassessmentwithdats_fuelfortemperaturecontrolinformation_productname_3"</v>
      </c>
      <c r="D53" s="105" t="s">
        <v>1066</v>
      </c>
      <c r="E53" s="161" t="str">
        <f t="shared" si="1"/>
        <v>"K53":"parcelassessmentwithdats_fuelfortemperaturecontrolinformation_productname_3"</v>
      </c>
      <c r="F53" s="105" t="s">
        <v>1303</v>
      </c>
      <c r="G53" s="105" t="s">
        <v>510</v>
      </c>
      <c r="H53" s="105" t="s">
        <v>513</v>
      </c>
      <c r="I53" s="161" t="str">
        <f t="shared" si="2"/>
        <v>"L53":"parcelassessmentwithoutdats_fuelfortemperaturecontrolinformation_productname_3"</v>
      </c>
      <c r="J53" s="170" t="s">
        <v>1540</v>
      </c>
      <c r="K53" s="104">
        <v>1</v>
      </c>
      <c r="L53" s="104">
        <v>1</v>
      </c>
      <c r="M53" s="89"/>
      <c r="N53" s="104"/>
      <c r="O53" s="104"/>
      <c r="P53" s="89"/>
      <c r="Q53" s="104"/>
      <c r="R53" s="104"/>
    </row>
    <row r="54" spans="1:18">
      <c r="A54" t="s">
        <v>874</v>
      </c>
      <c r="B54" s="85" t="s">
        <v>937</v>
      </c>
      <c r="C54" s="161" t="str">
        <f t="shared" si="0"/>
        <v>"J54":"parcelassessmentwithdats_fuelfortemperaturecontrolinformation_quantity_3"</v>
      </c>
      <c r="D54" s="105" t="s">
        <v>1067</v>
      </c>
      <c r="E54" s="161" t="str">
        <f t="shared" si="1"/>
        <v>"K54":"parcelassessmentwithdats_fuelfortemperaturecontrolinformation_quantity_3"</v>
      </c>
      <c r="F54" s="105" t="s">
        <v>1304</v>
      </c>
      <c r="G54" s="105" t="s">
        <v>510</v>
      </c>
      <c r="H54" s="105" t="s">
        <v>515</v>
      </c>
      <c r="I54" s="161" t="str">
        <f t="shared" si="2"/>
        <v>"L54":"parcelassessmentwithoutdats_fuelfortemperaturecontrolinformation_quantity_3"</v>
      </c>
      <c r="J54" s="170" t="s">
        <v>1541</v>
      </c>
      <c r="K54" s="104">
        <v>1</v>
      </c>
      <c r="L54" s="104">
        <v>1</v>
      </c>
      <c r="M54" s="89"/>
      <c r="N54" s="104"/>
      <c r="O54" s="104"/>
      <c r="P54" s="89"/>
      <c r="Q54" s="104"/>
      <c r="R54" s="104"/>
    </row>
    <row r="55" spans="1:18">
      <c r="A55" t="s">
        <v>874</v>
      </c>
      <c r="B55" t="s">
        <v>938</v>
      </c>
      <c r="C55" s="161" t="str">
        <f t="shared" si="0"/>
        <v>"J55":"parcelassessmentwithdats_fuelfortemperaturecontrolinformation_productname_4"</v>
      </c>
      <c r="D55" s="105" t="s">
        <v>1068</v>
      </c>
      <c r="E55" s="161" t="str">
        <f t="shared" si="1"/>
        <v>"K55":"parcelassessmentwithdats_fuelfortemperaturecontrolinformation_productname_4"</v>
      </c>
      <c r="F55" s="105" t="s">
        <v>1305</v>
      </c>
      <c r="G55" s="105" t="s">
        <v>511</v>
      </c>
      <c r="H55" s="105" t="s">
        <v>514</v>
      </c>
      <c r="I55" s="161" t="str">
        <f t="shared" si="2"/>
        <v>"L55":"parcelassessmentwithoutdats_fuelfortemperaturecontrolinformation_productname_4"</v>
      </c>
      <c r="J55" s="170" t="s">
        <v>1542</v>
      </c>
      <c r="K55" s="104">
        <v>1</v>
      </c>
      <c r="L55" s="104">
        <v>1</v>
      </c>
      <c r="M55" s="89"/>
      <c r="N55" s="104"/>
      <c r="O55" s="104"/>
      <c r="P55" s="89"/>
      <c r="Q55" s="104"/>
      <c r="R55" s="104"/>
    </row>
    <row r="56" spans="1:18">
      <c r="A56" t="s">
        <v>874</v>
      </c>
      <c r="B56" s="85" t="s">
        <v>939</v>
      </c>
      <c r="C56" s="161" t="str">
        <f t="shared" si="0"/>
        <v>"J56":"parcelassessmentwithdats_fuelfortemperaturecontrolinformation_quantity_4"</v>
      </c>
      <c r="D56" s="105" t="s">
        <v>1069</v>
      </c>
      <c r="E56" s="161" t="str">
        <f t="shared" si="1"/>
        <v>"K56":"parcelassessmentwithdats_fuelfortemperaturecontrolinformation_quantity_4"</v>
      </c>
      <c r="F56" s="105" t="s">
        <v>1306</v>
      </c>
      <c r="G56" s="105" t="s">
        <v>511</v>
      </c>
      <c r="H56" s="105" t="s">
        <v>515</v>
      </c>
      <c r="I56" s="161" t="str">
        <f t="shared" si="2"/>
        <v>"L56":"parcelassessmentwithoutdats_fuelfortemperaturecontrolinformation_quantity_4"</v>
      </c>
      <c r="J56" s="170" t="s">
        <v>1543</v>
      </c>
      <c r="K56" s="104">
        <v>1</v>
      </c>
      <c r="L56" s="104">
        <v>1</v>
      </c>
      <c r="M56" s="89"/>
      <c r="N56" s="104"/>
      <c r="O56" s="104"/>
      <c r="P56" s="89"/>
      <c r="Q56" s="104"/>
      <c r="R56" s="104"/>
    </row>
    <row r="57" spans="1:18">
      <c r="A57" t="s">
        <v>874</v>
      </c>
      <c r="B57" t="s">
        <v>940</v>
      </c>
      <c r="C57" s="161" t="str">
        <f t="shared" si="0"/>
        <v>"J57":"parcelassessmentwithdats_fuelfortemperaturecontrolinformation_productname_5"</v>
      </c>
      <c r="D57" s="105" t="s">
        <v>1070</v>
      </c>
      <c r="E57" s="161" t="str">
        <f t="shared" si="1"/>
        <v>"K57":"parcelassessmentwithdats_fuelfortemperaturecontrolinformation_productname_5"</v>
      </c>
      <c r="F57" s="105" t="s">
        <v>1307</v>
      </c>
      <c r="G57" s="105" t="s">
        <v>512</v>
      </c>
      <c r="H57" s="105" t="s">
        <v>626</v>
      </c>
      <c r="I57" s="161" t="str">
        <f t="shared" si="2"/>
        <v>"L57":"parcelassessmentwithoutdats_fuelfortemperaturecontrolinformation_productname_5"</v>
      </c>
      <c r="J57" s="170" t="s">
        <v>1544</v>
      </c>
      <c r="K57" s="104">
        <v>1</v>
      </c>
      <c r="L57" s="104">
        <v>1</v>
      </c>
      <c r="M57" s="89"/>
      <c r="N57" s="104"/>
      <c r="O57" s="104"/>
      <c r="P57" s="89"/>
      <c r="Q57" s="104"/>
      <c r="R57" s="104"/>
    </row>
    <row r="58" spans="1:18">
      <c r="A58" t="s">
        <v>874</v>
      </c>
      <c r="B58" s="85" t="s">
        <v>941</v>
      </c>
      <c r="C58" s="161" t="str">
        <f t="shared" si="0"/>
        <v>"J58":"parcelassessmentwithdats_fuelfortemperaturecontrolinformation_quantity_5"</v>
      </c>
      <c r="D58" s="105" t="s">
        <v>1071</v>
      </c>
      <c r="E58" s="161" t="str">
        <f t="shared" si="1"/>
        <v>"K58":"parcelassessmentwithdats_fuelfortemperaturecontrolinformation_quantity_5"</v>
      </c>
      <c r="F58" s="105" t="s">
        <v>1308</v>
      </c>
      <c r="G58" s="105" t="s">
        <v>512</v>
      </c>
      <c r="H58" s="105" t="s">
        <v>515</v>
      </c>
      <c r="I58" s="161" t="str">
        <f t="shared" si="2"/>
        <v>"L58":"parcelassessmentwithoutdats_fuelfortemperaturecontrolinformation_quantity_5"</v>
      </c>
      <c r="J58" s="170" t="s">
        <v>1545</v>
      </c>
      <c r="K58" s="104">
        <v>1</v>
      </c>
      <c r="L58" s="104">
        <v>1</v>
      </c>
      <c r="M58" s="89"/>
      <c r="N58" s="104"/>
      <c r="O58" s="104"/>
      <c r="P58" s="89"/>
      <c r="Q58" s="104"/>
      <c r="R58" s="104"/>
    </row>
    <row r="59" spans="1:18">
      <c r="C59" s="161" t="str">
        <f t="shared" si="0"/>
        <v>"J59":"parcelassessmentwithdats__"</v>
      </c>
      <c r="D59" s="105" t="s">
        <v>1072</v>
      </c>
      <c r="E59" s="161" t="str">
        <f t="shared" si="1"/>
        <v>"K59":"parcelassessmentwithdats__"</v>
      </c>
      <c r="F59" s="105" t="s">
        <v>1309</v>
      </c>
      <c r="I59" s="161" t="str">
        <f t="shared" si="2"/>
        <v>"L59":"parcelassessmentwithoutdats__"</v>
      </c>
      <c r="J59" s="170" t="s">
        <v>1546</v>
      </c>
      <c r="K59" s="89"/>
      <c r="L59" s="89"/>
      <c r="M59" s="89"/>
      <c r="N59" s="89"/>
      <c r="O59" s="89"/>
      <c r="P59" s="89"/>
      <c r="Q59" s="89"/>
      <c r="R59" s="89"/>
    </row>
    <row r="60" spans="1:18">
      <c r="C60" s="161" t="str">
        <f t="shared" si="0"/>
        <v>"J60":"parcelassessmentwithdats__"</v>
      </c>
      <c r="D60" s="105" t="s">
        <v>1073</v>
      </c>
      <c r="E60" s="161" t="str">
        <f t="shared" si="1"/>
        <v>"K60":"parcelassessmentwithdats__"</v>
      </c>
      <c r="F60" s="105" t="s">
        <v>1310</v>
      </c>
      <c r="G60" s="117"/>
      <c r="H60" s="118"/>
      <c r="I60" s="161" t="str">
        <f t="shared" si="2"/>
        <v>"L60":"parcelassessmentwithoutdats__"</v>
      </c>
      <c r="J60" s="170" t="s">
        <v>1547</v>
      </c>
      <c r="K60" s="168" t="s">
        <v>116</v>
      </c>
      <c r="L60" s="168" t="s">
        <v>116</v>
      </c>
      <c r="M60" s="143"/>
      <c r="N60" s="188" t="s">
        <v>117</v>
      </c>
      <c r="O60" s="189"/>
      <c r="P60" s="143"/>
      <c r="Q60" s="190" t="s">
        <v>118</v>
      </c>
      <c r="R60" s="191"/>
    </row>
    <row r="61" spans="1:18">
      <c r="C61" s="161" t="str">
        <f t="shared" si="0"/>
        <v>"J61":"parcelassessmentwithdats__"</v>
      </c>
      <c r="D61" s="105" t="s">
        <v>1074</v>
      </c>
      <c r="E61" s="161" t="str">
        <f t="shared" si="1"/>
        <v>"K61":"parcelassessmentwithdats__"</v>
      </c>
      <c r="F61" s="105" t="s">
        <v>1311</v>
      </c>
      <c r="G61" s="119" t="s">
        <v>119</v>
      </c>
      <c r="H61" s="119" t="s">
        <v>107</v>
      </c>
      <c r="I61" s="161" t="str">
        <f t="shared" si="2"/>
        <v>"L61":"parcelassessmentwithoutdats__"</v>
      </c>
      <c r="J61" s="170" t="s">
        <v>1548</v>
      </c>
      <c r="K61" s="90" t="s">
        <v>551</v>
      </c>
      <c r="L61" s="90" t="s">
        <v>553</v>
      </c>
      <c r="M61" s="143"/>
      <c r="N61" s="90" t="s">
        <v>551</v>
      </c>
      <c r="O61" s="90" t="s">
        <v>109</v>
      </c>
      <c r="P61" s="143"/>
      <c r="Q61" s="90" t="s">
        <v>551</v>
      </c>
      <c r="R61" s="90" t="s">
        <v>109</v>
      </c>
    </row>
    <row r="62" spans="1:18">
      <c r="A62" t="s">
        <v>864</v>
      </c>
      <c r="B62" s="166" t="s">
        <v>737</v>
      </c>
      <c r="C62" s="161" t="str">
        <f t="shared" si="0"/>
        <v>"J62":"parcelassessmentwithdats_electricityusageinformation_electricityusagefortemperaturehumiditycontrol"</v>
      </c>
      <c r="D62" s="105" t="s">
        <v>1075</v>
      </c>
      <c r="E62" s="161" t="str">
        <f t="shared" si="1"/>
        <v>"K62":"parcelassessmentwithdats_electricityusageinformation_electricityusagefortemperaturehumiditycontrol"</v>
      </c>
      <c r="F62" s="105" t="s">
        <v>1312</v>
      </c>
      <c r="G62" s="105" t="s">
        <v>35</v>
      </c>
      <c r="H62" s="105" t="s">
        <v>79</v>
      </c>
      <c r="I62" s="161" t="str">
        <f t="shared" si="2"/>
        <v>"L62":"parcelassessmentwithoutdats_electricityusageinformation_electricityusagefortemperaturehumiditycontrol"</v>
      </c>
      <c r="J62" s="170" t="s">
        <v>1549</v>
      </c>
      <c r="K62" s="104">
        <v>1</v>
      </c>
      <c r="L62" s="104">
        <v>1</v>
      </c>
      <c r="M62" s="89"/>
      <c r="N62" s="104"/>
      <c r="O62" s="104"/>
      <c r="P62" s="89"/>
      <c r="Q62" s="104"/>
      <c r="R62" s="104"/>
    </row>
    <row r="63" spans="1:18">
      <c r="A63" t="s">
        <v>864</v>
      </c>
      <c r="B63" s="166" t="s">
        <v>738</v>
      </c>
      <c r="C63" s="161" t="str">
        <f t="shared" si="0"/>
        <v>"J63":"parcelassessmentwithdats_electricityusageinformation_electricityusageforirrigation"</v>
      </c>
      <c r="D63" s="105" t="s">
        <v>1076</v>
      </c>
      <c r="E63" s="161" t="str">
        <f t="shared" si="1"/>
        <v>"K63":"parcelassessmentwithdats_electricityusageinformation_electricityusageforirrigation"</v>
      </c>
      <c r="F63" s="105" t="s">
        <v>1313</v>
      </c>
      <c r="G63" s="105" t="s">
        <v>14</v>
      </c>
      <c r="H63" s="105" t="s">
        <v>79</v>
      </c>
      <c r="I63" s="161" t="str">
        <f t="shared" si="2"/>
        <v>"L63":"parcelassessmentwithoutdats_electricityusageinformation_electricityusageforirrigation"</v>
      </c>
      <c r="J63" s="170" t="s">
        <v>1550</v>
      </c>
      <c r="K63" s="104">
        <v>1</v>
      </c>
      <c r="L63" s="104">
        <v>1</v>
      </c>
      <c r="M63" s="89"/>
      <c r="N63" s="104"/>
      <c r="O63" s="104"/>
      <c r="P63" s="89"/>
      <c r="Q63" s="104"/>
      <c r="R63" s="104"/>
    </row>
    <row r="64" spans="1:18">
      <c r="A64" t="s">
        <v>864</v>
      </c>
      <c r="B64" s="166" t="s">
        <v>739</v>
      </c>
      <c r="C64" s="161" t="str">
        <f t="shared" si="0"/>
        <v>"J64":"parcelassessmentwithdats_electricityusageinformation_electricityusageformilking"</v>
      </c>
      <c r="D64" s="105" t="s">
        <v>1077</v>
      </c>
      <c r="E64" s="161" t="str">
        <f t="shared" si="1"/>
        <v>"K64":"parcelassessmentwithdats_electricityusageinformation_electricityusageformilking"</v>
      </c>
      <c r="F64" s="105" t="s">
        <v>1314</v>
      </c>
      <c r="G64" s="105" t="s">
        <v>15</v>
      </c>
      <c r="H64" s="105" t="s">
        <v>79</v>
      </c>
      <c r="I64" s="161" t="str">
        <f t="shared" si="2"/>
        <v>"L64":"parcelassessmentwithoutdats_electricityusageinformation_electricityusageformilking"</v>
      </c>
      <c r="J64" s="170" t="s">
        <v>1551</v>
      </c>
      <c r="K64" s="104">
        <v>1</v>
      </c>
      <c r="L64" s="104">
        <v>1</v>
      </c>
      <c r="M64" s="89"/>
      <c r="N64" s="104"/>
      <c r="O64" s="104"/>
      <c r="P64" s="89"/>
      <c r="Q64" s="104"/>
      <c r="R64" s="104"/>
    </row>
    <row r="65" spans="1:18">
      <c r="A65" t="s">
        <v>864</v>
      </c>
      <c r="B65" s="166" t="s">
        <v>740</v>
      </c>
      <c r="C65" s="161" t="str">
        <f t="shared" si="0"/>
        <v>"J65":"parcelassessmentwithdats_electricityusageinformation_electricityusageforheatdetection"</v>
      </c>
      <c r="D65" s="105" t="s">
        <v>1078</v>
      </c>
      <c r="E65" s="161" t="str">
        <f t="shared" si="1"/>
        <v>"K65":"parcelassessmentwithdats_electricityusageinformation_electricityusageforheatdetection"</v>
      </c>
      <c r="F65" s="105" t="s">
        <v>1315</v>
      </c>
      <c r="G65" s="105" t="s">
        <v>37</v>
      </c>
      <c r="H65" s="105" t="s">
        <v>79</v>
      </c>
      <c r="I65" s="161" t="str">
        <f t="shared" si="2"/>
        <v>"L65":"parcelassessmentwithoutdats_electricityusageinformation_electricityusageforheatdetection"</v>
      </c>
      <c r="J65" s="170" t="s">
        <v>1552</v>
      </c>
      <c r="K65" s="104">
        <v>1</v>
      </c>
      <c r="L65" s="104">
        <v>1</v>
      </c>
      <c r="M65" s="89"/>
      <c r="N65" s="104"/>
      <c r="O65" s="104"/>
      <c r="P65" s="89"/>
      <c r="Q65" s="104"/>
      <c r="R65" s="104"/>
    </row>
    <row r="66" spans="1:18">
      <c r="A66" t="s">
        <v>864</v>
      </c>
      <c r="B66" s="166" t="s">
        <v>741</v>
      </c>
      <c r="C66" s="161" t="str">
        <f t="shared" si="0"/>
        <v>"J66":"parcelassessmentwithdats_electricityusageinformation_electricityusageforcalvingdetection"</v>
      </c>
      <c r="D66" s="105" t="s">
        <v>1079</v>
      </c>
      <c r="E66" s="161" t="str">
        <f t="shared" si="1"/>
        <v>"K66":"parcelassessmentwithdats_electricityusageinformation_electricityusageforcalvingdetection"</v>
      </c>
      <c r="F66" s="105" t="s">
        <v>1316</v>
      </c>
      <c r="G66" s="105" t="s">
        <v>38</v>
      </c>
      <c r="H66" s="105" t="s">
        <v>79</v>
      </c>
      <c r="I66" s="161" t="str">
        <f t="shared" si="2"/>
        <v>"L66":"parcelassessmentwithoutdats_electricityusageinformation_electricityusageforcalvingdetection"</v>
      </c>
      <c r="J66" s="170" t="s">
        <v>1553</v>
      </c>
      <c r="K66" s="104">
        <v>1</v>
      </c>
      <c r="L66" s="104">
        <v>1</v>
      </c>
      <c r="M66" s="89"/>
      <c r="N66" s="104"/>
      <c r="O66" s="104"/>
      <c r="P66" s="89"/>
      <c r="Q66" s="104"/>
      <c r="R66" s="104"/>
    </row>
    <row r="67" spans="1:18">
      <c r="A67" t="s">
        <v>864</v>
      </c>
      <c r="B67" s="166" t="s">
        <v>742</v>
      </c>
      <c r="C67" s="161" t="str">
        <f t="shared" si="0"/>
        <v>"J67":"parcelassessmentwithdats_electricityusageinformation_electricityusageforfeeding"</v>
      </c>
      <c r="D67" s="105" t="s">
        <v>1080</v>
      </c>
      <c r="E67" s="161" t="str">
        <f t="shared" si="1"/>
        <v>"K67":"parcelassessmentwithdats_electricityusageinformation_electricityusageforfeeding"</v>
      </c>
      <c r="F67" s="105" t="s">
        <v>1317</v>
      </c>
      <c r="G67" s="105" t="s">
        <v>46</v>
      </c>
      <c r="H67" s="105" t="s">
        <v>79</v>
      </c>
      <c r="I67" s="161" t="str">
        <f t="shared" si="2"/>
        <v>"L67":"parcelassessmentwithoutdats_electricityusageinformation_electricityusageforfeeding"</v>
      </c>
      <c r="J67" s="170" t="s">
        <v>1554</v>
      </c>
      <c r="K67" s="104">
        <v>1</v>
      </c>
      <c r="L67" s="104">
        <v>1</v>
      </c>
      <c r="M67" s="89"/>
      <c r="N67" s="104"/>
      <c r="O67" s="104"/>
      <c r="P67" s="89"/>
      <c r="Q67" s="104"/>
      <c r="R67" s="104"/>
    </row>
    <row r="68" spans="1:18">
      <c r="A68" t="s">
        <v>864</v>
      </c>
      <c r="B68" s="166" t="s">
        <v>743</v>
      </c>
      <c r="C68" s="161" t="str">
        <f t="shared" si="0"/>
        <v>"J68":"parcelassessmentwithdats_electricityusageinformation_totalelectricityusage"</v>
      </c>
      <c r="D68" s="105" t="s">
        <v>1081</v>
      </c>
      <c r="E68" s="161" t="str">
        <f t="shared" si="1"/>
        <v>"K68":"parcelassessmentwithdats_electricityusageinformation_totalelectricityusage"</v>
      </c>
      <c r="F68" s="105" t="s">
        <v>1318</v>
      </c>
      <c r="G68" s="109" t="s">
        <v>556</v>
      </c>
      <c r="H68" s="105" t="s">
        <v>79</v>
      </c>
      <c r="I68" s="161" t="str">
        <f t="shared" si="2"/>
        <v>"L68":"parcelassessmentwithoutdats_electricityusageinformation_totalelectricityusage"</v>
      </c>
      <c r="J68" s="170" t="s">
        <v>1555</v>
      </c>
      <c r="K68" s="104">
        <v>1</v>
      </c>
      <c r="L68" s="104">
        <v>1</v>
      </c>
      <c r="M68" s="89"/>
      <c r="N68" s="104"/>
      <c r="O68" s="104"/>
      <c r="P68" s="89"/>
      <c r="Q68" s="104"/>
      <c r="R68" s="104"/>
    </row>
    <row r="69" spans="1:18">
      <c r="C69" s="161" t="str">
        <f t="shared" si="0"/>
        <v>"J69":"parcelassessmentwithdats__"</v>
      </c>
      <c r="D69" s="105" t="s">
        <v>1082</v>
      </c>
      <c r="E69" s="161" t="str">
        <f t="shared" si="1"/>
        <v>"K69":"parcelassessmentwithdats__"</v>
      </c>
      <c r="F69" s="105" t="s">
        <v>1319</v>
      </c>
      <c r="I69" s="161" t="str">
        <f t="shared" si="2"/>
        <v>"L69":"parcelassessmentwithoutdats__"</v>
      </c>
      <c r="J69" s="170" t="s">
        <v>1556</v>
      </c>
      <c r="K69" s="89"/>
      <c r="L69" s="89"/>
      <c r="M69" s="89"/>
      <c r="N69" s="89"/>
      <c r="O69" s="89"/>
      <c r="P69" s="89"/>
      <c r="Q69" s="89"/>
      <c r="R69" s="89"/>
    </row>
    <row r="70" spans="1:18">
      <c r="C70" s="161" t="str">
        <f t="shared" si="0"/>
        <v>"J70":"parcelassessmentwithdats__"</v>
      </c>
      <c r="D70" s="105" t="s">
        <v>1083</v>
      </c>
      <c r="E70" s="161" t="str">
        <f t="shared" si="1"/>
        <v>"K70":"parcelassessmentwithdats__"</v>
      </c>
      <c r="F70" s="105" t="s">
        <v>1320</v>
      </c>
      <c r="G70" s="121"/>
      <c r="H70" s="121"/>
      <c r="I70" s="161" t="str">
        <f t="shared" si="2"/>
        <v>"L70":"parcelassessmentwithoutdats__"</v>
      </c>
      <c r="J70" s="170" t="s">
        <v>1557</v>
      </c>
      <c r="K70" s="168" t="s">
        <v>116</v>
      </c>
      <c r="L70" s="168" t="s">
        <v>116</v>
      </c>
      <c r="M70" s="143"/>
      <c r="N70" s="188" t="s">
        <v>117</v>
      </c>
      <c r="O70" s="189"/>
      <c r="P70" s="143"/>
      <c r="Q70" s="190" t="s">
        <v>118</v>
      </c>
      <c r="R70" s="191"/>
    </row>
    <row r="71" spans="1:18">
      <c r="C71" s="161" t="str">
        <f t="shared" si="0"/>
        <v>"J71":"parcelassessmentwithdats__"</v>
      </c>
      <c r="D71" s="105" t="s">
        <v>1084</v>
      </c>
      <c r="E71" s="161" t="str">
        <f t="shared" si="1"/>
        <v>"K71":"parcelassessmentwithdats__"</v>
      </c>
      <c r="F71" s="105" t="s">
        <v>1321</v>
      </c>
      <c r="G71" s="123" t="s">
        <v>119</v>
      </c>
      <c r="H71" s="123"/>
      <c r="I71" s="161" t="str">
        <f t="shared" si="2"/>
        <v>"L71":"parcelassessmentwithoutdats__"</v>
      </c>
      <c r="J71" s="170" t="s">
        <v>1558</v>
      </c>
      <c r="K71" s="90" t="s">
        <v>551</v>
      </c>
      <c r="L71" s="90" t="s">
        <v>553</v>
      </c>
      <c r="M71" s="143"/>
      <c r="N71" s="90" t="s">
        <v>551</v>
      </c>
      <c r="O71" s="90" t="s">
        <v>109</v>
      </c>
      <c r="P71" s="143"/>
      <c r="Q71" s="90" t="s">
        <v>551</v>
      </c>
      <c r="R71" s="90" t="s">
        <v>109</v>
      </c>
    </row>
    <row r="72" spans="1:18">
      <c r="A72" t="s">
        <v>873</v>
      </c>
      <c r="B72" t="s">
        <v>930</v>
      </c>
      <c r="C72" s="161" t="str">
        <f t="shared" si="0"/>
        <v>"J72":"parcelassessmentwithdats_pesticidesusageinformation_productname_0"</v>
      </c>
      <c r="D72" s="105" t="s">
        <v>1085</v>
      </c>
      <c r="E72" s="161" t="str">
        <f t="shared" si="1"/>
        <v>"K72":"parcelassessmentwithdats_pesticidesusageinformation_productname_0"</v>
      </c>
      <c r="F72" s="105" t="s">
        <v>1322</v>
      </c>
      <c r="G72" s="92" t="s">
        <v>10</v>
      </c>
      <c r="H72" s="92" t="s">
        <v>647</v>
      </c>
      <c r="I72" s="161" t="str">
        <f t="shared" si="2"/>
        <v>"L72":"parcelassessmentwithoutdats_pesticidesusageinformation_productname_0"</v>
      </c>
      <c r="J72" s="170" t="s">
        <v>1559</v>
      </c>
      <c r="K72" s="104">
        <v>1</v>
      </c>
      <c r="L72" s="104">
        <v>1</v>
      </c>
      <c r="M72" s="89"/>
      <c r="N72" s="104"/>
      <c r="O72" s="104"/>
      <c r="P72" s="89"/>
      <c r="Q72" s="104"/>
      <c r="R72" s="104"/>
    </row>
    <row r="73" spans="1:18">
      <c r="A73" t="s">
        <v>873</v>
      </c>
      <c r="B73" t="s">
        <v>951</v>
      </c>
      <c r="C73" s="161" t="str">
        <f t="shared" si="0"/>
        <v>"J73":"parcelassessmentwithdats_pesticidesusageinformation_numberoftreatments_0"</v>
      </c>
      <c r="D73" s="105" t="s">
        <v>1086</v>
      </c>
      <c r="E73" s="161" t="str">
        <f t="shared" si="1"/>
        <v>"K73":"parcelassessmentwithdats_pesticidesusageinformation_numberoftreatments_0"</v>
      </c>
      <c r="F73" s="105" t="s">
        <v>1323</v>
      </c>
      <c r="G73" s="92" t="s">
        <v>10</v>
      </c>
      <c r="H73" s="92" t="s">
        <v>7</v>
      </c>
      <c r="I73" s="161" t="str">
        <f t="shared" si="2"/>
        <v>"L73":"parcelassessmentwithoutdats_pesticidesusageinformation_numberoftreatments_0"</v>
      </c>
      <c r="J73" s="170" t="s">
        <v>1560</v>
      </c>
      <c r="K73" s="104">
        <v>1</v>
      </c>
      <c r="L73" s="104">
        <v>1</v>
      </c>
      <c r="M73" s="89"/>
      <c r="N73" s="104"/>
      <c r="O73" s="104"/>
      <c r="P73" s="89"/>
      <c r="Q73" s="104"/>
      <c r="R73" s="104"/>
    </row>
    <row r="74" spans="1:18">
      <c r="A74" t="s">
        <v>873</v>
      </c>
      <c r="B74" t="s">
        <v>952</v>
      </c>
      <c r="C74" s="161" t="str">
        <f t="shared" si="0"/>
        <v>"J74":"parcelassessmentwithdats_pesticidesusageinformation_averagequantity_0"</v>
      </c>
      <c r="D74" s="105" t="s">
        <v>1087</v>
      </c>
      <c r="E74" s="161" t="str">
        <f t="shared" si="1"/>
        <v>"K74":"parcelassessmentwithdats_pesticidesusageinformation_averagequantity_0"</v>
      </c>
      <c r="F74" s="105" t="s">
        <v>1324</v>
      </c>
      <c r="G74" s="92" t="s">
        <v>10</v>
      </c>
      <c r="H74" s="92" t="s">
        <v>504</v>
      </c>
      <c r="I74" s="161" t="str">
        <f t="shared" si="2"/>
        <v>"L74":"parcelassessmentwithoutdats_pesticidesusageinformation_averagequantity_0"</v>
      </c>
      <c r="J74" s="170" t="s">
        <v>1561</v>
      </c>
      <c r="K74" s="104">
        <v>1</v>
      </c>
      <c r="L74" s="104">
        <v>1</v>
      </c>
      <c r="M74" s="89"/>
      <c r="N74" s="104"/>
      <c r="O74" s="104"/>
      <c r="P74" s="89"/>
      <c r="Q74" s="104"/>
      <c r="R74" s="104"/>
    </row>
    <row r="75" spans="1:18">
      <c r="A75" t="s">
        <v>873</v>
      </c>
      <c r="B75" t="s">
        <v>933</v>
      </c>
      <c r="C75" s="161" t="str">
        <f t="shared" ref="C75:C138" si="3">CONCATENATE("""",D75,"""",":","""","parcelassessmentwithdats_",LOWER($A75),"_",LOWER($B75),"""")</f>
        <v>"J75":"parcelassessmentwithdats_pesticidesusageinformation_productname_1"</v>
      </c>
      <c r="D75" s="105" t="s">
        <v>1088</v>
      </c>
      <c r="E75" s="161" t="str">
        <f t="shared" ref="E75:E138" si="4">CONCATENATE("""",F75,"""",":","""","parcelassessmentwithdats_",LOWER(A75),"_",LOWER(B75),"""")</f>
        <v>"K75":"parcelassessmentwithdats_pesticidesusageinformation_productname_1"</v>
      </c>
      <c r="F75" s="105" t="s">
        <v>1325</v>
      </c>
      <c r="G75" s="92" t="s">
        <v>11</v>
      </c>
      <c r="H75" s="92" t="s">
        <v>182</v>
      </c>
      <c r="I75" s="161" t="str">
        <f t="shared" ref="I75:I138" si="5">CONCATENATE("""",J75,"""",":","""","parcelassessmentwithoutdats_",LOWER($A75),"_",LOWER($B75),"""")</f>
        <v>"L75":"parcelassessmentwithoutdats_pesticidesusageinformation_productname_1"</v>
      </c>
      <c r="J75" s="170" t="s">
        <v>1562</v>
      </c>
      <c r="K75" s="104">
        <v>1</v>
      </c>
      <c r="L75" s="104">
        <v>1</v>
      </c>
      <c r="M75" s="89"/>
      <c r="N75" s="104"/>
      <c r="O75" s="104"/>
      <c r="P75" s="89"/>
      <c r="Q75" s="104"/>
      <c r="R75" s="104"/>
    </row>
    <row r="76" spans="1:18">
      <c r="A76" t="s">
        <v>873</v>
      </c>
      <c r="B76" t="s">
        <v>957</v>
      </c>
      <c r="C76" s="161" t="str">
        <f t="shared" si="3"/>
        <v>"J76":"parcelassessmentwithdats_pesticidesusageinformation_numberoftreatments_1"</v>
      </c>
      <c r="D76" s="105" t="s">
        <v>1089</v>
      </c>
      <c r="E76" s="161" t="str">
        <f t="shared" si="4"/>
        <v>"K76":"parcelassessmentwithdats_pesticidesusageinformation_numberoftreatments_1"</v>
      </c>
      <c r="F76" s="105" t="s">
        <v>1326</v>
      </c>
      <c r="G76" s="92" t="s">
        <v>11</v>
      </c>
      <c r="H76" s="92" t="s">
        <v>7</v>
      </c>
      <c r="I76" s="161" t="str">
        <f t="shared" si="5"/>
        <v>"L76":"parcelassessmentwithoutdats_pesticidesusageinformation_numberoftreatments_1"</v>
      </c>
      <c r="J76" s="170" t="s">
        <v>1563</v>
      </c>
      <c r="K76" s="104">
        <v>1</v>
      </c>
      <c r="L76" s="104">
        <v>1</v>
      </c>
      <c r="M76" s="89"/>
      <c r="N76" s="104"/>
      <c r="O76" s="104"/>
      <c r="P76" s="89"/>
      <c r="Q76" s="104"/>
      <c r="R76" s="104"/>
    </row>
    <row r="77" spans="1:18">
      <c r="A77" t="s">
        <v>873</v>
      </c>
      <c r="B77" t="s">
        <v>958</v>
      </c>
      <c r="C77" s="161" t="str">
        <f t="shared" si="3"/>
        <v>"J77":"parcelassessmentwithdats_pesticidesusageinformation_averagequantity_1"</v>
      </c>
      <c r="D77" s="105" t="s">
        <v>1090</v>
      </c>
      <c r="E77" s="161" t="str">
        <f t="shared" si="4"/>
        <v>"K77":"parcelassessmentwithdats_pesticidesusageinformation_averagequantity_1"</v>
      </c>
      <c r="F77" s="105" t="s">
        <v>1327</v>
      </c>
      <c r="G77" s="92" t="s">
        <v>11</v>
      </c>
      <c r="H77" s="92" t="s">
        <v>504</v>
      </c>
      <c r="I77" s="161" t="str">
        <f t="shared" si="5"/>
        <v>"L77":"parcelassessmentwithoutdats_pesticidesusageinformation_averagequantity_1"</v>
      </c>
      <c r="J77" s="170" t="s">
        <v>1564</v>
      </c>
      <c r="K77" s="104">
        <v>1</v>
      </c>
      <c r="L77" s="104">
        <v>1</v>
      </c>
      <c r="M77" s="89"/>
      <c r="N77" s="104"/>
      <c r="O77" s="104"/>
      <c r="P77" s="89"/>
      <c r="Q77" s="104"/>
      <c r="R77" s="104"/>
    </row>
    <row r="78" spans="1:18">
      <c r="A78" t="s">
        <v>873</v>
      </c>
      <c r="B78" t="s">
        <v>934</v>
      </c>
      <c r="C78" s="161" t="str">
        <f t="shared" si="3"/>
        <v>"J78":"parcelassessmentwithdats_pesticidesusageinformation_productname_2"</v>
      </c>
      <c r="D78" s="105" t="s">
        <v>1091</v>
      </c>
      <c r="E78" s="161" t="str">
        <f t="shared" si="4"/>
        <v>"K78":"parcelassessmentwithdats_pesticidesusageinformation_productname_2"</v>
      </c>
      <c r="F78" s="105" t="s">
        <v>1328</v>
      </c>
      <c r="G78" s="92" t="s">
        <v>627</v>
      </c>
      <c r="H78" s="92" t="s">
        <v>628</v>
      </c>
      <c r="I78" s="161" t="str">
        <f t="shared" si="5"/>
        <v>"L78":"parcelassessmentwithoutdats_pesticidesusageinformation_productname_2"</v>
      </c>
      <c r="J78" s="170" t="s">
        <v>1565</v>
      </c>
      <c r="K78" s="104">
        <v>1</v>
      </c>
      <c r="L78" s="104">
        <v>1</v>
      </c>
      <c r="M78" s="89"/>
      <c r="N78" s="104"/>
      <c r="O78" s="104"/>
      <c r="P78" s="89"/>
      <c r="Q78" s="104"/>
      <c r="R78" s="104"/>
    </row>
    <row r="79" spans="1:18">
      <c r="A79" t="s">
        <v>873</v>
      </c>
      <c r="B79" t="s">
        <v>963</v>
      </c>
      <c r="C79" s="161" t="str">
        <f t="shared" si="3"/>
        <v>"J79":"parcelassessmentwithdats_pesticidesusageinformation_numberoftreatments_2"</v>
      </c>
      <c r="D79" s="105" t="s">
        <v>1092</v>
      </c>
      <c r="E79" s="161" t="str">
        <f t="shared" si="4"/>
        <v>"K79":"parcelassessmentwithdats_pesticidesusageinformation_numberoftreatments_2"</v>
      </c>
      <c r="F79" s="105" t="s">
        <v>1329</v>
      </c>
      <c r="G79" s="92" t="s">
        <v>627</v>
      </c>
      <c r="H79" s="92" t="s">
        <v>7</v>
      </c>
      <c r="I79" s="161" t="str">
        <f t="shared" si="5"/>
        <v>"L79":"parcelassessmentwithoutdats_pesticidesusageinformation_numberoftreatments_2"</v>
      </c>
      <c r="J79" s="170" t="s">
        <v>1566</v>
      </c>
      <c r="K79" s="104">
        <v>1</v>
      </c>
      <c r="L79" s="104">
        <v>1</v>
      </c>
      <c r="M79" s="89"/>
      <c r="N79" s="104"/>
      <c r="O79" s="104"/>
      <c r="P79" s="89"/>
      <c r="Q79" s="104"/>
      <c r="R79" s="104"/>
    </row>
    <row r="80" spans="1:18">
      <c r="A80" t="s">
        <v>873</v>
      </c>
      <c r="B80" t="s">
        <v>964</v>
      </c>
      <c r="C80" s="161" t="str">
        <f t="shared" si="3"/>
        <v>"J80":"parcelassessmentwithdats_pesticidesusageinformation_averagequantity_2"</v>
      </c>
      <c r="D80" s="105" t="s">
        <v>1093</v>
      </c>
      <c r="E80" s="161" t="str">
        <f t="shared" si="4"/>
        <v>"K80":"parcelassessmentwithdats_pesticidesusageinformation_averagequantity_2"</v>
      </c>
      <c r="F80" s="105" t="s">
        <v>1330</v>
      </c>
      <c r="G80" s="92" t="s">
        <v>627</v>
      </c>
      <c r="H80" s="92" t="s">
        <v>504</v>
      </c>
      <c r="I80" s="161" t="str">
        <f t="shared" si="5"/>
        <v>"L80":"parcelassessmentwithoutdats_pesticidesusageinformation_averagequantity_2"</v>
      </c>
      <c r="J80" s="170" t="s">
        <v>1567</v>
      </c>
      <c r="K80" s="104">
        <v>1</v>
      </c>
      <c r="L80" s="104">
        <v>1</v>
      </c>
      <c r="M80" s="89"/>
      <c r="N80" s="104"/>
      <c r="O80" s="104"/>
      <c r="P80" s="89"/>
      <c r="Q80" s="104"/>
      <c r="R80" s="104"/>
    </row>
    <row r="81" spans="1:18">
      <c r="A81" t="s">
        <v>873</v>
      </c>
      <c r="B81" t="s">
        <v>936</v>
      </c>
      <c r="C81" s="161" t="str">
        <f t="shared" si="3"/>
        <v>"J81":"parcelassessmentwithdats_pesticidesusageinformation_productname_3"</v>
      </c>
      <c r="D81" s="105" t="s">
        <v>1094</v>
      </c>
      <c r="E81" s="161" t="str">
        <f t="shared" si="4"/>
        <v>"K81":"parcelassessmentwithdats_pesticidesusageinformation_productname_3"</v>
      </c>
      <c r="F81" s="105" t="s">
        <v>1331</v>
      </c>
      <c r="G81" s="92" t="s">
        <v>10</v>
      </c>
      <c r="H81" s="92" t="s">
        <v>647</v>
      </c>
      <c r="I81" s="161" t="str">
        <f t="shared" si="5"/>
        <v>"L81":"parcelassessmentwithoutdats_pesticidesusageinformation_productname_3"</v>
      </c>
      <c r="J81" s="170" t="s">
        <v>1568</v>
      </c>
      <c r="K81" s="104">
        <v>1</v>
      </c>
      <c r="L81" s="104">
        <v>1</v>
      </c>
      <c r="M81" s="89"/>
      <c r="N81" s="104"/>
      <c r="O81" s="104"/>
      <c r="P81" s="89"/>
      <c r="Q81" s="104"/>
      <c r="R81" s="104"/>
    </row>
    <row r="82" spans="1:18">
      <c r="A82" t="s">
        <v>873</v>
      </c>
      <c r="B82" t="s">
        <v>969</v>
      </c>
      <c r="C82" s="161" t="str">
        <f t="shared" si="3"/>
        <v>"J82":"parcelassessmentwithdats_pesticidesusageinformation_numberoftreatments_3"</v>
      </c>
      <c r="D82" s="105" t="s">
        <v>1095</v>
      </c>
      <c r="E82" s="161" t="str">
        <f t="shared" si="4"/>
        <v>"K82":"parcelassessmentwithdats_pesticidesusageinformation_numberoftreatments_3"</v>
      </c>
      <c r="F82" s="105" t="s">
        <v>1332</v>
      </c>
      <c r="G82" s="92" t="s">
        <v>10</v>
      </c>
      <c r="H82" s="92" t="s">
        <v>7</v>
      </c>
      <c r="I82" s="161" t="str">
        <f t="shared" si="5"/>
        <v>"L82":"parcelassessmentwithoutdats_pesticidesusageinformation_numberoftreatments_3"</v>
      </c>
      <c r="J82" s="170" t="s">
        <v>1569</v>
      </c>
      <c r="K82" s="104">
        <v>1</v>
      </c>
      <c r="L82" s="104">
        <v>1</v>
      </c>
      <c r="M82" s="89"/>
      <c r="N82" s="104"/>
      <c r="O82" s="104"/>
      <c r="P82" s="89"/>
      <c r="Q82" s="104"/>
      <c r="R82" s="104"/>
    </row>
    <row r="83" spans="1:18">
      <c r="A83" t="s">
        <v>873</v>
      </c>
      <c r="B83" t="s">
        <v>970</v>
      </c>
      <c r="C83" s="161" t="str">
        <f t="shared" si="3"/>
        <v>"J83":"parcelassessmentwithdats_pesticidesusageinformation_averagequantity_3"</v>
      </c>
      <c r="D83" s="105" t="s">
        <v>1096</v>
      </c>
      <c r="E83" s="161" t="str">
        <f t="shared" si="4"/>
        <v>"K83":"parcelassessmentwithdats_pesticidesusageinformation_averagequantity_3"</v>
      </c>
      <c r="F83" s="105" t="s">
        <v>1333</v>
      </c>
      <c r="G83" s="92" t="s">
        <v>10</v>
      </c>
      <c r="H83" s="92" t="s">
        <v>504</v>
      </c>
      <c r="I83" s="161" t="str">
        <f t="shared" si="5"/>
        <v>"L83":"parcelassessmentwithoutdats_pesticidesusageinformation_averagequantity_3"</v>
      </c>
      <c r="J83" s="170" t="s">
        <v>1570</v>
      </c>
      <c r="K83" s="104">
        <v>1</v>
      </c>
      <c r="L83" s="104">
        <v>1</v>
      </c>
      <c r="M83" s="89"/>
      <c r="N83" s="104"/>
      <c r="O83" s="104"/>
      <c r="P83" s="89"/>
      <c r="Q83" s="104"/>
      <c r="R83" s="104"/>
    </row>
    <row r="84" spans="1:18">
      <c r="A84" t="s">
        <v>873</v>
      </c>
      <c r="B84" t="s">
        <v>938</v>
      </c>
      <c r="C84" s="161" t="str">
        <f t="shared" si="3"/>
        <v>"J84":"parcelassessmentwithdats_pesticidesusageinformation_productname_4"</v>
      </c>
      <c r="D84" s="105" t="s">
        <v>1097</v>
      </c>
      <c r="E84" s="161" t="str">
        <f t="shared" si="4"/>
        <v>"K84":"parcelassessmentwithdats_pesticidesusageinformation_productname_4"</v>
      </c>
      <c r="F84" s="105" t="s">
        <v>1334</v>
      </c>
      <c r="G84" s="92" t="s">
        <v>11</v>
      </c>
      <c r="H84" s="92" t="s">
        <v>182</v>
      </c>
      <c r="I84" s="161" t="str">
        <f t="shared" si="5"/>
        <v>"L84":"parcelassessmentwithoutdats_pesticidesusageinformation_productname_4"</v>
      </c>
      <c r="J84" s="170" t="s">
        <v>1571</v>
      </c>
      <c r="K84" s="104">
        <v>1</v>
      </c>
      <c r="L84" s="104">
        <v>1</v>
      </c>
      <c r="M84" s="89"/>
      <c r="N84" s="104"/>
      <c r="O84" s="104"/>
      <c r="P84" s="89"/>
      <c r="Q84" s="104"/>
      <c r="R84" s="104"/>
    </row>
    <row r="85" spans="1:18">
      <c r="A85" t="s">
        <v>873</v>
      </c>
      <c r="B85" t="s">
        <v>975</v>
      </c>
      <c r="C85" s="161" t="str">
        <f t="shared" si="3"/>
        <v>"J85":"parcelassessmentwithdats_pesticidesusageinformation_numberoftreatments_4"</v>
      </c>
      <c r="D85" s="105" t="s">
        <v>1098</v>
      </c>
      <c r="E85" s="161" t="str">
        <f t="shared" si="4"/>
        <v>"K85":"parcelassessmentwithdats_pesticidesusageinformation_numberoftreatments_4"</v>
      </c>
      <c r="F85" s="105" t="s">
        <v>1335</v>
      </c>
      <c r="G85" s="92" t="s">
        <v>11</v>
      </c>
      <c r="H85" s="92" t="s">
        <v>7</v>
      </c>
      <c r="I85" s="161" t="str">
        <f t="shared" si="5"/>
        <v>"L85":"parcelassessmentwithoutdats_pesticidesusageinformation_numberoftreatments_4"</v>
      </c>
      <c r="J85" s="170" t="s">
        <v>1572</v>
      </c>
      <c r="K85" s="104">
        <v>1</v>
      </c>
      <c r="L85" s="104">
        <v>1</v>
      </c>
      <c r="M85" s="89"/>
      <c r="N85" s="104"/>
      <c r="O85" s="104"/>
      <c r="P85" s="89"/>
      <c r="Q85" s="104"/>
      <c r="R85" s="104"/>
    </row>
    <row r="86" spans="1:18">
      <c r="A86" t="s">
        <v>873</v>
      </c>
      <c r="B86" t="s">
        <v>976</v>
      </c>
      <c r="C86" s="161" t="str">
        <f t="shared" si="3"/>
        <v>"J86":"parcelassessmentwithdats_pesticidesusageinformation_averagequantity_4"</v>
      </c>
      <c r="D86" s="105" t="s">
        <v>1099</v>
      </c>
      <c r="E86" s="161" t="str">
        <f t="shared" si="4"/>
        <v>"K86":"parcelassessmentwithdats_pesticidesusageinformation_averagequantity_4"</v>
      </c>
      <c r="F86" s="105" t="s">
        <v>1336</v>
      </c>
      <c r="G86" s="92" t="s">
        <v>11</v>
      </c>
      <c r="H86" s="92" t="s">
        <v>504</v>
      </c>
      <c r="I86" s="161" t="str">
        <f t="shared" si="5"/>
        <v>"L86":"parcelassessmentwithoutdats_pesticidesusageinformation_averagequantity_4"</v>
      </c>
      <c r="J86" s="170" t="s">
        <v>1573</v>
      </c>
      <c r="K86" s="104">
        <v>1</v>
      </c>
      <c r="L86" s="104">
        <v>1</v>
      </c>
      <c r="M86" s="89"/>
      <c r="N86" s="104"/>
      <c r="O86" s="104"/>
      <c r="P86" s="89"/>
      <c r="Q86" s="104"/>
      <c r="R86" s="104"/>
    </row>
    <row r="87" spans="1:18">
      <c r="A87" t="s">
        <v>873</v>
      </c>
      <c r="B87" t="s">
        <v>940</v>
      </c>
      <c r="C87" s="161" t="str">
        <f t="shared" si="3"/>
        <v>"J87":"parcelassessmentwithdats_pesticidesusageinformation_productname_5"</v>
      </c>
      <c r="D87" s="105" t="s">
        <v>1100</v>
      </c>
      <c r="E87" s="161" t="str">
        <f t="shared" si="4"/>
        <v>"K87":"parcelassessmentwithdats_pesticidesusageinformation_productname_5"</v>
      </c>
      <c r="F87" s="105" t="s">
        <v>1337</v>
      </c>
      <c r="G87" s="92" t="s">
        <v>627</v>
      </c>
      <c r="H87" s="92" t="s">
        <v>628</v>
      </c>
      <c r="I87" s="161" t="str">
        <f t="shared" si="5"/>
        <v>"L87":"parcelassessmentwithoutdats_pesticidesusageinformation_productname_5"</v>
      </c>
      <c r="J87" s="170" t="s">
        <v>1574</v>
      </c>
      <c r="K87" s="104">
        <v>1</v>
      </c>
      <c r="L87" s="104">
        <v>1</v>
      </c>
      <c r="M87" s="89"/>
      <c r="N87" s="104"/>
      <c r="O87" s="104"/>
      <c r="P87" s="89"/>
      <c r="Q87" s="104"/>
      <c r="R87" s="104"/>
    </row>
    <row r="88" spans="1:18">
      <c r="A88" t="s">
        <v>873</v>
      </c>
      <c r="B88" t="s">
        <v>981</v>
      </c>
      <c r="C88" s="161" t="str">
        <f t="shared" si="3"/>
        <v>"J88":"parcelassessmentwithdats_pesticidesusageinformation_numberoftreatments_5"</v>
      </c>
      <c r="D88" s="105" t="s">
        <v>1101</v>
      </c>
      <c r="E88" s="161" t="str">
        <f t="shared" si="4"/>
        <v>"K88":"parcelassessmentwithdats_pesticidesusageinformation_numberoftreatments_5"</v>
      </c>
      <c r="F88" s="105" t="s">
        <v>1338</v>
      </c>
      <c r="G88" s="92" t="s">
        <v>627</v>
      </c>
      <c r="H88" s="92" t="s">
        <v>7</v>
      </c>
      <c r="I88" s="161" t="str">
        <f t="shared" si="5"/>
        <v>"L88":"parcelassessmentwithoutdats_pesticidesusageinformation_numberoftreatments_5"</v>
      </c>
      <c r="J88" s="170" t="s">
        <v>1575</v>
      </c>
      <c r="K88" s="104">
        <v>1</v>
      </c>
      <c r="L88" s="104">
        <v>1</v>
      </c>
      <c r="M88" s="89"/>
      <c r="N88" s="104"/>
      <c r="O88" s="104"/>
      <c r="P88" s="89"/>
      <c r="Q88" s="104"/>
      <c r="R88" s="104"/>
    </row>
    <row r="89" spans="1:18">
      <c r="A89" t="s">
        <v>873</v>
      </c>
      <c r="B89" t="s">
        <v>982</v>
      </c>
      <c r="C89" s="161" t="str">
        <f t="shared" si="3"/>
        <v>"J89":"parcelassessmentwithdats_pesticidesusageinformation_averagequantity_5"</v>
      </c>
      <c r="D89" s="105" t="s">
        <v>1102</v>
      </c>
      <c r="E89" s="161" t="str">
        <f t="shared" si="4"/>
        <v>"K89":"parcelassessmentwithdats_pesticidesusageinformation_averagequantity_5"</v>
      </c>
      <c r="F89" s="105" t="s">
        <v>1339</v>
      </c>
      <c r="G89" s="92" t="s">
        <v>627</v>
      </c>
      <c r="H89" s="92" t="s">
        <v>504</v>
      </c>
      <c r="I89" s="161" t="str">
        <f t="shared" si="5"/>
        <v>"L89":"parcelassessmentwithoutdats_pesticidesusageinformation_averagequantity_5"</v>
      </c>
      <c r="J89" s="170" t="s">
        <v>1576</v>
      </c>
      <c r="K89" s="104">
        <v>1</v>
      </c>
      <c r="L89" s="104">
        <v>1</v>
      </c>
      <c r="M89" s="89"/>
      <c r="N89" s="104"/>
      <c r="O89" s="104"/>
      <c r="P89" s="89"/>
      <c r="Q89" s="104"/>
      <c r="R89" s="104"/>
    </row>
    <row r="90" spans="1:18">
      <c r="C90" s="161" t="str">
        <f t="shared" si="3"/>
        <v>"J90":"parcelassessmentwithdats__"</v>
      </c>
      <c r="D90" s="105" t="s">
        <v>1103</v>
      </c>
      <c r="E90" s="161" t="str">
        <f t="shared" si="4"/>
        <v>"K90":"parcelassessmentwithdats__"</v>
      </c>
      <c r="F90" s="105" t="s">
        <v>1340</v>
      </c>
      <c r="I90" s="161" t="str">
        <f t="shared" si="5"/>
        <v>"L90":"parcelassessmentwithoutdats__"</v>
      </c>
      <c r="J90" s="170" t="s">
        <v>1577</v>
      </c>
      <c r="K90" s="89"/>
      <c r="L90" s="89"/>
      <c r="M90" s="89"/>
      <c r="N90" s="89"/>
      <c r="O90" s="89"/>
      <c r="P90" s="89"/>
      <c r="Q90" s="89"/>
      <c r="R90" s="89"/>
    </row>
    <row r="91" spans="1:18">
      <c r="C91" s="161" t="str">
        <f t="shared" si="3"/>
        <v>"J91":"parcelassessmentwithdats__"</v>
      </c>
      <c r="D91" s="105" t="s">
        <v>1104</v>
      </c>
      <c r="E91" s="161" t="str">
        <f t="shared" si="4"/>
        <v>"K91":"parcelassessmentwithdats__"</v>
      </c>
      <c r="F91" s="105" t="s">
        <v>1341</v>
      </c>
      <c r="G91" s="125"/>
      <c r="H91" s="125"/>
      <c r="I91" s="161" t="str">
        <f t="shared" si="5"/>
        <v>"L91":"parcelassessmentwithoutdats__"</v>
      </c>
      <c r="J91" s="170" t="s">
        <v>1578</v>
      </c>
      <c r="K91" s="168" t="s">
        <v>116</v>
      </c>
      <c r="L91" s="168" t="s">
        <v>116</v>
      </c>
      <c r="M91" s="143"/>
      <c r="N91" s="188" t="s">
        <v>117</v>
      </c>
      <c r="O91" s="189"/>
      <c r="P91" s="143"/>
      <c r="Q91" s="190" t="s">
        <v>118</v>
      </c>
      <c r="R91" s="191"/>
    </row>
    <row r="92" spans="1:18">
      <c r="C92" s="161" t="str">
        <f t="shared" si="3"/>
        <v>"J92":"parcelassessmentwithdats__"</v>
      </c>
      <c r="D92" s="105" t="s">
        <v>1105</v>
      </c>
      <c r="E92" s="161" t="str">
        <f t="shared" si="4"/>
        <v>"K92":"parcelassessmentwithdats__"</v>
      </c>
      <c r="F92" s="105" t="s">
        <v>1342</v>
      </c>
      <c r="G92" s="127" t="s">
        <v>119</v>
      </c>
      <c r="H92" s="127"/>
      <c r="I92" s="161" t="str">
        <f t="shared" si="5"/>
        <v>"L92":"parcelassessmentwithoutdats__"</v>
      </c>
      <c r="J92" s="170" t="s">
        <v>1579</v>
      </c>
      <c r="K92" s="90" t="s">
        <v>551</v>
      </c>
      <c r="L92" s="90" t="s">
        <v>553</v>
      </c>
      <c r="M92" s="143"/>
      <c r="N92" s="90" t="s">
        <v>551</v>
      </c>
      <c r="O92" s="90" t="s">
        <v>109</v>
      </c>
      <c r="P92" s="143"/>
      <c r="Q92" s="90" t="s">
        <v>551</v>
      </c>
      <c r="R92" s="90" t="s">
        <v>109</v>
      </c>
    </row>
    <row r="93" spans="1:18">
      <c r="A93" t="s">
        <v>865</v>
      </c>
      <c r="B93" t="s">
        <v>930</v>
      </c>
      <c r="C93" s="161" t="str">
        <f t="shared" si="3"/>
        <v>"J93":"parcelassessmentwithdats_fertilizersusageinformation_productname_0"</v>
      </c>
      <c r="D93" s="105" t="s">
        <v>1106</v>
      </c>
      <c r="E93" s="161" t="str">
        <f t="shared" si="4"/>
        <v>"K93":"parcelassessmentwithdats_fertilizersusageinformation_productname_0"</v>
      </c>
      <c r="F93" s="105" t="s">
        <v>1343</v>
      </c>
      <c r="G93" s="92" t="s">
        <v>294</v>
      </c>
      <c r="H93" s="92" t="s">
        <v>663</v>
      </c>
      <c r="I93" s="161" t="str">
        <f t="shared" si="5"/>
        <v>"L93":"parcelassessmentwithoutdats_fertilizersusageinformation_productname_0"</v>
      </c>
      <c r="J93" s="170" t="s">
        <v>1580</v>
      </c>
      <c r="K93" s="104">
        <v>1</v>
      </c>
      <c r="L93" s="104">
        <v>1</v>
      </c>
      <c r="M93" s="89"/>
      <c r="N93" s="104"/>
      <c r="O93" s="104"/>
      <c r="P93" s="89"/>
      <c r="Q93" s="104"/>
      <c r="R93" s="104"/>
    </row>
    <row r="94" spans="1:18">
      <c r="A94" t="s">
        <v>865</v>
      </c>
      <c r="B94" t="s">
        <v>950</v>
      </c>
      <c r="C94" s="161" t="str">
        <f t="shared" si="3"/>
        <v>"J94":"parcelassessmentwithdats_fertilizersusageinformation_producttype_0"</v>
      </c>
      <c r="D94" s="105" t="s">
        <v>1107</v>
      </c>
      <c r="E94" s="161" t="str">
        <f t="shared" si="4"/>
        <v>"K94":"parcelassessmentwithdats_fertilizersusageinformation_producttype_0"</v>
      </c>
      <c r="F94" s="105" t="s">
        <v>1344</v>
      </c>
      <c r="G94" s="92" t="s">
        <v>294</v>
      </c>
      <c r="H94" s="92" t="s">
        <v>653</v>
      </c>
      <c r="I94" s="161" t="str">
        <f t="shared" si="5"/>
        <v>"L94":"parcelassessmentwithoutdats_fertilizersusageinformation_producttype_0"</v>
      </c>
      <c r="J94" s="170" t="s">
        <v>1581</v>
      </c>
      <c r="K94" s="104">
        <v>1</v>
      </c>
      <c r="L94" s="104">
        <v>1</v>
      </c>
      <c r="M94" s="89"/>
      <c r="N94" s="104"/>
      <c r="O94" s="104"/>
      <c r="P94" s="89"/>
      <c r="Q94" s="104"/>
      <c r="R94" s="104"/>
    </row>
    <row r="95" spans="1:18">
      <c r="A95" t="s">
        <v>865</v>
      </c>
      <c r="B95" t="s">
        <v>951</v>
      </c>
      <c r="C95" s="161" t="str">
        <f t="shared" si="3"/>
        <v>"J95":"parcelassessmentwithdats_fertilizersusageinformation_numberoftreatments_0"</v>
      </c>
      <c r="D95" s="105" t="s">
        <v>1108</v>
      </c>
      <c r="E95" s="161" t="str">
        <f t="shared" si="4"/>
        <v>"K95":"parcelassessmentwithdats_fertilizersusageinformation_numberoftreatments_0"</v>
      </c>
      <c r="F95" s="105" t="s">
        <v>1345</v>
      </c>
      <c r="G95" s="92" t="s">
        <v>294</v>
      </c>
      <c r="H95" s="92" t="s">
        <v>7</v>
      </c>
      <c r="I95" s="161" t="str">
        <f t="shared" si="5"/>
        <v>"L95":"parcelassessmentwithoutdats_fertilizersusageinformation_numberoftreatments_0"</v>
      </c>
      <c r="J95" s="170" t="s">
        <v>1582</v>
      </c>
      <c r="K95" s="104">
        <v>1</v>
      </c>
      <c r="L95" s="104">
        <v>1</v>
      </c>
      <c r="M95" s="89"/>
      <c r="N95" s="104"/>
      <c r="O95" s="104"/>
      <c r="P95" s="89"/>
      <c r="Q95" s="104"/>
      <c r="R95" s="104"/>
    </row>
    <row r="96" spans="1:18">
      <c r="A96" t="s">
        <v>865</v>
      </c>
      <c r="B96" t="s">
        <v>952</v>
      </c>
      <c r="C96" s="161" t="str">
        <f t="shared" si="3"/>
        <v>"J96":"parcelassessmentwithdats_fertilizersusageinformation_averagequantity_0"</v>
      </c>
      <c r="D96" s="105" t="s">
        <v>1109</v>
      </c>
      <c r="E96" s="161" t="str">
        <f t="shared" si="4"/>
        <v>"K96":"parcelassessmentwithdats_fertilizersusageinformation_averagequantity_0"</v>
      </c>
      <c r="F96" s="105" t="s">
        <v>1346</v>
      </c>
      <c r="G96" s="92" t="s">
        <v>294</v>
      </c>
      <c r="H96" s="92" t="s">
        <v>504</v>
      </c>
      <c r="I96" s="161" t="str">
        <f t="shared" si="5"/>
        <v>"L96":"parcelassessmentwithoutdats_fertilizersusageinformation_averagequantity_0"</v>
      </c>
      <c r="J96" s="170" t="s">
        <v>1583</v>
      </c>
      <c r="K96" s="104">
        <v>1</v>
      </c>
      <c r="L96" s="104">
        <v>1</v>
      </c>
      <c r="M96" s="89"/>
      <c r="N96" s="104"/>
      <c r="O96" s="104"/>
      <c r="P96" s="89"/>
      <c r="Q96" s="104"/>
      <c r="R96" s="104"/>
    </row>
    <row r="97" spans="1:18">
      <c r="A97" t="s">
        <v>865</v>
      </c>
      <c r="B97" t="s">
        <v>953</v>
      </c>
      <c r="C97" s="161" t="str">
        <f t="shared" si="3"/>
        <v>"J97":"parcelassessmentwithdats_fertilizersusageinformation_averagenitrogenquantity_0"</v>
      </c>
      <c r="D97" s="105" t="s">
        <v>1110</v>
      </c>
      <c r="E97" s="161" t="str">
        <f t="shared" si="4"/>
        <v>"K97":"parcelassessmentwithdats_fertilizersusageinformation_averagenitrogenquantity_0"</v>
      </c>
      <c r="F97" s="105" t="s">
        <v>1347</v>
      </c>
      <c r="G97" s="92" t="s">
        <v>294</v>
      </c>
      <c r="H97" s="92" t="s">
        <v>505</v>
      </c>
      <c r="I97" s="161" t="str">
        <f t="shared" si="5"/>
        <v>"L97":"parcelassessmentwithoutdats_fertilizersusageinformation_averagenitrogenquantity_0"</v>
      </c>
      <c r="J97" s="170" t="s">
        <v>1584</v>
      </c>
      <c r="K97" s="104">
        <v>1</v>
      </c>
      <c r="L97" s="104">
        <v>1</v>
      </c>
      <c r="M97" s="89"/>
      <c r="N97" s="104"/>
      <c r="O97" s="104"/>
      <c r="P97" s="89"/>
      <c r="Q97" s="104"/>
      <c r="R97" s="104"/>
    </row>
    <row r="98" spans="1:18">
      <c r="A98" t="s">
        <v>865</v>
      </c>
      <c r="B98" t="s">
        <v>954</v>
      </c>
      <c r="C98" s="161" t="str">
        <f t="shared" si="3"/>
        <v>"J98":"parcelassessmentwithdats_fertilizersusageinformation_averagephosphorusquantity_0"</v>
      </c>
      <c r="D98" s="105" t="s">
        <v>1111</v>
      </c>
      <c r="E98" s="161" t="str">
        <f t="shared" si="4"/>
        <v>"K98":"parcelassessmentwithdats_fertilizersusageinformation_averagephosphorusquantity_0"</v>
      </c>
      <c r="F98" s="105" t="s">
        <v>1348</v>
      </c>
      <c r="G98" s="92" t="s">
        <v>294</v>
      </c>
      <c r="H98" s="92" t="s">
        <v>506</v>
      </c>
      <c r="I98" s="161" t="str">
        <f t="shared" si="5"/>
        <v>"L98":"parcelassessmentwithoutdats_fertilizersusageinformation_averagephosphorusquantity_0"</v>
      </c>
      <c r="J98" s="170" t="s">
        <v>1585</v>
      </c>
      <c r="K98" s="104">
        <v>1</v>
      </c>
      <c r="L98" s="104">
        <v>1</v>
      </c>
      <c r="M98" s="89"/>
      <c r="N98" s="104"/>
      <c r="O98" s="104"/>
      <c r="P98" s="89"/>
      <c r="Q98" s="104"/>
      <c r="R98" s="104"/>
    </row>
    <row r="99" spans="1:18">
      <c r="A99" t="s">
        <v>865</v>
      </c>
      <c r="B99" t="s">
        <v>955</v>
      </c>
      <c r="C99" s="161" t="str">
        <f t="shared" si="3"/>
        <v>"J99":"parcelassessmentwithdats_fertilizersusageinformation_averagepotassiumquantity_0"</v>
      </c>
      <c r="D99" s="105" t="s">
        <v>1112</v>
      </c>
      <c r="E99" s="161" t="str">
        <f t="shared" si="4"/>
        <v>"K99":"parcelassessmentwithdats_fertilizersusageinformation_averagepotassiumquantity_0"</v>
      </c>
      <c r="F99" s="105" t="s">
        <v>1349</v>
      </c>
      <c r="G99" s="92" t="s">
        <v>294</v>
      </c>
      <c r="H99" s="92" t="s">
        <v>507</v>
      </c>
      <c r="I99" s="161" t="str">
        <f t="shared" si="5"/>
        <v>"L99":"parcelassessmentwithoutdats_fertilizersusageinformation_averagepotassiumquantity_0"</v>
      </c>
      <c r="J99" s="170" t="s">
        <v>1586</v>
      </c>
      <c r="K99" s="104">
        <v>1</v>
      </c>
      <c r="L99" s="104">
        <v>1</v>
      </c>
      <c r="M99" s="89"/>
      <c r="N99" s="104"/>
      <c r="O99" s="104"/>
      <c r="P99" s="89"/>
      <c r="Q99" s="104"/>
      <c r="R99" s="104"/>
    </row>
    <row r="100" spans="1:18">
      <c r="A100" t="s">
        <v>865</v>
      </c>
      <c r="B100" t="s">
        <v>933</v>
      </c>
      <c r="C100" s="161" t="str">
        <f t="shared" si="3"/>
        <v>"J100":"parcelassessmentwithdats_fertilizersusageinformation_productname_1"</v>
      </c>
      <c r="D100" s="105" t="s">
        <v>1113</v>
      </c>
      <c r="E100" s="161" t="str">
        <f t="shared" si="4"/>
        <v>"K100":"parcelassessmentwithdats_fertilizersusageinformation_productname_1"</v>
      </c>
      <c r="F100" s="105" t="s">
        <v>1350</v>
      </c>
      <c r="G100" s="92" t="s">
        <v>295</v>
      </c>
      <c r="H100" s="92" t="s">
        <v>649</v>
      </c>
      <c r="I100" s="161" t="str">
        <f t="shared" si="5"/>
        <v>"L100":"parcelassessmentwithoutdats_fertilizersusageinformation_productname_1"</v>
      </c>
      <c r="J100" s="170" t="s">
        <v>1587</v>
      </c>
      <c r="K100" s="104">
        <v>1</v>
      </c>
      <c r="L100" s="104">
        <v>1</v>
      </c>
      <c r="M100" s="89"/>
      <c r="N100" s="104"/>
      <c r="O100" s="104"/>
      <c r="P100" s="89"/>
      <c r="Q100" s="104"/>
      <c r="R100" s="104"/>
    </row>
    <row r="101" spans="1:18">
      <c r="A101" t="s">
        <v>865</v>
      </c>
      <c r="B101" t="s">
        <v>956</v>
      </c>
      <c r="C101" s="161" t="str">
        <f t="shared" si="3"/>
        <v>"J101":"parcelassessmentwithdats_fertilizersusageinformation_producttype_1"</v>
      </c>
      <c r="D101" s="105" t="s">
        <v>1114</v>
      </c>
      <c r="E101" s="161" t="str">
        <f t="shared" si="4"/>
        <v>"K101":"parcelassessmentwithdats_fertilizersusageinformation_producttype_1"</v>
      </c>
      <c r="F101" s="105" t="s">
        <v>1351</v>
      </c>
      <c r="G101" s="92" t="s">
        <v>295</v>
      </c>
      <c r="H101" s="92" t="s">
        <v>653</v>
      </c>
      <c r="I101" s="161" t="str">
        <f t="shared" si="5"/>
        <v>"L101":"parcelassessmentwithoutdats_fertilizersusageinformation_producttype_1"</v>
      </c>
      <c r="J101" s="170" t="s">
        <v>1588</v>
      </c>
      <c r="K101" s="104">
        <v>1</v>
      </c>
      <c r="L101" s="104">
        <v>1</v>
      </c>
      <c r="M101" s="89"/>
      <c r="N101" s="104"/>
      <c r="O101" s="104"/>
      <c r="P101" s="89"/>
      <c r="Q101" s="104"/>
      <c r="R101" s="104"/>
    </row>
    <row r="102" spans="1:18">
      <c r="A102" t="s">
        <v>865</v>
      </c>
      <c r="B102" t="s">
        <v>957</v>
      </c>
      <c r="C102" s="161" t="str">
        <f t="shared" si="3"/>
        <v>"J102":"parcelassessmentwithdats_fertilizersusageinformation_numberoftreatments_1"</v>
      </c>
      <c r="D102" s="105" t="s">
        <v>1115</v>
      </c>
      <c r="E102" s="161" t="str">
        <f t="shared" si="4"/>
        <v>"K102":"parcelassessmentwithdats_fertilizersusageinformation_numberoftreatments_1"</v>
      </c>
      <c r="F102" s="105" t="s">
        <v>1352</v>
      </c>
      <c r="G102" s="92" t="s">
        <v>295</v>
      </c>
      <c r="H102" s="92" t="s">
        <v>7</v>
      </c>
      <c r="I102" s="161" t="str">
        <f t="shared" si="5"/>
        <v>"L102":"parcelassessmentwithoutdats_fertilizersusageinformation_numberoftreatments_1"</v>
      </c>
      <c r="J102" s="170" t="s">
        <v>1589</v>
      </c>
      <c r="K102" s="104">
        <v>1</v>
      </c>
      <c r="L102" s="104">
        <v>1</v>
      </c>
      <c r="M102" s="89"/>
      <c r="N102" s="104"/>
      <c r="O102" s="104"/>
      <c r="P102" s="89"/>
      <c r="Q102" s="104"/>
      <c r="R102" s="104"/>
    </row>
    <row r="103" spans="1:18">
      <c r="A103" t="s">
        <v>865</v>
      </c>
      <c r="B103" t="s">
        <v>958</v>
      </c>
      <c r="C103" s="161" t="str">
        <f t="shared" si="3"/>
        <v>"J103":"parcelassessmentwithdats_fertilizersusageinformation_averagequantity_1"</v>
      </c>
      <c r="D103" s="105" t="s">
        <v>1116</v>
      </c>
      <c r="E103" s="161" t="str">
        <f t="shared" si="4"/>
        <v>"K103":"parcelassessmentwithdats_fertilizersusageinformation_averagequantity_1"</v>
      </c>
      <c r="F103" s="105" t="s">
        <v>1353</v>
      </c>
      <c r="G103" s="92" t="s">
        <v>295</v>
      </c>
      <c r="H103" s="92" t="s">
        <v>504</v>
      </c>
      <c r="I103" s="161" t="str">
        <f t="shared" si="5"/>
        <v>"L103":"parcelassessmentwithoutdats_fertilizersusageinformation_averagequantity_1"</v>
      </c>
      <c r="J103" s="170" t="s">
        <v>1590</v>
      </c>
      <c r="K103" s="104">
        <v>1</v>
      </c>
      <c r="L103" s="104">
        <v>1</v>
      </c>
      <c r="M103" s="89"/>
      <c r="N103" s="104"/>
      <c r="O103" s="104"/>
      <c r="P103" s="89"/>
      <c r="Q103" s="104"/>
      <c r="R103" s="104"/>
    </row>
    <row r="104" spans="1:18">
      <c r="A104" t="s">
        <v>865</v>
      </c>
      <c r="B104" t="s">
        <v>959</v>
      </c>
      <c r="C104" s="161" t="str">
        <f t="shared" si="3"/>
        <v>"J104":"parcelassessmentwithdats_fertilizersusageinformation_averagenitrogenquantity_1"</v>
      </c>
      <c r="D104" s="105" t="s">
        <v>1117</v>
      </c>
      <c r="E104" s="161" t="str">
        <f t="shared" si="4"/>
        <v>"K104":"parcelassessmentwithdats_fertilizersusageinformation_averagenitrogenquantity_1"</v>
      </c>
      <c r="F104" s="105" t="s">
        <v>1354</v>
      </c>
      <c r="G104" s="92" t="s">
        <v>295</v>
      </c>
      <c r="H104" s="92" t="s">
        <v>505</v>
      </c>
      <c r="I104" s="161" t="str">
        <f t="shared" si="5"/>
        <v>"L104":"parcelassessmentwithoutdats_fertilizersusageinformation_averagenitrogenquantity_1"</v>
      </c>
      <c r="J104" s="170" t="s">
        <v>1591</v>
      </c>
      <c r="K104" s="104">
        <v>1</v>
      </c>
      <c r="L104" s="104">
        <v>1</v>
      </c>
      <c r="M104" s="89"/>
      <c r="N104" s="104"/>
      <c r="O104" s="104"/>
      <c r="P104" s="89"/>
      <c r="Q104" s="104"/>
      <c r="R104" s="104"/>
    </row>
    <row r="105" spans="1:18">
      <c r="A105" t="s">
        <v>865</v>
      </c>
      <c r="B105" t="s">
        <v>960</v>
      </c>
      <c r="C105" s="161" t="str">
        <f t="shared" si="3"/>
        <v>"J105":"parcelassessmentwithdats_fertilizersusageinformation_averagephosphorusquantity_1"</v>
      </c>
      <c r="D105" s="105" t="s">
        <v>1118</v>
      </c>
      <c r="E105" s="161" t="str">
        <f t="shared" si="4"/>
        <v>"K105":"parcelassessmentwithdats_fertilizersusageinformation_averagephosphorusquantity_1"</v>
      </c>
      <c r="F105" s="105" t="s">
        <v>1355</v>
      </c>
      <c r="G105" s="92" t="s">
        <v>295</v>
      </c>
      <c r="H105" s="92" t="s">
        <v>506</v>
      </c>
      <c r="I105" s="161" t="str">
        <f t="shared" si="5"/>
        <v>"L105":"parcelassessmentwithoutdats_fertilizersusageinformation_averagephosphorusquantity_1"</v>
      </c>
      <c r="J105" s="170" t="s">
        <v>1592</v>
      </c>
      <c r="K105" s="104">
        <v>1</v>
      </c>
      <c r="L105" s="104">
        <v>1</v>
      </c>
      <c r="M105" s="89"/>
      <c r="N105" s="104"/>
      <c r="O105" s="104"/>
      <c r="P105" s="89"/>
      <c r="Q105" s="104"/>
      <c r="R105" s="104"/>
    </row>
    <row r="106" spans="1:18">
      <c r="A106" t="s">
        <v>865</v>
      </c>
      <c r="B106" t="s">
        <v>961</v>
      </c>
      <c r="C106" s="161" t="str">
        <f t="shared" si="3"/>
        <v>"J106":"parcelassessmentwithdats_fertilizersusageinformation_averagepotassiumquantity_1"</v>
      </c>
      <c r="D106" s="105" t="s">
        <v>1119</v>
      </c>
      <c r="E106" s="161" t="str">
        <f t="shared" si="4"/>
        <v>"K106":"parcelassessmentwithdats_fertilizersusageinformation_averagepotassiumquantity_1"</v>
      </c>
      <c r="F106" s="105" t="s">
        <v>1356</v>
      </c>
      <c r="G106" s="92" t="s">
        <v>295</v>
      </c>
      <c r="H106" s="92" t="s">
        <v>507</v>
      </c>
      <c r="I106" s="161" t="str">
        <f t="shared" si="5"/>
        <v>"L106":"parcelassessmentwithoutdats_fertilizersusageinformation_averagepotassiumquantity_1"</v>
      </c>
      <c r="J106" s="170" t="s">
        <v>1593</v>
      </c>
      <c r="K106" s="104">
        <v>1</v>
      </c>
      <c r="L106" s="104">
        <v>1</v>
      </c>
      <c r="M106" s="89"/>
      <c r="N106" s="104"/>
      <c r="O106" s="104"/>
      <c r="P106" s="89"/>
      <c r="Q106" s="104"/>
      <c r="R106" s="104"/>
    </row>
    <row r="107" spans="1:18">
      <c r="A107" t="s">
        <v>865</v>
      </c>
      <c r="B107" t="s">
        <v>934</v>
      </c>
      <c r="C107" s="161" t="str">
        <f t="shared" si="3"/>
        <v>"J107":"parcelassessmentwithdats_fertilizersusageinformation_productname_2"</v>
      </c>
      <c r="D107" s="105" t="s">
        <v>1120</v>
      </c>
      <c r="E107" s="161" t="str">
        <f t="shared" si="4"/>
        <v>"K107":"parcelassessmentwithdats_fertilizersusageinformation_productname_2"</v>
      </c>
      <c r="F107" s="105" t="s">
        <v>1357</v>
      </c>
      <c r="G107" s="92" t="s">
        <v>629</v>
      </c>
      <c r="H107" s="92" t="s">
        <v>388</v>
      </c>
      <c r="I107" s="161" t="str">
        <f t="shared" si="5"/>
        <v>"L107":"parcelassessmentwithoutdats_fertilizersusageinformation_productname_2"</v>
      </c>
      <c r="J107" s="170" t="s">
        <v>1594</v>
      </c>
      <c r="K107" s="104">
        <v>1</v>
      </c>
      <c r="L107" s="104">
        <v>1</v>
      </c>
      <c r="M107" s="89"/>
      <c r="N107" s="104"/>
      <c r="O107" s="104"/>
      <c r="P107" s="89"/>
      <c r="Q107" s="104"/>
      <c r="R107" s="104"/>
    </row>
    <row r="108" spans="1:18">
      <c r="A108" t="s">
        <v>865</v>
      </c>
      <c r="B108" t="s">
        <v>962</v>
      </c>
      <c r="C108" s="161" t="str">
        <f t="shared" si="3"/>
        <v>"J108":"parcelassessmentwithdats_fertilizersusageinformation_producttype_2"</v>
      </c>
      <c r="D108" s="105" t="s">
        <v>1121</v>
      </c>
      <c r="E108" s="161" t="str">
        <f t="shared" si="4"/>
        <v>"K108":"parcelassessmentwithdats_fertilizersusageinformation_producttype_2"</v>
      </c>
      <c r="F108" s="105" t="s">
        <v>1358</v>
      </c>
      <c r="G108" s="92" t="s">
        <v>629</v>
      </c>
      <c r="H108" s="92" t="s">
        <v>653</v>
      </c>
      <c r="I108" s="161" t="str">
        <f t="shared" si="5"/>
        <v>"L108":"parcelassessmentwithoutdats_fertilizersusageinformation_producttype_2"</v>
      </c>
      <c r="J108" s="170" t="s">
        <v>1595</v>
      </c>
      <c r="K108" s="104">
        <v>1</v>
      </c>
      <c r="L108" s="104">
        <v>1</v>
      </c>
      <c r="M108" s="89"/>
      <c r="N108" s="104"/>
      <c r="O108" s="104"/>
      <c r="P108" s="89"/>
      <c r="Q108" s="104"/>
      <c r="R108" s="104"/>
    </row>
    <row r="109" spans="1:18">
      <c r="A109" t="s">
        <v>865</v>
      </c>
      <c r="B109" t="s">
        <v>963</v>
      </c>
      <c r="C109" s="161" t="str">
        <f t="shared" si="3"/>
        <v>"J109":"parcelassessmentwithdats_fertilizersusageinformation_numberoftreatments_2"</v>
      </c>
      <c r="D109" s="105" t="s">
        <v>1122</v>
      </c>
      <c r="E109" s="161" t="str">
        <f t="shared" si="4"/>
        <v>"K109":"parcelassessmentwithdats_fertilizersusageinformation_numberoftreatments_2"</v>
      </c>
      <c r="F109" s="105" t="s">
        <v>1359</v>
      </c>
      <c r="G109" s="92" t="s">
        <v>629</v>
      </c>
      <c r="H109" s="92" t="s">
        <v>7</v>
      </c>
      <c r="I109" s="161" t="str">
        <f t="shared" si="5"/>
        <v>"L109":"parcelassessmentwithoutdats_fertilizersusageinformation_numberoftreatments_2"</v>
      </c>
      <c r="J109" s="170" t="s">
        <v>1596</v>
      </c>
      <c r="K109" s="104">
        <v>1</v>
      </c>
      <c r="L109" s="104">
        <v>1</v>
      </c>
      <c r="M109" s="89"/>
      <c r="N109" s="104"/>
      <c r="O109" s="104"/>
      <c r="P109" s="89"/>
      <c r="Q109" s="104"/>
      <c r="R109" s="104"/>
    </row>
    <row r="110" spans="1:18">
      <c r="A110" t="s">
        <v>865</v>
      </c>
      <c r="B110" t="s">
        <v>964</v>
      </c>
      <c r="C110" s="161" t="str">
        <f t="shared" si="3"/>
        <v>"J110":"parcelassessmentwithdats_fertilizersusageinformation_averagequantity_2"</v>
      </c>
      <c r="D110" s="105" t="s">
        <v>1123</v>
      </c>
      <c r="E110" s="161" t="str">
        <f t="shared" si="4"/>
        <v>"K110":"parcelassessmentwithdats_fertilizersusageinformation_averagequantity_2"</v>
      </c>
      <c r="F110" s="105" t="s">
        <v>1360</v>
      </c>
      <c r="G110" s="92" t="s">
        <v>629</v>
      </c>
      <c r="H110" s="92" t="s">
        <v>504</v>
      </c>
      <c r="I110" s="161" t="str">
        <f t="shared" si="5"/>
        <v>"L110":"parcelassessmentwithoutdats_fertilizersusageinformation_averagequantity_2"</v>
      </c>
      <c r="J110" s="170" t="s">
        <v>1597</v>
      </c>
      <c r="K110" s="104">
        <v>1</v>
      </c>
      <c r="L110" s="104">
        <v>1</v>
      </c>
      <c r="M110" s="89"/>
      <c r="N110" s="104"/>
      <c r="O110" s="104"/>
      <c r="P110" s="89"/>
      <c r="Q110" s="104"/>
      <c r="R110" s="104"/>
    </row>
    <row r="111" spans="1:18">
      <c r="A111" t="s">
        <v>865</v>
      </c>
      <c r="B111" t="s">
        <v>965</v>
      </c>
      <c r="C111" s="161" t="str">
        <f t="shared" si="3"/>
        <v>"J111":"parcelassessmentwithdats_fertilizersusageinformation_averagenitrogenquantity_2"</v>
      </c>
      <c r="D111" s="105" t="s">
        <v>1124</v>
      </c>
      <c r="E111" s="161" t="str">
        <f t="shared" si="4"/>
        <v>"K111":"parcelassessmentwithdats_fertilizersusageinformation_averagenitrogenquantity_2"</v>
      </c>
      <c r="F111" s="105" t="s">
        <v>1361</v>
      </c>
      <c r="G111" s="92" t="s">
        <v>629</v>
      </c>
      <c r="H111" s="92" t="s">
        <v>505</v>
      </c>
      <c r="I111" s="161" t="str">
        <f t="shared" si="5"/>
        <v>"L111":"parcelassessmentwithoutdats_fertilizersusageinformation_averagenitrogenquantity_2"</v>
      </c>
      <c r="J111" s="170" t="s">
        <v>1598</v>
      </c>
      <c r="K111" s="104">
        <v>1</v>
      </c>
      <c r="L111" s="104">
        <v>1</v>
      </c>
      <c r="M111" s="89"/>
      <c r="N111" s="104"/>
      <c r="O111" s="104"/>
      <c r="P111" s="89"/>
      <c r="Q111" s="104"/>
      <c r="R111" s="104"/>
    </row>
    <row r="112" spans="1:18">
      <c r="A112" t="s">
        <v>865</v>
      </c>
      <c r="B112" t="s">
        <v>966</v>
      </c>
      <c r="C112" s="161" t="str">
        <f t="shared" si="3"/>
        <v>"J112":"parcelassessmentwithdats_fertilizersusageinformation_averagephosphorusquantity_2"</v>
      </c>
      <c r="D112" s="105" t="s">
        <v>1125</v>
      </c>
      <c r="E112" s="161" t="str">
        <f t="shared" si="4"/>
        <v>"K112":"parcelassessmentwithdats_fertilizersusageinformation_averagephosphorusquantity_2"</v>
      </c>
      <c r="F112" s="105" t="s">
        <v>1362</v>
      </c>
      <c r="G112" s="92" t="s">
        <v>629</v>
      </c>
      <c r="H112" s="92" t="s">
        <v>506</v>
      </c>
      <c r="I112" s="161" t="str">
        <f t="shared" si="5"/>
        <v>"L112":"parcelassessmentwithoutdats_fertilizersusageinformation_averagephosphorusquantity_2"</v>
      </c>
      <c r="J112" s="170" t="s">
        <v>1599</v>
      </c>
      <c r="K112" s="104">
        <v>1</v>
      </c>
      <c r="L112" s="104">
        <v>1</v>
      </c>
      <c r="M112" s="89"/>
      <c r="N112" s="104"/>
      <c r="O112" s="104"/>
      <c r="P112" s="89"/>
      <c r="Q112" s="104"/>
      <c r="R112" s="104"/>
    </row>
    <row r="113" spans="1:18">
      <c r="A113" t="s">
        <v>865</v>
      </c>
      <c r="B113" t="s">
        <v>967</v>
      </c>
      <c r="C113" s="161" t="str">
        <f t="shared" si="3"/>
        <v>"J113":"parcelassessmentwithdats_fertilizersusageinformation_averagepotassiumquantity_2"</v>
      </c>
      <c r="D113" s="105" t="s">
        <v>1126</v>
      </c>
      <c r="E113" s="161" t="str">
        <f t="shared" si="4"/>
        <v>"K113":"parcelassessmentwithdats_fertilizersusageinformation_averagepotassiumquantity_2"</v>
      </c>
      <c r="F113" s="105" t="s">
        <v>1363</v>
      </c>
      <c r="G113" s="92" t="s">
        <v>629</v>
      </c>
      <c r="H113" s="92" t="s">
        <v>507</v>
      </c>
      <c r="I113" s="161" t="str">
        <f t="shared" si="5"/>
        <v>"L113":"parcelassessmentwithoutdats_fertilizersusageinformation_averagepotassiumquantity_2"</v>
      </c>
      <c r="J113" s="170" t="s">
        <v>1600</v>
      </c>
      <c r="K113" s="104">
        <v>1</v>
      </c>
      <c r="L113" s="104">
        <v>1</v>
      </c>
      <c r="M113" s="89"/>
      <c r="N113" s="104"/>
      <c r="O113" s="104"/>
      <c r="P113" s="89"/>
      <c r="Q113" s="104"/>
      <c r="R113" s="104"/>
    </row>
    <row r="114" spans="1:18">
      <c r="A114" t="s">
        <v>865</v>
      </c>
      <c r="B114" t="s">
        <v>936</v>
      </c>
      <c r="C114" s="161" t="str">
        <f t="shared" si="3"/>
        <v>"J114":"parcelassessmentwithdats_fertilizersusageinformation_productname_3"</v>
      </c>
      <c r="D114" s="105" t="s">
        <v>1127</v>
      </c>
      <c r="E114" s="161" t="str">
        <f t="shared" si="4"/>
        <v>"K114":"parcelassessmentwithdats_fertilizersusageinformation_productname_3"</v>
      </c>
      <c r="F114" s="105" t="s">
        <v>1364</v>
      </c>
      <c r="G114" s="92" t="s">
        <v>294</v>
      </c>
      <c r="H114" s="92" t="s">
        <v>663</v>
      </c>
      <c r="I114" s="161" t="str">
        <f t="shared" si="5"/>
        <v>"L114":"parcelassessmentwithoutdats_fertilizersusageinformation_productname_3"</v>
      </c>
      <c r="J114" s="170" t="s">
        <v>1601</v>
      </c>
      <c r="K114" s="104">
        <v>1</v>
      </c>
      <c r="L114" s="104">
        <v>1</v>
      </c>
      <c r="M114" s="89"/>
      <c r="N114" s="104"/>
      <c r="O114" s="104"/>
      <c r="P114" s="89"/>
      <c r="Q114" s="104"/>
      <c r="R114" s="104"/>
    </row>
    <row r="115" spans="1:18">
      <c r="A115" t="s">
        <v>865</v>
      </c>
      <c r="B115" t="s">
        <v>968</v>
      </c>
      <c r="C115" s="161" t="str">
        <f t="shared" si="3"/>
        <v>"J115":"parcelassessmentwithdats_fertilizersusageinformation_producttype_3"</v>
      </c>
      <c r="D115" s="105" t="s">
        <v>1128</v>
      </c>
      <c r="E115" s="161" t="str">
        <f t="shared" si="4"/>
        <v>"K115":"parcelassessmentwithdats_fertilizersusageinformation_producttype_3"</v>
      </c>
      <c r="F115" s="105" t="s">
        <v>1365</v>
      </c>
      <c r="G115" s="92" t="s">
        <v>294</v>
      </c>
      <c r="H115" s="92" t="s">
        <v>653</v>
      </c>
      <c r="I115" s="161" t="str">
        <f t="shared" si="5"/>
        <v>"L115":"parcelassessmentwithoutdats_fertilizersusageinformation_producttype_3"</v>
      </c>
      <c r="J115" s="170" t="s">
        <v>1602</v>
      </c>
      <c r="K115" s="104">
        <v>1</v>
      </c>
      <c r="L115" s="104">
        <v>1</v>
      </c>
      <c r="M115" s="89"/>
      <c r="N115" s="104"/>
      <c r="O115" s="104"/>
      <c r="P115" s="89"/>
      <c r="Q115" s="104"/>
      <c r="R115" s="104"/>
    </row>
    <row r="116" spans="1:18">
      <c r="A116" t="s">
        <v>865</v>
      </c>
      <c r="B116" t="s">
        <v>969</v>
      </c>
      <c r="C116" s="161" t="str">
        <f t="shared" si="3"/>
        <v>"J116":"parcelassessmentwithdats_fertilizersusageinformation_numberoftreatments_3"</v>
      </c>
      <c r="D116" s="105" t="s">
        <v>1129</v>
      </c>
      <c r="E116" s="161" t="str">
        <f t="shared" si="4"/>
        <v>"K116":"parcelassessmentwithdats_fertilizersusageinformation_numberoftreatments_3"</v>
      </c>
      <c r="F116" s="105" t="s">
        <v>1366</v>
      </c>
      <c r="G116" s="92" t="s">
        <v>294</v>
      </c>
      <c r="H116" s="92" t="s">
        <v>7</v>
      </c>
      <c r="I116" s="161" t="str">
        <f t="shared" si="5"/>
        <v>"L116":"parcelassessmentwithoutdats_fertilizersusageinformation_numberoftreatments_3"</v>
      </c>
      <c r="J116" s="170" t="s">
        <v>1603</v>
      </c>
      <c r="K116" s="104">
        <v>1</v>
      </c>
      <c r="L116" s="104">
        <v>1</v>
      </c>
      <c r="M116" s="89"/>
      <c r="N116" s="104"/>
      <c r="O116" s="104"/>
      <c r="P116" s="89"/>
      <c r="Q116" s="104"/>
      <c r="R116" s="104"/>
    </row>
    <row r="117" spans="1:18">
      <c r="A117" t="s">
        <v>865</v>
      </c>
      <c r="B117" t="s">
        <v>970</v>
      </c>
      <c r="C117" s="161" t="str">
        <f t="shared" si="3"/>
        <v>"J117":"parcelassessmentwithdats_fertilizersusageinformation_averagequantity_3"</v>
      </c>
      <c r="D117" s="105" t="s">
        <v>1130</v>
      </c>
      <c r="E117" s="161" t="str">
        <f t="shared" si="4"/>
        <v>"K117":"parcelassessmentwithdats_fertilizersusageinformation_averagequantity_3"</v>
      </c>
      <c r="F117" s="105" t="s">
        <v>1367</v>
      </c>
      <c r="G117" s="92" t="s">
        <v>294</v>
      </c>
      <c r="H117" s="92" t="s">
        <v>504</v>
      </c>
      <c r="I117" s="161" t="str">
        <f t="shared" si="5"/>
        <v>"L117":"parcelassessmentwithoutdats_fertilizersusageinformation_averagequantity_3"</v>
      </c>
      <c r="J117" s="170" t="s">
        <v>1604</v>
      </c>
      <c r="K117" s="104">
        <v>1</v>
      </c>
      <c r="L117" s="104">
        <v>1</v>
      </c>
      <c r="M117" s="89"/>
      <c r="N117" s="104"/>
      <c r="O117" s="104"/>
      <c r="P117" s="89"/>
      <c r="Q117" s="104"/>
      <c r="R117" s="104"/>
    </row>
    <row r="118" spans="1:18">
      <c r="A118" t="s">
        <v>865</v>
      </c>
      <c r="B118" t="s">
        <v>971</v>
      </c>
      <c r="C118" s="161" t="str">
        <f t="shared" si="3"/>
        <v>"J118":"parcelassessmentwithdats_fertilizersusageinformation_averagenitrogenquantity_3"</v>
      </c>
      <c r="D118" s="105" t="s">
        <v>1131</v>
      </c>
      <c r="E118" s="161" t="str">
        <f t="shared" si="4"/>
        <v>"K118":"parcelassessmentwithdats_fertilizersusageinformation_averagenitrogenquantity_3"</v>
      </c>
      <c r="F118" s="105" t="s">
        <v>1368</v>
      </c>
      <c r="G118" s="92" t="s">
        <v>294</v>
      </c>
      <c r="H118" s="92" t="s">
        <v>505</v>
      </c>
      <c r="I118" s="161" t="str">
        <f t="shared" si="5"/>
        <v>"L118":"parcelassessmentwithoutdats_fertilizersusageinformation_averagenitrogenquantity_3"</v>
      </c>
      <c r="J118" s="170" t="s">
        <v>1605</v>
      </c>
      <c r="K118" s="104">
        <v>1</v>
      </c>
      <c r="L118" s="104">
        <v>1</v>
      </c>
      <c r="M118" s="89"/>
      <c r="N118" s="104"/>
      <c r="O118" s="104"/>
      <c r="P118" s="89"/>
      <c r="Q118" s="104"/>
      <c r="R118" s="104"/>
    </row>
    <row r="119" spans="1:18">
      <c r="A119" t="s">
        <v>865</v>
      </c>
      <c r="B119" t="s">
        <v>972</v>
      </c>
      <c r="C119" s="161" t="str">
        <f t="shared" si="3"/>
        <v>"J119":"parcelassessmentwithdats_fertilizersusageinformation_averagephosphorusquantity_3"</v>
      </c>
      <c r="D119" s="105" t="s">
        <v>1132</v>
      </c>
      <c r="E119" s="161" t="str">
        <f t="shared" si="4"/>
        <v>"K119":"parcelassessmentwithdats_fertilizersusageinformation_averagephosphorusquantity_3"</v>
      </c>
      <c r="F119" s="105" t="s">
        <v>1369</v>
      </c>
      <c r="G119" s="92" t="s">
        <v>294</v>
      </c>
      <c r="H119" s="92" t="s">
        <v>506</v>
      </c>
      <c r="I119" s="161" t="str">
        <f t="shared" si="5"/>
        <v>"L119":"parcelassessmentwithoutdats_fertilizersusageinformation_averagephosphorusquantity_3"</v>
      </c>
      <c r="J119" s="170" t="s">
        <v>1606</v>
      </c>
      <c r="K119" s="104">
        <v>1</v>
      </c>
      <c r="L119" s="104">
        <v>1</v>
      </c>
      <c r="M119" s="89"/>
      <c r="N119" s="104"/>
      <c r="O119" s="104"/>
      <c r="P119" s="89"/>
      <c r="Q119" s="104"/>
      <c r="R119" s="104"/>
    </row>
    <row r="120" spans="1:18">
      <c r="A120" t="s">
        <v>865</v>
      </c>
      <c r="B120" t="s">
        <v>973</v>
      </c>
      <c r="C120" s="161" t="str">
        <f t="shared" si="3"/>
        <v>"J120":"parcelassessmentwithdats_fertilizersusageinformation_averagepotassiumquantity_3"</v>
      </c>
      <c r="D120" s="105" t="s">
        <v>1133</v>
      </c>
      <c r="E120" s="161" t="str">
        <f t="shared" si="4"/>
        <v>"K120":"parcelassessmentwithdats_fertilizersusageinformation_averagepotassiumquantity_3"</v>
      </c>
      <c r="F120" s="105" t="s">
        <v>1370</v>
      </c>
      <c r="G120" s="92" t="s">
        <v>294</v>
      </c>
      <c r="H120" s="92" t="s">
        <v>507</v>
      </c>
      <c r="I120" s="161" t="str">
        <f t="shared" si="5"/>
        <v>"L120":"parcelassessmentwithoutdats_fertilizersusageinformation_averagepotassiumquantity_3"</v>
      </c>
      <c r="J120" s="170" t="s">
        <v>1607</v>
      </c>
      <c r="K120" s="104">
        <v>1</v>
      </c>
      <c r="L120" s="104">
        <v>1</v>
      </c>
      <c r="M120" s="89"/>
      <c r="N120" s="104"/>
      <c r="O120" s="104"/>
      <c r="P120" s="89"/>
      <c r="Q120" s="104"/>
      <c r="R120" s="104"/>
    </row>
    <row r="121" spans="1:18">
      <c r="A121" t="s">
        <v>865</v>
      </c>
      <c r="B121" t="s">
        <v>938</v>
      </c>
      <c r="C121" s="161" t="str">
        <f t="shared" si="3"/>
        <v>"J121":"parcelassessmentwithdats_fertilizersusageinformation_productname_4"</v>
      </c>
      <c r="D121" s="105" t="s">
        <v>1134</v>
      </c>
      <c r="E121" s="161" t="str">
        <f t="shared" si="4"/>
        <v>"K121":"parcelassessmentwithdats_fertilizersusageinformation_productname_4"</v>
      </c>
      <c r="F121" s="105" t="s">
        <v>1371</v>
      </c>
      <c r="G121" s="92" t="s">
        <v>295</v>
      </c>
      <c r="H121" s="92" t="s">
        <v>649</v>
      </c>
      <c r="I121" s="161" t="str">
        <f t="shared" si="5"/>
        <v>"L121":"parcelassessmentwithoutdats_fertilizersusageinformation_productname_4"</v>
      </c>
      <c r="J121" s="170" t="s">
        <v>1608</v>
      </c>
      <c r="K121" s="104">
        <v>1</v>
      </c>
      <c r="L121" s="104">
        <v>1</v>
      </c>
      <c r="M121" s="89"/>
      <c r="N121" s="104"/>
      <c r="O121" s="104"/>
      <c r="P121" s="89"/>
      <c r="Q121" s="104"/>
      <c r="R121" s="104"/>
    </row>
    <row r="122" spans="1:18">
      <c r="A122" t="s">
        <v>865</v>
      </c>
      <c r="B122" t="s">
        <v>974</v>
      </c>
      <c r="C122" s="161" t="str">
        <f t="shared" si="3"/>
        <v>"J122":"parcelassessmentwithdats_fertilizersusageinformation_producttype_4"</v>
      </c>
      <c r="D122" s="105" t="s">
        <v>1135</v>
      </c>
      <c r="E122" s="161" t="str">
        <f t="shared" si="4"/>
        <v>"K122":"parcelassessmentwithdats_fertilizersusageinformation_producttype_4"</v>
      </c>
      <c r="F122" s="105" t="s">
        <v>1372</v>
      </c>
      <c r="G122" s="92" t="s">
        <v>295</v>
      </c>
      <c r="H122" s="92" t="s">
        <v>653</v>
      </c>
      <c r="I122" s="161" t="str">
        <f t="shared" si="5"/>
        <v>"L122":"parcelassessmentwithoutdats_fertilizersusageinformation_producttype_4"</v>
      </c>
      <c r="J122" s="170" t="s">
        <v>1609</v>
      </c>
      <c r="K122" s="104">
        <v>1</v>
      </c>
      <c r="L122" s="104">
        <v>1</v>
      </c>
      <c r="M122" s="89"/>
      <c r="N122" s="104"/>
      <c r="O122" s="104"/>
      <c r="P122" s="89"/>
      <c r="Q122" s="104"/>
      <c r="R122" s="104"/>
    </row>
    <row r="123" spans="1:18">
      <c r="A123" t="s">
        <v>865</v>
      </c>
      <c r="B123" t="s">
        <v>975</v>
      </c>
      <c r="C123" s="161" t="str">
        <f t="shared" si="3"/>
        <v>"J123":"parcelassessmentwithdats_fertilizersusageinformation_numberoftreatments_4"</v>
      </c>
      <c r="D123" s="105" t="s">
        <v>1136</v>
      </c>
      <c r="E123" s="161" t="str">
        <f t="shared" si="4"/>
        <v>"K123":"parcelassessmentwithdats_fertilizersusageinformation_numberoftreatments_4"</v>
      </c>
      <c r="F123" s="105" t="s">
        <v>1373</v>
      </c>
      <c r="G123" s="92" t="s">
        <v>295</v>
      </c>
      <c r="H123" s="92" t="s">
        <v>7</v>
      </c>
      <c r="I123" s="161" t="str">
        <f t="shared" si="5"/>
        <v>"L123":"parcelassessmentwithoutdats_fertilizersusageinformation_numberoftreatments_4"</v>
      </c>
      <c r="J123" s="170" t="s">
        <v>1610</v>
      </c>
      <c r="K123" s="104">
        <v>1</v>
      </c>
      <c r="L123" s="104">
        <v>1</v>
      </c>
      <c r="M123" s="89"/>
      <c r="N123" s="104"/>
      <c r="O123" s="104"/>
      <c r="P123" s="89"/>
      <c r="Q123" s="104"/>
      <c r="R123" s="104"/>
    </row>
    <row r="124" spans="1:18">
      <c r="A124" t="s">
        <v>865</v>
      </c>
      <c r="B124" t="s">
        <v>976</v>
      </c>
      <c r="C124" s="161" t="str">
        <f t="shared" si="3"/>
        <v>"J124":"parcelassessmentwithdats_fertilizersusageinformation_averagequantity_4"</v>
      </c>
      <c r="D124" s="105" t="s">
        <v>1137</v>
      </c>
      <c r="E124" s="161" t="str">
        <f t="shared" si="4"/>
        <v>"K124":"parcelassessmentwithdats_fertilizersusageinformation_averagequantity_4"</v>
      </c>
      <c r="F124" s="105" t="s">
        <v>1374</v>
      </c>
      <c r="G124" s="92" t="s">
        <v>295</v>
      </c>
      <c r="H124" s="92" t="s">
        <v>504</v>
      </c>
      <c r="I124" s="161" t="str">
        <f t="shared" si="5"/>
        <v>"L124":"parcelassessmentwithoutdats_fertilizersusageinformation_averagequantity_4"</v>
      </c>
      <c r="J124" s="170" t="s">
        <v>1611</v>
      </c>
      <c r="K124" s="104">
        <v>1</v>
      </c>
      <c r="L124" s="104">
        <v>1</v>
      </c>
      <c r="M124" s="89"/>
      <c r="N124" s="104"/>
      <c r="O124" s="104"/>
      <c r="P124" s="89"/>
      <c r="Q124" s="104"/>
      <c r="R124" s="104"/>
    </row>
    <row r="125" spans="1:18">
      <c r="A125" t="s">
        <v>865</v>
      </c>
      <c r="B125" t="s">
        <v>977</v>
      </c>
      <c r="C125" s="161" t="str">
        <f t="shared" si="3"/>
        <v>"J125":"parcelassessmentwithdats_fertilizersusageinformation_averagenitrogenquantity_4"</v>
      </c>
      <c r="D125" s="105" t="s">
        <v>1138</v>
      </c>
      <c r="E125" s="161" t="str">
        <f t="shared" si="4"/>
        <v>"K125":"parcelassessmentwithdats_fertilizersusageinformation_averagenitrogenquantity_4"</v>
      </c>
      <c r="F125" s="105" t="s">
        <v>1375</v>
      </c>
      <c r="G125" s="92" t="s">
        <v>295</v>
      </c>
      <c r="H125" s="92" t="s">
        <v>505</v>
      </c>
      <c r="I125" s="161" t="str">
        <f t="shared" si="5"/>
        <v>"L125":"parcelassessmentwithoutdats_fertilizersusageinformation_averagenitrogenquantity_4"</v>
      </c>
      <c r="J125" s="170" t="s">
        <v>1612</v>
      </c>
      <c r="K125" s="104">
        <v>1</v>
      </c>
      <c r="L125" s="104">
        <v>1</v>
      </c>
      <c r="M125" s="89"/>
      <c r="N125" s="104"/>
      <c r="O125" s="104"/>
      <c r="P125" s="89"/>
      <c r="Q125" s="104"/>
      <c r="R125" s="104"/>
    </row>
    <row r="126" spans="1:18">
      <c r="A126" t="s">
        <v>865</v>
      </c>
      <c r="B126" t="s">
        <v>978</v>
      </c>
      <c r="C126" s="161" t="str">
        <f t="shared" si="3"/>
        <v>"J126":"parcelassessmentwithdats_fertilizersusageinformation_averagephosphorusquantity_4"</v>
      </c>
      <c r="D126" s="105" t="s">
        <v>1139</v>
      </c>
      <c r="E126" s="161" t="str">
        <f t="shared" si="4"/>
        <v>"K126":"parcelassessmentwithdats_fertilizersusageinformation_averagephosphorusquantity_4"</v>
      </c>
      <c r="F126" s="105" t="s">
        <v>1376</v>
      </c>
      <c r="G126" s="92" t="s">
        <v>295</v>
      </c>
      <c r="H126" s="92" t="s">
        <v>506</v>
      </c>
      <c r="I126" s="161" t="str">
        <f t="shared" si="5"/>
        <v>"L126":"parcelassessmentwithoutdats_fertilizersusageinformation_averagephosphorusquantity_4"</v>
      </c>
      <c r="J126" s="170" t="s">
        <v>1613</v>
      </c>
      <c r="K126" s="104">
        <v>1</v>
      </c>
      <c r="L126" s="104">
        <v>1</v>
      </c>
      <c r="M126" s="89"/>
      <c r="N126" s="104"/>
      <c r="O126" s="104"/>
      <c r="P126" s="89"/>
      <c r="Q126" s="104"/>
      <c r="R126" s="104"/>
    </row>
    <row r="127" spans="1:18">
      <c r="A127" t="s">
        <v>865</v>
      </c>
      <c r="B127" t="s">
        <v>979</v>
      </c>
      <c r="C127" s="161" t="str">
        <f t="shared" si="3"/>
        <v>"J127":"parcelassessmentwithdats_fertilizersusageinformation_averagepotassiumquantity_4"</v>
      </c>
      <c r="D127" s="105" t="s">
        <v>1140</v>
      </c>
      <c r="E127" s="161" t="str">
        <f t="shared" si="4"/>
        <v>"K127":"parcelassessmentwithdats_fertilizersusageinformation_averagepotassiumquantity_4"</v>
      </c>
      <c r="F127" s="105" t="s">
        <v>1377</v>
      </c>
      <c r="G127" s="92" t="s">
        <v>295</v>
      </c>
      <c r="H127" s="92" t="s">
        <v>507</v>
      </c>
      <c r="I127" s="161" t="str">
        <f t="shared" si="5"/>
        <v>"L127":"parcelassessmentwithoutdats_fertilizersusageinformation_averagepotassiumquantity_4"</v>
      </c>
      <c r="J127" s="170" t="s">
        <v>1614</v>
      </c>
      <c r="K127" s="104">
        <v>1</v>
      </c>
      <c r="L127" s="104">
        <v>1</v>
      </c>
      <c r="M127" s="89"/>
      <c r="N127" s="104"/>
      <c r="O127" s="104"/>
      <c r="P127" s="89"/>
      <c r="Q127" s="104"/>
      <c r="R127" s="104"/>
    </row>
    <row r="128" spans="1:18">
      <c r="A128" t="s">
        <v>865</v>
      </c>
      <c r="B128" t="s">
        <v>940</v>
      </c>
      <c r="C128" s="161" t="str">
        <f t="shared" si="3"/>
        <v>"J128":"parcelassessmentwithdats_fertilizersusageinformation_productname_5"</v>
      </c>
      <c r="D128" s="105" t="s">
        <v>1141</v>
      </c>
      <c r="E128" s="161" t="str">
        <f t="shared" si="4"/>
        <v>"K128":"parcelassessmentwithdats_fertilizersusageinformation_productname_5"</v>
      </c>
      <c r="F128" s="105" t="s">
        <v>1378</v>
      </c>
      <c r="G128" s="92" t="s">
        <v>629</v>
      </c>
      <c r="H128" s="92" t="s">
        <v>388</v>
      </c>
      <c r="I128" s="161" t="str">
        <f t="shared" si="5"/>
        <v>"L128":"parcelassessmentwithoutdats_fertilizersusageinformation_productname_5"</v>
      </c>
      <c r="J128" s="170" t="s">
        <v>1615</v>
      </c>
      <c r="K128" s="104">
        <v>1</v>
      </c>
      <c r="L128" s="104">
        <v>1</v>
      </c>
      <c r="M128" s="89"/>
      <c r="N128" s="104"/>
      <c r="O128" s="104"/>
      <c r="P128" s="89"/>
      <c r="Q128" s="104"/>
      <c r="R128" s="104"/>
    </row>
    <row r="129" spans="1:18">
      <c r="A129" t="s">
        <v>865</v>
      </c>
      <c r="B129" t="s">
        <v>980</v>
      </c>
      <c r="C129" s="161" t="str">
        <f t="shared" si="3"/>
        <v>"J129":"parcelassessmentwithdats_fertilizersusageinformation_producttype_5"</v>
      </c>
      <c r="D129" s="105" t="s">
        <v>1142</v>
      </c>
      <c r="E129" s="161" t="str">
        <f t="shared" si="4"/>
        <v>"K129":"parcelassessmentwithdats_fertilizersusageinformation_producttype_5"</v>
      </c>
      <c r="F129" s="105" t="s">
        <v>1379</v>
      </c>
      <c r="G129" s="92" t="s">
        <v>629</v>
      </c>
      <c r="H129" s="92" t="s">
        <v>653</v>
      </c>
      <c r="I129" s="161" t="str">
        <f t="shared" si="5"/>
        <v>"L129":"parcelassessmentwithoutdats_fertilizersusageinformation_producttype_5"</v>
      </c>
      <c r="J129" s="170" t="s">
        <v>1616</v>
      </c>
      <c r="K129" s="104">
        <v>1</v>
      </c>
      <c r="L129" s="104">
        <v>1</v>
      </c>
      <c r="M129" s="89"/>
      <c r="N129" s="104"/>
      <c r="O129" s="104"/>
      <c r="P129" s="89"/>
      <c r="Q129" s="104"/>
      <c r="R129" s="104"/>
    </row>
    <row r="130" spans="1:18">
      <c r="A130" t="s">
        <v>865</v>
      </c>
      <c r="B130" t="s">
        <v>981</v>
      </c>
      <c r="C130" s="161" t="str">
        <f t="shared" si="3"/>
        <v>"J130":"parcelassessmentwithdats_fertilizersusageinformation_numberoftreatments_5"</v>
      </c>
      <c r="D130" s="105" t="s">
        <v>1143</v>
      </c>
      <c r="E130" s="161" t="str">
        <f t="shared" si="4"/>
        <v>"K130":"parcelassessmentwithdats_fertilizersusageinformation_numberoftreatments_5"</v>
      </c>
      <c r="F130" s="105" t="s">
        <v>1380</v>
      </c>
      <c r="G130" s="92" t="s">
        <v>629</v>
      </c>
      <c r="H130" s="92" t="s">
        <v>7</v>
      </c>
      <c r="I130" s="161" t="str">
        <f t="shared" si="5"/>
        <v>"L130":"parcelassessmentwithoutdats_fertilizersusageinformation_numberoftreatments_5"</v>
      </c>
      <c r="J130" s="170" t="s">
        <v>1617</v>
      </c>
      <c r="K130" s="104">
        <v>1</v>
      </c>
      <c r="L130" s="104">
        <v>1</v>
      </c>
      <c r="M130" s="89"/>
      <c r="N130" s="104"/>
      <c r="O130" s="104"/>
      <c r="P130" s="89"/>
      <c r="Q130" s="104"/>
      <c r="R130" s="104"/>
    </row>
    <row r="131" spans="1:18">
      <c r="A131" t="s">
        <v>865</v>
      </c>
      <c r="B131" t="s">
        <v>982</v>
      </c>
      <c r="C131" s="161" t="str">
        <f t="shared" si="3"/>
        <v>"J131":"parcelassessmentwithdats_fertilizersusageinformation_averagequantity_5"</v>
      </c>
      <c r="D131" s="105" t="s">
        <v>1144</v>
      </c>
      <c r="E131" s="161" t="str">
        <f t="shared" si="4"/>
        <v>"K131":"parcelassessmentwithdats_fertilizersusageinformation_averagequantity_5"</v>
      </c>
      <c r="F131" s="105" t="s">
        <v>1381</v>
      </c>
      <c r="G131" s="92" t="s">
        <v>629</v>
      </c>
      <c r="H131" s="92" t="s">
        <v>504</v>
      </c>
      <c r="I131" s="161" t="str">
        <f t="shared" si="5"/>
        <v>"L131":"parcelassessmentwithoutdats_fertilizersusageinformation_averagequantity_5"</v>
      </c>
      <c r="J131" s="170" t="s">
        <v>1618</v>
      </c>
      <c r="K131" s="104">
        <v>1</v>
      </c>
      <c r="L131" s="104">
        <v>1</v>
      </c>
      <c r="M131" s="89"/>
      <c r="N131" s="104"/>
      <c r="O131" s="104"/>
      <c r="P131" s="89"/>
      <c r="Q131" s="104"/>
      <c r="R131" s="104"/>
    </row>
    <row r="132" spans="1:18">
      <c r="A132" t="s">
        <v>865</v>
      </c>
      <c r="B132" t="s">
        <v>983</v>
      </c>
      <c r="C132" s="161" t="str">
        <f t="shared" si="3"/>
        <v>"J132":"parcelassessmentwithdats_fertilizersusageinformation_averagenitrogenquantity_5"</v>
      </c>
      <c r="D132" s="105" t="s">
        <v>1145</v>
      </c>
      <c r="E132" s="161" t="str">
        <f t="shared" si="4"/>
        <v>"K132":"parcelassessmentwithdats_fertilizersusageinformation_averagenitrogenquantity_5"</v>
      </c>
      <c r="F132" s="105" t="s">
        <v>1382</v>
      </c>
      <c r="G132" s="92" t="s">
        <v>629</v>
      </c>
      <c r="H132" s="92" t="s">
        <v>505</v>
      </c>
      <c r="I132" s="161" t="str">
        <f t="shared" si="5"/>
        <v>"L132":"parcelassessmentwithoutdats_fertilizersusageinformation_averagenitrogenquantity_5"</v>
      </c>
      <c r="J132" s="170" t="s">
        <v>1619</v>
      </c>
      <c r="K132" s="104">
        <v>1</v>
      </c>
      <c r="L132" s="104">
        <v>1</v>
      </c>
      <c r="M132" s="89"/>
      <c r="N132" s="104"/>
      <c r="O132" s="104"/>
      <c r="P132" s="89"/>
      <c r="Q132" s="104"/>
      <c r="R132" s="104"/>
    </row>
    <row r="133" spans="1:18">
      <c r="A133" t="s">
        <v>865</v>
      </c>
      <c r="B133" t="s">
        <v>984</v>
      </c>
      <c r="C133" s="161" t="str">
        <f t="shared" si="3"/>
        <v>"J133":"parcelassessmentwithdats_fertilizersusageinformation_averagephosphorusquantity_5"</v>
      </c>
      <c r="D133" s="105" t="s">
        <v>1146</v>
      </c>
      <c r="E133" s="161" t="str">
        <f t="shared" si="4"/>
        <v>"K133":"parcelassessmentwithdats_fertilizersusageinformation_averagephosphorusquantity_5"</v>
      </c>
      <c r="F133" s="105" t="s">
        <v>1383</v>
      </c>
      <c r="G133" s="92" t="s">
        <v>629</v>
      </c>
      <c r="H133" s="92" t="s">
        <v>506</v>
      </c>
      <c r="I133" s="161" t="str">
        <f t="shared" si="5"/>
        <v>"L133":"parcelassessmentwithoutdats_fertilizersusageinformation_averagephosphorusquantity_5"</v>
      </c>
      <c r="J133" s="170" t="s">
        <v>1620</v>
      </c>
      <c r="K133" s="104">
        <v>1</v>
      </c>
      <c r="L133" s="104">
        <v>1</v>
      </c>
      <c r="M133" s="89"/>
      <c r="N133" s="104"/>
      <c r="O133" s="104"/>
      <c r="P133" s="89"/>
      <c r="Q133" s="104"/>
      <c r="R133" s="104"/>
    </row>
    <row r="134" spans="1:18">
      <c r="A134" t="s">
        <v>865</v>
      </c>
      <c r="B134" t="s">
        <v>985</v>
      </c>
      <c r="C134" s="161" t="str">
        <f t="shared" si="3"/>
        <v>"J134":"parcelassessmentwithdats_fertilizersusageinformation_averagepotassiumquantity_5"</v>
      </c>
      <c r="D134" s="105" t="s">
        <v>1147</v>
      </c>
      <c r="E134" s="161" t="str">
        <f t="shared" si="4"/>
        <v>"K134":"parcelassessmentwithdats_fertilizersusageinformation_averagepotassiumquantity_5"</v>
      </c>
      <c r="F134" s="105" t="s">
        <v>1384</v>
      </c>
      <c r="G134" s="92" t="s">
        <v>629</v>
      </c>
      <c r="H134" s="92" t="s">
        <v>507</v>
      </c>
      <c r="I134" s="161" t="str">
        <f t="shared" si="5"/>
        <v>"L134":"parcelassessmentwithoutdats_fertilizersusageinformation_averagepotassiumquantity_5"</v>
      </c>
      <c r="J134" s="170" t="s">
        <v>1621</v>
      </c>
      <c r="K134" s="104">
        <v>1</v>
      </c>
      <c r="L134" s="104">
        <v>1</v>
      </c>
      <c r="M134" s="89"/>
      <c r="N134" s="104"/>
      <c r="O134" s="104"/>
      <c r="P134" s="89"/>
      <c r="Q134" s="104"/>
      <c r="R134" s="104"/>
    </row>
    <row r="135" spans="1:18">
      <c r="B135" s="14"/>
      <c r="C135" s="161" t="str">
        <f t="shared" si="3"/>
        <v>"J135":"parcelassessmentwithdats__"</v>
      </c>
      <c r="D135" s="105" t="s">
        <v>1148</v>
      </c>
      <c r="E135" s="161" t="str">
        <f t="shared" si="4"/>
        <v>"K135":"parcelassessmentwithdats__"</v>
      </c>
      <c r="F135" s="105" t="s">
        <v>1385</v>
      </c>
      <c r="I135" s="161" t="str">
        <f t="shared" si="5"/>
        <v>"L135":"parcelassessmentwithoutdats__"</v>
      </c>
      <c r="J135" s="170" t="s">
        <v>1622</v>
      </c>
      <c r="K135" s="89"/>
      <c r="L135" s="89"/>
      <c r="M135" s="115"/>
      <c r="N135" s="89"/>
      <c r="O135" s="115"/>
      <c r="P135" s="115"/>
      <c r="Q135" s="89"/>
      <c r="R135" s="115"/>
    </row>
    <row r="136" spans="1:18">
      <c r="C136" s="161" t="str">
        <f t="shared" si="3"/>
        <v>"J136":"parcelassessmentwithdats__"</v>
      </c>
      <c r="D136" s="105" t="s">
        <v>1149</v>
      </c>
      <c r="E136" s="161" t="str">
        <f t="shared" si="4"/>
        <v>"K136":"parcelassessmentwithdats__"</v>
      </c>
      <c r="F136" s="105" t="s">
        <v>1386</v>
      </c>
      <c r="G136" s="129"/>
      <c r="H136" s="129"/>
      <c r="I136" s="161" t="str">
        <f t="shared" si="5"/>
        <v>"L136":"parcelassessmentwithoutdats__"</v>
      </c>
      <c r="J136" s="170" t="s">
        <v>1623</v>
      </c>
      <c r="K136" s="168" t="s">
        <v>116</v>
      </c>
      <c r="L136" s="168" t="s">
        <v>116</v>
      </c>
      <c r="M136" s="143"/>
      <c r="N136" s="188" t="s">
        <v>117</v>
      </c>
      <c r="O136" s="189"/>
      <c r="P136" s="143"/>
      <c r="Q136" s="190" t="s">
        <v>118</v>
      </c>
      <c r="R136" s="191"/>
    </row>
    <row r="137" spans="1:18">
      <c r="C137" s="161" t="str">
        <f t="shared" si="3"/>
        <v>"J137":"parcelassessmentwithdats__"</v>
      </c>
      <c r="D137" s="105" t="s">
        <v>1150</v>
      </c>
      <c r="E137" s="161" t="str">
        <f t="shared" si="4"/>
        <v>"K137":"parcelassessmentwithdats__"</v>
      </c>
      <c r="F137" s="105" t="s">
        <v>1387</v>
      </c>
      <c r="G137" s="146" t="s">
        <v>119</v>
      </c>
      <c r="H137" s="146"/>
      <c r="I137" s="161" t="str">
        <f t="shared" si="5"/>
        <v>"L137":"parcelassessmentwithoutdats__"</v>
      </c>
      <c r="J137" s="170" t="s">
        <v>1624</v>
      </c>
      <c r="K137" s="90" t="s">
        <v>551</v>
      </c>
      <c r="L137" s="90" t="s">
        <v>553</v>
      </c>
      <c r="M137" s="143"/>
      <c r="N137" s="90" t="s">
        <v>551</v>
      </c>
      <c r="O137" s="90" t="s">
        <v>109</v>
      </c>
      <c r="P137" s="143"/>
      <c r="Q137" s="90" t="s">
        <v>551</v>
      </c>
      <c r="R137" s="90" t="s">
        <v>109</v>
      </c>
    </row>
    <row r="138" spans="1:18">
      <c r="A138" t="s">
        <v>867</v>
      </c>
      <c r="B138" t="s">
        <v>930</v>
      </c>
      <c r="C138" s="161" t="str">
        <f t="shared" si="3"/>
        <v>"J138":"parcelassessmentwithdats_feedusageinformation_productname_0"</v>
      </c>
      <c r="D138" s="105" t="s">
        <v>1151</v>
      </c>
      <c r="E138" s="161" t="str">
        <f t="shared" si="4"/>
        <v>"K138":"parcelassessmentwithdats_feedusageinformation_productname_0"</v>
      </c>
      <c r="F138" s="105" t="s">
        <v>1388</v>
      </c>
      <c r="G138" s="92" t="s">
        <v>654</v>
      </c>
      <c r="H138" s="92" t="s">
        <v>657</v>
      </c>
      <c r="I138" s="161" t="str">
        <f t="shared" si="5"/>
        <v>"L138":"parcelassessmentwithoutdats_feedusageinformation_productname_0"</v>
      </c>
      <c r="J138" s="170" t="s">
        <v>1625</v>
      </c>
      <c r="K138" s="104">
        <v>1</v>
      </c>
      <c r="L138" s="104">
        <v>1</v>
      </c>
      <c r="M138" s="89"/>
      <c r="N138" s="145"/>
      <c r="O138" s="104"/>
      <c r="P138" s="89"/>
      <c r="Q138" s="145"/>
      <c r="R138" s="104"/>
    </row>
    <row r="139" spans="1:18">
      <c r="A139" t="s">
        <v>867</v>
      </c>
      <c r="B139" t="s">
        <v>932</v>
      </c>
      <c r="C139" s="161" t="str">
        <f t="shared" ref="C139:C202" si="6">CONCATENATE("""",D139,"""",":","""","parcelassessmentwithdats_",LOWER($A139),"_",LOWER($B139),"""")</f>
        <v>"J139":"parcelassessmentwithdats_feedusageinformation_quantity_0"</v>
      </c>
      <c r="D139" s="105" t="s">
        <v>1152</v>
      </c>
      <c r="E139" s="161" t="str">
        <f t="shared" ref="E139:E202" si="7">CONCATENATE("""",F139,"""",":","""","parcelassessmentwithdats_",LOWER(A139),"_",LOWER(B139),"""")</f>
        <v>"K139":"parcelassessmentwithdats_feedusageinformation_quantity_0"</v>
      </c>
      <c r="F139" s="105" t="s">
        <v>1389</v>
      </c>
      <c r="G139" s="92" t="s">
        <v>654</v>
      </c>
      <c r="H139" s="92" t="s">
        <v>658</v>
      </c>
      <c r="I139" s="161" t="str">
        <f t="shared" ref="I139:I202" si="8">CONCATENATE("""",J139,"""",":","""","parcelassessmentwithoutdats_",LOWER($A139),"_",LOWER($B139),"""")</f>
        <v>"L139":"parcelassessmentwithoutdats_feedusageinformation_quantity_0"</v>
      </c>
      <c r="J139" s="170" t="s">
        <v>1626</v>
      </c>
      <c r="K139" s="104">
        <v>1</v>
      </c>
      <c r="L139" s="104">
        <v>1</v>
      </c>
      <c r="M139" s="89"/>
      <c r="N139" s="104"/>
      <c r="O139" s="104"/>
      <c r="P139" s="89"/>
      <c r="Q139" s="104"/>
      <c r="R139" s="104"/>
    </row>
    <row r="140" spans="1:18">
      <c r="A140" t="s">
        <v>867</v>
      </c>
      <c r="B140" t="s">
        <v>933</v>
      </c>
      <c r="C140" s="161" t="str">
        <f t="shared" si="6"/>
        <v>"J140":"parcelassessmentwithdats_feedusageinformation_productname_1"</v>
      </c>
      <c r="D140" s="105" t="s">
        <v>1153</v>
      </c>
      <c r="E140" s="161" t="str">
        <f t="shared" si="7"/>
        <v>"K140":"parcelassessmentwithdats_feedusageinformation_productname_1"</v>
      </c>
      <c r="F140" s="105" t="s">
        <v>1390</v>
      </c>
      <c r="G140" s="92" t="s">
        <v>655</v>
      </c>
      <c r="H140" s="92" t="s">
        <v>659</v>
      </c>
      <c r="I140" s="161" t="str">
        <f t="shared" si="8"/>
        <v>"L140":"parcelassessmentwithoutdats_feedusageinformation_productname_1"</v>
      </c>
      <c r="J140" s="170" t="s">
        <v>1627</v>
      </c>
      <c r="K140" s="104">
        <v>1</v>
      </c>
      <c r="L140" s="104">
        <v>1</v>
      </c>
      <c r="M140" s="89"/>
      <c r="N140" s="145"/>
      <c r="O140" s="104"/>
      <c r="P140" s="89"/>
      <c r="Q140" s="145"/>
      <c r="R140" s="104"/>
    </row>
    <row r="141" spans="1:18">
      <c r="A141" t="s">
        <v>867</v>
      </c>
      <c r="B141" t="s">
        <v>931</v>
      </c>
      <c r="C141" s="161" t="str">
        <f t="shared" si="6"/>
        <v>"J141":"parcelassessmentwithdats_feedusageinformation_quantity_1"</v>
      </c>
      <c r="D141" s="105" t="s">
        <v>1154</v>
      </c>
      <c r="E141" s="161" t="str">
        <f t="shared" si="7"/>
        <v>"K141":"parcelassessmentwithdats_feedusageinformation_quantity_1"</v>
      </c>
      <c r="F141" s="105" t="s">
        <v>1391</v>
      </c>
      <c r="G141" s="92" t="s">
        <v>655</v>
      </c>
      <c r="H141" s="92" t="s">
        <v>660</v>
      </c>
      <c r="I141" s="161" t="str">
        <f t="shared" si="8"/>
        <v>"L141":"parcelassessmentwithoutdats_feedusageinformation_quantity_1"</v>
      </c>
      <c r="J141" s="170" t="s">
        <v>1628</v>
      </c>
      <c r="K141" s="104">
        <v>1</v>
      </c>
      <c r="L141" s="104">
        <v>1</v>
      </c>
      <c r="M141" s="89"/>
      <c r="N141" s="104"/>
      <c r="O141" s="104"/>
      <c r="P141" s="89"/>
      <c r="Q141" s="104"/>
      <c r="R141" s="104"/>
    </row>
    <row r="142" spans="1:18">
      <c r="A142" t="s">
        <v>867</v>
      </c>
      <c r="B142" t="s">
        <v>934</v>
      </c>
      <c r="C142" s="161" t="str">
        <f t="shared" si="6"/>
        <v>"J142":"parcelassessmentwithdats_feedusageinformation_productname_2"</v>
      </c>
      <c r="D142" s="105" t="s">
        <v>1155</v>
      </c>
      <c r="E142" s="161" t="str">
        <f t="shared" si="7"/>
        <v>"K142":"parcelassessmentwithdats_feedusageinformation_productname_2"</v>
      </c>
      <c r="F142" s="105" t="s">
        <v>1392</v>
      </c>
      <c r="G142" s="92" t="s">
        <v>656</v>
      </c>
      <c r="H142" s="92" t="s">
        <v>661</v>
      </c>
      <c r="I142" s="161" t="str">
        <f t="shared" si="8"/>
        <v>"L142":"parcelassessmentwithoutdats_feedusageinformation_productname_2"</v>
      </c>
      <c r="J142" s="170" t="s">
        <v>1629</v>
      </c>
      <c r="K142" s="104">
        <v>1</v>
      </c>
      <c r="L142" s="104">
        <v>1</v>
      </c>
      <c r="M142" s="89"/>
      <c r="N142" s="145"/>
      <c r="O142" s="104"/>
      <c r="P142" s="89"/>
      <c r="Q142" s="145"/>
      <c r="R142" s="104"/>
    </row>
    <row r="143" spans="1:18">
      <c r="A143" t="s">
        <v>867</v>
      </c>
      <c r="B143" t="s">
        <v>935</v>
      </c>
      <c r="C143" s="161" t="str">
        <f t="shared" si="6"/>
        <v>"J143":"parcelassessmentwithdats_feedusageinformation_quantity_2"</v>
      </c>
      <c r="D143" s="105" t="s">
        <v>1156</v>
      </c>
      <c r="E143" s="161" t="str">
        <f t="shared" si="7"/>
        <v>"K143":"parcelassessmentwithdats_feedusageinformation_quantity_2"</v>
      </c>
      <c r="F143" s="105" t="s">
        <v>1393</v>
      </c>
      <c r="G143" s="92" t="s">
        <v>656</v>
      </c>
      <c r="H143" s="92" t="s">
        <v>662</v>
      </c>
      <c r="I143" s="161" t="str">
        <f t="shared" si="8"/>
        <v>"L143":"parcelassessmentwithoutdats_feedusageinformation_quantity_2"</v>
      </c>
      <c r="J143" s="170" t="s">
        <v>1630</v>
      </c>
      <c r="K143" s="104">
        <v>1</v>
      </c>
      <c r="L143" s="104">
        <v>1</v>
      </c>
      <c r="M143" s="89"/>
      <c r="N143" s="104"/>
      <c r="O143" s="104"/>
      <c r="P143" s="89"/>
      <c r="Q143" s="104"/>
      <c r="R143" s="104"/>
    </row>
    <row r="144" spans="1:18">
      <c r="A144" t="s">
        <v>867</v>
      </c>
      <c r="B144" t="s">
        <v>936</v>
      </c>
      <c r="C144" s="161" t="str">
        <f t="shared" si="6"/>
        <v>"J144":"parcelassessmentwithdats_feedusageinformation_productname_3"</v>
      </c>
      <c r="D144" s="105" t="s">
        <v>1157</v>
      </c>
      <c r="E144" s="161" t="str">
        <f t="shared" si="7"/>
        <v>"K144":"parcelassessmentwithdats_feedusageinformation_productname_3"</v>
      </c>
      <c r="F144" s="105" t="s">
        <v>1394</v>
      </c>
      <c r="G144" s="92" t="s">
        <v>654</v>
      </c>
      <c r="H144" s="92" t="s">
        <v>657</v>
      </c>
      <c r="I144" s="161" t="str">
        <f t="shared" si="8"/>
        <v>"L144":"parcelassessmentwithoutdats_feedusageinformation_productname_3"</v>
      </c>
      <c r="J144" s="170" t="s">
        <v>1631</v>
      </c>
      <c r="K144" s="104">
        <v>1</v>
      </c>
      <c r="L144" s="104">
        <v>1</v>
      </c>
      <c r="M144" s="89"/>
      <c r="N144" s="145"/>
      <c r="O144" s="104"/>
      <c r="P144" s="89"/>
      <c r="Q144" s="145"/>
      <c r="R144" s="104"/>
    </row>
    <row r="145" spans="1:18">
      <c r="A145" t="s">
        <v>867</v>
      </c>
      <c r="B145" t="s">
        <v>937</v>
      </c>
      <c r="C145" s="161" t="str">
        <f t="shared" si="6"/>
        <v>"J145":"parcelassessmentwithdats_feedusageinformation_quantity_3"</v>
      </c>
      <c r="D145" s="105" t="s">
        <v>1158</v>
      </c>
      <c r="E145" s="161" t="str">
        <f t="shared" si="7"/>
        <v>"K145":"parcelassessmentwithdats_feedusageinformation_quantity_3"</v>
      </c>
      <c r="F145" s="105" t="s">
        <v>1395</v>
      </c>
      <c r="G145" s="92" t="s">
        <v>654</v>
      </c>
      <c r="H145" s="92" t="s">
        <v>658</v>
      </c>
      <c r="I145" s="161" t="str">
        <f t="shared" si="8"/>
        <v>"L145":"parcelassessmentwithoutdats_feedusageinformation_quantity_3"</v>
      </c>
      <c r="J145" s="170" t="s">
        <v>1632</v>
      </c>
      <c r="K145" s="104">
        <v>1</v>
      </c>
      <c r="L145" s="104">
        <v>1</v>
      </c>
      <c r="M145" s="89"/>
      <c r="N145" s="104"/>
      <c r="O145" s="104"/>
      <c r="P145" s="89"/>
      <c r="Q145" s="104"/>
      <c r="R145" s="104"/>
    </row>
    <row r="146" spans="1:18">
      <c r="A146" t="s">
        <v>867</v>
      </c>
      <c r="B146" t="s">
        <v>938</v>
      </c>
      <c r="C146" s="161" t="str">
        <f t="shared" si="6"/>
        <v>"J146":"parcelassessmentwithdats_feedusageinformation_productname_4"</v>
      </c>
      <c r="D146" s="105" t="s">
        <v>1159</v>
      </c>
      <c r="E146" s="161" t="str">
        <f t="shared" si="7"/>
        <v>"K146":"parcelassessmentwithdats_feedusageinformation_productname_4"</v>
      </c>
      <c r="F146" s="105" t="s">
        <v>1396</v>
      </c>
      <c r="G146" s="92" t="s">
        <v>655</v>
      </c>
      <c r="H146" s="92" t="s">
        <v>659</v>
      </c>
      <c r="I146" s="161" t="str">
        <f t="shared" si="8"/>
        <v>"L146":"parcelassessmentwithoutdats_feedusageinformation_productname_4"</v>
      </c>
      <c r="J146" s="170" t="s">
        <v>1633</v>
      </c>
      <c r="K146" s="104">
        <v>1</v>
      </c>
      <c r="L146" s="104">
        <v>1</v>
      </c>
      <c r="M146" s="89"/>
      <c r="N146" s="145"/>
      <c r="O146" s="104"/>
      <c r="P146" s="89"/>
      <c r="Q146" s="145"/>
      <c r="R146" s="104"/>
    </row>
    <row r="147" spans="1:18">
      <c r="A147" t="s">
        <v>867</v>
      </c>
      <c r="B147" t="s">
        <v>939</v>
      </c>
      <c r="C147" s="161" t="str">
        <f t="shared" si="6"/>
        <v>"J147":"parcelassessmentwithdats_feedusageinformation_quantity_4"</v>
      </c>
      <c r="D147" s="105" t="s">
        <v>1160</v>
      </c>
      <c r="E147" s="161" t="str">
        <f t="shared" si="7"/>
        <v>"K147":"parcelassessmentwithdats_feedusageinformation_quantity_4"</v>
      </c>
      <c r="F147" s="105" t="s">
        <v>1397</v>
      </c>
      <c r="G147" s="92" t="s">
        <v>655</v>
      </c>
      <c r="H147" s="92" t="s">
        <v>660</v>
      </c>
      <c r="I147" s="161" t="str">
        <f t="shared" si="8"/>
        <v>"L147":"parcelassessmentwithoutdats_feedusageinformation_quantity_4"</v>
      </c>
      <c r="J147" s="170" t="s">
        <v>1634</v>
      </c>
      <c r="K147" s="104">
        <v>1</v>
      </c>
      <c r="L147" s="104">
        <v>1</v>
      </c>
      <c r="M147" s="89"/>
      <c r="N147" s="104"/>
      <c r="O147" s="104"/>
      <c r="P147" s="89"/>
      <c r="Q147" s="104"/>
      <c r="R147" s="104"/>
    </row>
    <row r="148" spans="1:18">
      <c r="A148" t="s">
        <v>867</v>
      </c>
      <c r="B148" t="s">
        <v>940</v>
      </c>
      <c r="C148" s="161" t="str">
        <f t="shared" si="6"/>
        <v>"J148":"parcelassessmentwithdats_feedusageinformation_productname_5"</v>
      </c>
      <c r="D148" s="105" t="s">
        <v>1161</v>
      </c>
      <c r="E148" s="161" t="str">
        <f t="shared" si="7"/>
        <v>"K148":"parcelassessmentwithdats_feedusageinformation_productname_5"</v>
      </c>
      <c r="F148" s="105" t="s">
        <v>1398</v>
      </c>
      <c r="G148" s="92" t="s">
        <v>656</v>
      </c>
      <c r="H148" s="92" t="s">
        <v>661</v>
      </c>
      <c r="I148" s="161" t="str">
        <f t="shared" si="8"/>
        <v>"L148":"parcelassessmentwithoutdats_feedusageinformation_productname_5"</v>
      </c>
      <c r="J148" s="170" t="s">
        <v>1635</v>
      </c>
      <c r="K148" s="104">
        <v>1</v>
      </c>
      <c r="L148" s="104">
        <v>1</v>
      </c>
      <c r="M148" s="89"/>
      <c r="N148" s="145"/>
      <c r="O148" s="104"/>
      <c r="P148" s="89"/>
      <c r="Q148" s="145"/>
      <c r="R148" s="104"/>
    </row>
    <row r="149" spans="1:18">
      <c r="A149" t="s">
        <v>867</v>
      </c>
      <c r="B149" t="s">
        <v>941</v>
      </c>
      <c r="C149" s="161" t="str">
        <f t="shared" si="6"/>
        <v>"J149":"parcelassessmentwithdats_feedusageinformation_quantity_5"</v>
      </c>
      <c r="D149" s="105" t="s">
        <v>1162</v>
      </c>
      <c r="E149" s="161" t="str">
        <f t="shared" si="7"/>
        <v>"K149":"parcelassessmentwithdats_feedusageinformation_quantity_5"</v>
      </c>
      <c r="F149" s="105" t="s">
        <v>1399</v>
      </c>
      <c r="G149" s="92" t="s">
        <v>656</v>
      </c>
      <c r="H149" s="92" t="s">
        <v>662</v>
      </c>
      <c r="I149" s="161" t="str">
        <f t="shared" si="8"/>
        <v>"L149":"parcelassessmentwithoutdats_feedusageinformation_quantity_5"</v>
      </c>
      <c r="J149" s="170" t="s">
        <v>1636</v>
      </c>
      <c r="K149" s="104">
        <v>1</v>
      </c>
      <c r="L149" s="104">
        <v>1</v>
      </c>
      <c r="M149" s="89"/>
      <c r="N149" s="104"/>
      <c r="O149" s="104"/>
      <c r="P149" s="89"/>
      <c r="Q149" s="104"/>
      <c r="R149" s="104"/>
    </row>
    <row r="150" spans="1:18">
      <c r="A150" t="s">
        <v>867</v>
      </c>
      <c r="B150" t="s">
        <v>942</v>
      </c>
      <c r="C150" s="161" t="str">
        <f t="shared" si="6"/>
        <v>"J150":"parcelassessmentwithdats_feedusageinformation_productname_6"</v>
      </c>
      <c r="D150" s="105" t="s">
        <v>1163</v>
      </c>
      <c r="E150" s="161" t="str">
        <f t="shared" si="7"/>
        <v>"K150":"parcelassessmentwithdats_feedusageinformation_productname_6"</v>
      </c>
      <c r="F150" s="105" t="s">
        <v>1400</v>
      </c>
      <c r="G150" s="92" t="s">
        <v>654</v>
      </c>
      <c r="H150" s="92" t="s">
        <v>657</v>
      </c>
      <c r="I150" s="161" t="str">
        <f t="shared" si="8"/>
        <v>"L150":"parcelassessmentwithoutdats_feedusageinformation_productname_6"</v>
      </c>
      <c r="J150" s="170" t="s">
        <v>1637</v>
      </c>
      <c r="K150" s="104">
        <v>1</v>
      </c>
      <c r="L150" s="104">
        <v>1</v>
      </c>
      <c r="M150" s="89"/>
      <c r="N150" s="145"/>
      <c r="O150" s="104"/>
      <c r="P150" s="89"/>
      <c r="Q150" s="145"/>
      <c r="R150" s="104"/>
    </row>
    <row r="151" spans="1:18">
      <c r="A151" t="s">
        <v>867</v>
      </c>
      <c r="B151" t="s">
        <v>943</v>
      </c>
      <c r="C151" s="161" t="str">
        <f t="shared" si="6"/>
        <v>"J151":"parcelassessmentwithdats_feedusageinformation_quantity_6"</v>
      </c>
      <c r="D151" s="105" t="s">
        <v>1164</v>
      </c>
      <c r="E151" s="161" t="str">
        <f t="shared" si="7"/>
        <v>"K151":"parcelassessmentwithdats_feedusageinformation_quantity_6"</v>
      </c>
      <c r="F151" s="105" t="s">
        <v>1401</v>
      </c>
      <c r="G151" s="92" t="s">
        <v>654</v>
      </c>
      <c r="H151" s="92" t="s">
        <v>658</v>
      </c>
      <c r="I151" s="161" t="str">
        <f t="shared" si="8"/>
        <v>"L151":"parcelassessmentwithoutdats_feedusageinformation_quantity_6"</v>
      </c>
      <c r="J151" s="170" t="s">
        <v>1638</v>
      </c>
      <c r="K151" s="104">
        <v>1</v>
      </c>
      <c r="L151" s="104">
        <v>1</v>
      </c>
      <c r="M151" s="89"/>
      <c r="N151" s="104"/>
      <c r="O151" s="104"/>
      <c r="P151" s="89"/>
      <c r="Q151" s="104"/>
      <c r="R151" s="104"/>
    </row>
    <row r="152" spans="1:18">
      <c r="A152" t="s">
        <v>867</v>
      </c>
      <c r="B152" t="s">
        <v>944</v>
      </c>
      <c r="C152" s="161" t="str">
        <f t="shared" si="6"/>
        <v>"J152":"parcelassessmentwithdats_feedusageinformation_productname_7"</v>
      </c>
      <c r="D152" s="105" t="s">
        <v>1165</v>
      </c>
      <c r="E152" s="161" t="str">
        <f t="shared" si="7"/>
        <v>"K152":"parcelassessmentwithdats_feedusageinformation_productname_7"</v>
      </c>
      <c r="F152" s="105" t="s">
        <v>1402</v>
      </c>
      <c r="G152" s="92" t="s">
        <v>655</v>
      </c>
      <c r="H152" s="92" t="s">
        <v>659</v>
      </c>
      <c r="I152" s="161" t="str">
        <f t="shared" si="8"/>
        <v>"L152":"parcelassessmentwithoutdats_feedusageinformation_productname_7"</v>
      </c>
      <c r="J152" s="170" t="s">
        <v>1639</v>
      </c>
      <c r="K152" s="104">
        <v>1</v>
      </c>
      <c r="L152" s="104">
        <v>1</v>
      </c>
      <c r="M152" s="89"/>
      <c r="N152" s="145"/>
      <c r="O152" s="104"/>
      <c r="P152" s="89"/>
      <c r="Q152" s="145"/>
      <c r="R152" s="104"/>
    </row>
    <row r="153" spans="1:18">
      <c r="A153" t="s">
        <v>867</v>
      </c>
      <c r="B153" t="s">
        <v>945</v>
      </c>
      <c r="C153" s="161" t="str">
        <f t="shared" si="6"/>
        <v>"J153":"parcelassessmentwithdats_feedusageinformation_quantity_7"</v>
      </c>
      <c r="D153" s="105" t="s">
        <v>1166</v>
      </c>
      <c r="E153" s="161" t="str">
        <f t="shared" si="7"/>
        <v>"K153":"parcelassessmentwithdats_feedusageinformation_quantity_7"</v>
      </c>
      <c r="F153" s="105" t="s">
        <v>1403</v>
      </c>
      <c r="G153" s="92" t="s">
        <v>655</v>
      </c>
      <c r="H153" s="92" t="s">
        <v>660</v>
      </c>
      <c r="I153" s="161" t="str">
        <f t="shared" si="8"/>
        <v>"L153":"parcelassessmentwithoutdats_feedusageinformation_quantity_7"</v>
      </c>
      <c r="J153" s="170" t="s">
        <v>1640</v>
      </c>
      <c r="K153" s="104">
        <v>1</v>
      </c>
      <c r="L153" s="104">
        <v>1</v>
      </c>
      <c r="M153" s="89"/>
      <c r="N153" s="104"/>
      <c r="O153" s="104"/>
      <c r="P153" s="89"/>
      <c r="Q153" s="104"/>
      <c r="R153" s="104"/>
    </row>
    <row r="154" spans="1:18">
      <c r="A154" t="s">
        <v>867</v>
      </c>
      <c r="B154" t="s">
        <v>946</v>
      </c>
      <c r="C154" s="161" t="str">
        <f t="shared" si="6"/>
        <v>"J154":"parcelassessmentwithdats_feedusageinformation_productname_8"</v>
      </c>
      <c r="D154" s="105" t="s">
        <v>1167</v>
      </c>
      <c r="E154" s="161" t="str">
        <f t="shared" si="7"/>
        <v>"K154":"parcelassessmentwithdats_feedusageinformation_productname_8"</v>
      </c>
      <c r="F154" s="105" t="s">
        <v>1404</v>
      </c>
      <c r="G154" s="92" t="s">
        <v>656</v>
      </c>
      <c r="H154" s="92" t="s">
        <v>661</v>
      </c>
      <c r="I154" s="161" t="str">
        <f t="shared" si="8"/>
        <v>"L154":"parcelassessmentwithoutdats_feedusageinformation_productname_8"</v>
      </c>
      <c r="J154" s="170" t="s">
        <v>1641</v>
      </c>
      <c r="K154" s="104">
        <v>1</v>
      </c>
      <c r="L154" s="104">
        <v>1</v>
      </c>
      <c r="M154" s="89"/>
      <c r="N154" s="145"/>
      <c r="O154" s="104"/>
      <c r="P154" s="89"/>
      <c r="Q154" s="145"/>
      <c r="R154" s="104"/>
    </row>
    <row r="155" spans="1:18">
      <c r="A155" t="s">
        <v>867</v>
      </c>
      <c r="B155" t="s">
        <v>947</v>
      </c>
      <c r="C155" s="161" t="str">
        <f t="shared" si="6"/>
        <v>"J155":"parcelassessmentwithdats_feedusageinformation_quantity_8"</v>
      </c>
      <c r="D155" s="105" t="s">
        <v>1168</v>
      </c>
      <c r="E155" s="161" t="str">
        <f t="shared" si="7"/>
        <v>"K155":"parcelassessmentwithdats_feedusageinformation_quantity_8"</v>
      </c>
      <c r="F155" s="105" t="s">
        <v>1405</v>
      </c>
      <c r="G155" s="92" t="s">
        <v>656</v>
      </c>
      <c r="H155" s="92" t="s">
        <v>662</v>
      </c>
      <c r="I155" s="161" t="str">
        <f t="shared" si="8"/>
        <v>"L155":"parcelassessmentwithoutdats_feedusageinformation_quantity_8"</v>
      </c>
      <c r="J155" s="170" t="s">
        <v>1642</v>
      </c>
      <c r="K155" s="104">
        <v>1</v>
      </c>
      <c r="L155" s="104">
        <v>1</v>
      </c>
      <c r="M155" s="89"/>
      <c r="N155" s="104"/>
      <c r="O155" s="104"/>
      <c r="P155" s="89"/>
      <c r="Q155" s="104"/>
      <c r="R155" s="104"/>
    </row>
    <row r="156" spans="1:18">
      <c r="A156" t="s">
        <v>867</v>
      </c>
      <c r="B156" t="s">
        <v>948</v>
      </c>
      <c r="C156" s="161" t="str">
        <f t="shared" si="6"/>
        <v>"J156":"parcelassessmentwithdats_feedusageinformation_productname_9"</v>
      </c>
      <c r="D156" s="105" t="s">
        <v>1169</v>
      </c>
      <c r="E156" s="161" t="str">
        <f t="shared" si="7"/>
        <v>"K156":"parcelassessmentwithdats_feedusageinformation_productname_9"</v>
      </c>
      <c r="F156" s="105" t="s">
        <v>1406</v>
      </c>
      <c r="G156" s="92" t="s">
        <v>656</v>
      </c>
      <c r="H156" s="92" t="s">
        <v>661</v>
      </c>
      <c r="I156" s="161" t="str">
        <f t="shared" si="8"/>
        <v>"L156":"parcelassessmentwithoutdats_feedusageinformation_productname_9"</v>
      </c>
      <c r="J156" s="170" t="s">
        <v>1643</v>
      </c>
      <c r="K156" s="104">
        <v>1</v>
      </c>
      <c r="L156" s="104">
        <v>1</v>
      </c>
      <c r="M156" s="89"/>
      <c r="N156" s="145"/>
      <c r="O156" s="104"/>
      <c r="P156" s="89"/>
      <c r="Q156" s="145"/>
      <c r="R156" s="104"/>
    </row>
    <row r="157" spans="1:18">
      <c r="A157" t="s">
        <v>867</v>
      </c>
      <c r="B157" t="s">
        <v>949</v>
      </c>
      <c r="C157" s="161" t="str">
        <f t="shared" si="6"/>
        <v>"J157":"parcelassessmentwithdats_feedusageinformation_quantity_9"</v>
      </c>
      <c r="D157" s="105" t="s">
        <v>1170</v>
      </c>
      <c r="E157" s="161" t="str">
        <f t="shared" si="7"/>
        <v>"K157":"parcelassessmentwithdats_feedusageinformation_quantity_9"</v>
      </c>
      <c r="F157" s="105" t="s">
        <v>1407</v>
      </c>
      <c r="G157" s="92" t="s">
        <v>656</v>
      </c>
      <c r="H157" s="92" t="s">
        <v>662</v>
      </c>
      <c r="I157" s="161" t="str">
        <f t="shared" si="8"/>
        <v>"L157":"parcelassessmentwithoutdats_feedusageinformation_quantity_9"</v>
      </c>
      <c r="J157" s="170" t="s">
        <v>1644</v>
      </c>
      <c r="K157" s="104">
        <v>1</v>
      </c>
      <c r="L157" s="104">
        <v>1</v>
      </c>
      <c r="M157" s="89"/>
      <c r="N157" s="104"/>
      <c r="O157" s="104"/>
      <c r="P157" s="89"/>
      <c r="Q157" s="104"/>
      <c r="R157" s="104"/>
    </row>
    <row r="158" spans="1:18">
      <c r="C158" s="161" t="str">
        <f t="shared" si="6"/>
        <v>"J158":"parcelassessmentwithdats__"</v>
      </c>
      <c r="D158" s="105" t="s">
        <v>1171</v>
      </c>
      <c r="E158" s="161" t="str">
        <f t="shared" si="7"/>
        <v>"K158":"parcelassessmentwithdats__"</v>
      </c>
      <c r="F158" s="105" t="s">
        <v>1408</v>
      </c>
      <c r="I158" s="161" t="str">
        <f t="shared" si="8"/>
        <v>"L158":"parcelassessmentwithoutdats__"</v>
      </c>
      <c r="J158" s="170" t="s">
        <v>1645</v>
      </c>
      <c r="K158" s="89"/>
      <c r="L158" s="89"/>
      <c r="M158" s="89"/>
      <c r="N158" s="89"/>
      <c r="O158" s="89"/>
      <c r="P158" s="89"/>
      <c r="Q158" s="89"/>
      <c r="R158" s="89"/>
    </row>
    <row r="159" spans="1:18" ht="12" customHeight="1">
      <c r="C159" s="161" t="str">
        <f t="shared" si="6"/>
        <v>"J159":"parcelassessmentwithdats__"</v>
      </c>
      <c r="D159" s="105" t="s">
        <v>1172</v>
      </c>
      <c r="E159" s="161" t="str">
        <f t="shared" si="7"/>
        <v>"K159":"parcelassessmentwithdats__"</v>
      </c>
      <c r="F159" s="105" t="s">
        <v>1409</v>
      </c>
      <c r="G159" s="133"/>
      <c r="H159" s="133"/>
      <c r="I159" s="161" t="str">
        <f t="shared" si="8"/>
        <v>"L159":"parcelassessmentwithoutdats__"</v>
      </c>
      <c r="J159" s="170" t="s">
        <v>1646</v>
      </c>
      <c r="K159" s="168" t="s">
        <v>116</v>
      </c>
      <c r="L159" s="168" t="s">
        <v>116</v>
      </c>
      <c r="M159" s="143"/>
      <c r="N159" s="188" t="s">
        <v>117</v>
      </c>
      <c r="O159" s="189"/>
      <c r="P159" s="143"/>
      <c r="Q159" s="190" t="s">
        <v>118</v>
      </c>
      <c r="R159" s="191"/>
    </row>
    <row r="160" spans="1:18">
      <c r="C160" s="161" t="str">
        <f t="shared" si="6"/>
        <v>"J160":"parcelassessmentwithdats__"</v>
      </c>
      <c r="D160" s="105" t="s">
        <v>1173</v>
      </c>
      <c r="E160" s="161" t="str">
        <f t="shared" si="7"/>
        <v>"K160":"parcelassessmentwithdats__"</v>
      </c>
      <c r="F160" s="105" t="s">
        <v>1410</v>
      </c>
      <c r="G160" s="147" t="s">
        <v>119</v>
      </c>
      <c r="H160" s="147"/>
      <c r="I160" s="161" t="str">
        <f t="shared" si="8"/>
        <v>"L160":"parcelassessmentwithoutdats__"</v>
      </c>
      <c r="J160" s="170" t="s">
        <v>1647</v>
      </c>
      <c r="K160" s="90" t="s">
        <v>551</v>
      </c>
      <c r="L160" s="90" t="s">
        <v>553</v>
      </c>
      <c r="M160" s="143"/>
      <c r="N160" s="90" t="s">
        <v>551</v>
      </c>
      <c r="O160" s="90" t="s">
        <v>109</v>
      </c>
      <c r="P160" s="143"/>
      <c r="Q160" s="90" t="s">
        <v>551</v>
      </c>
      <c r="R160" s="90" t="s">
        <v>109</v>
      </c>
    </row>
    <row r="161" spans="1:18">
      <c r="A161" t="s">
        <v>866</v>
      </c>
      <c r="B161" t="s">
        <v>930</v>
      </c>
      <c r="C161" s="161" t="str">
        <f t="shared" si="6"/>
        <v>"J161":"parcelassessmentwithdats_drugsusageinformation_productname_0"</v>
      </c>
      <c r="D161" s="105" t="s">
        <v>1174</v>
      </c>
      <c r="E161" s="161" t="str">
        <f t="shared" si="7"/>
        <v>"K161":"parcelassessmentwithdats_drugsusageinformation_productname_0"</v>
      </c>
      <c r="F161" s="105" t="s">
        <v>1411</v>
      </c>
      <c r="G161" s="92" t="s">
        <v>666</v>
      </c>
      <c r="H161" s="92" t="s">
        <v>636</v>
      </c>
      <c r="I161" s="161" t="str">
        <f t="shared" si="8"/>
        <v>"L161":"parcelassessmentwithoutdats_drugsusageinformation_productname_0"</v>
      </c>
      <c r="J161" s="170" t="s">
        <v>1648</v>
      </c>
      <c r="K161" s="104">
        <v>1</v>
      </c>
      <c r="L161" s="104">
        <v>1</v>
      </c>
      <c r="M161" s="89"/>
      <c r="N161" s="145"/>
      <c r="O161" s="104"/>
      <c r="P161" s="89"/>
      <c r="Q161" s="145"/>
      <c r="R161" s="104"/>
    </row>
    <row r="162" spans="1:18">
      <c r="A162" t="s">
        <v>866</v>
      </c>
      <c r="B162" t="s">
        <v>932</v>
      </c>
      <c r="C162" s="161" t="str">
        <f t="shared" si="6"/>
        <v>"J162":"parcelassessmentwithdats_drugsusageinformation_quantity_0"</v>
      </c>
      <c r="D162" s="105" t="s">
        <v>1175</v>
      </c>
      <c r="E162" s="161" t="str">
        <f t="shared" si="7"/>
        <v>"K162":"parcelassessmentwithdats_drugsusageinformation_quantity_0"</v>
      </c>
      <c r="F162" s="105" t="s">
        <v>1412</v>
      </c>
      <c r="G162" s="92" t="s">
        <v>666</v>
      </c>
      <c r="H162" s="92" t="s">
        <v>630</v>
      </c>
      <c r="I162" s="161" t="str">
        <f t="shared" si="8"/>
        <v>"L162":"parcelassessmentwithoutdats_drugsusageinformation_quantity_0"</v>
      </c>
      <c r="J162" s="170" t="s">
        <v>1649</v>
      </c>
      <c r="K162" s="104">
        <v>1</v>
      </c>
      <c r="L162" s="104">
        <v>1</v>
      </c>
      <c r="M162" s="89"/>
      <c r="N162" s="104"/>
      <c r="O162" s="104"/>
      <c r="P162" s="89"/>
      <c r="Q162" s="104"/>
      <c r="R162" s="104"/>
    </row>
    <row r="163" spans="1:18">
      <c r="A163" t="s">
        <v>866</v>
      </c>
      <c r="B163" t="s">
        <v>933</v>
      </c>
      <c r="C163" s="161" t="str">
        <f t="shared" si="6"/>
        <v>"J163":"parcelassessmentwithdats_drugsusageinformation_productname_1"</v>
      </c>
      <c r="D163" s="105" t="s">
        <v>1176</v>
      </c>
      <c r="E163" s="161" t="str">
        <f t="shared" si="7"/>
        <v>"K163":"parcelassessmentwithdats_drugsusageinformation_productname_1"</v>
      </c>
      <c r="F163" s="105" t="s">
        <v>1413</v>
      </c>
      <c r="G163" s="92" t="s">
        <v>666</v>
      </c>
      <c r="H163" s="92" t="s">
        <v>636</v>
      </c>
      <c r="I163" s="161" t="str">
        <f t="shared" si="8"/>
        <v>"L163":"parcelassessmentwithoutdats_drugsusageinformation_productname_1"</v>
      </c>
      <c r="J163" s="170" t="s">
        <v>1650</v>
      </c>
      <c r="K163" s="104">
        <v>1</v>
      </c>
      <c r="L163" s="104">
        <v>1</v>
      </c>
      <c r="M163" s="89"/>
      <c r="N163" s="145"/>
      <c r="O163" s="104"/>
      <c r="P163" s="89"/>
      <c r="Q163" s="145"/>
      <c r="R163" s="104"/>
    </row>
    <row r="164" spans="1:18">
      <c r="A164" t="s">
        <v>866</v>
      </c>
      <c r="B164" t="s">
        <v>931</v>
      </c>
      <c r="C164" s="161" t="str">
        <f t="shared" si="6"/>
        <v>"J164":"parcelassessmentwithdats_drugsusageinformation_quantity_1"</v>
      </c>
      <c r="D164" s="105" t="s">
        <v>1177</v>
      </c>
      <c r="E164" s="161" t="str">
        <f t="shared" si="7"/>
        <v>"K164":"parcelassessmentwithdats_drugsusageinformation_quantity_1"</v>
      </c>
      <c r="F164" s="105" t="s">
        <v>1414</v>
      </c>
      <c r="G164" s="92" t="s">
        <v>666</v>
      </c>
      <c r="H164" s="92" t="s">
        <v>630</v>
      </c>
      <c r="I164" s="161" t="str">
        <f t="shared" si="8"/>
        <v>"L164":"parcelassessmentwithoutdats_drugsusageinformation_quantity_1"</v>
      </c>
      <c r="J164" s="170" t="s">
        <v>1651</v>
      </c>
      <c r="K164" s="104">
        <v>1</v>
      </c>
      <c r="L164" s="104">
        <v>1</v>
      </c>
      <c r="M164" s="89"/>
      <c r="N164" s="104"/>
      <c r="O164" s="104"/>
      <c r="P164" s="89"/>
      <c r="Q164" s="104"/>
      <c r="R164" s="104"/>
    </row>
    <row r="165" spans="1:18">
      <c r="A165" t="s">
        <v>866</v>
      </c>
      <c r="B165" t="s">
        <v>934</v>
      </c>
      <c r="C165" s="161" t="str">
        <f t="shared" si="6"/>
        <v>"J165":"parcelassessmentwithdats_drugsusageinformation_productname_2"</v>
      </c>
      <c r="D165" s="105" t="s">
        <v>1178</v>
      </c>
      <c r="E165" s="161" t="str">
        <f t="shared" si="7"/>
        <v>"K165":"parcelassessmentwithdats_drugsusageinformation_productname_2"</v>
      </c>
      <c r="F165" s="105" t="s">
        <v>1415</v>
      </c>
      <c r="G165" s="92" t="s">
        <v>666</v>
      </c>
      <c r="H165" s="92" t="s">
        <v>636</v>
      </c>
      <c r="I165" s="161" t="str">
        <f t="shared" si="8"/>
        <v>"L165":"parcelassessmentwithoutdats_drugsusageinformation_productname_2"</v>
      </c>
      <c r="J165" s="170" t="s">
        <v>1652</v>
      </c>
      <c r="K165" s="104">
        <v>1</v>
      </c>
      <c r="L165" s="104">
        <v>1</v>
      </c>
      <c r="M165" s="89"/>
      <c r="N165" s="145"/>
      <c r="O165" s="104"/>
      <c r="P165" s="89"/>
      <c r="Q165" s="145"/>
      <c r="R165" s="104"/>
    </row>
    <row r="166" spans="1:18">
      <c r="A166" t="s">
        <v>866</v>
      </c>
      <c r="B166" t="s">
        <v>935</v>
      </c>
      <c r="C166" s="161" t="str">
        <f t="shared" si="6"/>
        <v>"J166":"parcelassessmentwithdats_drugsusageinformation_quantity_2"</v>
      </c>
      <c r="D166" s="105" t="s">
        <v>1179</v>
      </c>
      <c r="E166" s="161" t="str">
        <f t="shared" si="7"/>
        <v>"K166":"parcelassessmentwithdats_drugsusageinformation_quantity_2"</v>
      </c>
      <c r="F166" s="105" t="s">
        <v>1416</v>
      </c>
      <c r="G166" s="92" t="s">
        <v>666</v>
      </c>
      <c r="H166" s="92" t="s">
        <v>630</v>
      </c>
      <c r="I166" s="161" t="str">
        <f t="shared" si="8"/>
        <v>"L166":"parcelassessmentwithoutdats_drugsusageinformation_quantity_2"</v>
      </c>
      <c r="J166" s="170" t="s">
        <v>1653</v>
      </c>
      <c r="K166" s="104">
        <v>1</v>
      </c>
      <c r="L166" s="104">
        <v>1</v>
      </c>
      <c r="M166" s="89"/>
      <c r="N166" s="104"/>
      <c r="O166" s="104"/>
      <c r="P166" s="89"/>
      <c r="Q166" s="104"/>
      <c r="R166" s="104"/>
    </row>
    <row r="167" spans="1:18">
      <c r="A167" t="s">
        <v>866</v>
      </c>
      <c r="B167" t="s">
        <v>936</v>
      </c>
      <c r="C167" s="161" t="str">
        <f t="shared" si="6"/>
        <v>"J167":"parcelassessmentwithdats_drugsusageinformation_productname_3"</v>
      </c>
      <c r="D167" s="105" t="s">
        <v>1180</v>
      </c>
      <c r="E167" s="161" t="str">
        <f t="shared" si="7"/>
        <v>"K167":"parcelassessmentwithdats_drugsusageinformation_productname_3"</v>
      </c>
      <c r="F167" s="105" t="s">
        <v>1417</v>
      </c>
      <c r="G167" s="92" t="s">
        <v>666</v>
      </c>
      <c r="H167" s="92" t="s">
        <v>636</v>
      </c>
      <c r="I167" s="161" t="str">
        <f t="shared" si="8"/>
        <v>"L167":"parcelassessmentwithoutdats_drugsusageinformation_productname_3"</v>
      </c>
      <c r="J167" s="170" t="s">
        <v>1654</v>
      </c>
      <c r="K167" s="104">
        <v>1</v>
      </c>
      <c r="L167" s="104">
        <v>1</v>
      </c>
      <c r="M167" s="89"/>
      <c r="N167" s="145"/>
      <c r="O167" s="104"/>
      <c r="P167" s="89"/>
      <c r="Q167" s="145"/>
      <c r="R167" s="104"/>
    </row>
    <row r="168" spans="1:18">
      <c r="A168" t="s">
        <v>866</v>
      </c>
      <c r="B168" t="s">
        <v>937</v>
      </c>
      <c r="C168" s="161" t="str">
        <f t="shared" si="6"/>
        <v>"J168":"parcelassessmentwithdats_drugsusageinformation_quantity_3"</v>
      </c>
      <c r="D168" s="105" t="s">
        <v>1181</v>
      </c>
      <c r="E168" s="161" t="str">
        <f t="shared" si="7"/>
        <v>"K168":"parcelassessmentwithdats_drugsusageinformation_quantity_3"</v>
      </c>
      <c r="F168" s="105" t="s">
        <v>1418</v>
      </c>
      <c r="G168" s="92" t="s">
        <v>666</v>
      </c>
      <c r="H168" s="92" t="s">
        <v>630</v>
      </c>
      <c r="I168" s="161" t="str">
        <f t="shared" si="8"/>
        <v>"L168":"parcelassessmentwithoutdats_drugsusageinformation_quantity_3"</v>
      </c>
      <c r="J168" s="170" t="s">
        <v>1655</v>
      </c>
      <c r="K168" s="104">
        <v>1</v>
      </c>
      <c r="L168" s="104">
        <v>1</v>
      </c>
      <c r="M168" s="89"/>
      <c r="N168" s="104"/>
      <c r="O168" s="104"/>
      <c r="P168" s="89"/>
      <c r="Q168" s="104"/>
      <c r="R168" s="104"/>
    </row>
    <row r="169" spans="1:18">
      <c r="A169" t="s">
        <v>866</v>
      </c>
      <c r="B169" t="s">
        <v>938</v>
      </c>
      <c r="C169" s="161" t="str">
        <f t="shared" si="6"/>
        <v>"J169":"parcelassessmentwithdats_drugsusageinformation_productname_4"</v>
      </c>
      <c r="D169" s="105" t="s">
        <v>1182</v>
      </c>
      <c r="E169" s="161" t="str">
        <f t="shared" si="7"/>
        <v>"K169":"parcelassessmentwithdats_drugsusageinformation_productname_4"</v>
      </c>
      <c r="F169" s="105" t="s">
        <v>1419</v>
      </c>
      <c r="G169" s="92" t="s">
        <v>666</v>
      </c>
      <c r="H169" s="92" t="s">
        <v>636</v>
      </c>
      <c r="I169" s="161" t="str">
        <f t="shared" si="8"/>
        <v>"L169":"parcelassessmentwithoutdats_drugsusageinformation_productname_4"</v>
      </c>
      <c r="J169" s="170" t="s">
        <v>1656</v>
      </c>
      <c r="K169" s="104">
        <v>1</v>
      </c>
      <c r="L169" s="104">
        <v>1</v>
      </c>
      <c r="M169" s="89"/>
      <c r="N169" s="145"/>
      <c r="O169" s="104"/>
      <c r="P169" s="89"/>
      <c r="Q169" s="145"/>
      <c r="R169" s="104"/>
    </row>
    <row r="170" spans="1:18">
      <c r="A170" t="s">
        <v>866</v>
      </c>
      <c r="B170" t="s">
        <v>939</v>
      </c>
      <c r="C170" s="161" t="str">
        <f t="shared" si="6"/>
        <v>"J170":"parcelassessmentwithdats_drugsusageinformation_quantity_4"</v>
      </c>
      <c r="D170" s="105" t="s">
        <v>1183</v>
      </c>
      <c r="E170" s="161" t="str">
        <f t="shared" si="7"/>
        <v>"K170":"parcelassessmentwithdats_drugsusageinformation_quantity_4"</v>
      </c>
      <c r="F170" s="105" t="s">
        <v>1420</v>
      </c>
      <c r="G170" s="92" t="s">
        <v>666</v>
      </c>
      <c r="H170" s="92" t="s">
        <v>630</v>
      </c>
      <c r="I170" s="161" t="str">
        <f t="shared" si="8"/>
        <v>"L170":"parcelassessmentwithoutdats_drugsusageinformation_quantity_4"</v>
      </c>
      <c r="J170" s="170" t="s">
        <v>1657</v>
      </c>
      <c r="K170" s="104">
        <v>1</v>
      </c>
      <c r="L170" s="104">
        <v>1</v>
      </c>
      <c r="M170" s="89"/>
      <c r="N170" s="104"/>
      <c r="O170" s="104"/>
      <c r="P170" s="89"/>
      <c r="Q170" s="104"/>
      <c r="R170" s="104"/>
    </row>
    <row r="171" spans="1:18">
      <c r="A171" t="s">
        <v>866</v>
      </c>
      <c r="B171" t="s">
        <v>940</v>
      </c>
      <c r="C171" s="161" t="str">
        <f t="shared" si="6"/>
        <v>"J171":"parcelassessmentwithdats_drugsusageinformation_productname_5"</v>
      </c>
      <c r="D171" s="105" t="s">
        <v>1184</v>
      </c>
      <c r="E171" s="161" t="str">
        <f t="shared" si="7"/>
        <v>"K171":"parcelassessmentwithdats_drugsusageinformation_productname_5"</v>
      </c>
      <c r="F171" s="105" t="s">
        <v>1421</v>
      </c>
      <c r="G171" s="92" t="s">
        <v>666</v>
      </c>
      <c r="H171" s="92" t="s">
        <v>636</v>
      </c>
      <c r="I171" s="161" t="str">
        <f t="shared" si="8"/>
        <v>"L171":"parcelassessmentwithoutdats_drugsusageinformation_productname_5"</v>
      </c>
      <c r="J171" s="170" t="s">
        <v>1658</v>
      </c>
      <c r="K171" s="104">
        <v>1</v>
      </c>
      <c r="L171" s="104">
        <v>1</v>
      </c>
      <c r="M171" s="89"/>
      <c r="N171" s="145"/>
      <c r="O171" s="104"/>
      <c r="P171" s="89"/>
      <c r="Q171" s="145"/>
      <c r="R171" s="104"/>
    </row>
    <row r="172" spans="1:18">
      <c r="A172" t="s">
        <v>866</v>
      </c>
      <c r="B172" t="s">
        <v>941</v>
      </c>
      <c r="C172" s="161" t="str">
        <f t="shared" si="6"/>
        <v>"J172":"parcelassessmentwithdats_drugsusageinformation_quantity_5"</v>
      </c>
      <c r="D172" s="105" t="s">
        <v>1185</v>
      </c>
      <c r="E172" s="161" t="str">
        <f t="shared" si="7"/>
        <v>"K172":"parcelassessmentwithdats_drugsusageinformation_quantity_5"</v>
      </c>
      <c r="F172" s="105" t="s">
        <v>1422</v>
      </c>
      <c r="G172" s="92" t="s">
        <v>666</v>
      </c>
      <c r="H172" s="92" t="s">
        <v>630</v>
      </c>
      <c r="I172" s="161" t="str">
        <f t="shared" si="8"/>
        <v>"L172":"parcelassessmentwithoutdats_drugsusageinformation_quantity_5"</v>
      </c>
      <c r="J172" s="170" t="s">
        <v>1659</v>
      </c>
      <c r="K172" s="104">
        <v>1</v>
      </c>
      <c r="L172" s="104">
        <v>1</v>
      </c>
      <c r="M172" s="89"/>
      <c r="N172" s="104"/>
      <c r="O172" s="104"/>
      <c r="P172" s="89"/>
      <c r="Q172" s="104"/>
      <c r="R172" s="104"/>
    </row>
    <row r="173" spans="1:18">
      <c r="A173" t="s">
        <v>866</v>
      </c>
      <c r="B173" t="s">
        <v>942</v>
      </c>
      <c r="C173" s="161" t="str">
        <f t="shared" si="6"/>
        <v>"J173":"parcelassessmentwithdats_drugsusageinformation_productname_6"</v>
      </c>
      <c r="D173" s="105" t="s">
        <v>1186</v>
      </c>
      <c r="E173" s="161" t="str">
        <f t="shared" si="7"/>
        <v>"K173":"parcelassessmentwithdats_drugsusageinformation_productname_6"</v>
      </c>
      <c r="F173" s="105" t="s">
        <v>1423</v>
      </c>
      <c r="G173" s="92" t="s">
        <v>666</v>
      </c>
      <c r="H173" s="92" t="s">
        <v>636</v>
      </c>
      <c r="I173" s="161" t="str">
        <f t="shared" si="8"/>
        <v>"L173":"parcelassessmentwithoutdats_drugsusageinformation_productname_6"</v>
      </c>
      <c r="J173" s="170" t="s">
        <v>1660</v>
      </c>
      <c r="K173" s="104">
        <v>1</v>
      </c>
      <c r="L173" s="104">
        <v>1</v>
      </c>
      <c r="M173" s="89"/>
      <c r="N173" s="145"/>
      <c r="O173" s="104"/>
      <c r="P173" s="89"/>
      <c r="Q173" s="145"/>
      <c r="R173" s="104"/>
    </row>
    <row r="174" spans="1:18">
      <c r="A174" t="s">
        <v>866</v>
      </c>
      <c r="B174" t="s">
        <v>943</v>
      </c>
      <c r="C174" s="161" t="str">
        <f t="shared" si="6"/>
        <v>"J174":"parcelassessmentwithdats_drugsusageinformation_quantity_6"</v>
      </c>
      <c r="D174" s="105" t="s">
        <v>1187</v>
      </c>
      <c r="E174" s="161" t="str">
        <f t="shared" si="7"/>
        <v>"K174":"parcelassessmentwithdats_drugsusageinformation_quantity_6"</v>
      </c>
      <c r="F174" s="105" t="s">
        <v>1424</v>
      </c>
      <c r="G174" s="92" t="s">
        <v>666</v>
      </c>
      <c r="H174" s="92" t="s">
        <v>630</v>
      </c>
      <c r="I174" s="161" t="str">
        <f t="shared" si="8"/>
        <v>"L174":"parcelassessmentwithoutdats_drugsusageinformation_quantity_6"</v>
      </c>
      <c r="J174" s="170" t="s">
        <v>1661</v>
      </c>
      <c r="K174" s="104">
        <v>1</v>
      </c>
      <c r="L174" s="104">
        <v>1</v>
      </c>
      <c r="M174" s="89"/>
      <c r="N174" s="104"/>
      <c r="O174" s="104"/>
      <c r="P174" s="89"/>
      <c r="Q174" s="104"/>
      <c r="R174" s="104"/>
    </row>
    <row r="175" spans="1:18">
      <c r="A175" t="s">
        <v>866</v>
      </c>
      <c r="B175" t="s">
        <v>944</v>
      </c>
      <c r="C175" s="161" t="str">
        <f t="shared" si="6"/>
        <v>"J175":"parcelassessmentwithdats_drugsusageinformation_productname_7"</v>
      </c>
      <c r="D175" s="105" t="s">
        <v>1188</v>
      </c>
      <c r="E175" s="161" t="str">
        <f t="shared" si="7"/>
        <v>"K175":"parcelassessmentwithdats_drugsusageinformation_productname_7"</v>
      </c>
      <c r="F175" s="105" t="s">
        <v>1425</v>
      </c>
      <c r="G175" s="92" t="s">
        <v>666</v>
      </c>
      <c r="H175" s="92" t="s">
        <v>636</v>
      </c>
      <c r="I175" s="161" t="str">
        <f t="shared" si="8"/>
        <v>"L175":"parcelassessmentwithoutdats_drugsusageinformation_productname_7"</v>
      </c>
      <c r="J175" s="170" t="s">
        <v>1662</v>
      </c>
      <c r="K175" s="104">
        <v>1</v>
      </c>
      <c r="L175" s="104">
        <v>1</v>
      </c>
      <c r="M175" s="89"/>
      <c r="N175" s="145"/>
      <c r="O175" s="104"/>
      <c r="P175" s="89"/>
      <c r="Q175" s="145"/>
      <c r="R175" s="104"/>
    </row>
    <row r="176" spans="1:18">
      <c r="A176" t="s">
        <v>866</v>
      </c>
      <c r="B176" t="s">
        <v>945</v>
      </c>
      <c r="C176" s="161" t="str">
        <f t="shared" si="6"/>
        <v>"J176":"parcelassessmentwithdats_drugsusageinformation_quantity_7"</v>
      </c>
      <c r="D176" s="105" t="s">
        <v>1189</v>
      </c>
      <c r="E176" s="161" t="str">
        <f t="shared" si="7"/>
        <v>"K176":"parcelassessmentwithdats_drugsusageinformation_quantity_7"</v>
      </c>
      <c r="F176" s="105" t="s">
        <v>1426</v>
      </c>
      <c r="G176" s="92" t="s">
        <v>666</v>
      </c>
      <c r="H176" s="92" t="s">
        <v>630</v>
      </c>
      <c r="I176" s="161" t="str">
        <f t="shared" si="8"/>
        <v>"L176":"parcelassessmentwithoutdats_drugsusageinformation_quantity_7"</v>
      </c>
      <c r="J176" s="170" t="s">
        <v>1663</v>
      </c>
      <c r="K176" s="104">
        <v>1</v>
      </c>
      <c r="L176" s="104">
        <v>1</v>
      </c>
      <c r="M176" s="89"/>
      <c r="N176" s="104"/>
      <c r="O176" s="104"/>
      <c r="P176" s="89"/>
      <c r="Q176" s="104"/>
      <c r="R176" s="104"/>
    </row>
    <row r="177" spans="1:18">
      <c r="A177" t="s">
        <v>866</v>
      </c>
      <c r="B177" t="s">
        <v>946</v>
      </c>
      <c r="C177" s="161" t="str">
        <f t="shared" si="6"/>
        <v>"J177":"parcelassessmentwithdats_drugsusageinformation_productname_8"</v>
      </c>
      <c r="D177" s="105" t="s">
        <v>1190</v>
      </c>
      <c r="E177" s="161" t="str">
        <f t="shared" si="7"/>
        <v>"K177":"parcelassessmentwithdats_drugsusageinformation_productname_8"</v>
      </c>
      <c r="F177" s="105" t="s">
        <v>1427</v>
      </c>
      <c r="G177" s="92" t="s">
        <v>666</v>
      </c>
      <c r="H177" s="92" t="s">
        <v>636</v>
      </c>
      <c r="I177" s="161" t="str">
        <f t="shared" si="8"/>
        <v>"L177":"parcelassessmentwithoutdats_drugsusageinformation_productname_8"</v>
      </c>
      <c r="J177" s="170" t="s">
        <v>1664</v>
      </c>
      <c r="K177" s="104">
        <v>1</v>
      </c>
      <c r="L177" s="104">
        <v>1</v>
      </c>
      <c r="M177" s="89"/>
      <c r="N177" s="145"/>
      <c r="O177" s="104"/>
      <c r="P177" s="89"/>
      <c r="Q177" s="145"/>
      <c r="R177" s="104"/>
    </row>
    <row r="178" spans="1:18">
      <c r="A178" t="s">
        <v>866</v>
      </c>
      <c r="B178" t="s">
        <v>947</v>
      </c>
      <c r="C178" s="161" t="str">
        <f t="shared" si="6"/>
        <v>"J178":"parcelassessmentwithdats_drugsusageinformation_quantity_8"</v>
      </c>
      <c r="D178" s="105" t="s">
        <v>1191</v>
      </c>
      <c r="E178" s="161" t="str">
        <f t="shared" si="7"/>
        <v>"K178":"parcelassessmentwithdats_drugsusageinformation_quantity_8"</v>
      </c>
      <c r="F178" s="105" t="s">
        <v>1428</v>
      </c>
      <c r="G178" s="92" t="s">
        <v>666</v>
      </c>
      <c r="H178" s="92" t="s">
        <v>630</v>
      </c>
      <c r="I178" s="161" t="str">
        <f t="shared" si="8"/>
        <v>"L178":"parcelassessmentwithoutdats_drugsusageinformation_quantity_8"</v>
      </c>
      <c r="J178" s="170" t="s">
        <v>1665</v>
      </c>
      <c r="K178" s="104">
        <v>1</v>
      </c>
      <c r="L178" s="104">
        <v>1</v>
      </c>
      <c r="M178" s="89"/>
      <c r="N178" s="104"/>
      <c r="O178" s="104"/>
      <c r="P178" s="89"/>
      <c r="Q178" s="104"/>
      <c r="R178" s="104"/>
    </row>
    <row r="179" spans="1:18">
      <c r="A179" t="s">
        <v>866</v>
      </c>
      <c r="B179" t="s">
        <v>948</v>
      </c>
      <c r="C179" s="161" t="str">
        <f t="shared" si="6"/>
        <v>"J179":"parcelassessmentwithdats_drugsusageinformation_productname_9"</v>
      </c>
      <c r="D179" s="105" t="s">
        <v>1192</v>
      </c>
      <c r="E179" s="161" t="str">
        <f t="shared" si="7"/>
        <v>"K179":"parcelassessmentwithdats_drugsusageinformation_productname_9"</v>
      </c>
      <c r="F179" s="105" t="s">
        <v>1429</v>
      </c>
      <c r="G179" s="92" t="s">
        <v>666</v>
      </c>
      <c r="H179" s="92" t="s">
        <v>636</v>
      </c>
      <c r="I179" s="161" t="str">
        <f t="shared" si="8"/>
        <v>"L179":"parcelassessmentwithoutdats_drugsusageinformation_productname_9"</v>
      </c>
      <c r="J179" s="170" t="s">
        <v>1666</v>
      </c>
      <c r="K179" s="104">
        <v>1</v>
      </c>
      <c r="L179" s="104">
        <v>1</v>
      </c>
      <c r="M179" s="89"/>
      <c r="N179" s="145"/>
      <c r="O179" s="104"/>
      <c r="P179" s="89"/>
      <c r="Q179" s="145"/>
      <c r="R179" s="104"/>
    </row>
    <row r="180" spans="1:18">
      <c r="A180" t="s">
        <v>866</v>
      </c>
      <c r="B180" t="s">
        <v>949</v>
      </c>
      <c r="C180" s="161" t="str">
        <f t="shared" si="6"/>
        <v>"J180":"parcelassessmentwithdats_drugsusageinformation_quantity_9"</v>
      </c>
      <c r="D180" s="105" t="s">
        <v>1193</v>
      </c>
      <c r="E180" s="161" t="str">
        <f t="shared" si="7"/>
        <v>"K180":"parcelassessmentwithdats_drugsusageinformation_quantity_9"</v>
      </c>
      <c r="F180" s="105" t="s">
        <v>1430</v>
      </c>
      <c r="G180" s="92" t="s">
        <v>666</v>
      </c>
      <c r="H180" s="92" t="s">
        <v>630</v>
      </c>
      <c r="I180" s="161" t="str">
        <f t="shared" si="8"/>
        <v>"L180":"parcelassessmentwithoutdats_drugsusageinformation_quantity_9"</v>
      </c>
      <c r="J180" s="170" t="s">
        <v>1667</v>
      </c>
      <c r="K180" s="104">
        <v>1</v>
      </c>
      <c r="L180" s="104">
        <v>1</v>
      </c>
      <c r="M180" s="89"/>
      <c r="N180" s="104"/>
      <c r="O180" s="104"/>
      <c r="P180" s="89"/>
      <c r="Q180" s="104"/>
      <c r="R180" s="104"/>
    </row>
    <row r="181" spans="1:18">
      <c r="C181" s="161" t="str">
        <f t="shared" si="6"/>
        <v>"J181":"parcelassessmentwithdats__"</v>
      </c>
      <c r="D181" s="105" t="s">
        <v>1194</v>
      </c>
      <c r="E181" s="161" t="str">
        <f t="shared" si="7"/>
        <v>"K181":"parcelassessmentwithdats__"</v>
      </c>
      <c r="F181" s="105" t="s">
        <v>1431</v>
      </c>
      <c r="I181" s="161" t="str">
        <f t="shared" si="8"/>
        <v>"L181":"parcelassessmentwithoutdats__"</v>
      </c>
      <c r="J181" s="170" t="s">
        <v>1668</v>
      </c>
      <c r="K181" s="89"/>
      <c r="L181" s="89"/>
      <c r="M181" s="89"/>
      <c r="N181" s="89"/>
      <c r="O181" s="89"/>
      <c r="P181" s="89"/>
      <c r="Q181" s="89"/>
      <c r="R181" s="89"/>
    </row>
    <row r="182" spans="1:18">
      <c r="C182" s="161" t="str">
        <f t="shared" si="6"/>
        <v>"J182":"parcelassessmentwithdats__"</v>
      </c>
      <c r="D182" s="105" t="s">
        <v>1195</v>
      </c>
      <c r="E182" s="161" t="str">
        <f t="shared" si="7"/>
        <v>"K182":"parcelassessmentwithdats__"</v>
      </c>
      <c r="F182" s="105" t="s">
        <v>1432</v>
      </c>
      <c r="G182" s="136"/>
      <c r="H182" s="137"/>
      <c r="I182" s="161" t="str">
        <f t="shared" si="8"/>
        <v>"L182":"parcelassessmentwithoutdats__"</v>
      </c>
      <c r="J182" s="170" t="s">
        <v>1669</v>
      </c>
      <c r="K182" s="168" t="s">
        <v>116</v>
      </c>
      <c r="L182" s="168" t="s">
        <v>116</v>
      </c>
      <c r="M182" s="143"/>
      <c r="N182" s="188" t="s">
        <v>117</v>
      </c>
      <c r="O182" s="189"/>
      <c r="P182" s="89"/>
      <c r="Q182" s="190" t="s">
        <v>118</v>
      </c>
      <c r="R182" s="191"/>
    </row>
    <row r="183" spans="1:18">
      <c r="C183" s="161" t="str">
        <f t="shared" si="6"/>
        <v>"J183":"parcelassessmentwithdats__"</v>
      </c>
      <c r="D183" s="105" t="s">
        <v>1196</v>
      </c>
      <c r="E183" s="161" t="str">
        <f t="shared" si="7"/>
        <v>"K183":"parcelassessmentwithdats__"</v>
      </c>
      <c r="F183" s="105" t="s">
        <v>1433</v>
      </c>
      <c r="G183" s="138" t="s">
        <v>119</v>
      </c>
      <c r="H183" s="138" t="s">
        <v>107</v>
      </c>
      <c r="I183" s="161" t="str">
        <f t="shared" si="8"/>
        <v>"L183":"parcelassessmentwithoutdats__"</v>
      </c>
      <c r="J183" s="170" t="s">
        <v>1670</v>
      </c>
      <c r="K183" s="90" t="s">
        <v>551</v>
      </c>
      <c r="L183" s="90" t="s">
        <v>553</v>
      </c>
      <c r="M183" s="143"/>
      <c r="N183" s="90" t="s">
        <v>551</v>
      </c>
      <c r="O183" s="90" t="s">
        <v>109</v>
      </c>
      <c r="P183" s="143"/>
      <c r="Q183" s="90" t="s">
        <v>551</v>
      </c>
      <c r="R183" s="90" t="s">
        <v>109</v>
      </c>
    </row>
    <row r="184" spans="1:18">
      <c r="A184" t="s">
        <v>868</v>
      </c>
      <c r="B184" s="166" t="s">
        <v>744</v>
      </c>
      <c r="C184" s="161" t="str">
        <f t="shared" si="6"/>
        <v>"J184":"parcelassessmentwithdats_labourinformation_labourforirrigation"</v>
      </c>
      <c r="D184" s="105" t="s">
        <v>1197</v>
      </c>
      <c r="E184" s="161" t="str">
        <f t="shared" si="7"/>
        <v>"K184":"parcelassessmentwithdats_labourinformation_labourforirrigation"</v>
      </c>
      <c r="F184" s="105" t="s">
        <v>1434</v>
      </c>
      <c r="G184" s="105" t="s">
        <v>1</v>
      </c>
      <c r="H184" s="92" t="s">
        <v>542</v>
      </c>
      <c r="I184" s="161" t="str">
        <f t="shared" si="8"/>
        <v>"L184":"parcelassessmentwithoutdats_labourinformation_labourforirrigation"</v>
      </c>
      <c r="J184" s="170" t="s">
        <v>1671</v>
      </c>
      <c r="K184" s="104">
        <v>1</v>
      </c>
      <c r="L184" s="104">
        <v>1</v>
      </c>
      <c r="M184" s="89"/>
      <c r="N184" s="104"/>
      <c r="O184" s="104"/>
      <c r="P184" s="89"/>
      <c r="Q184" s="104"/>
      <c r="R184" s="104"/>
    </row>
    <row r="185" spans="1:18">
      <c r="A185" t="s">
        <v>868</v>
      </c>
      <c r="B185" s="166" t="s">
        <v>745</v>
      </c>
      <c r="C185" s="161" t="str">
        <f t="shared" si="6"/>
        <v>"J185":"parcelassessmentwithdats_labourinformation_labourforpesticides"</v>
      </c>
      <c r="D185" s="105" t="s">
        <v>1198</v>
      </c>
      <c r="E185" s="161" t="str">
        <f t="shared" si="7"/>
        <v>"K185":"parcelassessmentwithdats_labourinformation_labourforpesticides"</v>
      </c>
      <c r="F185" s="105" t="s">
        <v>1435</v>
      </c>
      <c r="G185" s="105" t="s">
        <v>16</v>
      </c>
      <c r="H185" s="92" t="s">
        <v>542</v>
      </c>
      <c r="I185" s="161" t="str">
        <f t="shared" si="8"/>
        <v>"L185":"parcelassessmentwithoutdats_labourinformation_labourforpesticides"</v>
      </c>
      <c r="J185" s="170" t="s">
        <v>1672</v>
      </c>
      <c r="K185" s="104">
        <v>1</v>
      </c>
      <c r="L185" s="104">
        <v>1</v>
      </c>
      <c r="M185" s="89"/>
      <c r="N185" s="104"/>
      <c r="O185" s="104"/>
      <c r="P185" s="89"/>
      <c r="Q185" s="104"/>
      <c r="R185" s="104"/>
    </row>
    <row r="186" spans="1:18">
      <c r="A186" t="s">
        <v>868</v>
      </c>
      <c r="B186" s="166" t="s">
        <v>746</v>
      </c>
      <c r="C186" s="161" t="str">
        <f t="shared" si="6"/>
        <v>"J186":"parcelassessmentwithdats_labourinformation_labourforfertilisation"</v>
      </c>
      <c r="D186" s="105" t="s">
        <v>1199</v>
      </c>
      <c r="E186" s="161" t="str">
        <f t="shared" si="7"/>
        <v>"K186":"parcelassessmentwithdats_labourinformation_labourforfertilisation"</v>
      </c>
      <c r="F186" s="105" t="s">
        <v>1436</v>
      </c>
      <c r="G186" s="105" t="s">
        <v>4</v>
      </c>
      <c r="H186" s="92" t="s">
        <v>542</v>
      </c>
      <c r="I186" s="161" t="str">
        <f t="shared" si="8"/>
        <v>"L186":"parcelassessmentwithoutdats_labourinformation_labourforfertilisation"</v>
      </c>
      <c r="J186" s="170" t="s">
        <v>1673</v>
      </c>
      <c r="K186" s="104">
        <v>1</v>
      </c>
      <c r="L186" s="104">
        <v>1</v>
      </c>
      <c r="M186" s="89"/>
      <c r="N186" s="104"/>
      <c r="O186" s="104"/>
      <c r="P186" s="89"/>
      <c r="Q186" s="104"/>
      <c r="R186" s="104"/>
    </row>
    <row r="187" spans="1:18">
      <c r="A187" t="s">
        <v>868</v>
      </c>
      <c r="B187" s="166" t="s">
        <v>747</v>
      </c>
      <c r="C187" s="161" t="str">
        <f t="shared" si="6"/>
        <v>"J187":"parcelassessmentwithdats_labourinformation_labourforsowingorplanting"</v>
      </c>
      <c r="D187" s="105" t="s">
        <v>1200</v>
      </c>
      <c r="E187" s="161" t="str">
        <f t="shared" si="7"/>
        <v>"K187":"parcelassessmentwithdats_labourinformation_labourforsowingorplanting"</v>
      </c>
      <c r="F187" s="105" t="s">
        <v>1437</v>
      </c>
      <c r="G187" s="105" t="s">
        <v>137</v>
      </c>
      <c r="H187" s="92" t="s">
        <v>542</v>
      </c>
      <c r="I187" s="161" t="str">
        <f t="shared" si="8"/>
        <v>"L187":"parcelassessmentwithoutdats_labourinformation_labourforsowingorplanting"</v>
      </c>
      <c r="J187" s="170" t="s">
        <v>1674</v>
      </c>
      <c r="K187" s="104">
        <v>1</v>
      </c>
      <c r="L187" s="104">
        <v>1</v>
      </c>
      <c r="M187" s="89"/>
      <c r="N187" s="104"/>
      <c r="O187" s="104"/>
      <c r="P187" s="89"/>
      <c r="Q187" s="104"/>
      <c r="R187" s="104"/>
    </row>
    <row r="188" spans="1:18">
      <c r="A188" t="s">
        <v>868</v>
      </c>
      <c r="B188" s="166" t="s">
        <v>748</v>
      </c>
      <c r="C188" s="161" t="str">
        <f t="shared" si="6"/>
        <v>"J188":"parcelassessmentwithdats_labourinformation_labourforpruning"</v>
      </c>
      <c r="D188" s="105" t="s">
        <v>1201</v>
      </c>
      <c r="E188" s="161" t="str">
        <f t="shared" si="7"/>
        <v>"K188":"parcelassessmentwithdats_labourinformation_labourforpruning"</v>
      </c>
      <c r="F188" s="105" t="s">
        <v>1438</v>
      </c>
      <c r="G188" s="105" t="s">
        <v>34</v>
      </c>
      <c r="H188" s="92" t="s">
        <v>542</v>
      </c>
      <c r="I188" s="161" t="str">
        <f t="shared" si="8"/>
        <v>"L188":"parcelassessmentwithoutdats_labourinformation_labourforpruning"</v>
      </c>
      <c r="J188" s="170" t="s">
        <v>1675</v>
      </c>
      <c r="K188" s="104">
        <v>1</v>
      </c>
      <c r="L188" s="104">
        <v>1</v>
      </c>
      <c r="M188" s="89"/>
      <c r="N188" s="104"/>
      <c r="O188" s="104"/>
      <c r="P188" s="89"/>
      <c r="Q188" s="104"/>
      <c r="R188" s="104"/>
    </row>
    <row r="189" spans="1:18">
      <c r="A189" t="s">
        <v>868</v>
      </c>
      <c r="B189" s="166" t="s">
        <v>749</v>
      </c>
      <c r="C189" s="161" t="str">
        <f t="shared" si="6"/>
        <v>"J189":"parcelassessmentwithdats_labourinformation_labourforfieldvisits"</v>
      </c>
      <c r="D189" s="105" t="s">
        <v>1202</v>
      </c>
      <c r="E189" s="161" t="str">
        <f t="shared" si="7"/>
        <v>"K189":"parcelassessmentwithdats_labourinformation_labourforfieldvisits"</v>
      </c>
      <c r="F189" s="105" t="s">
        <v>1439</v>
      </c>
      <c r="G189" s="105" t="s">
        <v>47</v>
      </c>
      <c r="H189" s="92" t="s">
        <v>542</v>
      </c>
      <c r="I189" s="161" t="str">
        <f t="shared" si="8"/>
        <v>"L189":"parcelassessmentwithoutdats_labourinformation_labourforfieldvisits"</v>
      </c>
      <c r="J189" s="170" t="s">
        <v>1676</v>
      </c>
      <c r="K189" s="104">
        <v>1</v>
      </c>
      <c r="L189" s="104">
        <v>1</v>
      </c>
      <c r="M189" s="89"/>
      <c r="N189" s="104"/>
      <c r="O189" s="104"/>
      <c r="P189" s="89"/>
      <c r="Q189" s="104"/>
      <c r="R189" s="104"/>
    </row>
    <row r="190" spans="1:18">
      <c r="A190" t="s">
        <v>868</v>
      </c>
      <c r="B190" s="166" t="s">
        <v>750</v>
      </c>
      <c r="C190" s="161" t="str">
        <f t="shared" si="6"/>
        <v>"J190":"parcelassessmentwithdats_labourinformation_labourforgreenhousemanagement"</v>
      </c>
      <c r="D190" s="105" t="s">
        <v>1203</v>
      </c>
      <c r="E190" s="161" t="str">
        <f t="shared" si="7"/>
        <v>"K190":"parcelassessmentwithdats_labourinformation_labourforgreenhousemanagement"</v>
      </c>
      <c r="F190" s="105" t="s">
        <v>1440</v>
      </c>
      <c r="G190" s="105" t="s">
        <v>312</v>
      </c>
      <c r="H190" s="92" t="s">
        <v>542</v>
      </c>
      <c r="I190" s="161" t="str">
        <f t="shared" si="8"/>
        <v>"L190":"parcelassessmentwithoutdats_labourinformation_labourforgreenhousemanagement"</v>
      </c>
      <c r="J190" s="170" t="s">
        <v>1677</v>
      </c>
      <c r="K190" s="104">
        <v>1</v>
      </c>
      <c r="L190" s="104">
        <v>1</v>
      </c>
      <c r="M190" s="89"/>
      <c r="N190" s="104"/>
      <c r="O190" s="104"/>
      <c r="P190" s="89"/>
      <c r="Q190" s="104"/>
      <c r="R190" s="104"/>
    </row>
    <row r="191" spans="1:18">
      <c r="A191" t="s">
        <v>868</v>
      </c>
      <c r="B191" s="166" t="s">
        <v>751</v>
      </c>
      <c r="C191" s="161" t="str">
        <f t="shared" si="6"/>
        <v>"J191":"parcelassessmentwithdats_labourinformation_labourforquantitytracking"</v>
      </c>
      <c r="D191" s="105" t="s">
        <v>1204</v>
      </c>
      <c r="E191" s="161" t="str">
        <f t="shared" si="7"/>
        <v>"K191":"parcelassessmentwithdats_labourinformation_labourforquantitytracking"</v>
      </c>
      <c r="F191" s="105" t="s">
        <v>1441</v>
      </c>
      <c r="G191" s="105" t="s">
        <v>31</v>
      </c>
      <c r="H191" s="92" t="s">
        <v>542</v>
      </c>
      <c r="I191" s="161" t="str">
        <f t="shared" si="8"/>
        <v>"L191":"parcelassessmentwithoutdats_labourinformation_labourforquantitytracking"</v>
      </c>
      <c r="J191" s="170" t="s">
        <v>1678</v>
      </c>
      <c r="K191" s="104">
        <v>1</v>
      </c>
      <c r="L191" s="104">
        <v>1</v>
      </c>
      <c r="M191" s="89"/>
      <c r="N191" s="104"/>
      <c r="O191" s="104"/>
      <c r="P191" s="89"/>
      <c r="Q191" s="104"/>
      <c r="R191" s="104"/>
    </row>
    <row r="192" spans="1:18">
      <c r="A192" t="s">
        <v>868</v>
      </c>
      <c r="B192" s="166" t="s">
        <v>752</v>
      </c>
      <c r="C192" s="161" t="str">
        <f t="shared" si="6"/>
        <v>"J192":"parcelassessmentwithdats_labourinformation_labourforgrainqualityassessment"</v>
      </c>
      <c r="D192" s="105" t="s">
        <v>1205</v>
      </c>
      <c r="E192" s="161" t="str">
        <f t="shared" si="7"/>
        <v>"K192":"parcelassessmentwithdats_labourinformation_labourforgrainqualityassessment"</v>
      </c>
      <c r="F192" s="105" t="s">
        <v>1442</v>
      </c>
      <c r="G192" s="105" t="s">
        <v>584</v>
      </c>
      <c r="H192" s="92" t="s">
        <v>542</v>
      </c>
      <c r="I192" s="161" t="str">
        <f t="shared" si="8"/>
        <v>"L192":"parcelassessmentwithoutdats_labourinformation_labourforgrainqualityassessment"</v>
      </c>
      <c r="J192" s="170" t="s">
        <v>1679</v>
      </c>
      <c r="K192" s="104">
        <v>1</v>
      </c>
      <c r="L192" s="104">
        <v>1</v>
      </c>
      <c r="M192" s="89"/>
      <c r="N192" s="104"/>
      <c r="O192" s="104"/>
      <c r="P192" s="89"/>
      <c r="Q192" s="104"/>
      <c r="R192" s="104"/>
    </row>
    <row r="193" spans="1:18">
      <c r="A193" t="s">
        <v>868</v>
      </c>
      <c r="B193" s="166" t="s">
        <v>753</v>
      </c>
      <c r="C193" s="161" t="str">
        <f t="shared" si="6"/>
        <v>"J193":"parcelassessmentwithdats_labourinformation_labourforcontrollingpricesandquantities"</v>
      </c>
      <c r="D193" s="105" t="s">
        <v>1206</v>
      </c>
      <c r="E193" s="161" t="str">
        <f t="shared" si="7"/>
        <v>"K193":"parcelassessmentwithdats_labourinformation_labourforcontrollingpricesandquantities"</v>
      </c>
      <c r="F193" s="105" t="s">
        <v>1443</v>
      </c>
      <c r="G193" s="105" t="s">
        <v>32</v>
      </c>
      <c r="H193" s="92" t="s">
        <v>542</v>
      </c>
      <c r="I193" s="161" t="str">
        <f t="shared" si="8"/>
        <v>"L193":"parcelassessmentwithoutdats_labourinformation_labourforcontrollingpricesandquantities"</v>
      </c>
      <c r="J193" s="170" t="s">
        <v>1680</v>
      </c>
      <c r="K193" s="104">
        <v>1</v>
      </c>
      <c r="L193" s="104">
        <v>1</v>
      </c>
      <c r="M193" s="89"/>
      <c r="N193" s="104"/>
      <c r="O193" s="104"/>
      <c r="P193" s="89"/>
      <c r="Q193" s="104"/>
      <c r="R193" s="104"/>
    </row>
    <row r="194" spans="1:18">
      <c r="A194" t="s">
        <v>868</v>
      </c>
      <c r="B194" s="166" t="s">
        <v>754</v>
      </c>
      <c r="C194" s="161" t="str">
        <f t="shared" si="6"/>
        <v>"J194":"parcelassessmentwithdats_labourinformation_labourfororganisinglogistics"</v>
      </c>
      <c r="D194" s="105" t="s">
        <v>1207</v>
      </c>
      <c r="E194" s="161" t="str">
        <f t="shared" si="7"/>
        <v>"K194":"parcelassessmentwithdats_labourinformation_labourfororganisinglogistics"</v>
      </c>
      <c r="F194" s="105" t="s">
        <v>1444</v>
      </c>
      <c r="G194" s="105" t="s">
        <v>33</v>
      </c>
      <c r="H194" s="92" t="s">
        <v>542</v>
      </c>
      <c r="I194" s="161" t="str">
        <f t="shared" si="8"/>
        <v>"L194":"parcelassessmentwithoutdats_labourinformation_labourfororganisinglogistics"</v>
      </c>
      <c r="J194" s="170" t="s">
        <v>1681</v>
      </c>
      <c r="K194" s="104">
        <v>1</v>
      </c>
      <c r="L194" s="104">
        <v>1</v>
      </c>
      <c r="M194" s="89"/>
      <c r="N194" s="104"/>
      <c r="O194" s="104"/>
      <c r="P194" s="89"/>
      <c r="Q194" s="104"/>
      <c r="R194" s="104"/>
    </row>
    <row r="195" spans="1:18">
      <c r="A195" t="s">
        <v>868</v>
      </c>
      <c r="B195" s="166" t="s">
        <v>755</v>
      </c>
      <c r="C195" s="161" t="str">
        <f t="shared" si="6"/>
        <v>"J195":"parcelassessmentwithdats_labourinformation_labourforcleaning"</v>
      </c>
      <c r="D195" s="105" t="s">
        <v>1208</v>
      </c>
      <c r="E195" s="161" t="str">
        <f t="shared" si="7"/>
        <v>"K195":"parcelassessmentwithdats_labourinformation_labourforcleaning"</v>
      </c>
      <c r="F195" s="105" t="s">
        <v>1445</v>
      </c>
      <c r="G195" s="105" t="s">
        <v>48</v>
      </c>
      <c r="H195" s="92" t="s">
        <v>542</v>
      </c>
      <c r="I195" s="161" t="str">
        <f t="shared" si="8"/>
        <v>"L195":"parcelassessmentwithoutdats_labourinformation_labourforcleaning"</v>
      </c>
      <c r="J195" s="170" t="s">
        <v>1682</v>
      </c>
      <c r="K195" s="104">
        <v>1</v>
      </c>
      <c r="L195" s="104">
        <v>1</v>
      </c>
      <c r="M195" s="89"/>
      <c r="N195" s="104"/>
      <c r="O195" s="104"/>
      <c r="P195" s="89"/>
      <c r="Q195" s="104"/>
      <c r="R195" s="104"/>
    </row>
    <row r="196" spans="1:18">
      <c r="A196" t="s">
        <v>868</v>
      </c>
      <c r="B196" s="166" t="s">
        <v>756</v>
      </c>
      <c r="C196" s="161" t="str">
        <f t="shared" si="6"/>
        <v>"J196":"parcelassessmentwithdats_labourinformation_labourforstablevisits"</v>
      </c>
      <c r="D196" s="105" t="s">
        <v>1209</v>
      </c>
      <c r="E196" s="161" t="str">
        <f t="shared" si="7"/>
        <v>"K196":"parcelassessmentwithdats_labourinformation_labourforstablevisits"</v>
      </c>
      <c r="F196" s="105" t="s">
        <v>1446</v>
      </c>
      <c r="G196" s="105" t="s">
        <v>36</v>
      </c>
      <c r="H196" s="92" t="s">
        <v>542</v>
      </c>
      <c r="I196" s="161" t="str">
        <f t="shared" si="8"/>
        <v>"L196":"parcelassessmentwithoutdats_labourinformation_labourforstablevisits"</v>
      </c>
      <c r="J196" s="170" t="s">
        <v>1683</v>
      </c>
      <c r="K196" s="104">
        <v>1</v>
      </c>
      <c r="L196" s="104">
        <v>1</v>
      </c>
      <c r="M196" s="89"/>
      <c r="N196" s="104"/>
      <c r="O196" s="104"/>
      <c r="P196" s="89"/>
      <c r="Q196" s="104"/>
      <c r="R196" s="104"/>
    </row>
    <row r="197" spans="1:18">
      <c r="A197" t="s">
        <v>868</v>
      </c>
      <c r="B197" s="166" t="s">
        <v>757</v>
      </c>
      <c r="C197" s="161" t="str">
        <f t="shared" si="6"/>
        <v>"J197":"parcelassessmentwithdats_labourinformation_labourforheatdetection"</v>
      </c>
      <c r="D197" s="105" t="s">
        <v>1210</v>
      </c>
      <c r="E197" s="161" t="str">
        <f t="shared" si="7"/>
        <v>"K197":"parcelassessmentwithdats_labourinformation_labourforheatdetection"</v>
      </c>
      <c r="F197" s="105" t="s">
        <v>1447</v>
      </c>
      <c r="G197" s="105" t="s">
        <v>37</v>
      </c>
      <c r="H197" s="92" t="s">
        <v>542</v>
      </c>
      <c r="I197" s="161" t="str">
        <f t="shared" si="8"/>
        <v>"L197":"parcelassessmentwithoutdats_labourinformation_labourforheatdetection"</v>
      </c>
      <c r="J197" s="170" t="s">
        <v>1684</v>
      </c>
      <c r="K197" s="104">
        <v>1</v>
      </c>
      <c r="L197" s="104">
        <v>1</v>
      </c>
      <c r="M197" s="89"/>
      <c r="N197" s="104"/>
      <c r="O197" s="104"/>
      <c r="P197" s="89"/>
      <c r="Q197" s="104"/>
      <c r="R197" s="104"/>
    </row>
    <row r="198" spans="1:18">
      <c r="A198" t="s">
        <v>868</v>
      </c>
      <c r="B198" s="166" t="s">
        <v>758</v>
      </c>
      <c r="C198" s="161" t="str">
        <f t="shared" si="6"/>
        <v>"J198":"parcelassessmentwithdats_labourinformation_labourforcalvingdetection"</v>
      </c>
      <c r="D198" s="105" t="s">
        <v>1211</v>
      </c>
      <c r="E198" s="161" t="str">
        <f t="shared" si="7"/>
        <v>"K198":"parcelassessmentwithdats_labourinformation_labourforcalvingdetection"</v>
      </c>
      <c r="F198" s="105" t="s">
        <v>1448</v>
      </c>
      <c r="G198" s="105" t="s">
        <v>38</v>
      </c>
      <c r="H198" s="92" t="s">
        <v>542</v>
      </c>
      <c r="I198" s="161" t="str">
        <f t="shared" si="8"/>
        <v>"L198":"parcelassessmentwithoutdats_labourinformation_labourforcalvingdetection"</v>
      </c>
      <c r="J198" s="170" t="s">
        <v>1685</v>
      </c>
      <c r="K198" s="104">
        <v>1</v>
      </c>
      <c r="L198" s="104">
        <v>1</v>
      </c>
      <c r="M198" s="89"/>
      <c r="N198" s="104"/>
      <c r="O198" s="104"/>
      <c r="P198" s="89"/>
      <c r="Q198" s="104"/>
      <c r="R198" s="104"/>
    </row>
    <row r="199" spans="1:18">
      <c r="A199" t="s">
        <v>868</v>
      </c>
      <c r="B199" s="166" t="s">
        <v>759</v>
      </c>
      <c r="C199" s="161" t="str">
        <f t="shared" si="6"/>
        <v>"J199":"parcelassessmentwithdats_labourinformation_labourforpigstymanagement"</v>
      </c>
      <c r="D199" s="105" t="s">
        <v>1212</v>
      </c>
      <c r="E199" s="161" t="str">
        <f t="shared" si="7"/>
        <v>"K199":"parcelassessmentwithdats_labourinformation_labourforpigstymanagement"</v>
      </c>
      <c r="F199" s="105" t="s">
        <v>1449</v>
      </c>
      <c r="G199" s="105" t="s">
        <v>41</v>
      </c>
      <c r="H199" s="92" t="s">
        <v>542</v>
      </c>
      <c r="I199" s="161" t="str">
        <f t="shared" si="8"/>
        <v>"L199":"parcelassessmentwithoutdats_labourinformation_labourforpigstymanagement"</v>
      </c>
      <c r="J199" s="170" t="s">
        <v>1686</v>
      </c>
      <c r="K199" s="104">
        <v>1</v>
      </c>
      <c r="L199" s="104">
        <v>1</v>
      </c>
      <c r="M199" s="89"/>
      <c r="N199" s="104"/>
      <c r="O199" s="104"/>
      <c r="P199" s="89"/>
      <c r="Q199" s="104"/>
      <c r="R199" s="104"/>
    </row>
    <row r="200" spans="1:18">
      <c r="A200" t="s">
        <v>868</v>
      </c>
      <c r="B200" s="166" t="s">
        <v>760</v>
      </c>
      <c r="C200" s="161" t="str">
        <f t="shared" si="6"/>
        <v>"J200":"parcelassessmentwithdats_labourinformation_labourformilking"</v>
      </c>
      <c r="D200" s="105" t="s">
        <v>1213</v>
      </c>
      <c r="E200" s="161" t="str">
        <f t="shared" si="7"/>
        <v>"K200":"parcelassessmentwithdats_labourinformation_labourformilking"</v>
      </c>
      <c r="F200" s="105" t="s">
        <v>1450</v>
      </c>
      <c r="G200" s="105" t="s">
        <v>15</v>
      </c>
      <c r="H200" s="92" t="s">
        <v>542</v>
      </c>
      <c r="I200" s="161" t="str">
        <f t="shared" si="8"/>
        <v>"L200":"parcelassessmentwithoutdats_labourinformation_labourformilking"</v>
      </c>
      <c r="J200" s="170" t="s">
        <v>1687</v>
      </c>
      <c r="K200" s="104">
        <v>1</v>
      </c>
      <c r="L200" s="104">
        <v>1</v>
      </c>
      <c r="M200" s="89"/>
      <c r="N200" s="104"/>
      <c r="O200" s="104"/>
      <c r="P200" s="89"/>
      <c r="Q200" s="104"/>
      <c r="R200" s="104"/>
    </row>
    <row r="201" spans="1:18">
      <c r="A201" t="s">
        <v>868</v>
      </c>
      <c r="B201" s="166" t="s">
        <v>761</v>
      </c>
      <c r="C201" s="161" t="str">
        <f t="shared" si="6"/>
        <v>"J201":"parcelassessmentwithdats_labourinformation_labourformilkqualityassessment"</v>
      </c>
      <c r="D201" s="105" t="s">
        <v>1214</v>
      </c>
      <c r="E201" s="161" t="str">
        <f t="shared" si="7"/>
        <v>"K201":"parcelassessmentwithdats_labourinformation_labourformilkqualityassessment"</v>
      </c>
      <c r="F201" s="105" t="s">
        <v>1451</v>
      </c>
      <c r="G201" s="105" t="s">
        <v>42</v>
      </c>
      <c r="H201" s="92" t="s">
        <v>542</v>
      </c>
      <c r="I201" s="161" t="str">
        <f t="shared" si="8"/>
        <v>"L201":"parcelassessmentwithoutdats_labourinformation_labourformilkqualityassessment"</v>
      </c>
      <c r="J201" s="170" t="s">
        <v>1688</v>
      </c>
      <c r="K201" s="104">
        <v>1</v>
      </c>
      <c r="L201" s="104">
        <v>1</v>
      </c>
      <c r="M201" s="89"/>
      <c r="N201" s="104"/>
      <c r="O201" s="104"/>
      <c r="P201" s="89"/>
      <c r="Q201" s="104"/>
      <c r="R201" s="104"/>
    </row>
    <row r="202" spans="1:18">
      <c r="A202" t="s">
        <v>868</v>
      </c>
      <c r="B202" s="166" t="s">
        <v>762</v>
      </c>
      <c r="C202" s="161" t="str">
        <f t="shared" si="6"/>
        <v>"J202":"parcelassessmentwithdats_labourinformation_labourforfeeding"</v>
      </c>
      <c r="D202" s="105" t="s">
        <v>1215</v>
      </c>
      <c r="E202" s="161" t="str">
        <f t="shared" si="7"/>
        <v>"K202":"parcelassessmentwithdats_labourinformation_labourforfeeding"</v>
      </c>
      <c r="F202" s="105" t="s">
        <v>1452</v>
      </c>
      <c r="G202" s="105" t="s">
        <v>46</v>
      </c>
      <c r="H202" s="92" t="s">
        <v>542</v>
      </c>
      <c r="I202" s="161" t="str">
        <f t="shared" si="8"/>
        <v>"L202":"parcelassessmentwithoutdats_labourinformation_labourforfeeding"</v>
      </c>
      <c r="J202" s="170" t="s">
        <v>1689</v>
      </c>
      <c r="K202" s="104">
        <v>1</v>
      </c>
      <c r="L202" s="104">
        <v>1</v>
      </c>
      <c r="M202" s="89"/>
      <c r="N202" s="104"/>
      <c r="O202" s="104"/>
      <c r="P202" s="89"/>
      <c r="Q202" s="104"/>
      <c r="R202" s="104"/>
    </row>
    <row r="203" spans="1:18">
      <c r="A203" t="s">
        <v>868</v>
      </c>
      <c r="B203" s="166" t="s">
        <v>763</v>
      </c>
      <c r="C203" s="161" t="str">
        <f t="shared" ref="C203:C246" si="9">CONCATENATE("""",D203,"""",":","""","parcelassessmentwithdats_",LOWER($A203),"_",LOWER($B203),"""")</f>
        <v>"J203":"parcelassessmentwithdats_labourinformation_labourforbeehivevisits"</v>
      </c>
      <c r="D203" s="105" t="s">
        <v>1216</v>
      </c>
      <c r="E203" s="161" t="str">
        <f t="shared" ref="E203:E246" si="10">CONCATENATE("""",F203,"""",":","""","parcelassessmentwithdats_",LOWER(A203),"_",LOWER(B203),"""")</f>
        <v>"K203":"parcelassessmentwithdats_labourinformation_labourforbeehivevisits"</v>
      </c>
      <c r="F203" s="105" t="s">
        <v>1453</v>
      </c>
      <c r="G203" s="105" t="s">
        <v>43</v>
      </c>
      <c r="H203" s="92" t="s">
        <v>542</v>
      </c>
      <c r="I203" s="161" t="str">
        <f t="shared" ref="I203:I246" si="11">CONCATENATE("""",J203,"""",":","""","parcelassessmentwithoutdats_",LOWER($A203),"_",LOWER($B203),"""")</f>
        <v>"L203":"parcelassessmentwithoutdats_labourinformation_labourforbeehivevisits"</v>
      </c>
      <c r="J203" s="170" t="s">
        <v>1690</v>
      </c>
      <c r="K203" s="104">
        <v>1</v>
      </c>
      <c r="L203" s="104">
        <v>1</v>
      </c>
      <c r="M203" s="89"/>
      <c r="N203" s="104"/>
      <c r="O203" s="104"/>
      <c r="P203" s="89"/>
      <c r="Q203" s="104"/>
      <c r="R203" s="104"/>
    </row>
    <row r="204" spans="1:18">
      <c r="A204" t="s">
        <v>868</v>
      </c>
      <c r="B204" s="166" t="s">
        <v>764</v>
      </c>
      <c r="C204" s="161" t="str">
        <f t="shared" si="9"/>
        <v>"J204":"parcelassessmentwithdats_labourinformation_labourforoystersampling"</v>
      </c>
      <c r="D204" s="105" t="s">
        <v>1217</v>
      </c>
      <c r="E204" s="161" t="str">
        <f t="shared" si="10"/>
        <v>"K204":"parcelassessmentwithdats_labourinformation_labourforoystersampling"</v>
      </c>
      <c r="F204" s="105" t="s">
        <v>1454</v>
      </c>
      <c r="G204" s="105" t="s">
        <v>44</v>
      </c>
      <c r="H204" s="92" t="s">
        <v>542</v>
      </c>
      <c r="I204" s="161" t="str">
        <f t="shared" si="11"/>
        <v>"L204":"parcelassessmentwithoutdats_labourinformation_labourforoystersampling"</v>
      </c>
      <c r="J204" s="170" t="s">
        <v>1691</v>
      </c>
      <c r="K204" s="104">
        <v>1</v>
      </c>
      <c r="L204" s="104">
        <v>1</v>
      </c>
      <c r="M204" s="89"/>
      <c r="N204" s="104"/>
      <c r="O204" s="104"/>
      <c r="P204" s="89"/>
      <c r="Q204" s="104"/>
      <c r="R204" s="104"/>
    </row>
    <row r="205" spans="1:18">
      <c r="A205" t="s">
        <v>868</v>
      </c>
      <c r="B205" s="166" t="s">
        <v>765</v>
      </c>
      <c r="C205" s="161" t="str">
        <f t="shared" si="9"/>
        <v>"J205":"parcelassessmentwithdats_labourinformation_labourforoystertransportation"</v>
      </c>
      <c r="D205" s="105" t="s">
        <v>1218</v>
      </c>
      <c r="E205" s="161" t="str">
        <f t="shared" si="10"/>
        <v>"K205":"parcelassessmentwithdats_labourinformation_labourforoystertransportation"</v>
      </c>
      <c r="F205" s="105" t="s">
        <v>1455</v>
      </c>
      <c r="G205" s="105" t="s">
        <v>45</v>
      </c>
      <c r="H205" s="92" t="s">
        <v>542</v>
      </c>
      <c r="I205" s="161" t="str">
        <f t="shared" si="11"/>
        <v>"L205":"parcelassessmentwithoutdats_labourinformation_labourforoystertransportation"</v>
      </c>
      <c r="J205" s="170" t="s">
        <v>1692</v>
      </c>
      <c r="K205" s="104">
        <v>1</v>
      </c>
      <c r="L205" s="104">
        <v>1</v>
      </c>
      <c r="M205" s="89"/>
      <c r="N205" s="104"/>
      <c r="O205" s="104"/>
      <c r="P205" s="89"/>
      <c r="Q205" s="104"/>
      <c r="R205" s="104"/>
    </row>
    <row r="206" spans="1:18">
      <c r="A206" t="s">
        <v>868</v>
      </c>
      <c r="B206" s="166" t="s">
        <v>766</v>
      </c>
      <c r="C206" s="161" t="str">
        <f t="shared" si="9"/>
        <v>"J206":"parcelassessmentwithdats_labourinformation_labourforharvesting"</v>
      </c>
      <c r="D206" s="105" t="s">
        <v>1219</v>
      </c>
      <c r="E206" s="161" t="str">
        <f t="shared" si="10"/>
        <v>"K206":"parcelassessmentwithdats_labourinformation_labourforharvesting"</v>
      </c>
      <c r="F206" s="105" t="s">
        <v>1456</v>
      </c>
      <c r="G206" s="105" t="s">
        <v>454</v>
      </c>
      <c r="H206" s="92" t="s">
        <v>542</v>
      </c>
      <c r="I206" s="161" t="str">
        <f t="shared" si="11"/>
        <v>"L206":"parcelassessmentwithoutdats_labourinformation_labourforharvesting"</v>
      </c>
      <c r="J206" s="170" t="s">
        <v>1693</v>
      </c>
      <c r="K206" s="104">
        <v>1</v>
      </c>
      <c r="L206" s="104">
        <v>1</v>
      </c>
      <c r="M206" s="89"/>
      <c r="N206" s="104"/>
      <c r="O206" s="104"/>
      <c r="P206" s="89"/>
      <c r="Q206" s="104"/>
      <c r="R206" s="104"/>
    </row>
    <row r="207" spans="1:18">
      <c r="A207" t="s">
        <v>868</v>
      </c>
      <c r="B207" s="166" t="s">
        <v>767</v>
      </c>
      <c r="C207" s="161" t="str">
        <f t="shared" si="9"/>
        <v>"J207":"parcelassessmentwithdats_labourinformation_labourforstorage"</v>
      </c>
      <c r="D207" s="105" t="s">
        <v>1220</v>
      </c>
      <c r="E207" s="161" t="str">
        <f t="shared" si="10"/>
        <v>"K207":"parcelassessmentwithdats_labourinformation_labourforstorage"</v>
      </c>
      <c r="F207" s="105" t="s">
        <v>1457</v>
      </c>
      <c r="G207" s="105" t="s">
        <v>374</v>
      </c>
      <c r="H207" s="92" t="s">
        <v>542</v>
      </c>
      <c r="I207" s="161" t="str">
        <f t="shared" si="11"/>
        <v>"L207":"parcelassessmentwithoutdats_labourinformation_labourforstorage"</v>
      </c>
      <c r="J207" s="170" t="s">
        <v>1694</v>
      </c>
      <c r="K207" s="104">
        <v>1</v>
      </c>
      <c r="L207" s="104">
        <v>1</v>
      </c>
      <c r="M207" s="89"/>
      <c r="N207" s="104"/>
      <c r="O207" s="104"/>
      <c r="P207" s="89"/>
      <c r="Q207" s="104"/>
      <c r="R207" s="104"/>
    </row>
    <row r="208" spans="1:18">
      <c r="A208" t="s">
        <v>868</v>
      </c>
      <c r="B208" s="166" t="s">
        <v>768</v>
      </c>
      <c r="C208" s="161" t="str">
        <f t="shared" si="9"/>
        <v>"J208":"parcelassessmentwithdats_labourinformation_labourforadministration"</v>
      </c>
      <c r="D208" s="105" t="s">
        <v>1221</v>
      </c>
      <c r="E208" s="161" t="str">
        <f t="shared" si="10"/>
        <v>"K208":"parcelassessmentwithdats_labourinformation_labourforadministration"</v>
      </c>
      <c r="F208" s="105" t="s">
        <v>1458</v>
      </c>
      <c r="G208" s="105" t="s">
        <v>372</v>
      </c>
      <c r="H208" s="92" t="s">
        <v>542</v>
      </c>
      <c r="I208" s="161" t="str">
        <f t="shared" si="11"/>
        <v>"L208":"parcelassessmentwithoutdats_labourinformation_labourforadministration"</v>
      </c>
      <c r="J208" s="170" t="s">
        <v>1695</v>
      </c>
      <c r="K208" s="104">
        <v>1</v>
      </c>
      <c r="L208" s="104">
        <v>1</v>
      </c>
      <c r="M208" s="89"/>
      <c r="N208" s="104"/>
      <c r="O208" s="104"/>
      <c r="P208" s="89"/>
      <c r="Q208" s="104"/>
      <c r="R208" s="104"/>
    </row>
    <row r="209" spans="1:18">
      <c r="C209" s="161" t="str">
        <f t="shared" si="9"/>
        <v>"J209":"parcelassessmentwithdats__"</v>
      </c>
      <c r="D209" s="105" t="s">
        <v>1222</v>
      </c>
      <c r="E209" s="161" t="str">
        <f t="shared" si="10"/>
        <v>"K209":"parcelassessmentwithdats__"</v>
      </c>
      <c r="F209" s="105" t="s">
        <v>1459</v>
      </c>
      <c r="I209" s="161" t="str">
        <f t="shared" si="11"/>
        <v>"L209":"parcelassessmentwithoutdats__"</v>
      </c>
      <c r="J209" s="170" t="s">
        <v>1696</v>
      </c>
      <c r="K209" s="89"/>
      <c r="L209" s="89"/>
      <c r="M209" s="89"/>
      <c r="N209" s="89"/>
      <c r="O209" s="89"/>
      <c r="P209" s="89"/>
      <c r="Q209" s="89"/>
      <c r="R209" s="89"/>
    </row>
    <row r="210" spans="1:18">
      <c r="C210" s="161" t="str">
        <f t="shared" si="9"/>
        <v>"J210":"parcelassessmentwithdats__"</v>
      </c>
      <c r="D210" s="105" t="s">
        <v>1223</v>
      </c>
      <c r="E210" s="161" t="str">
        <f t="shared" si="10"/>
        <v>"K210":"parcelassessmentwithdats__"</v>
      </c>
      <c r="F210" s="105" t="s">
        <v>1460</v>
      </c>
      <c r="G210" s="133"/>
      <c r="H210" s="133"/>
      <c r="I210" s="161" t="str">
        <f t="shared" si="11"/>
        <v>"L210":"parcelassessmentwithoutdats__"</v>
      </c>
      <c r="J210" s="170" t="s">
        <v>1697</v>
      </c>
      <c r="K210" s="168" t="s">
        <v>116</v>
      </c>
      <c r="L210" s="168" t="s">
        <v>116</v>
      </c>
      <c r="M210" s="143"/>
      <c r="N210" s="188" t="s">
        <v>117</v>
      </c>
      <c r="O210" s="189"/>
      <c r="P210" s="143"/>
      <c r="Q210" s="190" t="s">
        <v>118</v>
      </c>
      <c r="R210" s="191"/>
    </row>
    <row r="211" spans="1:18">
      <c r="C211" s="161" t="str">
        <f t="shared" si="9"/>
        <v>"J211":"parcelassessmentwithdats__"</v>
      </c>
      <c r="D211" s="105" t="s">
        <v>1224</v>
      </c>
      <c r="E211" s="161" t="str">
        <f t="shared" si="10"/>
        <v>"K211":"parcelassessmentwithdats__"</v>
      </c>
      <c r="F211" s="105" t="s">
        <v>1461</v>
      </c>
      <c r="G211" s="108" t="s">
        <v>119</v>
      </c>
      <c r="H211" s="108" t="s">
        <v>107</v>
      </c>
      <c r="I211" s="161" t="str">
        <f t="shared" si="11"/>
        <v>"L211":"parcelassessmentwithoutdats__"</v>
      </c>
      <c r="J211" s="170" t="s">
        <v>1698</v>
      </c>
      <c r="K211" s="90" t="s">
        <v>551</v>
      </c>
      <c r="L211" s="90" t="s">
        <v>553</v>
      </c>
      <c r="M211" s="143"/>
      <c r="N211" s="90" t="s">
        <v>551</v>
      </c>
      <c r="O211" s="90" t="s">
        <v>109</v>
      </c>
      <c r="P211" s="143"/>
      <c r="Q211" s="90" t="s">
        <v>551</v>
      </c>
      <c r="R211" s="90" t="s">
        <v>109</v>
      </c>
    </row>
    <row r="212" spans="1:18">
      <c r="A212" t="s">
        <v>869</v>
      </c>
      <c r="B212" s="166" t="s">
        <v>769</v>
      </c>
      <c r="C212" s="161" t="str">
        <f t="shared" si="9"/>
        <v>"J212":"parcelassessmentwithdats_economicinformation_numberoffulfilledorders"</v>
      </c>
      <c r="D212" s="105" t="s">
        <v>1225</v>
      </c>
      <c r="E212" s="161" t="str">
        <f t="shared" si="10"/>
        <v>"K212":"parcelassessmentwithdats_economicinformation_numberoffulfilledorders"</v>
      </c>
      <c r="F212" s="105" t="s">
        <v>1462</v>
      </c>
      <c r="G212" s="92" t="s">
        <v>391</v>
      </c>
      <c r="H212" s="92" t="s">
        <v>122</v>
      </c>
      <c r="I212" s="161" t="str">
        <f t="shared" si="11"/>
        <v>"L212":"parcelassessmentwithoutdats_economicinformation_numberoffulfilledorders"</v>
      </c>
      <c r="J212" s="170" t="s">
        <v>1699</v>
      </c>
      <c r="K212" s="104">
        <v>1</v>
      </c>
      <c r="L212" s="104">
        <v>1</v>
      </c>
      <c r="M212" s="89"/>
      <c r="N212" s="104"/>
      <c r="O212" s="104"/>
      <c r="P212" s="89"/>
      <c r="Q212" s="104"/>
      <c r="R212" s="104"/>
    </row>
    <row r="213" spans="1:18">
      <c r="A213" t="s">
        <v>869</v>
      </c>
      <c r="B213" s="166" t="s">
        <v>770</v>
      </c>
      <c r="C213" s="161" t="str">
        <f t="shared" si="9"/>
        <v>"J213":"parcelassessmentwithdats_economicinformation_numberofordersreceived"</v>
      </c>
      <c r="D213" s="105" t="s">
        <v>1226</v>
      </c>
      <c r="E213" s="161" t="str">
        <f t="shared" si="10"/>
        <v>"K213":"parcelassessmentwithdats_economicinformation_numberofordersreceived"</v>
      </c>
      <c r="F213" s="105" t="s">
        <v>1463</v>
      </c>
      <c r="G213" s="92" t="s">
        <v>392</v>
      </c>
      <c r="H213" s="92" t="s">
        <v>122</v>
      </c>
      <c r="I213" s="161" t="str">
        <f t="shared" si="11"/>
        <v>"L213":"parcelassessmentwithoutdats_economicinformation_numberofordersreceived"</v>
      </c>
      <c r="J213" s="170" t="s">
        <v>1700</v>
      </c>
      <c r="K213" s="104">
        <v>1</v>
      </c>
      <c r="L213" s="104">
        <v>1</v>
      </c>
      <c r="M213" s="89"/>
      <c r="N213" s="104"/>
      <c r="O213" s="104"/>
      <c r="P213" s="89"/>
      <c r="Q213" s="104"/>
      <c r="R213" s="104"/>
    </row>
    <row r="214" spans="1:18">
      <c r="A214" t="s">
        <v>869</v>
      </c>
      <c r="B214" s="166" t="s">
        <v>771</v>
      </c>
      <c r="C214" s="161" t="str">
        <f t="shared" si="9"/>
        <v>"J214":"parcelassessmentwithdats_economicinformation_numberofwrongorders"</v>
      </c>
      <c r="D214" s="105" t="s">
        <v>1227</v>
      </c>
      <c r="E214" s="161" t="str">
        <f t="shared" si="10"/>
        <v>"K214":"parcelassessmentwithdats_economicinformation_numberofwrongorders"</v>
      </c>
      <c r="F214" s="105" t="s">
        <v>1464</v>
      </c>
      <c r="G214" s="92" t="s">
        <v>393</v>
      </c>
      <c r="H214" s="92" t="s">
        <v>122</v>
      </c>
      <c r="I214" s="161" t="str">
        <f t="shared" si="11"/>
        <v>"L214":"parcelassessmentwithoutdats_economicinformation_numberofwrongorders"</v>
      </c>
      <c r="J214" s="170" t="s">
        <v>1701</v>
      </c>
      <c r="K214" s="104">
        <v>1</v>
      </c>
      <c r="L214" s="104">
        <v>1</v>
      </c>
      <c r="M214" s="89"/>
      <c r="N214" s="104"/>
      <c r="O214" s="104"/>
      <c r="P214" s="89"/>
      <c r="Q214" s="104"/>
      <c r="R214" s="104"/>
    </row>
    <row r="215" spans="1:18">
      <c r="A215" t="s">
        <v>869</v>
      </c>
      <c r="B215" s="166" t="s">
        <v>772</v>
      </c>
      <c r="C215" s="161" t="str">
        <f t="shared" si="9"/>
        <v>"J215":"parcelassessmentwithdats_economicinformation_additionalrevenues"</v>
      </c>
      <c r="D215" s="105" t="s">
        <v>1228</v>
      </c>
      <c r="E215" s="161" t="str">
        <f t="shared" si="10"/>
        <v>"K215":"parcelassessmentwithdats_economicinformation_additionalrevenues"</v>
      </c>
      <c r="F215" s="105" t="s">
        <v>1465</v>
      </c>
      <c r="G215" s="92" t="s">
        <v>301</v>
      </c>
      <c r="H215" s="92" t="str">
        <f>IFERROR(VLOOKUP('General Information'!$G$6, Convalide!$L$2:$M$8, 2,FALSE), "")</f>
        <v>€/l milk</v>
      </c>
      <c r="I215" s="161" t="str">
        <f t="shared" si="11"/>
        <v>"L215":"parcelassessmentwithoutdats_economicinformation_additionalrevenues"</v>
      </c>
      <c r="J215" s="170" t="s">
        <v>1702</v>
      </c>
      <c r="K215" s="104">
        <v>1</v>
      </c>
      <c r="L215" s="104">
        <v>1</v>
      </c>
      <c r="M215" s="89"/>
      <c r="N215" s="104"/>
      <c r="O215" s="104"/>
      <c r="P215" s="89"/>
      <c r="Q215" s="104"/>
      <c r="R215" s="104"/>
    </row>
    <row r="216" spans="1:18">
      <c r="A216" t="s">
        <v>869</v>
      </c>
      <c r="B216" s="166" t="s">
        <v>773</v>
      </c>
      <c r="C216" s="161" t="str">
        <f t="shared" si="9"/>
        <v>"J216":"parcelassessmentwithdats_economicinformation_percentageproteinindrymatter"</v>
      </c>
      <c r="D216" s="105" t="s">
        <v>1229</v>
      </c>
      <c r="E216" s="161" t="str">
        <f t="shared" si="10"/>
        <v>"K216":"parcelassessmentwithdats_economicinformation_percentageproteinindrymatter"</v>
      </c>
      <c r="F216" s="105" t="s">
        <v>1466</v>
      </c>
      <c r="G216" s="92" t="s">
        <v>680</v>
      </c>
      <c r="H216" s="92" t="s">
        <v>114</v>
      </c>
      <c r="I216" s="161" t="str">
        <f t="shared" si="11"/>
        <v>"L216":"parcelassessmentwithoutdats_economicinformation_percentageproteinindrymatter"</v>
      </c>
      <c r="J216" s="170" t="s">
        <v>1703</v>
      </c>
      <c r="K216" s="104">
        <v>1</v>
      </c>
      <c r="L216" s="104">
        <v>1</v>
      </c>
      <c r="M216" s="89"/>
      <c r="N216" s="104"/>
      <c r="O216" s="104"/>
      <c r="P216" s="89"/>
      <c r="Q216" s="104"/>
      <c r="R216" s="104"/>
    </row>
    <row r="217" spans="1:18">
      <c r="A217" t="s">
        <v>869</v>
      </c>
      <c r="B217" s="166" t="s">
        <v>774</v>
      </c>
      <c r="C217" s="161" t="str">
        <f t="shared" si="9"/>
        <v>"J217":"parcelassessmentwithdats_economicinformation_humidity"</v>
      </c>
      <c r="D217" s="105" t="s">
        <v>1230</v>
      </c>
      <c r="E217" s="161" t="str">
        <f t="shared" si="10"/>
        <v>"K217":"parcelassessmentwithdats_economicinformation_humidity"</v>
      </c>
      <c r="F217" s="105" t="s">
        <v>1467</v>
      </c>
      <c r="G217" s="92" t="s">
        <v>395</v>
      </c>
      <c r="H217" s="92" t="s">
        <v>114</v>
      </c>
      <c r="I217" s="161" t="str">
        <f t="shared" si="11"/>
        <v>"L217":"parcelassessmentwithoutdats_economicinformation_humidity"</v>
      </c>
      <c r="J217" s="170" t="s">
        <v>1704</v>
      </c>
      <c r="K217" s="104">
        <v>1</v>
      </c>
      <c r="L217" s="104">
        <v>1</v>
      </c>
      <c r="M217" s="89"/>
      <c r="N217" s="104"/>
      <c r="O217" s="104"/>
      <c r="P217" s="89"/>
      <c r="Q217" s="104"/>
      <c r="R217" s="104"/>
    </row>
    <row r="218" spans="1:18">
      <c r="A218" t="s">
        <v>869</v>
      </c>
      <c r="B218" s="166" t="s">
        <v>775</v>
      </c>
      <c r="C218" s="161" t="str">
        <f t="shared" si="9"/>
        <v>"J218":"parcelassessmentwithdats_economicinformation_testweight"</v>
      </c>
      <c r="D218" s="105" t="s">
        <v>1231</v>
      </c>
      <c r="E218" s="161" t="str">
        <f t="shared" si="10"/>
        <v>"K218":"parcelassessmentwithdats_economicinformation_testweight"</v>
      </c>
      <c r="F218" s="105" t="s">
        <v>1468</v>
      </c>
      <c r="G218" s="92" t="s">
        <v>396</v>
      </c>
      <c r="H218" s="92" t="s">
        <v>397</v>
      </c>
      <c r="I218" s="161" t="str">
        <f t="shared" si="11"/>
        <v>"L218":"parcelassessmentwithoutdats_economicinformation_testweight"</v>
      </c>
      <c r="J218" s="170" t="s">
        <v>1705</v>
      </c>
      <c r="K218" s="104">
        <v>1</v>
      </c>
      <c r="L218" s="104">
        <v>1</v>
      </c>
      <c r="M218" s="89"/>
      <c r="N218" s="104"/>
      <c r="O218" s="104"/>
      <c r="P218" s="89"/>
      <c r="Q218" s="104"/>
      <c r="R218" s="104"/>
    </row>
    <row r="219" spans="1:18">
      <c r="C219" s="161" t="str">
        <f t="shared" si="9"/>
        <v>"J219":"parcelassessmentwithdats__"</v>
      </c>
      <c r="D219" s="105" t="s">
        <v>1232</v>
      </c>
      <c r="E219" s="161" t="str">
        <f t="shared" si="10"/>
        <v>"K219":"parcelassessmentwithdats__"</v>
      </c>
      <c r="F219" s="105" t="s">
        <v>1469</v>
      </c>
      <c r="I219" s="161" t="str">
        <f t="shared" si="11"/>
        <v>"L219":"parcelassessmentwithoutdats__"</v>
      </c>
      <c r="J219" s="170" t="s">
        <v>1706</v>
      </c>
      <c r="K219" s="89"/>
      <c r="L219" s="89"/>
      <c r="M219" s="89"/>
      <c r="N219" s="89"/>
      <c r="O219" s="89"/>
      <c r="P219" s="89"/>
      <c r="Q219" s="89"/>
      <c r="R219" s="89"/>
    </row>
    <row r="220" spans="1:18">
      <c r="C220" s="161" t="str">
        <f t="shared" si="9"/>
        <v>"J220":"parcelassessmentwithdats__"</v>
      </c>
      <c r="D220" s="105" t="s">
        <v>1233</v>
      </c>
      <c r="E220" s="161" t="str">
        <f t="shared" si="10"/>
        <v>"K220":"parcelassessmentwithdats__"</v>
      </c>
      <c r="F220" s="105" t="s">
        <v>1470</v>
      </c>
      <c r="G220" s="125"/>
      <c r="H220" s="125"/>
      <c r="I220" s="161" t="str">
        <f t="shared" si="11"/>
        <v>"L220":"parcelassessmentwithoutdats__"</v>
      </c>
      <c r="J220" s="170" t="s">
        <v>1707</v>
      </c>
      <c r="K220" s="168" t="s">
        <v>116</v>
      </c>
      <c r="L220" s="168" t="s">
        <v>116</v>
      </c>
      <c r="M220" s="143"/>
      <c r="N220" s="188" t="s">
        <v>117</v>
      </c>
      <c r="O220" s="189"/>
      <c r="P220" s="143"/>
      <c r="Q220" s="190" t="s">
        <v>118</v>
      </c>
      <c r="R220" s="191"/>
    </row>
    <row r="221" spans="1:18">
      <c r="C221" s="161" t="str">
        <f t="shared" si="9"/>
        <v>"J221":"parcelassessmentwithdats__"</v>
      </c>
      <c r="D221" s="105" t="s">
        <v>1234</v>
      </c>
      <c r="E221" s="161" t="str">
        <f t="shared" si="10"/>
        <v>"K221":"parcelassessmentwithdats__"</v>
      </c>
      <c r="F221" s="105" t="s">
        <v>1471</v>
      </c>
      <c r="G221" s="127" t="s">
        <v>119</v>
      </c>
      <c r="H221" s="127" t="s">
        <v>107</v>
      </c>
      <c r="I221" s="161" t="str">
        <f t="shared" si="11"/>
        <v>"L221":"parcelassessmentwithoutdats__"</v>
      </c>
      <c r="J221" s="170" t="s">
        <v>1708</v>
      </c>
      <c r="K221" s="90" t="s">
        <v>551</v>
      </c>
      <c r="L221" s="90" t="s">
        <v>553</v>
      </c>
      <c r="M221" s="143"/>
      <c r="N221" s="90" t="s">
        <v>551</v>
      </c>
      <c r="O221" s="90" t="s">
        <v>109</v>
      </c>
      <c r="P221" s="143"/>
      <c r="Q221" s="90" t="s">
        <v>551</v>
      </c>
      <c r="R221" s="90" t="s">
        <v>109</v>
      </c>
    </row>
    <row r="222" spans="1:18">
      <c r="A222" t="s">
        <v>870</v>
      </c>
      <c r="B222" s="166" t="s">
        <v>783</v>
      </c>
      <c r="C222" s="161" t="str">
        <f t="shared" si="9"/>
        <v>"J222":"parcelassessmentwithdats_additionalanimalinformation_numberofdeathanimals"</v>
      </c>
      <c r="D222" s="105" t="s">
        <v>1235</v>
      </c>
      <c r="E222" s="161" t="str">
        <f t="shared" si="10"/>
        <v>"K222":"parcelassessmentwithdats_additionalanimalinformation_numberofdeathanimals"</v>
      </c>
      <c r="F222" s="105" t="s">
        <v>1472</v>
      </c>
      <c r="G222" s="92" t="s">
        <v>621</v>
      </c>
      <c r="H222" s="92" t="s">
        <v>122</v>
      </c>
      <c r="I222" s="161" t="str">
        <f t="shared" si="11"/>
        <v>"L222":"parcelassessmentwithoutdats_additionalanimalinformation_numberofdeathanimals"</v>
      </c>
      <c r="J222" s="170" t="s">
        <v>1709</v>
      </c>
      <c r="K222" s="104">
        <v>1</v>
      </c>
      <c r="L222" s="104">
        <v>1</v>
      </c>
      <c r="M222" s="89"/>
      <c r="N222" s="104"/>
      <c r="O222" s="104"/>
      <c r="P222" s="89"/>
      <c r="Q222" s="104"/>
      <c r="R222" s="104"/>
    </row>
    <row r="223" spans="1:18">
      <c r="A223" t="s">
        <v>870</v>
      </c>
      <c r="B223" s="166" t="s">
        <v>784</v>
      </c>
      <c r="C223" s="161" t="str">
        <f t="shared" si="9"/>
        <v>"J223":"parcelassessmentwithdats_additionalanimalinformation_calvesdiedinfirst24hours"</v>
      </c>
      <c r="D223" s="105" t="s">
        <v>1236</v>
      </c>
      <c r="E223" s="161" t="str">
        <f t="shared" si="10"/>
        <v>"K223":"parcelassessmentwithdats_additionalanimalinformation_calvesdiedinfirst24hours"</v>
      </c>
      <c r="F223" s="105" t="s">
        <v>1473</v>
      </c>
      <c r="G223" s="92" t="s">
        <v>123</v>
      </c>
      <c r="H223" s="92" t="s">
        <v>122</v>
      </c>
      <c r="I223" s="161" t="str">
        <f t="shared" si="11"/>
        <v>"L223":"parcelassessmentwithoutdats_additionalanimalinformation_calvesdiedinfirst24hours"</v>
      </c>
      <c r="J223" s="170" t="s">
        <v>1710</v>
      </c>
      <c r="K223" s="104">
        <v>1</v>
      </c>
      <c r="L223" s="104">
        <v>1</v>
      </c>
      <c r="M223" s="89"/>
      <c r="N223" s="104"/>
      <c r="O223" s="104"/>
      <c r="P223" s="89"/>
      <c r="Q223" s="104"/>
      <c r="R223" s="104"/>
    </row>
    <row r="224" spans="1:18">
      <c r="A224" t="s">
        <v>870</v>
      </c>
      <c r="B224" s="166" t="s">
        <v>785</v>
      </c>
      <c r="C224" s="161" t="str">
        <f t="shared" si="9"/>
        <v>"J224":"parcelassessmentwithdats_additionalanimalinformation_totalnumberofcalvesborn"</v>
      </c>
      <c r="D224" s="105" t="s">
        <v>1237</v>
      </c>
      <c r="E224" s="161" t="str">
        <f t="shared" si="10"/>
        <v>"K224":"parcelassessmentwithdats_additionalanimalinformation_totalnumberofcalvesborn"</v>
      </c>
      <c r="F224" s="105" t="s">
        <v>1474</v>
      </c>
      <c r="G224" s="92" t="s">
        <v>133</v>
      </c>
      <c r="H224" s="92" t="s">
        <v>122</v>
      </c>
      <c r="I224" s="161" t="str">
        <f t="shared" si="11"/>
        <v>"L224":"parcelassessmentwithoutdats_additionalanimalinformation_totalnumberofcalvesborn"</v>
      </c>
      <c r="J224" s="170" t="s">
        <v>1711</v>
      </c>
      <c r="K224" s="104">
        <v>1</v>
      </c>
      <c r="L224" s="104">
        <v>1</v>
      </c>
      <c r="M224" s="89"/>
      <c r="N224" s="104"/>
      <c r="O224" s="104"/>
      <c r="P224" s="89"/>
      <c r="Q224" s="104"/>
      <c r="R224" s="104"/>
    </row>
    <row r="225" spans="1:18">
      <c r="A225" t="s">
        <v>870</v>
      </c>
      <c r="B225" s="166" t="s">
        <v>786</v>
      </c>
      <c r="C225" s="161" t="str">
        <f t="shared" si="9"/>
        <v>"J225":"parcelassessmentwithdats_additionalanimalinformation_numberofdayswithpastureaccess"</v>
      </c>
      <c r="D225" s="105" t="s">
        <v>1238</v>
      </c>
      <c r="E225" s="161" t="str">
        <f t="shared" si="10"/>
        <v>"K225":"parcelassessmentwithdats_additionalanimalinformation_numberofdayswithpastureaccess"</v>
      </c>
      <c r="F225" s="105" t="s">
        <v>1475</v>
      </c>
      <c r="G225" s="92" t="s">
        <v>141</v>
      </c>
      <c r="H225" s="92" t="s">
        <v>122</v>
      </c>
      <c r="I225" s="161" t="str">
        <f t="shared" si="11"/>
        <v>"L225":"parcelassessmentwithoutdats_additionalanimalinformation_numberofdayswithpastureaccess"</v>
      </c>
      <c r="J225" s="170" t="s">
        <v>1712</v>
      </c>
      <c r="K225" s="104">
        <v>1</v>
      </c>
      <c r="L225" s="104">
        <v>1</v>
      </c>
      <c r="M225" s="89"/>
      <c r="N225" s="104"/>
      <c r="O225" s="104"/>
      <c r="P225" s="89"/>
      <c r="Q225" s="104"/>
      <c r="R225" s="104"/>
    </row>
    <row r="226" spans="1:18">
      <c r="A226" t="s">
        <v>870</v>
      </c>
      <c r="B226" s="166" t="s">
        <v>787</v>
      </c>
      <c r="C226" s="161" t="str">
        <f t="shared" si="9"/>
        <v>"J226":"parcelassessmentwithdats_additionalanimalinformation_outdoorloafingarea"</v>
      </c>
      <c r="D226" s="105" t="s">
        <v>1239</v>
      </c>
      <c r="E226" s="161" t="str">
        <f t="shared" si="10"/>
        <v>"K226":"parcelassessmentwithdats_additionalanimalinformation_outdoorloafingarea"</v>
      </c>
      <c r="F226" s="105" t="s">
        <v>1476</v>
      </c>
      <c r="G226" s="92" t="s">
        <v>140</v>
      </c>
      <c r="H226" s="92" t="s">
        <v>71</v>
      </c>
      <c r="I226" s="161" t="str">
        <f t="shared" si="11"/>
        <v>"L226":"parcelassessmentwithoutdats_additionalanimalinformation_outdoorloafingarea"</v>
      </c>
      <c r="J226" s="170" t="s">
        <v>1713</v>
      </c>
      <c r="K226" s="104">
        <v>1</v>
      </c>
      <c r="L226" s="104">
        <v>1</v>
      </c>
      <c r="M226" s="89"/>
      <c r="N226" s="104"/>
      <c r="O226" s="104"/>
      <c r="P226" s="89"/>
      <c r="Q226" s="104"/>
      <c r="R226" s="104"/>
    </row>
    <row r="227" spans="1:18">
      <c r="A227" t="s">
        <v>870</v>
      </c>
      <c r="B227" s="166" t="s">
        <v>788</v>
      </c>
      <c r="C227" s="161" t="str">
        <f t="shared" si="9"/>
        <v>"J227":"parcelassessmentwithdats_additionalanimalinformation_numberofcowswithhighsccmilk"</v>
      </c>
      <c r="D227" s="105" t="s">
        <v>1240</v>
      </c>
      <c r="E227" s="161" t="str">
        <f t="shared" si="10"/>
        <v>"K227":"parcelassessmentwithdats_additionalanimalinformation_numberofcowswithhighsccmilk"</v>
      </c>
      <c r="F227" s="105" t="s">
        <v>1477</v>
      </c>
      <c r="G227" s="92" t="s">
        <v>354</v>
      </c>
      <c r="H227" s="93" t="s">
        <v>122</v>
      </c>
      <c r="I227" s="161" t="str">
        <f t="shared" si="11"/>
        <v>"L227":"parcelassessmentwithoutdats_additionalanimalinformation_numberofcowswithhighsccmilk"</v>
      </c>
      <c r="J227" s="170" t="s">
        <v>1714</v>
      </c>
      <c r="K227" s="104">
        <v>1</v>
      </c>
      <c r="L227" s="104">
        <v>1</v>
      </c>
      <c r="M227" s="89"/>
      <c r="N227" s="104"/>
      <c r="O227" s="104"/>
      <c r="P227" s="89"/>
      <c r="Q227" s="104"/>
      <c r="R227" s="104"/>
    </row>
    <row r="228" spans="1:18" ht="18">
      <c r="B228" s="166"/>
      <c r="C228" s="161" t="str">
        <f t="shared" si="9"/>
        <v>"J228":"parcelassessmentwithdats__"</v>
      </c>
      <c r="D228" s="105" t="s">
        <v>1241</v>
      </c>
      <c r="E228" s="161" t="str">
        <f t="shared" si="10"/>
        <v>"K228":"parcelassessmentwithdats__"</v>
      </c>
      <c r="F228" s="105" t="s">
        <v>1478</v>
      </c>
      <c r="G228" s="141"/>
      <c r="I228" s="161" t="str">
        <f t="shared" si="11"/>
        <v>"L228":"parcelassessmentwithoutdats__"</v>
      </c>
      <c r="J228" s="170" t="s">
        <v>1715</v>
      </c>
      <c r="K228" s="89"/>
      <c r="L228" s="89"/>
      <c r="M228" s="89"/>
      <c r="N228" s="89"/>
      <c r="O228" s="89"/>
      <c r="P228" s="89"/>
      <c r="Q228" s="89"/>
      <c r="R228" s="89"/>
    </row>
    <row r="229" spans="1:18">
      <c r="B229" s="166"/>
      <c r="C229" s="161" t="str">
        <f t="shared" si="9"/>
        <v>"J229":"parcelassessmentwithdats__"</v>
      </c>
      <c r="D229" s="105" t="s">
        <v>1242</v>
      </c>
      <c r="E229" s="161" t="str">
        <f t="shared" si="10"/>
        <v>"K229":"parcelassessmentwithdats__"</v>
      </c>
      <c r="F229" s="105" t="s">
        <v>1479</v>
      </c>
      <c r="G229" s="117"/>
      <c r="H229" s="118"/>
      <c r="I229" s="161" t="str">
        <f t="shared" si="11"/>
        <v>"L229":"parcelassessmentwithoutdats__"</v>
      </c>
      <c r="J229" s="170" t="s">
        <v>1716</v>
      </c>
      <c r="K229" s="168" t="s">
        <v>116</v>
      </c>
      <c r="L229" s="168" t="s">
        <v>116</v>
      </c>
      <c r="M229" s="143"/>
      <c r="N229" s="188" t="s">
        <v>117</v>
      </c>
      <c r="O229" s="189"/>
      <c r="P229" s="143"/>
      <c r="Q229" s="190" t="s">
        <v>118</v>
      </c>
      <c r="R229" s="191"/>
    </row>
    <row r="230" spans="1:18">
      <c r="B230" s="166"/>
      <c r="C230" s="161" t="str">
        <f t="shared" si="9"/>
        <v>"J230":"parcelassessmentwithdats__"</v>
      </c>
      <c r="D230" s="105" t="s">
        <v>1243</v>
      </c>
      <c r="E230" s="161" t="str">
        <f t="shared" si="10"/>
        <v>"K230":"parcelassessmentwithdats__"</v>
      </c>
      <c r="F230" s="105" t="s">
        <v>1480</v>
      </c>
      <c r="G230" s="119" t="s">
        <v>119</v>
      </c>
      <c r="H230" s="119" t="s">
        <v>107</v>
      </c>
      <c r="I230" s="161" t="str">
        <f t="shared" si="11"/>
        <v>"L230":"parcelassessmentwithoutdats__"</v>
      </c>
      <c r="J230" s="170" t="s">
        <v>1717</v>
      </c>
      <c r="K230" s="90" t="s">
        <v>551</v>
      </c>
      <c r="L230" s="90" t="s">
        <v>553</v>
      </c>
      <c r="M230" s="143"/>
      <c r="N230" s="90" t="s">
        <v>551</v>
      </c>
      <c r="O230" s="90" t="s">
        <v>109</v>
      </c>
      <c r="P230" s="143"/>
      <c r="Q230" s="90" t="s">
        <v>551</v>
      </c>
      <c r="R230" s="90" t="s">
        <v>109</v>
      </c>
    </row>
    <row r="231" spans="1:18">
      <c r="A231" t="s">
        <v>871</v>
      </c>
      <c r="B231" s="166" t="s">
        <v>789</v>
      </c>
      <c r="C231" s="161" t="str">
        <f t="shared" si="9"/>
        <v>"J231":"parcelassessmentwithdats_additionallabourinformation_numberofnewinjurycases"</v>
      </c>
      <c r="D231" s="105" t="s">
        <v>1244</v>
      </c>
      <c r="E231" s="161" t="str">
        <f t="shared" si="10"/>
        <v>"K231":"parcelassessmentwithdats_additionallabourinformation_numberofnewinjurycases"</v>
      </c>
      <c r="F231" s="105" t="s">
        <v>1481</v>
      </c>
      <c r="G231" s="92" t="s">
        <v>142</v>
      </c>
      <c r="H231" s="92" t="s">
        <v>122</v>
      </c>
      <c r="I231" s="161" t="str">
        <f t="shared" si="11"/>
        <v>"L231":"parcelassessmentwithoutdats_additionallabourinformation_numberofnewinjurycases"</v>
      </c>
      <c r="J231" s="170" t="s">
        <v>1718</v>
      </c>
      <c r="K231" s="104">
        <v>1</v>
      </c>
      <c r="L231" s="104">
        <v>1</v>
      </c>
      <c r="M231" s="89"/>
      <c r="N231" s="104"/>
      <c r="O231" s="104"/>
      <c r="P231" s="89"/>
      <c r="Q231" s="104"/>
      <c r="R231" s="104"/>
    </row>
    <row r="232" spans="1:18">
      <c r="A232" t="s">
        <v>871</v>
      </c>
      <c r="B232" s="166" t="s">
        <v>790</v>
      </c>
      <c r="C232" s="161" t="str">
        <f t="shared" si="9"/>
        <v>"J232":"parcelassessmentwithdats_additionallabourinformation_totalnumberoflostworkinghours"</v>
      </c>
      <c r="D232" s="105" t="s">
        <v>1245</v>
      </c>
      <c r="E232" s="161" t="str">
        <f t="shared" si="10"/>
        <v>"K232":"parcelassessmentwithdats_additionallabourinformation_totalnumberoflostworkinghours"</v>
      </c>
      <c r="F232" s="105" t="s">
        <v>1482</v>
      </c>
      <c r="G232" s="92" t="s">
        <v>124</v>
      </c>
      <c r="H232" s="92" t="s">
        <v>122</v>
      </c>
      <c r="I232" s="161" t="str">
        <f t="shared" si="11"/>
        <v>"L232":"parcelassessmentwithoutdats_additionallabourinformation_totalnumberoflostworkinghours"</v>
      </c>
      <c r="J232" s="170" t="s">
        <v>1719</v>
      </c>
      <c r="K232" s="104">
        <v>1</v>
      </c>
      <c r="L232" s="104">
        <v>1</v>
      </c>
      <c r="M232" s="89"/>
      <c r="N232" s="104"/>
      <c r="O232" s="104"/>
      <c r="P232" s="89"/>
      <c r="Q232" s="104"/>
      <c r="R232" s="104"/>
    </row>
    <row r="233" spans="1:18">
      <c r="A233" t="s">
        <v>871</v>
      </c>
      <c r="B233" s="166" t="s">
        <v>791</v>
      </c>
      <c r="C233" s="161" t="str">
        <f t="shared" si="9"/>
        <v>"J233":"parcelassessmentwithdats_additionallabourinformation_totalnumberofworkinghours"</v>
      </c>
      <c r="D233" s="105" t="s">
        <v>1246</v>
      </c>
      <c r="E233" s="161" t="str">
        <f t="shared" si="10"/>
        <v>"K233":"parcelassessmentwithdats_additionallabourinformation_totalnumberofworkinghours"</v>
      </c>
      <c r="F233" s="105" t="s">
        <v>1483</v>
      </c>
      <c r="G233" s="92" t="s">
        <v>143</v>
      </c>
      <c r="H233" s="92" t="s">
        <v>69</v>
      </c>
      <c r="I233" s="161" t="str">
        <f t="shared" si="11"/>
        <v>"L233":"parcelassessmentwithoutdats_additionallabourinformation_totalnumberofworkinghours"</v>
      </c>
      <c r="J233" s="170" t="s">
        <v>1720</v>
      </c>
      <c r="K233" s="104">
        <v>1</v>
      </c>
      <c r="L233" s="104">
        <v>1</v>
      </c>
      <c r="M233" s="89"/>
      <c r="N233" s="104"/>
      <c r="O233" s="104"/>
      <c r="P233" s="89"/>
      <c r="Q233" s="104"/>
      <c r="R233" s="104"/>
    </row>
    <row r="234" spans="1:18">
      <c r="A234" t="s">
        <v>871</v>
      </c>
      <c r="B234" s="166" t="s">
        <v>792</v>
      </c>
      <c r="C234" s="161" t="str">
        <f t="shared" si="9"/>
        <v>"J234":"parcelassessmentwithdats_additionallabourinformation_numberofworkingweeks"</v>
      </c>
      <c r="D234" s="105" t="s">
        <v>1247</v>
      </c>
      <c r="E234" s="161" t="str">
        <f t="shared" si="10"/>
        <v>"K234":"parcelassessmentwithdats_additionallabourinformation_numberofworkingweeks"</v>
      </c>
      <c r="F234" s="105" t="s">
        <v>1484</v>
      </c>
      <c r="G234" s="92" t="s">
        <v>297</v>
      </c>
      <c r="H234" s="92" t="s">
        <v>122</v>
      </c>
      <c r="I234" s="161" t="str">
        <f t="shared" si="11"/>
        <v>"L234":"parcelassessmentwithoutdats_additionallabourinformation_numberofworkingweeks"</v>
      </c>
      <c r="J234" s="170" t="s">
        <v>1721</v>
      </c>
      <c r="K234" s="104">
        <v>1</v>
      </c>
      <c r="L234" s="104">
        <v>1</v>
      </c>
      <c r="M234" s="89"/>
      <c r="N234" s="104"/>
      <c r="O234" s="104"/>
      <c r="P234" s="89"/>
      <c r="Q234" s="104"/>
      <c r="R234" s="104"/>
    </row>
    <row r="235" spans="1:18">
      <c r="A235" t="s">
        <v>871</v>
      </c>
      <c r="B235" s="166" t="s">
        <v>793</v>
      </c>
      <c r="C235" s="161" t="str">
        <f t="shared" si="9"/>
        <v>"J235":"parcelassessmentwithdats_additionallabourinformation_numberofnewlocalemployeeshired"</v>
      </c>
      <c r="D235" s="105" t="s">
        <v>1248</v>
      </c>
      <c r="E235" s="161" t="str">
        <f t="shared" si="10"/>
        <v>"K235":"parcelassessmentwithdats_additionallabourinformation_numberofnewlocalemployeeshired"</v>
      </c>
      <c r="F235" s="105" t="s">
        <v>1485</v>
      </c>
      <c r="G235" s="92" t="s">
        <v>144</v>
      </c>
      <c r="H235" s="92" t="s">
        <v>122</v>
      </c>
      <c r="I235" s="161" t="str">
        <f t="shared" si="11"/>
        <v>"L235":"parcelassessmentwithoutdats_additionallabourinformation_numberofnewlocalemployeeshired"</v>
      </c>
      <c r="J235" s="170" t="s">
        <v>1722</v>
      </c>
      <c r="K235" s="104">
        <v>1</v>
      </c>
      <c r="L235" s="104">
        <v>1</v>
      </c>
      <c r="M235" s="89"/>
      <c r="N235" s="104"/>
      <c r="O235" s="104"/>
      <c r="P235" s="89"/>
      <c r="Q235" s="104"/>
      <c r="R235" s="104"/>
    </row>
    <row r="236" spans="1:18">
      <c r="A236" t="s">
        <v>871</v>
      </c>
      <c r="B236" s="166" t="s">
        <v>794</v>
      </c>
      <c r="C236" s="161" t="str">
        <f t="shared" si="9"/>
        <v>"J236":"parcelassessmentwithdats_additionallabourinformation_numberofnewemployeeshired"</v>
      </c>
      <c r="D236" s="105" t="s">
        <v>1249</v>
      </c>
      <c r="E236" s="161" t="str">
        <f t="shared" si="10"/>
        <v>"K236":"parcelassessmentwithdats_additionallabourinformation_numberofnewemployeeshired"</v>
      </c>
      <c r="F236" s="105" t="s">
        <v>1486</v>
      </c>
      <c r="G236" s="92" t="s">
        <v>145</v>
      </c>
      <c r="H236" s="92" t="s">
        <v>122</v>
      </c>
      <c r="I236" s="161" t="str">
        <f t="shared" si="11"/>
        <v>"L236":"parcelassessmentwithoutdats_additionallabourinformation_numberofnewemployeeshired"</v>
      </c>
      <c r="J236" s="170" t="s">
        <v>1723</v>
      </c>
      <c r="K236" s="104">
        <v>1</v>
      </c>
      <c r="L236" s="104">
        <v>1</v>
      </c>
      <c r="M236" s="89"/>
      <c r="N236" s="104"/>
      <c r="O236" s="104"/>
      <c r="P236" s="89"/>
      <c r="Q236" s="104"/>
      <c r="R236" s="104"/>
    </row>
    <row r="237" spans="1:18">
      <c r="C237" s="161" t="str">
        <f t="shared" si="9"/>
        <v>"J237":"parcelassessmentwithdats__"</v>
      </c>
      <c r="D237" s="105" t="s">
        <v>1250</v>
      </c>
      <c r="E237" s="161" t="str">
        <f t="shared" si="10"/>
        <v>"K237":"parcelassessmentwithdats__"</v>
      </c>
      <c r="F237" s="105" t="s">
        <v>1487</v>
      </c>
      <c r="I237" s="161" t="str">
        <f t="shared" si="11"/>
        <v>"L237":"parcelassessmentwithoutdats__"</v>
      </c>
      <c r="J237" s="170" t="s">
        <v>1724</v>
      </c>
      <c r="K237" s="89"/>
      <c r="L237" s="89"/>
      <c r="M237" s="89"/>
      <c r="N237" s="89"/>
      <c r="O237" s="89"/>
      <c r="P237" s="89"/>
      <c r="Q237" s="89"/>
      <c r="R237" s="89"/>
    </row>
    <row r="238" spans="1:18">
      <c r="C238" s="161" t="str">
        <f t="shared" si="9"/>
        <v>"J238":"parcelassessmentwithdats__"</v>
      </c>
      <c r="D238" s="105" t="s">
        <v>1251</v>
      </c>
      <c r="E238" s="161" t="str">
        <f t="shared" si="10"/>
        <v>"K238":"parcelassessmentwithdats__"</v>
      </c>
      <c r="F238" s="105" t="s">
        <v>1488</v>
      </c>
      <c r="G238" s="136"/>
      <c r="H238" s="137"/>
      <c r="I238" s="161" t="str">
        <f t="shared" si="11"/>
        <v>"L238":"parcelassessmentwithoutdats__"</v>
      </c>
      <c r="J238" s="170" t="s">
        <v>1725</v>
      </c>
      <c r="K238" s="168" t="s">
        <v>116</v>
      </c>
      <c r="L238" s="168" t="s">
        <v>116</v>
      </c>
      <c r="M238" s="143"/>
      <c r="N238" s="188" t="s">
        <v>117</v>
      </c>
      <c r="O238" s="189"/>
      <c r="P238" s="143"/>
      <c r="Q238" s="190" t="s">
        <v>118</v>
      </c>
      <c r="R238" s="191"/>
    </row>
    <row r="239" spans="1:18">
      <c r="C239" s="161" t="str">
        <f t="shared" si="9"/>
        <v>"J239":"parcelassessmentwithdats__"</v>
      </c>
      <c r="D239" s="105" t="s">
        <v>1252</v>
      </c>
      <c r="E239" s="161" t="str">
        <f t="shared" si="10"/>
        <v>"K239":"parcelassessmentwithdats__"</v>
      </c>
      <c r="F239" s="105" t="s">
        <v>1489</v>
      </c>
      <c r="G239" s="138" t="s">
        <v>119</v>
      </c>
      <c r="H239" s="138" t="s">
        <v>107</v>
      </c>
      <c r="I239" s="161" t="str">
        <f t="shared" si="11"/>
        <v>"L239":"parcelassessmentwithoutdats__"</v>
      </c>
      <c r="J239" s="170" t="s">
        <v>1726</v>
      </c>
      <c r="K239" s="90" t="s">
        <v>551</v>
      </c>
      <c r="L239" s="90" t="s">
        <v>553</v>
      </c>
      <c r="M239" s="143"/>
      <c r="N239" s="90" t="s">
        <v>551</v>
      </c>
      <c r="O239" s="90" t="s">
        <v>109</v>
      </c>
      <c r="P239" s="143"/>
      <c r="Q239" s="90" t="s">
        <v>551</v>
      </c>
      <c r="R239" s="90" t="s">
        <v>109</v>
      </c>
    </row>
    <row r="240" spans="1:18">
      <c r="A240" t="s">
        <v>872</v>
      </c>
      <c r="B240" t="s">
        <v>776</v>
      </c>
      <c r="C240" s="161" t="str">
        <f t="shared" si="9"/>
        <v>"J240":"parcelassessmentwithdats_outputinformation_cropproduction"</v>
      </c>
      <c r="D240" s="105" t="s">
        <v>1253</v>
      </c>
      <c r="E240" s="161" t="str">
        <f t="shared" si="10"/>
        <v>"K240":"parcelassessmentwithdats_outputinformation_cropproduction"</v>
      </c>
      <c r="F240" s="105" t="s">
        <v>1490</v>
      </c>
      <c r="G240" s="142" t="s">
        <v>450</v>
      </c>
      <c r="H240" s="142" t="s">
        <v>97</v>
      </c>
      <c r="I240" s="161" t="str">
        <f t="shared" si="11"/>
        <v>"L240":"parcelassessmentwithoutdats_outputinformation_cropproduction"</v>
      </c>
      <c r="J240" s="170" t="s">
        <v>1727</v>
      </c>
      <c r="K240" s="104">
        <v>1</v>
      </c>
      <c r="L240" s="104">
        <v>1</v>
      </c>
      <c r="M240" s="89"/>
      <c r="N240" s="104"/>
      <c r="O240" s="104"/>
      <c r="P240" s="89"/>
      <c r="Q240" s="104"/>
      <c r="R240" s="104"/>
    </row>
    <row r="241" spans="1:18">
      <c r="A241" t="s">
        <v>872</v>
      </c>
      <c r="B241" t="s">
        <v>777</v>
      </c>
      <c r="C241" s="161" t="str">
        <f t="shared" si="9"/>
        <v>"J241":"parcelassessmentwithdats_outputinformation_milkproduction"</v>
      </c>
      <c r="D241" s="105" t="s">
        <v>1254</v>
      </c>
      <c r="E241" s="161" t="str">
        <f t="shared" si="10"/>
        <v>"K241":"parcelassessmentwithdats_outputinformation_milkproduction"</v>
      </c>
      <c r="F241" s="105" t="s">
        <v>1491</v>
      </c>
      <c r="G241" s="92" t="s">
        <v>126</v>
      </c>
      <c r="H241" s="92" t="s">
        <v>81</v>
      </c>
      <c r="I241" s="161" t="str">
        <f t="shared" si="11"/>
        <v>"L241":"parcelassessmentwithoutdats_outputinformation_milkproduction"</v>
      </c>
      <c r="J241" s="170" t="s">
        <v>1728</v>
      </c>
      <c r="K241" s="104">
        <v>1</v>
      </c>
      <c r="L241" s="104">
        <v>1</v>
      </c>
      <c r="M241" s="89"/>
      <c r="N241" s="104"/>
      <c r="O241" s="104"/>
      <c r="P241" s="89"/>
      <c r="Q241" s="104"/>
      <c r="R241" s="104"/>
    </row>
    <row r="242" spans="1:18" ht="15" customHeight="1">
      <c r="A242" t="s">
        <v>872</v>
      </c>
      <c r="B242" t="s">
        <v>778</v>
      </c>
      <c r="C242" s="161" t="str">
        <f t="shared" si="9"/>
        <v>"J242":"parcelassessmentwithdats_outputinformation_meatproduction"</v>
      </c>
      <c r="D242" s="105" t="s">
        <v>1255</v>
      </c>
      <c r="E242" s="161" t="str">
        <f t="shared" si="10"/>
        <v>"K242":"parcelassessmentwithdats_outputinformation_meatproduction"</v>
      </c>
      <c r="F242" s="105" t="s">
        <v>1492</v>
      </c>
      <c r="G242" s="92" t="s">
        <v>127</v>
      </c>
      <c r="H242" s="92" t="s">
        <v>77</v>
      </c>
      <c r="I242" s="161" t="str">
        <f t="shared" si="11"/>
        <v>"L242":"parcelassessmentwithoutdats_outputinformation_meatproduction"</v>
      </c>
      <c r="J242" s="170" t="s">
        <v>1729</v>
      </c>
      <c r="K242" s="104">
        <v>1</v>
      </c>
      <c r="L242" s="104">
        <v>1</v>
      </c>
      <c r="M242" s="89"/>
      <c r="N242" s="104"/>
      <c r="O242" s="104"/>
      <c r="P242" s="89"/>
      <c r="Q242" s="104"/>
      <c r="R242" s="104"/>
    </row>
    <row r="243" spans="1:18" ht="15" customHeight="1">
      <c r="A243" t="s">
        <v>872</v>
      </c>
      <c r="C243" s="161" t="str">
        <f t="shared" si="9"/>
        <v>"J243":"parcelassessmentwithdats_outputinformation_"</v>
      </c>
      <c r="D243" s="105" t="s">
        <v>1256</v>
      </c>
      <c r="E243" s="161" t="str">
        <f t="shared" si="10"/>
        <v>"K243":"parcelassessmentwithdats_outputinformation_"</v>
      </c>
      <c r="F243" s="105" t="s">
        <v>1493</v>
      </c>
      <c r="G243" s="92" t="s">
        <v>581</v>
      </c>
      <c r="H243" s="92" t="s">
        <v>122</v>
      </c>
      <c r="I243" s="161" t="str">
        <f t="shared" si="11"/>
        <v>"L243":"parcelassessmentwithoutdats_outputinformation_"</v>
      </c>
      <c r="J243" s="170" t="s">
        <v>1730</v>
      </c>
      <c r="K243" s="104">
        <v>1</v>
      </c>
      <c r="L243" s="104">
        <v>1</v>
      </c>
      <c r="M243" s="89"/>
      <c r="N243" s="104"/>
      <c r="O243" s="104"/>
      <c r="P243" s="89"/>
      <c r="Q243" s="104"/>
      <c r="R243" s="104"/>
    </row>
    <row r="244" spans="1:18">
      <c r="A244" t="s">
        <v>872</v>
      </c>
      <c r="B244" t="s">
        <v>779</v>
      </c>
      <c r="C244" s="161" t="str">
        <f t="shared" si="9"/>
        <v>"J244":"parcelassessmentwithdats_outputinformation_oysterproduction"</v>
      </c>
      <c r="D244" s="105" t="s">
        <v>1257</v>
      </c>
      <c r="E244" s="161" t="str">
        <f t="shared" si="10"/>
        <v>"K244":"parcelassessmentwithdats_outputinformation_oysterproduction"</v>
      </c>
      <c r="F244" s="105" t="s">
        <v>1494</v>
      </c>
      <c r="G244" s="92" t="s">
        <v>128</v>
      </c>
      <c r="H244" s="92" t="s">
        <v>385</v>
      </c>
      <c r="I244" s="161" t="str">
        <f t="shared" si="11"/>
        <v>"L244":"parcelassessmentwithoutdats_outputinformation_oysterproduction"</v>
      </c>
      <c r="J244" s="170" t="s">
        <v>1731</v>
      </c>
      <c r="K244" s="104">
        <v>1</v>
      </c>
      <c r="L244" s="104">
        <v>1</v>
      </c>
      <c r="M244" s="89"/>
      <c r="N244" s="104"/>
      <c r="O244" s="104"/>
      <c r="P244" s="89"/>
      <c r="Q244" s="104"/>
      <c r="R244" s="104"/>
    </row>
    <row r="245" spans="1:18">
      <c r="A245" t="s">
        <v>872</v>
      </c>
      <c r="B245" t="s">
        <v>780</v>
      </c>
      <c r="C245" s="161" t="str">
        <f t="shared" si="9"/>
        <v>"J245":"parcelassessmentwithdats_outputinformation_honeyproduction"</v>
      </c>
      <c r="D245" s="105" t="s">
        <v>1258</v>
      </c>
      <c r="E245" s="161" t="str">
        <f t="shared" si="10"/>
        <v>"K245":"parcelassessmentwithdats_outputinformation_honeyproduction"</v>
      </c>
      <c r="F245" s="105" t="s">
        <v>1495</v>
      </c>
      <c r="G245" s="92" t="s">
        <v>129</v>
      </c>
      <c r="H245" s="92" t="s">
        <v>77</v>
      </c>
      <c r="I245" s="161" t="str">
        <f t="shared" si="11"/>
        <v>"L245":"parcelassessmentwithoutdats_outputinformation_honeyproduction"</v>
      </c>
      <c r="J245" s="170" t="s">
        <v>1732</v>
      </c>
      <c r="K245" s="104">
        <v>1</v>
      </c>
      <c r="L245" s="104">
        <v>1</v>
      </c>
      <c r="M245" s="89"/>
      <c r="N245" s="104"/>
      <c r="O245" s="104"/>
      <c r="P245" s="89"/>
      <c r="Q245" s="104"/>
      <c r="R245" s="104"/>
    </row>
    <row r="246" spans="1:18">
      <c r="A246" t="s">
        <v>872</v>
      </c>
      <c r="B246" t="s">
        <v>781</v>
      </c>
      <c r="C246" s="161" t="str">
        <f t="shared" si="9"/>
        <v>"J246":"parcelassessmentwithdats_outputinformation_silosproduction"</v>
      </c>
      <c r="D246" s="105" t="s">
        <v>1259</v>
      </c>
      <c r="E246" s="161" t="str">
        <f t="shared" si="10"/>
        <v>"K246":"parcelassessmentwithdats_outputinformation_silosproduction"</v>
      </c>
      <c r="F246" s="105" t="s">
        <v>1496</v>
      </c>
      <c r="G246" s="92" t="s">
        <v>585</v>
      </c>
      <c r="H246" s="92" t="s">
        <v>97</v>
      </c>
      <c r="I246" s="161" t="str">
        <f t="shared" si="11"/>
        <v>"L246":"parcelassessmentwithoutdats_outputinformation_silosproduction"</v>
      </c>
      <c r="J246" s="170" t="s">
        <v>1733</v>
      </c>
      <c r="K246" s="104">
        <v>1</v>
      </c>
      <c r="L246" s="104">
        <v>1</v>
      </c>
      <c r="M246" s="89"/>
      <c r="N246" s="104"/>
      <c r="O246" s="104"/>
      <c r="P246" s="89"/>
      <c r="Q246" s="104"/>
      <c r="R246" s="104"/>
    </row>
    <row r="273" spans="4:6">
      <c r="D273" s="2"/>
      <c r="E273" s="2"/>
      <c r="F273" s="2"/>
    </row>
    <row r="288" spans="4:6">
      <c r="D288" s="2"/>
      <c r="E288" s="2"/>
      <c r="F288" s="2"/>
    </row>
    <row r="289" spans="4:6">
      <c r="D289" s="2"/>
      <c r="E289" s="2"/>
      <c r="F289" s="2"/>
    </row>
    <row r="290" spans="4:6">
      <c r="D290" s="3"/>
      <c r="E290" s="3"/>
      <c r="F290" s="3"/>
    </row>
    <row r="291" spans="4:6">
      <c r="D291" s="2"/>
      <c r="E291" s="2"/>
      <c r="F291" s="2"/>
    </row>
    <row r="292" spans="4:6">
      <c r="D292" s="2"/>
      <c r="E292" s="2"/>
      <c r="F292" s="2"/>
    </row>
    <row r="293" spans="4:6">
      <c r="D293" s="2"/>
      <c r="E293" s="2"/>
      <c r="F293" s="2"/>
    </row>
    <row r="294" spans="4:6">
      <c r="D294" s="2"/>
      <c r="E294" s="2"/>
      <c r="F294" s="2"/>
    </row>
  </sheetData>
  <sheetProtection selectLockedCells="1"/>
  <mergeCells count="27">
    <mergeCell ref="N136:O136"/>
    <mergeCell ref="Q136:R136"/>
    <mergeCell ref="N45:O45"/>
    <mergeCell ref="Q45:R45"/>
    <mergeCell ref="N210:O210"/>
    <mergeCell ref="Q210:R210"/>
    <mergeCell ref="N159:O159"/>
    <mergeCell ref="Q159:R159"/>
    <mergeCell ref="N182:O182"/>
    <mergeCell ref="Q182:R182"/>
    <mergeCell ref="K2:L6"/>
    <mergeCell ref="N60:O60"/>
    <mergeCell ref="N91:O91"/>
    <mergeCell ref="Q91:R91"/>
    <mergeCell ref="N22:O22"/>
    <mergeCell ref="Q22:R22"/>
    <mergeCell ref="N31:O31"/>
    <mergeCell ref="Q31:R31"/>
    <mergeCell ref="Q60:R60"/>
    <mergeCell ref="N70:O70"/>
    <mergeCell ref="Q70:R70"/>
    <mergeCell ref="N238:O238"/>
    <mergeCell ref="Q238:R238"/>
    <mergeCell ref="N220:O220"/>
    <mergeCell ref="Q220:R220"/>
    <mergeCell ref="N229:O229"/>
    <mergeCell ref="Q229:R229"/>
  </mergeCells>
  <phoneticPr fontId="2" type="noConversion"/>
  <dataValidations count="9">
    <dataValidation type="whole" allowBlank="1" showInputMessage="1" showErrorMessage="1" sqref="N95 Q102 N102 Q109 Q82 N109 Q85 N82 N85 N88 Q95 Q88 N116 Q123 N123 Q130 N130 Q116 Q73 Q76 N73 N76 N79 Q79" xr:uid="{B9019D02-4A6D-8F48-8D25-F9F12C931C61}">
      <formula1>0</formula1>
      <formula2>100</formula2>
    </dataValidation>
    <dataValidation type="decimal" allowBlank="1" showInputMessage="1" showErrorMessage="1" sqref="N240:N246 Q215 Q226 Q240:Q246 N218 Q218 N226 N215" xr:uid="{92ED246C-3524-3D42-9A62-7BD5F543F4BE}">
      <formula1>0</formula1>
      <formula2>100000000</formula2>
    </dataValidation>
    <dataValidation type="decimal" allowBlank="1" showInputMessage="1" showErrorMessage="1" sqref="K10:L20 K161:L180 K62:L68 K212:L218 K24:L29 K231:L236 K33:L43 K138:L157 K222:L227 K72:L89 K240:L246 K47:L58 K184:L208 K93:L134" xr:uid="{E766316D-0CB6-AC4A-BCE1-D631956A4E4C}">
      <formula1>0</formula1>
      <formula2>1000000</formula2>
    </dataValidation>
    <dataValidation type="decimal" allowBlank="1" showInputMessage="1" showErrorMessage="1" sqref="N111:N113 N216:N217 N97:N99 Q97:Q99 N104:N106 Q216:Q217 Q104:Q106 Q111:Q113 N132:N134 N118:N120 Q118:Q120 N125:N127 Q125:Q127 Q132:Q134" xr:uid="{70202342-5E22-8D4E-B23C-48ACDEC21FC6}">
      <formula1>0</formula1>
      <formula2>100</formula2>
    </dataValidation>
    <dataValidation type="textLength" allowBlank="1" showInputMessage="1" showErrorMessage="1" sqref="O212:O218 O240:O246 R212:R218 O24:O29 R24:R29 O33:O43 R33:R43 O138:O158 O47:O58 R47:R58 O222:O227 O62:O68 O72:O89 R222:R227 R62:R68 R72:R89 O93:O134 R93:R134 R138:R158 O231:O236 O161:O180 R161:R180 R231:R236 O184:O208 R184:R208 R240:R246" xr:uid="{FCDD250D-27EC-9E49-8040-F9501892EF49}">
      <formula1>1</formula1>
      <formula2>1000</formula2>
    </dataValidation>
    <dataValidation type="decimal" allowBlank="1" showInputMessage="1" showErrorMessage="1" sqref="Q176 Q24:Q29 N33:N43 Q157 N178 Q33:Q43 N151 Q184:Q208 N24:N29 N157 N54 N56 N58 Q58 Q174 N62:N68 Q151 Q62:Q68 Q103 Q54 Q56 N184:N208 N83 N86 N89 Q153 Q89 N174 Q83 Q86 N176 N96 N103 N110 Q110 Q141 Q96 Q178 Q180 N180 Q164 N166 Q162 N162 N164 Q166 Q170 N172 Q168 N168 N170 Q172 Q149 N145 N149 Q145 N147 Q147 Q143 N139 N143 Q139 N141 N153 Q155 N155 Q124 N117 N124 N131 Q131 Q117 N74 N77 N80 Q80 Q74 Q77 N48 N50 N52 Q52 Q48 Q50" xr:uid="{341B72D4-57BD-5648-B949-C9BA96C85226}">
      <formula1>0</formula1>
      <formula2>10000000000000</formula2>
    </dataValidation>
    <dataValidation type="textLength" allowBlank="1" showInputMessage="1" showErrorMessage="1" sqref="Q93:Q94 N93:N94 Q100:Q101 N100:N101 N107:N108 Q107:Q108 N53 N55 N57 Q57 Q84 Q87 Q53 Q55 Q81 N81 N84 N87 Q114:Q115 N114:N115 Q121:Q122 N121:N122 N128:N129 Q128:Q129 Q75 Q78 Q72 N72 N75 N78 N47 N49 N51 Q51 Q47 Q49" xr:uid="{0B52EC43-5FF7-3444-A2EE-7FB6D6F2E612}">
      <formula1>1</formula1>
      <formula2>50</formula2>
    </dataValidation>
    <dataValidation type="textLength" allowBlank="1" showInputMessage="1" showErrorMessage="1" sqref="N177 Q152 Q175 N152 N173 N175 Q177 N150 N156 Q150 Q156 Q173 N179 Q179 N165 Q163 N161 N163 Q165 Q161 N171 Q169 N167 N169 Q171 Q167 Q146 N146 N144 N148 Q144 Q148 Q140 N140 N138 N142 Q138 Q142 N154 Q154" xr:uid="{249985D2-88C4-6449-B4B6-9D2361A9C195}">
      <formula1>0</formula1>
      <formula2>100</formula2>
    </dataValidation>
    <dataValidation type="whole" allowBlank="1" showInputMessage="1" showErrorMessage="1" sqref="Q231:Q236 Q222:Q225 N212:N214 Q227 N227 N231:N236 Q212:Q214 N222:N225" xr:uid="{5DD977DB-7AE0-1142-9D37-C27EDF03B685}">
      <formula1>0</formula1>
      <formula2>10000</formula2>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70EF-0F1F-2A41-BADE-CE6A8757BF3C}">
  <sheetPr codeName="F____5">
    <tabColor rgb="FF7030A0"/>
  </sheetPr>
  <dimension ref="A1:BA246"/>
  <sheetViews>
    <sheetView zoomScale="70" zoomScaleNormal="70" workbookViewId="0">
      <selection activeCell="D50" sqref="D50"/>
    </sheetView>
  </sheetViews>
  <sheetFormatPr defaultColWidth="11.125" defaultRowHeight="15.75"/>
  <cols>
    <col min="1" max="1" width="5.875" customWidth="1"/>
    <col min="2" max="2" width="11.375" customWidth="1"/>
    <col min="3" max="3" width="43" customWidth="1"/>
    <col min="4" max="4" width="19.375" customWidth="1"/>
    <col min="5" max="5" width="15.875" bestFit="1" customWidth="1"/>
    <col min="6" max="6" width="15.875" customWidth="1"/>
    <col min="7" max="7" width="13.625" bestFit="1" customWidth="1"/>
    <col min="8" max="8" width="25" customWidth="1"/>
    <col min="9" max="9" width="10.875" customWidth="1"/>
  </cols>
  <sheetData>
    <row r="1" spans="1:53">
      <c r="A1" t="s">
        <v>104</v>
      </c>
      <c r="BA1" t="s">
        <v>105</v>
      </c>
    </row>
    <row r="2" spans="1:53" ht="20.100000000000001" customHeight="1">
      <c r="G2" s="195" t="s">
        <v>552</v>
      </c>
      <c r="H2" s="195"/>
      <c r="BA2" t="s">
        <v>106</v>
      </c>
    </row>
    <row r="3" spans="1:53" ht="15.95" customHeight="1">
      <c r="G3" s="195"/>
      <c r="H3" s="195"/>
    </row>
    <row r="4" spans="1:53" ht="27" customHeight="1">
      <c r="C4" s="6" t="s">
        <v>102</v>
      </c>
      <c r="D4" s="7" t="s">
        <v>103</v>
      </c>
      <c r="E4" s="103"/>
      <c r="F4" s="15"/>
      <c r="G4" s="195"/>
      <c r="H4" s="195"/>
    </row>
    <row r="5" spans="1:53" ht="15.95" customHeight="1">
      <c r="G5" s="195"/>
      <c r="H5" s="195"/>
    </row>
    <row r="6" spans="1:53" ht="15.95" customHeight="1">
      <c r="G6" s="195"/>
      <c r="H6" s="195"/>
    </row>
    <row r="7" spans="1:53">
      <c r="D7" s="8"/>
      <c r="E7" s="8"/>
      <c r="F7" s="8"/>
      <c r="G7" s="8"/>
    </row>
    <row r="8" spans="1:53">
      <c r="B8" s="196" t="s">
        <v>496</v>
      </c>
      <c r="C8" s="197"/>
      <c r="D8" s="197"/>
      <c r="E8" s="197"/>
      <c r="F8" s="16"/>
      <c r="G8" s="190"/>
      <c r="H8" s="191"/>
      <c r="I8" s="89"/>
    </row>
    <row r="9" spans="1:53">
      <c r="B9" s="158" t="s">
        <v>121</v>
      </c>
      <c r="C9" s="159" t="s">
        <v>119</v>
      </c>
      <c r="D9" s="158" t="s">
        <v>107</v>
      </c>
      <c r="E9" s="159" t="s">
        <v>108</v>
      </c>
      <c r="F9" s="17"/>
      <c r="G9" s="198" t="s">
        <v>109</v>
      </c>
      <c r="H9" s="199"/>
      <c r="I9" s="89"/>
    </row>
    <row r="10" spans="1:53">
      <c r="B10" s="105">
        <v>1</v>
      </c>
      <c r="C10" s="105" t="s">
        <v>110</v>
      </c>
      <c r="D10" s="105" t="s">
        <v>71</v>
      </c>
      <c r="E10" s="104">
        <v>1</v>
      </c>
      <c r="F10" s="14"/>
      <c r="G10" s="193"/>
      <c r="H10" s="194"/>
      <c r="I10" s="89"/>
    </row>
    <row r="11" spans="1:53">
      <c r="B11" s="105">
        <v>2</v>
      </c>
      <c r="C11" s="105" t="s">
        <v>497</v>
      </c>
      <c r="D11" s="105" t="s">
        <v>122</v>
      </c>
      <c r="E11" s="104">
        <v>1</v>
      </c>
      <c r="F11" s="14"/>
      <c r="G11" s="193"/>
      <c r="H11" s="194"/>
      <c r="I11" s="89"/>
    </row>
    <row r="12" spans="1:53">
      <c r="B12" s="105">
        <v>3</v>
      </c>
      <c r="C12" s="105" t="s">
        <v>685</v>
      </c>
      <c r="D12" s="105" t="s">
        <v>114</v>
      </c>
      <c r="E12" s="104">
        <v>1</v>
      </c>
      <c r="F12" s="14"/>
      <c r="G12" s="193"/>
      <c r="H12" s="194"/>
      <c r="I12" s="143"/>
    </row>
    <row r="13" spans="1:53">
      <c r="B13" s="105">
        <v>4</v>
      </c>
      <c r="C13" s="105" t="s">
        <v>686</v>
      </c>
      <c r="D13" s="105" t="s">
        <v>114</v>
      </c>
      <c r="E13" s="104">
        <v>1</v>
      </c>
      <c r="F13" s="14"/>
      <c r="G13" s="193"/>
      <c r="H13" s="194"/>
      <c r="I13" s="143"/>
    </row>
    <row r="14" spans="1:53">
      <c r="B14" s="105">
        <v>5</v>
      </c>
      <c r="C14" s="105" t="s">
        <v>687</v>
      </c>
      <c r="D14" s="105" t="s">
        <v>114</v>
      </c>
      <c r="E14" s="104">
        <v>1</v>
      </c>
      <c r="F14" s="14"/>
      <c r="G14" s="193"/>
      <c r="H14" s="194"/>
      <c r="I14" s="143"/>
    </row>
    <row r="15" spans="1:53" ht="18">
      <c r="B15" s="105">
        <v>6</v>
      </c>
      <c r="C15" s="105" t="s">
        <v>684</v>
      </c>
      <c r="D15" s="105" t="s">
        <v>519</v>
      </c>
      <c r="E15" s="104">
        <v>1</v>
      </c>
      <c r="F15" s="14"/>
      <c r="G15" s="193"/>
      <c r="H15" s="194"/>
      <c r="I15" s="143"/>
    </row>
    <row r="16" spans="1:53">
      <c r="B16" s="105">
        <v>7</v>
      </c>
      <c r="C16" s="105" t="s">
        <v>115</v>
      </c>
      <c r="D16" s="105" t="s">
        <v>114</v>
      </c>
      <c r="E16" s="104">
        <v>1</v>
      </c>
      <c r="F16" s="14"/>
      <c r="G16" s="193"/>
      <c r="H16" s="194"/>
      <c r="I16" s="143"/>
    </row>
    <row r="17" spans="2:9">
      <c r="B17" s="105">
        <v>8</v>
      </c>
      <c r="C17" s="105" t="s">
        <v>111</v>
      </c>
      <c r="D17" s="105" t="s">
        <v>122</v>
      </c>
      <c r="E17" s="104">
        <v>1</v>
      </c>
      <c r="F17" s="14"/>
      <c r="G17" s="193"/>
      <c r="H17" s="194"/>
      <c r="I17" s="89"/>
    </row>
    <row r="18" spans="2:9">
      <c r="B18" s="105">
        <v>9</v>
      </c>
      <c r="C18" s="105" t="s">
        <v>112</v>
      </c>
      <c r="D18" s="105" t="s">
        <v>113</v>
      </c>
      <c r="E18" s="104">
        <v>1</v>
      </c>
      <c r="F18" s="14"/>
      <c r="G18" s="193"/>
      <c r="H18" s="194"/>
      <c r="I18" s="89"/>
    </row>
    <row r="19" spans="2:9">
      <c r="B19" s="105">
        <v>10</v>
      </c>
      <c r="C19" s="105" t="s">
        <v>135</v>
      </c>
      <c r="D19" s="105" t="s">
        <v>122</v>
      </c>
      <c r="E19" s="104">
        <v>1</v>
      </c>
      <c r="G19" s="193"/>
      <c r="H19" s="194"/>
      <c r="I19" s="89"/>
    </row>
    <row r="20" spans="2:9" ht="18">
      <c r="B20" s="105">
        <v>11</v>
      </c>
      <c r="C20" s="105" t="s">
        <v>316</v>
      </c>
      <c r="D20" s="105" t="s">
        <v>317</v>
      </c>
      <c r="E20" s="104">
        <v>1</v>
      </c>
      <c r="G20" s="193"/>
      <c r="H20" s="194"/>
      <c r="I20" s="89"/>
    </row>
    <row r="21" spans="2:9">
      <c r="B21" s="105"/>
      <c r="C21" s="13"/>
      <c r="D21" s="9"/>
      <c r="E21" s="14"/>
      <c r="F21" s="14"/>
      <c r="G21" s="143"/>
      <c r="H21" s="144"/>
      <c r="I21" s="144"/>
    </row>
    <row r="22" spans="2:9">
      <c r="B22" s="106" t="s">
        <v>0</v>
      </c>
      <c r="C22" s="107"/>
      <c r="D22" s="107"/>
      <c r="E22" s="12"/>
      <c r="F22" s="10"/>
      <c r="G22" s="188" t="s">
        <v>116</v>
      </c>
      <c r="H22" s="189"/>
      <c r="I22" s="143"/>
    </row>
    <row r="23" spans="2:9">
      <c r="B23" s="108" t="s">
        <v>121</v>
      </c>
      <c r="C23" s="108" t="s">
        <v>119</v>
      </c>
      <c r="D23" s="108" t="s">
        <v>107</v>
      </c>
      <c r="E23" s="18"/>
      <c r="F23" s="10"/>
      <c r="G23" s="90" t="s">
        <v>553</v>
      </c>
      <c r="H23" s="90" t="s">
        <v>109</v>
      </c>
      <c r="I23" s="143"/>
    </row>
    <row r="24" spans="2:9" ht="18">
      <c r="B24" s="105">
        <v>12</v>
      </c>
      <c r="C24" s="105" t="s">
        <v>1</v>
      </c>
      <c r="D24" s="105" t="s">
        <v>565</v>
      </c>
      <c r="E24" s="14"/>
      <c r="G24" s="104">
        <v>1</v>
      </c>
      <c r="H24" s="104"/>
      <c r="I24" s="89"/>
    </row>
    <row r="25" spans="2:9" ht="18">
      <c r="B25" s="105">
        <v>13</v>
      </c>
      <c r="C25" s="105" t="s">
        <v>2</v>
      </c>
      <c r="D25" s="105" t="s">
        <v>565</v>
      </c>
      <c r="E25" s="14"/>
      <c r="G25" s="104">
        <v>1</v>
      </c>
      <c r="H25" s="104"/>
      <c r="I25" s="89"/>
    </row>
    <row r="26" spans="2:9" ht="18">
      <c r="B26" s="105">
        <v>14</v>
      </c>
      <c r="C26" s="105" t="s">
        <v>30</v>
      </c>
      <c r="D26" s="105" t="s">
        <v>565</v>
      </c>
      <c r="E26" s="14"/>
      <c r="G26" s="104">
        <v>1</v>
      </c>
      <c r="H26" s="104"/>
      <c r="I26" s="89"/>
    </row>
    <row r="27" spans="2:9" ht="18">
      <c r="B27" s="105">
        <v>15</v>
      </c>
      <c r="C27" s="105" t="s">
        <v>3</v>
      </c>
      <c r="D27" s="105" t="s">
        <v>565</v>
      </c>
      <c r="E27" s="14"/>
      <c r="G27" s="104">
        <v>1</v>
      </c>
      <c r="H27" s="104"/>
      <c r="I27" s="89"/>
    </row>
    <row r="28" spans="2:9" ht="18">
      <c r="B28" s="105">
        <v>16</v>
      </c>
      <c r="C28" s="105" t="s">
        <v>120</v>
      </c>
      <c r="D28" s="105" t="s">
        <v>565</v>
      </c>
      <c r="E28" s="14"/>
      <c r="G28" s="104">
        <v>1</v>
      </c>
      <c r="H28" s="104"/>
      <c r="I28" s="89"/>
    </row>
    <row r="29" spans="2:9" ht="18">
      <c r="B29" s="105">
        <v>17</v>
      </c>
      <c r="C29" s="109" t="s">
        <v>138</v>
      </c>
      <c r="D29" s="105" t="s">
        <v>565</v>
      </c>
      <c r="E29" s="14"/>
      <c r="G29" s="104">
        <v>1</v>
      </c>
      <c r="H29" s="104"/>
      <c r="I29" s="89"/>
    </row>
    <row r="30" spans="2:9">
      <c r="G30" s="89"/>
      <c r="H30" s="89"/>
      <c r="I30" s="89"/>
    </row>
    <row r="31" spans="2:9">
      <c r="B31" s="110" t="s">
        <v>5</v>
      </c>
      <c r="C31" s="111"/>
      <c r="D31" s="112"/>
      <c r="E31" s="12"/>
      <c r="G31" s="188" t="s">
        <v>116</v>
      </c>
      <c r="H31" s="189"/>
      <c r="I31" s="143"/>
    </row>
    <row r="32" spans="2:9">
      <c r="B32" s="113" t="s">
        <v>121</v>
      </c>
      <c r="C32" s="113" t="s">
        <v>119</v>
      </c>
      <c r="D32" s="113" t="s">
        <v>183</v>
      </c>
      <c r="E32" s="18"/>
      <c r="G32" s="90" t="s">
        <v>553</v>
      </c>
      <c r="H32" s="90" t="s">
        <v>109</v>
      </c>
      <c r="I32" s="143"/>
    </row>
    <row r="33" spans="2:9">
      <c r="B33" s="105">
        <v>18</v>
      </c>
      <c r="C33" s="105" t="s">
        <v>4</v>
      </c>
      <c r="D33" s="105" t="s">
        <v>81</v>
      </c>
      <c r="E33" s="14"/>
      <c r="G33" s="104">
        <v>1</v>
      </c>
      <c r="H33" s="104"/>
      <c r="I33" s="89"/>
    </row>
    <row r="34" spans="2:9">
      <c r="B34" s="105">
        <v>19</v>
      </c>
      <c r="C34" s="105" t="s">
        <v>16</v>
      </c>
      <c r="D34" s="105" t="s">
        <v>81</v>
      </c>
      <c r="E34" s="14"/>
      <c r="G34" s="104">
        <v>1</v>
      </c>
      <c r="H34" s="104"/>
      <c r="I34" s="89"/>
    </row>
    <row r="35" spans="2:9">
      <c r="B35" s="105">
        <v>20</v>
      </c>
      <c r="C35" s="105" t="s">
        <v>1</v>
      </c>
      <c r="D35" s="105" t="s">
        <v>81</v>
      </c>
      <c r="E35" s="14"/>
      <c r="G35" s="104">
        <v>1</v>
      </c>
      <c r="H35" s="104"/>
      <c r="I35" s="89"/>
    </row>
    <row r="36" spans="2:9">
      <c r="B36" s="105">
        <v>21</v>
      </c>
      <c r="C36" s="105" t="s">
        <v>136</v>
      </c>
      <c r="D36" s="105" t="s">
        <v>81</v>
      </c>
      <c r="E36" s="14"/>
      <c r="G36" s="104">
        <v>1</v>
      </c>
      <c r="H36" s="104"/>
      <c r="I36" s="89"/>
    </row>
    <row r="37" spans="2:9">
      <c r="B37" s="105">
        <v>22</v>
      </c>
      <c r="C37" s="105" t="s">
        <v>35</v>
      </c>
      <c r="D37" s="105" t="s">
        <v>81</v>
      </c>
      <c r="E37" s="14"/>
      <c r="G37" s="104">
        <v>1</v>
      </c>
      <c r="H37" s="104"/>
      <c r="I37" s="89"/>
    </row>
    <row r="38" spans="2:9">
      <c r="B38" s="105">
        <v>23</v>
      </c>
      <c r="C38" s="105" t="s">
        <v>34</v>
      </c>
      <c r="D38" s="105" t="s">
        <v>81</v>
      </c>
      <c r="E38" s="14"/>
      <c r="G38" s="104">
        <v>1</v>
      </c>
      <c r="H38" s="104"/>
      <c r="I38" s="89"/>
    </row>
    <row r="39" spans="2:9">
      <c r="B39" s="105">
        <v>24</v>
      </c>
      <c r="C39" s="105" t="s">
        <v>43</v>
      </c>
      <c r="D39" s="105" t="s">
        <v>81</v>
      </c>
      <c r="E39" s="14"/>
      <c r="G39" s="104">
        <v>1</v>
      </c>
      <c r="H39" s="104"/>
      <c r="I39" s="89"/>
    </row>
    <row r="40" spans="2:9">
      <c r="B40" s="105">
        <v>25</v>
      </c>
      <c r="C40" s="105" t="s">
        <v>45</v>
      </c>
      <c r="D40" s="105" t="s">
        <v>81</v>
      </c>
      <c r="E40" s="14"/>
      <c r="G40" s="104">
        <v>1</v>
      </c>
      <c r="H40" s="104"/>
      <c r="I40" s="89"/>
    </row>
    <row r="41" spans="2:9">
      <c r="B41" s="105">
        <v>26</v>
      </c>
      <c r="C41" s="105" t="s">
        <v>15</v>
      </c>
      <c r="D41" s="105" t="s">
        <v>81</v>
      </c>
      <c r="E41" s="14"/>
      <c r="G41" s="104">
        <v>1</v>
      </c>
      <c r="H41" s="104"/>
      <c r="I41" s="89"/>
    </row>
    <row r="42" spans="2:9">
      <c r="B42" s="105">
        <v>27</v>
      </c>
      <c r="C42" s="105" t="s">
        <v>46</v>
      </c>
      <c r="D42" s="105" t="s">
        <v>81</v>
      </c>
      <c r="E42" s="14"/>
      <c r="G42" s="104">
        <v>1</v>
      </c>
      <c r="H42" s="104"/>
      <c r="I42" s="89"/>
    </row>
    <row r="43" spans="2:9">
      <c r="B43" s="105">
        <v>28</v>
      </c>
      <c r="C43" s="109" t="s">
        <v>146</v>
      </c>
      <c r="D43" s="105" t="s">
        <v>81</v>
      </c>
      <c r="E43" s="14"/>
      <c r="G43" s="104">
        <v>1</v>
      </c>
      <c r="H43" s="104"/>
      <c r="I43" s="89"/>
    </row>
    <row r="44" spans="2:9">
      <c r="B44" s="85"/>
      <c r="C44" s="86"/>
      <c r="D44" s="85"/>
      <c r="E44" s="14"/>
      <c r="G44" s="89"/>
      <c r="H44" s="89"/>
      <c r="I44" s="89"/>
    </row>
    <row r="45" spans="2:9">
      <c r="B45" s="200" t="s">
        <v>524</v>
      </c>
      <c r="C45" s="201"/>
      <c r="D45" s="201"/>
      <c r="E45" s="201"/>
      <c r="G45" s="188" t="s">
        <v>116</v>
      </c>
      <c r="H45" s="189"/>
      <c r="I45" s="143"/>
    </row>
    <row r="46" spans="2:9">
      <c r="B46" s="113" t="s">
        <v>121</v>
      </c>
      <c r="C46" s="113" t="s">
        <v>119</v>
      </c>
      <c r="D46" s="113"/>
      <c r="E46" s="113" t="s">
        <v>107</v>
      </c>
      <c r="G46" s="90" t="s">
        <v>553</v>
      </c>
      <c r="H46" s="90" t="s">
        <v>109</v>
      </c>
      <c r="I46" s="143"/>
    </row>
    <row r="47" spans="2:9">
      <c r="B47" s="105">
        <v>29</v>
      </c>
      <c r="C47" s="105" t="s">
        <v>510</v>
      </c>
      <c r="D47" s="105" t="s">
        <v>513</v>
      </c>
      <c r="E47" s="92"/>
      <c r="G47" s="104">
        <v>1</v>
      </c>
      <c r="H47" s="104"/>
      <c r="I47" s="89"/>
    </row>
    <row r="48" spans="2:9" ht="18">
      <c r="B48" s="105">
        <v>30</v>
      </c>
      <c r="C48" s="105" t="s">
        <v>510</v>
      </c>
      <c r="D48" s="105" t="s">
        <v>515</v>
      </c>
      <c r="E48" s="105" t="s">
        <v>565</v>
      </c>
      <c r="G48" s="104">
        <v>1</v>
      </c>
      <c r="H48" s="104"/>
      <c r="I48" s="89"/>
    </row>
    <row r="49" spans="2:9">
      <c r="B49" s="105">
        <v>31</v>
      </c>
      <c r="C49" s="105" t="s">
        <v>511</v>
      </c>
      <c r="D49" s="105" t="s">
        <v>514</v>
      </c>
      <c r="E49" s="92"/>
      <c r="G49" s="104">
        <v>1</v>
      </c>
      <c r="H49" s="104"/>
      <c r="I49" s="89"/>
    </row>
    <row r="50" spans="2:9" ht="18">
      <c r="B50" s="105">
        <v>32</v>
      </c>
      <c r="C50" s="105" t="s">
        <v>511</v>
      </c>
      <c r="D50" s="105" t="s">
        <v>515</v>
      </c>
      <c r="E50" s="105" t="s">
        <v>565</v>
      </c>
      <c r="G50" s="104">
        <v>1</v>
      </c>
      <c r="H50" s="104"/>
      <c r="I50" s="89"/>
    </row>
    <row r="51" spans="2:9">
      <c r="B51" s="105">
        <v>33</v>
      </c>
      <c r="C51" s="105" t="s">
        <v>512</v>
      </c>
      <c r="D51" s="105" t="s">
        <v>514</v>
      </c>
      <c r="E51" s="92"/>
      <c r="G51" s="104">
        <v>1</v>
      </c>
      <c r="H51" s="104"/>
      <c r="I51" s="89"/>
    </row>
    <row r="52" spans="2:9" ht="18">
      <c r="B52" s="105">
        <v>34</v>
      </c>
      <c r="C52" s="105" t="s">
        <v>512</v>
      </c>
      <c r="D52" s="105" t="s">
        <v>515</v>
      </c>
      <c r="E52" s="105" t="s">
        <v>565</v>
      </c>
      <c r="G52" s="104">
        <v>1</v>
      </c>
      <c r="H52" s="104"/>
      <c r="I52" s="89"/>
    </row>
    <row r="53" spans="2:9">
      <c r="B53" s="105">
        <v>29</v>
      </c>
      <c r="C53" s="105" t="s">
        <v>510</v>
      </c>
      <c r="D53" s="105" t="s">
        <v>513</v>
      </c>
      <c r="E53" s="92"/>
      <c r="G53" s="104">
        <v>1</v>
      </c>
      <c r="H53" s="104"/>
      <c r="I53" s="89"/>
    </row>
    <row r="54" spans="2:9" ht="18">
      <c r="B54" s="105">
        <v>30</v>
      </c>
      <c r="C54" s="105" t="s">
        <v>510</v>
      </c>
      <c r="D54" s="105" t="s">
        <v>515</v>
      </c>
      <c r="E54" s="105" t="s">
        <v>565</v>
      </c>
      <c r="G54" s="104">
        <v>1</v>
      </c>
      <c r="H54" s="104"/>
      <c r="I54" s="89"/>
    </row>
    <row r="55" spans="2:9">
      <c r="B55" s="105">
        <v>31</v>
      </c>
      <c r="C55" s="105" t="s">
        <v>511</v>
      </c>
      <c r="D55" s="105" t="s">
        <v>514</v>
      </c>
      <c r="E55" s="92"/>
      <c r="G55" s="104">
        <v>1</v>
      </c>
      <c r="H55" s="104"/>
      <c r="I55" s="89"/>
    </row>
    <row r="56" spans="2:9" ht="18">
      <c r="B56" s="105">
        <v>32</v>
      </c>
      <c r="C56" s="105" t="s">
        <v>511</v>
      </c>
      <c r="D56" s="105" t="s">
        <v>515</v>
      </c>
      <c r="E56" s="105" t="s">
        <v>565</v>
      </c>
      <c r="G56" s="104">
        <v>1</v>
      </c>
      <c r="H56" s="104"/>
      <c r="I56" s="89"/>
    </row>
    <row r="57" spans="2:9">
      <c r="B57" s="105">
        <v>33</v>
      </c>
      <c r="C57" s="105" t="s">
        <v>512</v>
      </c>
      <c r="D57" s="105" t="s">
        <v>514</v>
      </c>
      <c r="E57" s="92"/>
      <c r="G57" s="104">
        <v>1</v>
      </c>
      <c r="H57" s="104"/>
      <c r="I57" s="89"/>
    </row>
    <row r="58" spans="2:9" ht="18">
      <c r="B58" s="105">
        <v>34</v>
      </c>
      <c r="C58" s="105" t="s">
        <v>512</v>
      </c>
      <c r="D58" s="105" t="s">
        <v>515</v>
      </c>
      <c r="E58" s="105" t="s">
        <v>565</v>
      </c>
      <c r="G58" s="104">
        <v>1</v>
      </c>
      <c r="H58" s="104"/>
      <c r="I58" s="89"/>
    </row>
    <row r="59" spans="2:9">
      <c r="G59" s="89"/>
      <c r="H59" s="89"/>
      <c r="I59" s="89"/>
    </row>
    <row r="60" spans="2:9">
      <c r="B60" s="116" t="s">
        <v>13</v>
      </c>
      <c r="C60" s="117"/>
      <c r="D60" s="118"/>
      <c r="E60" s="12"/>
      <c r="G60" s="188" t="s">
        <v>116</v>
      </c>
      <c r="H60" s="189"/>
      <c r="I60" s="143"/>
    </row>
    <row r="61" spans="2:9">
      <c r="B61" s="119" t="s">
        <v>121</v>
      </c>
      <c r="C61" s="119" t="s">
        <v>119</v>
      </c>
      <c r="D61" s="119" t="s">
        <v>107</v>
      </c>
      <c r="E61" s="18"/>
      <c r="G61" s="90" t="s">
        <v>553</v>
      </c>
      <c r="H61" s="90" t="s">
        <v>109</v>
      </c>
      <c r="I61" s="143"/>
    </row>
    <row r="62" spans="2:9">
      <c r="B62" s="105">
        <v>35</v>
      </c>
      <c r="C62" s="105" t="s">
        <v>35</v>
      </c>
      <c r="D62" s="105" t="s">
        <v>79</v>
      </c>
      <c r="E62" s="14"/>
      <c r="G62" s="104">
        <v>1</v>
      </c>
      <c r="H62" s="104"/>
      <c r="I62" s="89"/>
    </row>
    <row r="63" spans="2:9">
      <c r="B63" s="105">
        <v>36</v>
      </c>
      <c r="C63" s="105" t="s">
        <v>14</v>
      </c>
      <c r="D63" s="105" t="s">
        <v>79</v>
      </c>
      <c r="E63" s="14"/>
      <c r="G63" s="104">
        <v>1</v>
      </c>
      <c r="H63" s="104"/>
      <c r="I63" s="89"/>
    </row>
    <row r="64" spans="2:9">
      <c r="B64" s="105">
        <v>37</v>
      </c>
      <c r="C64" s="105" t="s">
        <v>15</v>
      </c>
      <c r="D64" s="105" t="s">
        <v>79</v>
      </c>
      <c r="E64" s="14"/>
      <c r="G64" s="104">
        <v>1</v>
      </c>
      <c r="H64" s="104"/>
      <c r="I64" s="89"/>
    </row>
    <row r="65" spans="2:9">
      <c r="B65" s="105">
        <v>38</v>
      </c>
      <c r="C65" s="105" t="s">
        <v>37</v>
      </c>
      <c r="D65" s="105" t="s">
        <v>79</v>
      </c>
      <c r="E65" s="14"/>
      <c r="G65" s="104">
        <v>1</v>
      </c>
      <c r="H65" s="104"/>
      <c r="I65" s="89"/>
    </row>
    <row r="66" spans="2:9">
      <c r="B66" s="105">
        <v>39</v>
      </c>
      <c r="C66" s="105" t="s">
        <v>38</v>
      </c>
      <c r="D66" s="105" t="s">
        <v>79</v>
      </c>
      <c r="E66" s="14"/>
      <c r="G66" s="104">
        <v>1</v>
      </c>
      <c r="H66" s="104"/>
      <c r="I66" s="89"/>
    </row>
    <row r="67" spans="2:9">
      <c r="B67" s="105">
        <v>40</v>
      </c>
      <c r="C67" s="105" t="s">
        <v>46</v>
      </c>
      <c r="D67" s="105" t="s">
        <v>79</v>
      </c>
      <c r="E67" s="14"/>
      <c r="G67" s="104">
        <v>1</v>
      </c>
      <c r="H67" s="104"/>
      <c r="I67" s="89"/>
    </row>
    <row r="68" spans="2:9">
      <c r="B68" s="105">
        <v>41</v>
      </c>
      <c r="C68" s="109" t="s">
        <v>147</v>
      </c>
      <c r="D68" s="105" t="s">
        <v>79</v>
      </c>
      <c r="E68" s="14"/>
      <c r="G68" s="104">
        <v>1</v>
      </c>
      <c r="H68" s="104"/>
      <c r="I68" s="89"/>
    </row>
    <row r="69" spans="2:9">
      <c r="G69" s="89"/>
      <c r="H69" s="89"/>
      <c r="I69" s="89"/>
    </row>
    <row r="70" spans="2:9">
      <c r="B70" s="120" t="s">
        <v>503</v>
      </c>
      <c r="C70" s="121"/>
      <c r="D70" s="121"/>
      <c r="E70" s="122"/>
      <c r="G70" s="188" t="s">
        <v>116</v>
      </c>
      <c r="H70" s="189"/>
      <c r="I70" s="143"/>
    </row>
    <row r="71" spans="2:9">
      <c r="B71" s="123" t="s">
        <v>121</v>
      </c>
      <c r="C71" s="123" t="s">
        <v>119</v>
      </c>
      <c r="D71" s="123"/>
      <c r="E71" s="123" t="s">
        <v>107</v>
      </c>
      <c r="G71" s="90" t="s">
        <v>553</v>
      </c>
      <c r="H71" s="90" t="s">
        <v>109</v>
      </c>
      <c r="I71" s="143"/>
    </row>
    <row r="72" spans="2:9">
      <c r="B72" s="160">
        <v>42</v>
      </c>
      <c r="C72" s="92" t="s">
        <v>10</v>
      </c>
      <c r="D72" s="92" t="s">
        <v>647</v>
      </c>
      <c r="E72" s="92"/>
      <c r="G72" s="104">
        <v>1</v>
      </c>
      <c r="H72" s="104"/>
      <c r="I72" s="89"/>
    </row>
    <row r="73" spans="2:9">
      <c r="B73" s="160">
        <v>43</v>
      </c>
      <c r="C73" s="92" t="s">
        <v>10</v>
      </c>
      <c r="D73" s="92" t="s">
        <v>7</v>
      </c>
      <c r="E73" s="92" t="s">
        <v>122</v>
      </c>
      <c r="G73" s="104">
        <v>1</v>
      </c>
      <c r="H73" s="104"/>
      <c r="I73" s="89"/>
    </row>
    <row r="74" spans="2:9">
      <c r="B74" s="160">
        <v>44</v>
      </c>
      <c r="C74" s="92" t="s">
        <v>10</v>
      </c>
      <c r="D74" s="92" t="s">
        <v>504</v>
      </c>
      <c r="E74" s="92" t="str">
        <f>IF('General Information'!F50="€/kg","kg/ha","l/ha")</f>
        <v>kg/ha</v>
      </c>
      <c r="F74" s="76"/>
      <c r="G74" s="104">
        <v>1</v>
      </c>
      <c r="H74" s="104"/>
      <c r="I74" s="89"/>
    </row>
    <row r="75" spans="2:9">
      <c r="B75" s="160">
        <v>45</v>
      </c>
      <c r="C75" s="92" t="s">
        <v>11</v>
      </c>
      <c r="D75" s="92" t="s">
        <v>182</v>
      </c>
      <c r="E75" s="92"/>
      <c r="G75" s="104">
        <v>1</v>
      </c>
      <c r="H75" s="104"/>
      <c r="I75" s="89"/>
    </row>
    <row r="76" spans="2:9">
      <c r="B76" s="160">
        <v>46</v>
      </c>
      <c r="C76" s="92" t="s">
        <v>11</v>
      </c>
      <c r="D76" s="92" t="s">
        <v>7</v>
      </c>
      <c r="E76" s="92" t="s">
        <v>122</v>
      </c>
      <c r="G76" s="104">
        <v>1</v>
      </c>
      <c r="H76" s="104"/>
      <c r="I76" s="89"/>
    </row>
    <row r="77" spans="2:9">
      <c r="B77" s="160">
        <v>47</v>
      </c>
      <c r="C77" s="92" t="s">
        <v>11</v>
      </c>
      <c r="D77" s="92" t="s">
        <v>504</v>
      </c>
      <c r="E77" s="92" t="str">
        <f>IF('General Information'!F51="€/kg","kg/ha","l/ha")</f>
        <v>kg/ha</v>
      </c>
      <c r="G77" s="104">
        <v>1</v>
      </c>
      <c r="H77" s="104"/>
      <c r="I77" s="89"/>
    </row>
    <row r="78" spans="2:9">
      <c r="B78" s="160">
        <v>48</v>
      </c>
      <c r="C78" s="92" t="s">
        <v>627</v>
      </c>
      <c r="D78" s="92" t="s">
        <v>628</v>
      </c>
      <c r="E78" s="92"/>
      <c r="G78" s="104">
        <v>1</v>
      </c>
      <c r="H78" s="104"/>
      <c r="I78" s="89"/>
    </row>
    <row r="79" spans="2:9">
      <c r="B79" s="160">
        <v>49</v>
      </c>
      <c r="C79" s="92" t="s">
        <v>627</v>
      </c>
      <c r="D79" s="92" t="s">
        <v>7</v>
      </c>
      <c r="E79" s="92" t="s">
        <v>122</v>
      </c>
      <c r="G79" s="104">
        <v>1</v>
      </c>
      <c r="H79" s="104"/>
      <c r="I79" s="89"/>
    </row>
    <row r="80" spans="2:9">
      <c r="B80" s="160">
        <v>50</v>
      </c>
      <c r="C80" s="92" t="s">
        <v>627</v>
      </c>
      <c r="D80" s="92" t="s">
        <v>504</v>
      </c>
      <c r="E80" s="92" t="str">
        <f>IF('General Information'!F59="€/kg","kg/ha","l/ha")</f>
        <v>kg/ha</v>
      </c>
      <c r="G80" s="104">
        <v>1</v>
      </c>
      <c r="H80" s="104"/>
      <c r="I80" s="89"/>
    </row>
    <row r="81" spans="2:9">
      <c r="B81" s="160">
        <v>42</v>
      </c>
      <c r="C81" s="92" t="s">
        <v>10</v>
      </c>
      <c r="D81" s="92" t="s">
        <v>647</v>
      </c>
      <c r="E81" s="92"/>
      <c r="G81" s="104">
        <v>1</v>
      </c>
      <c r="H81" s="104"/>
      <c r="I81" s="89"/>
    </row>
    <row r="82" spans="2:9">
      <c r="B82" s="160">
        <v>43</v>
      </c>
      <c r="C82" s="92" t="s">
        <v>10</v>
      </c>
      <c r="D82" s="92" t="s">
        <v>7</v>
      </c>
      <c r="E82" s="92" t="s">
        <v>122</v>
      </c>
      <c r="G82" s="104">
        <v>1</v>
      </c>
      <c r="H82" s="104"/>
      <c r="I82" s="89"/>
    </row>
    <row r="83" spans="2:9">
      <c r="B83" s="160">
        <v>44</v>
      </c>
      <c r="C83" s="92" t="s">
        <v>10</v>
      </c>
      <c r="D83" s="92" t="s">
        <v>504</v>
      </c>
      <c r="E83" s="92" t="str">
        <f>IF('General Information'!F59="€/kg","kg/ha","l/ha")</f>
        <v>kg/ha</v>
      </c>
      <c r="F83" s="76"/>
      <c r="G83" s="104">
        <v>1</v>
      </c>
      <c r="H83" s="104"/>
      <c r="I83" s="89"/>
    </row>
    <row r="84" spans="2:9">
      <c r="B84" s="160">
        <v>45</v>
      </c>
      <c r="C84" s="92" t="s">
        <v>11</v>
      </c>
      <c r="D84" s="92" t="s">
        <v>182</v>
      </c>
      <c r="E84" s="92"/>
      <c r="G84" s="104">
        <v>1</v>
      </c>
      <c r="H84" s="104"/>
      <c r="I84" s="89"/>
    </row>
    <row r="85" spans="2:9">
      <c r="B85" s="160">
        <v>46</v>
      </c>
      <c r="C85" s="92" t="s">
        <v>11</v>
      </c>
      <c r="D85" s="92" t="s">
        <v>7</v>
      </c>
      <c r="E85" s="92" t="s">
        <v>122</v>
      </c>
      <c r="G85" s="104">
        <v>1</v>
      </c>
      <c r="H85" s="104"/>
      <c r="I85" s="89"/>
    </row>
    <row r="86" spans="2:9">
      <c r="B86" s="160">
        <v>47</v>
      </c>
      <c r="C86" s="92" t="s">
        <v>11</v>
      </c>
      <c r="D86" s="92" t="s">
        <v>504</v>
      </c>
      <c r="E86" s="92" t="str">
        <f>IF('General Information'!F60="€/kg","kg/ha","l/ha")</f>
        <v>l/ha</v>
      </c>
      <c r="G86" s="104">
        <v>1</v>
      </c>
      <c r="H86" s="104"/>
      <c r="I86" s="89"/>
    </row>
    <row r="87" spans="2:9">
      <c r="B87" s="160">
        <v>48</v>
      </c>
      <c r="C87" s="92" t="s">
        <v>627</v>
      </c>
      <c r="D87" s="92" t="s">
        <v>628</v>
      </c>
      <c r="E87" s="92"/>
      <c r="G87" s="104">
        <v>1</v>
      </c>
      <c r="H87" s="104"/>
      <c r="I87" s="89"/>
    </row>
    <row r="88" spans="2:9">
      <c r="B88" s="160">
        <v>49</v>
      </c>
      <c r="C88" s="92" t="s">
        <v>627</v>
      </c>
      <c r="D88" s="92" t="s">
        <v>7</v>
      </c>
      <c r="E88" s="92" t="s">
        <v>122</v>
      </c>
      <c r="G88" s="104">
        <v>1</v>
      </c>
      <c r="H88" s="104"/>
      <c r="I88" s="89"/>
    </row>
    <row r="89" spans="2:9">
      <c r="B89" s="160">
        <v>50</v>
      </c>
      <c r="C89" s="92" t="s">
        <v>627</v>
      </c>
      <c r="D89" s="92" t="s">
        <v>504</v>
      </c>
      <c r="E89" s="92" t="str">
        <f>IF('General Information'!F68="€/kg","kg/ha","l/ha")</f>
        <v>l/ha</v>
      </c>
      <c r="G89" s="104">
        <v>1</v>
      </c>
      <c r="H89" s="104"/>
      <c r="I89" s="89"/>
    </row>
    <row r="90" spans="2:9">
      <c r="G90" s="89"/>
      <c r="H90" s="89"/>
      <c r="I90" s="89"/>
    </row>
    <row r="91" spans="2:9">
      <c r="B91" s="124" t="s">
        <v>8</v>
      </c>
      <c r="C91" s="125"/>
      <c r="D91" s="125"/>
      <c r="E91" s="126"/>
      <c r="G91" s="188" t="s">
        <v>116</v>
      </c>
      <c r="H91" s="189"/>
      <c r="I91" s="143"/>
    </row>
    <row r="92" spans="2:9">
      <c r="B92" s="127" t="s">
        <v>121</v>
      </c>
      <c r="C92" s="127" t="s">
        <v>119</v>
      </c>
      <c r="D92" s="127"/>
      <c r="E92" s="127" t="s">
        <v>107</v>
      </c>
      <c r="G92" s="90" t="s">
        <v>553</v>
      </c>
      <c r="H92" s="90" t="s">
        <v>109</v>
      </c>
      <c r="I92" s="143"/>
    </row>
    <row r="93" spans="2:9">
      <c r="B93" s="160">
        <v>51</v>
      </c>
      <c r="C93" s="92" t="s">
        <v>294</v>
      </c>
      <c r="D93" s="92" t="s">
        <v>386</v>
      </c>
      <c r="E93" s="92"/>
      <c r="G93" s="104">
        <v>1</v>
      </c>
      <c r="H93" s="104"/>
      <c r="I93" s="89"/>
    </row>
    <row r="94" spans="2:9">
      <c r="B94" s="160">
        <v>52</v>
      </c>
      <c r="C94" s="92" t="s">
        <v>294</v>
      </c>
      <c r="D94" s="92" t="s">
        <v>653</v>
      </c>
      <c r="E94" s="92"/>
      <c r="G94" s="104">
        <v>1</v>
      </c>
      <c r="H94" s="104"/>
      <c r="I94" s="89"/>
    </row>
    <row r="95" spans="2:9">
      <c r="B95" s="160">
        <v>53</v>
      </c>
      <c r="C95" s="92" t="s">
        <v>294</v>
      </c>
      <c r="D95" s="92" t="s">
        <v>7</v>
      </c>
      <c r="E95" s="92" t="s">
        <v>122</v>
      </c>
      <c r="G95" s="104">
        <v>1</v>
      </c>
      <c r="H95" s="104"/>
      <c r="I95" s="89"/>
    </row>
    <row r="96" spans="2:9">
      <c r="B96" s="160">
        <v>54</v>
      </c>
      <c r="C96" s="92" t="s">
        <v>294</v>
      </c>
      <c r="D96" s="92" t="s">
        <v>504</v>
      </c>
      <c r="E96" s="92" t="str">
        <f>IF('General Information'!F68="€/t","t/ha","kg/ha")</f>
        <v>t/ha</v>
      </c>
      <c r="G96" s="104">
        <v>1</v>
      </c>
      <c r="H96" s="104"/>
      <c r="I96" s="89"/>
    </row>
    <row r="97" spans="2:9">
      <c r="B97" s="160">
        <v>55</v>
      </c>
      <c r="C97" s="92" t="s">
        <v>294</v>
      </c>
      <c r="D97" s="92" t="s">
        <v>505</v>
      </c>
      <c r="E97" s="92" t="s">
        <v>114</v>
      </c>
      <c r="G97" s="104">
        <v>1</v>
      </c>
      <c r="H97" s="104"/>
      <c r="I97" s="89"/>
    </row>
    <row r="98" spans="2:9">
      <c r="B98" s="160">
        <v>56</v>
      </c>
      <c r="C98" s="92" t="s">
        <v>294</v>
      </c>
      <c r="D98" s="92" t="s">
        <v>506</v>
      </c>
      <c r="E98" s="92" t="s">
        <v>114</v>
      </c>
      <c r="G98" s="104">
        <v>1</v>
      </c>
      <c r="H98" s="104"/>
      <c r="I98" s="89"/>
    </row>
    <row r="99" spans="2:9">
      <c r="B99" s="160">
        <v>57</v>
      </c>
      <c r="C99" s="92" t="s">
        <v>294</v>
      </c>
      <c r="D99" s="92" t="s">
        <v>507</v>
      </c>
      <c r="E99" s="92" t="s">
        <v>114</v>
      </c>
      <c r="G99" s="104">
        <v>1</v>
      </c>
      <c r="H99" s="104"/>
      <c r="I99" s="89"/>
    </row>
    <row r="100" spans="2:9">
      <c r="B100" s="160">
        <v>58</v>
      </c>
      <c r="C100" s="92" t="s">
        <v>295</v>
      </c>
      <c r="D100" s="92" t="s">
        <v>387</v>
      </c>
      <c r="E100" s="92"/>
      <c r="G100" s="104">
        <v>1</v>
      </c>
      <c r="H100" s="104"/>
      <c r="I100" s="89"/>
    </row>
    <row r="101" spans="2:9">
      <c r="B101" s="160">
        <v>59</v>
      </c>
      <c r="C101" s="92" t="s">
        <v>295</v>
      </c>
      <c r="D101" s="92" t="s">
        <v>653</v>
      </c>
      <c r="E101" s="92"/>
      <c r="G101" s="104">
        <v>1</v>
      </c>
      <c r="H101" s="104"/>
      <c r="I101" s="89"/>
    </row>
    <row r="102" spans="2:9">
      <c r="B102" s="160">
        <v>60</v>
      </c>
      <c r="C102" s="92" t="s">
        <v>295</v>
      </c>
      <c r="D102" s="92" t="s">
        <v>7</v>
      </c>
      <c r="E102" s="92" t="s">
        <v>122</v>
      </c>
      <c r="G102" s="104">
        <v>1</v>
      </c>
      <c r="H102" s="104"/>
      <c r="I102" s="89"/>
    </row>
    <row r="103" spans="2:9">
      <c r="B103" s="160">
        <v>61</v>
      </c>
      <c r="C103" s="92" t="s">
        <v>295</v>
      </c>
      <c r="D103" s="92" t="s">
        <v>504</v>
      </c>
      <c r="E103" s="92" t="str">
        <f>IF('General Information'!F69="€/t","t/ha","kg/ha")</f>
        <v>t/ha</v>
      </c>
      <c r="G103" s="104">
        <v>1</v>
      </c>
      <c r="H103" s="104"/>
      <c r="I103" s="89"/>
    </row>
    <row r="104" spans="2:9">
      <c r="B104" s="160">
        <v>62</v>
      </c>
      <c r="C104" s="92" t="s">
        <v>295</v>
      </c>
      <c r="D104" s="92" t="s">
        <v>505</v>
      </c>
      <c r="E104" s="92" t="s">
        <v>114</v>
      </c>
      <c r="G104" s="104">
        <v>1</v>
      </c>
      <c r="H104" s="104"/>
      <c r="I104" s="89"/>
    </row>
    <row r="105" spans="2:9">
      <c r="B105" s="160">
        <v>63</v>
      </c>
      <c r="C105" s="92" t="s">
        <v>295</v>
      </c>
      <c r="D105" s="92" t="s">
        <v>506</v>
      </c>
      <c r="E105" s="92" t="s">
        <v>114</v>
      </c>
      <c r="G105" s="104">
        <v>1</v>
      </c>
      <c r="H105" s="104"/>
      <c r="I105" s="89"/>
    </row>
    <row r="106" spans="2:9">
      <c r="B106" s="160">
        <v>64</v>
      </c>
      <c r="C106" s="92" t="s">
        <v>295</v>
      </c>
      <c r="D106" s="92" t="s">
        <v>507</v>
      </c>
      <c r="E106" s="92" t="s">
        <v>114</v>
      </c>
      <c r="G106" s="104">
        <v>1</v>
      </c>
      <c r="H106" s="104"/>
      <c r="I106" s="89"/>
    </row>
    <row r="107" spans="2:9">
      <c r="B107" s="160">
        <v>65</v>
      </c>
      <c r="C107" s="92" t="s">
        <v>629</v>
      </c>
      <c r="D107" s="92" t="s">
        <v>648</v>
      </c>
      <c r="E107" s="92"/>
      <c r="G107" s="104">
        <v>1</v>
      </c>
      <c r="H107" s="104"/>
      <c r="I107" s="89"/>
    </row>
    <row r="108" spans="2:9">
      <c r="B108" s="160">
        <v>66</v>
      </c>
      <c r="C108" s="92" t="s">
        <v>629</v>
      </c>
      <c r="D108" s="92" t="s">
        <v>653</v>
      </c>
      <c r="E108" s="92"/>
      <c r="G108" s="104">
        <v>1</v>
      </c>
      <c r="H108" s="104"/>
      <c r="I108" s="89"/>
    </row>
    <row r="109" spans="2:9">
      <c r="B109" s="160">
        <v>67</v>
      </c>
      <c r="C109" s="92" t="s">
        <v>629</v>
      </c>
      <c r="D109" s="92" t="s">
        <v>7</v>
      </c>
      <c r="E109" s="92" t="s">
        <v>122</v>
      </c>
      <c r="G109" s="104">
        <v>1</v>
      </c>
      <c r="H109" s="104"/>
      <c r="I109" s="89"/>
    </row>
    <row r="110" spans="2:9">
      <c r="B110" s="160">
        <v>68</v>
      </c>
      <c r="C110" s="92" t="s">
        <v>629</v>
      </c>
      <c r="D110" s="92" t="s">
        <v>504</v>
      </c>
      <c r="E110" s="92" t="str">
        <f>IF('General Information'!F70="€/t","t/ha","kg/ha")</f>
        <v>t/ha</v>
      </c>
      <c r="G110" s="104">
        <v>1</v>
      </c>
      <c r="H110" s="104"/>
      <c r="I110" s="89"/>
    </row>
    <row r="111" spans="2:9">
      <c r="B111" s="160">
        <v>69</v>
      </c>
      <c r="C111" s="92" t="s">
        <v>629</v>
      </c>
      <c r="D111" s="92" t="s">
        <v>505</v>
      </c>
      <c r="E111" s="92" t="s">
        <v>114</v>
      </c>
      <c r="G111" s="104">
        <v>1</v>
      </c>
      <c r="H111" s="104"/>
      <c r="I111" s="89"/>
    </row>
    <row r="112" spans="2:9">
      <c r="B112" s="160">
        <v>70</v>
      </c>
      <c r="C112" s="92" t="s">
        <v>629</v>
      </c>
      <c r="D112" s="92" t="s">
        <v>506</v>
      </c>
      <c r="E112" s="92" t="s">
        <v>114</v>
      </c>
      <c r="G112" s="104">
        <v>1</v>
      </c>
      <c r="H112" s="104"/>
      <c r="I112" s="89"/>
    </row>
    <row r="113" spans="2:9">
      <c r="B113" s="160">
        <v>71</v>
      </c>
      <c r="C113" s="92" t="s">
        <v>629</v>
      </c>
      <c r="D113" s="92" t="s">
        <v>507</v>
      </c>
      <c r="E113" s="92" t="s">
        <v>114</v>
      </c>
      <c r="G113" s="104">
        <v>1</v>
      </c>
      <c r="H113" s="104"/>
      <c r="I113" s="89"/>
    </row>
    <row r="114" spans="2:9">
      <c r="B114" s="160">
        <v>51</v>
      </c>
      <c r="C114" s="92" t="s">
        <v>294</v>
      </c>
      <c r="D114" s="92" t="s">
        <v>386</v>
      </c>
      <c r="E114" s="92"/>
      <c r="G114" s="104">
        <v>1</v>
      </c>
      <c r="H114" s="104"/>
      <c r="I114" s="89"/>
    </row>
    <row r="115" spans="2:9">
      <c r="B115" s="160">
        <v>52</v>
      </c>
      <c r="C115" s="92" t="s">
        <v>294</v>
      </c>
      <c r="D115" s="92" t="s">
        <v>653</v>
      </c>
      <c r="E115" s="92"/>
      <c r="G115" s="104">
        <v>1</v>
      </c>
      <c r="H115" s="104"/>
      <c r="I115" s="89"/>
    </row>
    <row r="116" spans="2:9">
      <c r="B116" s="160">
        <v>53</v>
      </c>
      <c r="C116" s="92" t="s">
        <v>294</v>
      </c>
      <c r="D116" s="92" t="s">
        <v>7</v>
      </c>
      <c r="E116" s="92" t="s">
        <v>122</v>
      </c>
      <c r="G116" s="104">
        <v>1</v>
      </c>
      <c r="H116" s="104"/>
      <c r="I116" s="89"/>
    </row>
    <row r="117" spans="2:9">
      <c r="B117" s="160">
        <v>54</v>
      </c>
      <c r="C117" s="92" t="s">
        <v>294</v>
      </c>
      <c r="D117" s="92" t="s">
        <v>504</v>
      </c>
      <c r="E117" s="92" t="str">
        <f>IF('General Information'!F89="€/t","t/ha","kg/ha")</f>
        <v>kg/ha</v>
      </c>
      <c r="G117" s="104">
        <v>1</v>
      </c>
      <c r="H117" s="104"/>
      <c r="I117" s="89"/>
    </row>
    <row r="118" spans="2:9">
      <c r="B118" s="160">
        <v>55</v>
      </c>
      <c r="C118" s="92" t="s">
        <v>294</v>
      </c>
      <c r="D118" s="92" t="s">
        <v>505</v>
      </c>
      <c r="E118" s="92" t="s">
        <v>114</v>
      </c>
      <c r="G118" s="104">
        <v>1</v>
      </c>
      <c r="H118" s="104"/>
      <c r="I118" s="89"/>
    </row>
    <row r="119" spans="2:9">
      <c r="B119" s="160">
        <v>56</v>
      </c>
      <c r="C119" s="92" t="s">
        <v>294</v>
      </c>
      <c r="D119" s="92" t="s">
        <v>506</v>
      </c>
      <c r="E119" s="92" t="s">
        <v>114</v>
      </c>
      <c r="G119" s="104">
        <v>1</v>
      </c>
      <c r="H119" s="104"/>
      <c r="I119" s="89"/>
    </row>
    <row r="120" spans="2:9">
      <c r="B120" s="160">
        <v>57</v>
      </c>
      <c r="C120" s="92" t="s">
        <v>294</v>
      </c>
      <c r="D120" s="92" t="s">
        <v>507</v>
      </c>
      <c r="E120" s="92" t="s">
        <v>114</v>
      </c>
      <c r="G120" s="104">
        <v>1</v>
      </c>
      <c r="H120" s="104"/>
      <c r="I120" s="89"/>
    </row>
    <row r="121" spans="2:9">
      <c r="B121" s="160">
        <v>58</v>
      </c>
      <c r="C121" s="92" t="s">
        <v>295</v>
      </c>
      <c r="D121" s="92" t="s">
        <v>387</v>
      </c>
      <c r="E121" s="92"/>
      <c r="G121" s="104">
        <v>1</v>
      </c>
      <c r="H121" s="104"/>
      <c r="I121" s="89"/>
    </row>
    <row r="122" spans="2:9">
      <c r="B122" s="160">
        <v>59</v>
      </c>
      <c r="C122" s="92" t="s">
        <v>295</v>
      </c>
      <c r="D122" s="92" t="s">
        <v>653</v>
      </c>
      <c r="E122" s="92"/>
      <c r="G122" s="104">
        <v>1</v>
      </c>
      <c r="H122" s="104"/>
      <c r="I122" s="89"/>
    </row>
    <row r="123" spans="2:9">
      <c r="B123" s="160">
        <v>60</v>
      </c>
      <c r="C123" s="92" t="s">
        <v>295</v>
      </c>
      <c r="D123" s="92" t="s">
        <v>7</v>
      </c>
      <c r="E123" s="92" t="s">
        <v>122</v>
      </c>
      <c r="G123" s="104">
        <v>1</v>
      </c>
      <c r="H123" s="104"/>
      <c r="I123" s="89"/>
    </row>
    <row r="124" spans="2:9">
      <c r="B124" s="160">
        <v>61</v>
      </c>
      <c r="C124" s="92" t="s">
        <v>295</v>
      </c>
      <c r="D124" s="92" t="s">
        <v>504</v>
      </c>
      <c r="E124" s="92" t="str">
        <f>IF('General Information'!F90="€/t","t/ha","kg/ha")</f>
        <v>kg/ha</v>
      </c>
      <c r="G124" s="104">
        <v>1</v>
      </c>
      <c r="H124" s="104"/>
      <c r="I124" s="89"/>
    </row>
    <row r="125" spans="2:9">
      <c r="B125" s="160">
        <v>62</v>
      </c>
      <c r="C125" s="92" t="s">
        <v>295</v>
      </c>
      <c r="D125" s="92" t="s">
        <v>505</v>
      </c>
      <c r="E125" s="92" t="s">
        <v>114</v>
      </c>
      <c r="G125" s="104">
        <v>1</v>
      </c>
      <c r="H125" s="104"/>
      <c r="I125" s="89"/>
    </row>
    <row r="126" spans="2:9">
      <c r="B126" s="160">
        <v>63</v>
      </c>
      <c r="C126" s="92" t="s">
        <v>295</v>
      </c>
      <c r="D126" s="92" t="s">
        <v>506</v>
      </c>
      <c r="E126" s="92" t="s">
        <v>114</v>
      </c>
      <c r="G126" s="104">
        <v>1</v>
      </c>
      <c r="H126" s="104"/>
      <c r="I126" s="89"/>
    </row>
    <row r="127" spans="2:9">
      <c r="B127" s="160">
        <v>64</v>
      </c>
      <c r="C127" s="92" t="s">
        <v>295</v>
      </c>
      <c r="D127" s="92" t="s">
        <v>507</v>
      </c>
      <c r="E127" s="92" t="s">
        <v>114</v>
      </c>
      <c r="G127" s="104">
        <v>1</v>
      </c>
      <c r="H127" s="104"/>
      <c r="I127" s="89"/>
    </row>
    <row r="128" spans="2:9">
      <c r="B128" s="160">
        <v>65</v>
      </c>
      <c r="C128" s="92" t="s">
        <v>629</v>
      </c>
      <c r="D128" s="92" t="s">
        <v>648</v>
      </c>
      <c r="E128" s="92"/>
      <c r="G128" s="104">
        <v>1</v>
      </c>
      <c r="H128" s="104"/>
      <c r="I128" s="89"/>
    </row>
    <row r="129" spans="2:9">
      <c r="B129" s="160">
        <v>66</v>
      </c>
      <c r="C129" s="92" t="s">
        <v>629</v>
      </c>
      <c r="D129" s="92" t="s">
        <v>653</v>
      </c>
      <c r="E129" s="92"/>
      <c r="G129" s="104">
        <v>1</v>
      </c>
      <c r="H129" s="104"/>
      <c r="I129" s="89"/>
    </row>
    <row r="130" spans="2:9">
      <c r="B130" s="160">
        <v>67</v>
      </c>
      <c r="C130" s="92" t="s">
        <v>629</v>
      </c>
      <c r="D130" s="92" t="s">
        <v>7</v>
      </c>
      <c r="E130" s="92" t="s">
        <v>122</v>
      </c>
      <c r="G130" s="104">
        <v>1</v>
      </c>
      <c r="H130" s="104"/>
      <c r="I130" s="89"/>
    </row>
    <row r="131" spans="2:9">
      <c r="B131" s="160">
        <v>68</v>
      </c>
      <c r="C131" s="92" t="s">
        <v>629</v>
      </c>
      <c r="D131" s="92" t="s">
        <v>504</v>
      </c>
      <c r="E131" s="92" t="str">
        <f>IF('General Information'!F91="€/t","t/ha","kg/ha")</f>
        <v>kg/ha</v>
      </c>
      <c r="G131" s="104">
        <v>1</v>
      </c>
      <c r="H131" s="104"/>
      <c r="I131" s="89"/>
    </row>
    <row r="132" spans="2:9">
      <c r="B132" s="160">
        <v>69</v>
      </c>
      <c r="C132" s="92" t="s">
        <v>629</v>
      </c>
      <c r="D132" s="92" t="s">
        <v>505</v>
      </c>
      <c r="E132" s="92" t="s">
        <v>114</v>
      </c>
      <c r="G132" s="104">
        <v>1</v>
      </c>
      <c r="H132" s="104"/>
      <c r="I132" s="89"/>
    </row>
    <row r="133" spans="2:9">
      <c r="B133" s="160">
        <v>70</v>
      </c>
      <c r="C133" s="92" t="s">
        <v>629</v>
      </c>
      <c r="D133" s="92" t="s">
        <v>506</v>
      </c>
      <c r="E133" s="92" t="s">
        <v>114</v>
      </c>
      <c r="G133" s="104">
        <v>1</v>
      </c>
      <c r="H133" s="104"/>
      <c r="I133" s="89"/>
    </row>
    <row r="134" spans="2:9">
      <c r="B134" s="160">
        <v>71</v>
      </c>
      <c r="C134" s="92" t="s">
        <v>629</v>
      </c>
      <c r="D134" s="92" t="s">
        <v>507</v>
      </c>
      <c r="E134" s="92" t="s">
        <v>114</v>
      </c>
      <c r="G134" s="104">
        <v>1</v>
      </c>
      <c r="H134" s="104"/>
      <c r="I134" s="89"/>
    </row>
    <row r="135" spans="2:9">
      <c r="F135" s="14"/>
      <c r="G135" s="89"/>
      <c r="H135" s="115"/>
      <c r="I135" s="115"/>
    </row>
    <row r="136" spans="2:9">
      <c r="B136" s="128" t="s">
        <v>9</v>
      </c>
      <c r="C136" s="129"/>
      <c r="D136" s="130"/>
      <c r="E136" s="130"/>
      <c r="G136" s="188" t="s">
        <v>116</v>
      </c>
      <c r="H136" s="189"/>
      <c r="I136" s="143"/>
    </row>
    <row r="137" spans="2:9">
      <c r="B137" s="146" t="s">
        <v>121</v>
      </c>
      <c r="C137" s="131" t="s">
        <v>119</v>
      </c>
      <c r="D137" s="131"/>
      <c r="E137" s="131" t="s">
        <v>107</v>
      </c>
      <c r="G137" s="90" t="s">
        <v>553</v>
      </c>
      <c r="H137" s="90" t="s">
        <v>109</v>
      </c>
      <c r="I137" s="143"/>
    </row>
    <row r="138" spans="2:9">
      <c r="B138" s="160">
        <v>72</v>
      </c>
      <c r="C138" s="92" t="s">
        <v>654</v>
      </c>
      <c r="D138" s="92" t="s">
        <v>657</v>
      </c>
      <c r="E138" s="92"/>
      <c r="G138" s="104">
        <v>1</v>
      </c>
      <c r="H138" s="104"/>
      <c r="I138" s="89"/>
    </row>
    <row r="139" spans="2:9">
      <c r="B139" s="160">
        <v>73</v>
      </c>
      <c r="C139" s="92" t="s">
        <v>654</v>
      </c>
      <c r="D139" s="92" t="s">
        <v>658</v>
      </c>
      <c r="E139" s="92" t="s">
        <v>97</v>
      </c>
      <c r="G139" s="104">
        <v>1</v>
      </c>
      <c r="H139" s="104"/>
      <c r="I139" s="89"/>
    </row>
    <row r="140" spans="2:9">
      <c r="B140" s="160">
        <v>74</v>
      </c>
      <c r="C140" s="92" t="s">
        <v>655</v>
      </c>
      <c r="D140" s="92" t="s">
        <v>659</v>
      </c>
      <c r="E140" s="92"/>
      <c r="G140" s="104">
        <v>1</v>
      </c>
      <c r="H140" s="104"/>
      <c r="I140" s="89"/>
    </row>
    <row r="141" spans="2:9">
      <c r="B141" s="160">
        <v>75</v>
      </c>
      <c r="C141" s="92" t="s">
        <v>655</v>
      </c>
      <c r="D141" s="92" t="s">
        <v>660</v>
      </c>
      <c r="E141" s="92" t="s">
        <v>97</v>
      </c>
      <c r="G141" s="104">
        <v>1</v>
      </c>
      <c r="H141" s="104"/>
      <c r="I141" s="89"/>
    </row>
    <row r="142" spans="2:9">
      <c r="B142" s="160">
        <v>76</v>
      </c>
      <c r="C142" s="92" t="s">
        <v>656</v>
      </c>
      <c r="D142" s="92" t="s">
        <v>661</v>
      </c>
      <c r="E142" s="92"/>
      <c r="G142" s="104">
        <v>1</v>
      </c>
      <c r="H142" s="104"/>
      <c r="I142" s="89"/>
    </row>
    <row r="143" spans="2:9">
      <c r="B143" s="160">
        <v>77</v>
      </c>
      <c r="C143" s="92" t="s">
        <v>656</v>
      </c>
      <c r="D143" s="92" t="s">
        <v>662</v>
      </c>
      <c r="E143" s="92" t="s">
        <v>97</v>
      </c>
      <c r="G143" s="104">
        <v>1</v>
      </c>
      <c r="H143" s="104"/>
      <c r="I143" s="89"/>
    </row>
    <row r="144" spans="2:9">
      <c r="B144" s="160">
        <v>72</v>
      </c>
      <c r="C144" s="92" t="s">
        <v>654</v>
      </c>
      <c r="D144" s="92" t="s">
        <v>657</v>
      </c>
      <c r="E144" s="92"/>
      <c r="G144" s="104">
        <v>1</v>
      </c>
      <c r="H144" s="104"/>
      <c r="I144" s="89"/>
    </row>
    <row r="145" spans="2:9">
      <c r="B145" s="160">
        <v>73</v>
      </c>
      <c r="C145" s="92" t="s">
        <v>654</v>
      </c>
      <c r="D145" s="92" t="s">
        <v>658</v>
      </c>
      <c r="E145" s="92" t="s">
        <v>97</v>
      </c>
      <c r="G145" s="104">
        <v>1</v>
      </c>
      <c r="H145" s="104"/>
      <c r="I145" s="89"/>
    </row>
    <row r="146" spans="2:9">
      <c r="B146" s="160">
        <v>74</v>
      </c>
      <c r="C146" s="92" t="s">
        <v>655</v>
      </c>
      <c r="D146" s="92" t="s">
        <v>659</v>
      </c>
      <c r="E146" s="92"/>
      <c r="G146" s="104">
        <v>1</v>
      </c>
      <c r="H146" s="104"/>
      <c r="I146" s="89"/>
    </row>
    <row r="147" spans="2:9">
      <c r="B147" s="160">
        <v>75</v>
      </c>
      <c r="C147" s="92" t="s">
        <v>655</v>
      </c>
      <c r="D147" s="92" t="s">
        <v>660</v>
      </c>
      <c r="E147" s="92" t="s">
        <v>97</v>
      </c>
      <c r="G147" s="104">
        <v>1</v>
      </c>
      <c r="H147" s="104"/>
      <c r="I147" s="89"/>
    </row>
    <row r="148" spans="2:9">
      <c r="B148" s="160">
        <v>76</v>
      </c>
      <c r="C148" s="92" t="s">
        <v>656</v>
      </c>
      <c r="D148" s="92" t="s">
        <v>661</v>
      </c>
      <c r="E148" s="92"/>
      <c r="G148" s="104">
        <v>1</v>
      </c>
      <c r="H148" s="104"/>
      <c r="I148" s="89"/>
    </row>
    <row r="149" spans="2:9">
      <c r="B149" s="160">
        <v>77</v>
      </c>
      <c r="C149" s="92" t="s">
        <v>656</v>
      </c>
      <c r="D149" s="92" t="s">
        <v>662</v>
      </c>
      <c r="E149" s="92" t="s">
        <v>97</v>
      </c>
      <c r="G149" s="104">
        <v>1</v>
      </c>
      <c r="H149" s="104"/>
      <c r="I149" s="89"/>
    </row>
    <row r="150" spans="2:9">
      <c r="B150" s="160">
        <v>76</v>
      </c>
      <c r="C150" s="92" t="s">
        <v>656</v>
      </c>
      <c r="D150" s="92" t="s">
        <v>661</v>
      </c>
      <c r="E150" s="92"/>
      <c r="G150" s="104">
        <v>1</v>
      </c>
      <c r="H150" s="104"/>
      <c r="I150" s="89"/>
    </row>
    <row r="151" spans="2:9">
      <c r="B151" s="160">
        <v>77</v>
      </c>
      <c r="C151" s="92" t="s">
        <v>656</v>
      </c>
      <c r="D151" s="92" t="s">
        <v>662</v>
      </c>
      <c r="E151" s="92" t="s">
        <v>97</v>
      </c>
      <c r="G151" s="104">
        <v>1</v>
      </c>
      <c r="H151" s="104"/>
      <c r="I151" s="89"/>
    </row>
    <row r="152" spans="2:9">
      <c r="B152" s="160">
        <v>72</v>
      </c>
      <c r="C152" s="92" t="s">
        <v>654</v>
      </c>
      <c r="D152" s="92" t="s">
        <v>657</v>
      </c>
      <c r="E152" s="92"/>
      <c r="G152" s="104">
        <v>1</v>
      </c>
      <c r="H152" s="104"/>
      <c r="I152" s="89"/>
    </row>
    <row r="153" spans="2:9">
      <c r="B153" s="160">
        <v>73</v>
      </c>
      <c r="C153" s="92" t="s">
        <v>654</v>
      </c>
      <c r="D153" s="92" t="s">
        <v>658</v>
      </c>
      <c r="E153" s="92" t="s">
        <v>97</v>
      </c>
      <c r="G153" s="104">
        <v>1</v>
      </c>
      <c r="H153" s="104"/>
      <c r="I153" s="89"/>
    </row>
    <row r="154" spans="2:9">
      <c r="B154" s="160">
        <v>74</v>
      </c>
      <c r="C154" s="92" t="s">
        <v>655</v>
      </c>
      <c r="D154" s="92" t="s">
        <v>659</v>
      </c>
      <c r="E154" s="92"/>
      <c r="G154" s="104">
        <v>1</v>
      </c>
      <c r="H154" s="104"/>
      <c r="I154" s="89"/>
    </row>
    <row r="155" spans="2:9">
      <c r="B155" s="160">
        <v>75</v>
      </c>
      <c r="C155" s="92" t="s">
        <v>655</v>
      </c>
      <c r="D155" s="92" t="s">
        <v>660</v>
      </c>
      <c r="E155" s="92" t="s">
        <v>97</v>
      </c>
      <c r="G155" s="104">
        <v>1</v>
      </c>
      <c r="H155" s="104"/>
      <c r="I155" s="89"/>
    </row>
    <row r="156" spans="2:9">
      <c r="B156" s="160">
        <v>76</v>
      </c>
      <c r="C156" s="92" t="s">
        <v>656</v>
      </c>
      <c r="D156" s="92" t="s">
        <v>661</v>
      </c>
      <c r="E156" s="92"/>
      <c r="G156" s="104">
        <v>1</v>
      </c>
      <c r="H156" s="104"/>
      <c r="I156" s="89"/>
    </row>
    <row r="157" spans="2:9">
      <c r="B157" s="160">
        <v>77</v>
      </c>
      <c r="C157" s="92" t="s">
        <v>656</v>
      </c>
      <c r="D157" s="92" t="s">
        <v>662</v>
      </c>
      <c r="E157" s="92" t="s">
        <v>97</v>
      </c>
      <c r="G157" s="104">
        <v>1</v>
      </c>
      <c r="H157" s="104"/>
      <c r="I157" s="89"/>
    </row>
    <row r="158" spans="2:9">
      <c r="G158" s="89"/>
      <c r="H158" s="89"/>
      <c r="I158" s="89"/>
    </row>
    <row r="159" spans="2:9" ht="12" customHeight="1">
      <c r="B159" s="132" t="s">
        <v>12</v>
      </c>
      <c r="C159" s="133"/>
      <c r="D159" s="133"/>
      <c r="E159" s="134"/>
      <c r="G159" s="188" t="s">
        <v>116</v>
      </c>
      <c r="H159" s="189"/>
      <c r="I159" s="143"/>
    </row>
    <row r="160" spans="2:9">
      <c r="B160" s="147" t="s">
        <v>121</v>
      </c>
      <c r="C160" s="147" t="s">
        <v>119</v>
      </c>
      <c r="D160" s="147"/>
      <c r="E160" s="147" t="s">
        <v>107</v>
      </c>
      <c r="G160" s="90" t="s">
        <v>553</v>
      </c>
      <c r="H160" s="90" t="s">
        <v>109</v>
      </c>
      <c r="I160" s="143"/>
    </row>
    <row r="161" spans="2:9">
      <c r="B161" s="160">
        <v>78</v>
      </c>
      <c r="C161" s="92" t="s">
        <v>664</v>
      </c>
      <c r="D161" s="92" t="s">
        <v>636</v>
      </c>
      <c r="E161" s="92"/>
      <c r="G161" s="104">
        <v>1</v>
      </c>
      <c r="H161" s="104"/>
      <c r="I161" s="89"/>
    </row>
    <row r="162" spans="2:9">
      <c r="B162" s="160">
        <v>79</v>
      </c>
      <c r="C162" s="92" t="s">
        <v>664</v>
      </c>
      <c r="D162" s="92" t="s">
        <v>630</v>
      </c>
      <c r="E162" s="92" t="s">
        <v>67</v>
      </c>
      <c r="G162" s="104">
        <v>1</v>
      </c>
      <c r="H162" s="104"/>
      <c r="I162" s="89"/>
    </row>
    <row r="163" spans="2:9">
      <c r="B163" s="160">
        <v>80</v>
      </c>
      <c r="C163" s="92" t="s">
        <v>665</v>
      </c>
      <c r="D163" s="92" t="s">
        <v>636</v>
      </c>
      <c r="E163" s="92"/>
      <c r="G163" s="104">
        <v>1</v>
      </c>
      <c r="H163" s="104"/>
      <c r="I163" s="89"/>
    </row>
    <row r="164" spans="2:9">
      <c r="B164" s="160">
        <v>81</v>
      </c>
      <c r="C164" s="92" t="s">
        <v>665</v>
      </c>
      <c r="D164" s="92" t="s">
        <v>630</v>
      </c>
      <c r="E164" s="92" t="s">
        <v>67</v>
      </c>
      <c r="G164" s="104">
        <v>1</v>
      </c>
      <c r="H164" s="104"/>
      <c r="I164" s="89"/>
    </row>
    <row r="165" spans="2:9">
      <c r="B165" s="160">
        <v>82</v>
      </c>
      <c r="C165" s="92" t="s">
        <v>666</v>
      </c>
      <c r="D165" s="92" t="s">
        <v>636</v>
      </c>
      <c r="E165" s="92"/>
      <c r="G165" s="104">
        <v>1</v>
      </c>
      <c r="H165" s="104"/>
      <c r="I165" s="89"/>
    </row>
    <row r="166" spans="2:9">
      <c r="B166" s="160">
        <v>83</v>
      </c>
      <c r="C166" s="92" t="s">
        <v>666</v>
      </c>
      <c r="D166" s="92" t="s">
        <v>630</v>
      </c>
      <c r="E166" s="92" t="s">
        <v>67</v>
      </c>
      <c r="G166" s="104">
        <v>1</v>
      </c>
      <c r="H166" s="104"/>
      <c r="I166" s="89"/>
    </row>
    <row r="167" spans="2:9">
      <c r="B167" s="160">
        <v>78</v>
      </c>
      <c r="C167" s="92" t="s">
        <v>664</v>
      </c>
      <c r="D167" s="92" t="s">
        <v>636</v>
      </c>
      <c r="E167" s="92"/>
      <c r="G167" s="104">
        <v>1</v>
      </c>
      <c r="H167" s="104"/>
      <c r="I167" s="89"/>
    </row>
    <row r="168" spans="2:9">
      <c r="B168" s="160">
        <v>79</v>
      </c>
      <c r="C168" s="92" t="s">
        <v>664</v>
      </c>
      <c r="D168" s="92" t="s">
        <v>630</v>
      </c>
      <c r="E168" s="92" t="s">
        <v>67</v>
      </c>
      <c r="G168" s="104">
        <v>1</v>
      </c>
      <c r="H168" s="104"/>
      <c r="I168" s="89"/>
    </row>
    <row r="169" spans="2:9">
      <c r="B169" s="160">
        <v>80</v>
      </c>
      <c r="C169" s="92" t="s">
        <v>665</v>
      </c>
      <c r="D169" s="92" t="s">
        <v>636</v>
      </c>
      <c r="E169" s="92"/>
      <c r="G169" s="104">
        <v>1</v>
      </c>
      <c r="H169" s="104"/>
      <c r="I169" s="89"/>
    </row>
    <row r="170" spans="2:9">
      <c r="B170" s="160">
        <v>81</v>
      </c>
      <c r="C170" s="92" t="s">
        <v>665</v>
      </c>
      <c r="D170" s="92" t="s">
        <v>630</v>
      </c>
      <c r="E170" s="92" t="s">
        <v>67</v>
      </c>
      <c r="G170" s="104">
        <v>1</v>
      </c>
      <c r="H170" s="104"/>
      <c r="I170" s="89"/>
    </row>
    <row r="171" spans="2:9">
      <c r="B171" s="160">
        <v>82</v>
      </c>
      <c r="C171" s="92" t="s">
        <v>666</v>
      </c>
      <c r="D171" s="92" t="s">
        <v>636</v>
      </c>
      <c r="E171" s="92"/>
      <c r="G171" s="104">
        <v>1</v>
      </c>
      <c r="H171" s="104"/>
      <c r="I171" s="89"/>
    </row>
    <row r="172" spans="2:9">
      <c r="B172" s="160">
        <v>83</v>
      </c>
      <c r="C172" s="92" t="s">
        <v>666</v>
      </c>
      <c r="D172" s="92" t="s">
        <v>630</v>
      </c>
      <c r="E172" s="92" t="s">
        <v>67</v>
      </c>
      <c r="G172" s="104">
        <v>1</v>
      </c>
      <c r="H172" s="104"/>
      <c r="I172" s="89"/>
    </row>
    <row r="173" spans="2:9">
      <c r="B173" s="160">
        <v>78</v>
      </c>
      <c r="C173" s="92" t="s">
        <v>664</v>
      </c>
      <c r="D173" s="92" t="s">
        <v>636</v>
      </c>
      <c r="E173" s="92"/>
      <c r="G173" s="104">
        <v>1</v>
      </c>
      <c r="H173" s="104"/>
      <c r="I173" s="89"/>
    </row>
    <row r="174" spans="2:9">
      <c r="B174" s="160">
        <v>79</v>
      </c>
      <c r="C174" s="92" t="s">
        <v>664</v>
      </c>
      <c r="D174" s="92" t="s">
        <v>630</v>
      </c>
      <c r="E174" s="92" t="s">
        <v>67</v>
      </c>
      <c r="G174" s="104">
        <v>1</v>
      </c>
      <c r="H174" s="104"/>
      <c r="I174" s="89"/>
    </row>
    <row r="175" spans="2:9">
      <c r="B175" s="160">
        <v>80</v>
      </c>
      <c r="C175" s="92" t="s">
        <v>665</v>
      </c>
      <c r="D175" s="92" t="s">
        <v>636</v>
      </c>
      <c r="E175" s="92"/>
      <c r="G175" s="104">
        <v>1</v>
      </c>
      <c r="H175" s="104"/>
      <c r="I175" s="89"/>
    </row>
    <row r="176" spans="2:9">
      <c r="B176" s="160">
        <v>81</v>
      </c>
      <c r="C176" s="92" t="s">
        <v>665</v>
      </c>
      <c r="D176" s="92" t="s">
        <v>630</v>
      </c>
      <c r="E176" s="92" t="s">
        <v>67</v>
      </c>
      <c r="G176" s="104">
        <v>1</v>
      </c>
      <c r="H176" s="104"/>
      <c r="I176" s="89"/>
    </row>
    <row r="177" spans="2:9">
      <c r="B177" s="160">
        <v>82</v>
      </c>
      <c r="C177" s="92" t="s">
        <v>666</v>
      </c>
      <c r="D177" s="92" t="s">
        <v>636</v>
      </c>
      <c r="E177" s="92"/>
      <c r="G177" s="104">
        <v>1</v>
      </c>
      <c r="H177" s="104"/>
      <c r="I177" s="89"/>
    </row>
    <row r="178" spans="2:9">
      <c r="B178" s="160">
        <v>83</v>
      </c>
      <c r="C178" s="92" t="s">
        <v>666</v>
      </c>
      <c r="D178" s="92" t="s">
        <v>630</v>
      </c>
      <c r="E178" s="92" t="s">
        <v>67</v>
      </c>
      <c r="G178" s="104">
        <v>1</v>
      </c>
      <c r="H178" s="104"/>
      <c r="I178" s="89"/>
    </row>
    <row r="179" spans="2:9">
      <c r="B179" s="160">
        <v>78</v>
      </c>
      <c r="C179" s="92" t="s">
        <v>664</v>
      </c>
      <c r="D179" s="92" t="s">
        <v>636</v>
      </c>
      <c r="E179" s="92"/>
      <c r="G179" s="104">
        <v>1</v>
      </c>
      <c r="H179" s="104"/>
      <c r="I179" s="89"/>
    </row>
    <row r="180" spans="2:9">
      <c r="B180" s="160">
        <v>79</v>
      </c>
      <c r="C180" s="92" t="s">
        <v>664</v>
      </c>
      <c r="D180" s="92" t="s">
        <v>630</v>
      </c>
      <c r="E180" s="92" t="s">
        <v>67</v>
      </c>
      <c r="G180" s="104">
        <v>1</v>
      </c>
      <c r="H180" s="104"/>
      <c r="I180" s="89"/>
    </row>
    <row r="181" spans="2:9">
      <c r="G181" s="89"/>
      <c r="H181" s="89"/>
      <c r="I181" s="89"/>
    </row>
    <row r="182" spans="2:9">
      <c r="B182" s="135" t="s">
        <v>6</v>
      </c>
      <c r="C182" s="136"/>
      <c r="D182" s="137"/>
      <c r="G182" s="188" t="s">
        <v>116</v>
      </c>
      <c r="H182" s="189"/>
      <c r="I182" s="143"/>
    </row>
    <row r="183" spans="2:9">
      <c r="B183" s="138" t="s">
        <v>121</v>
      </c>
      <c r="C183" s="138" t="s">
        <v>119</v>
      </c>
      <c r="D183" s="138" t="s">
        <v>107</v>
      </c>
      <c r="G183" s="90" t="s">
        <v>553</v>
      </c>
      <c r="H183" s="90" t="s">
        <v>109</v>
      </c>
      <c r="I183" s="143"/>
    </row>
    <row r="184" spans="2:9">
      <c r="B184" s="105">
        <v>84</v>
      </c>
      <c r="C184" s="105" t="s">
        <v>1</v>
      </c>
      <c r="D184" s="92" t="s">
        <v>542</v>
      </c>
      <c r="G184" s="104">
        <v>1</v>
      </c>
      <c r="H184" s="104"/>
      <c r="I184" s="89"/>
    </row>
    <row r="185" spans="2:9">
      <c r="B185" s="105">
        <v>85</v>
      </c>
      <c r="C185" s="105" t="s">
        <v>16</v>
      </c>
      <c r="D185" s="92" t="s">
        <v>542</v>
      </c>
      <c r="G185" s="104">
        <v>1</v>
      </c>
      <c r="H185" s="104"/>
      <c r="I185" s="89"/>
    </row>
    <row r="186" spans="2:9">
      <c r="B186" s="105">
        <v>86</v>
      </c>
      <c r="C186" s="105" t="s">
        <v>4</v>
      </c>
      <c r="D186" s="92" t="s">
        <v>542</v>
      </c>
      <c r="G186" s="104">
        <v>1</v>
      </c>
      <c r="H186" s="104"/>
      <c r="I186" s="89"/>
    </row>
    <row r="187" spans="2:9">
      <c r="B187" s="105">
        <v>87</v>
      </c>
      <c r="C187" s="105" t="s">
        <v>137</v>
      </c>
      <c r="D187" s="92" t="s">
        <v>542</v>
      </c>
      <c r="G187" s="104">
        <v>1</v>
      </c>
      <c r="H187" s="104"/>
      <c r="I187" s="89"/>
    </row>
    <row r="188" spans="2:9">
      <c r="B188" s="105">
        <v>88</v>
      </c>
      <c r="C188" s="105" t="s">
        <v>34</v>
      </c>
      <c r="D188" s="92" t="s">
        <v>542</v>
      </c>
      <c r="E188" s="1"/>
      <c r="G188" s="104">
        <v>1</v>
      </c>
      <c r="H188" s="104"/>
      <c r="I188" s="89"/>
    </row>
    <row r="189" spans="2:9">
      <c r="B189" s="105">
        <v>89</v>
      </c>
      <c r="C189" s="105" t="s">
        <v>47</v>
      </c>
      <c r="D189" s="92" t="s">
        <v>542</v>
      </c>
      <c r="E189" s="1"/>
      <c r="G189" s="104">
        <v>1</v>
      </c>
      <c r="H189" s="104"/>
      <c r="I189" s="89"/>
    </row>
    <row r="190" spans="2:9">
      <c r="B190" s="105">
        <v>90</v>
      </c>
      <c r="C190" s="105" t="s">
        <v>312</v>
      </c>
      <c r="D190" s="92" t="s">
        <v>542</v>
      </c>
      <c r="E190" s="1"/>
      <c r="G190" s="104">
        <v>1</v>
      </c>
      <c r="H190" s="104"/>
      <c r="I190" s="89"/>
    </row>
    <row r="191" spans="2:9">
      <c r="B191" s="105">
        <v>91</v>
      </c>
      <c r="C191" s="105" t="s">
        <v>31</v>
      </c>
      <c r="D191" s="92" t="s">
        <v>542</v>
      </c>
      <c r="E191" s="1"/>
      <c r="G191" s="104">
        <v>1</v>
      </c>
      <c r="H191" s="104"/>
      <c r="I191" s="89"/>
    </row>
    <row r="192" spans="2:9">
      <c r="B192" s="105">
        <v>92</v>
      </c>
      <c r="C192" s="105" t="s">
        <v>584</v>
      </c>
      <c r="D192" s="92" t="s">
        <v>542</v>
      </c>
      <c r="E192" s="1"/>
      <c r="G192" s="104">
        <v>1</v>
      </c>
      <c r="H192" s="104"/>
      <c r="I192" s="89"/>
    </row>
    <row r="193" spans="2:9">
      <c r="B193" s="105">
        <v>93</v>
      </c>
      <c r="C193" s="105" t="s">
        <v>32</v>
      </c>
      <c r="D193" s="92" t="s">
        <v>542</v>
      </c>
      <c r="E193" s="1"/>
      <c r="G193" s="104">
        <v>1</v>
      </c>
      <c r="H193" s="104"/>
      <c r="I193" s="89"/>
    </row>
    <row r="194" spans="2:9">
      <c r="B194" s="105">
        <v>94</v>
      </c>
      <c r="C194" s="105" t="s">
        <v>33</v>
      </c>
      <c r="D194" s="92" t="s">
        <v>542</v>
      </c>
      <c r="E194" s="1"/>
      <c r="G194" s="104">
        <v>1</v>
      </c>
      <c r="H194" s="104"/>
      <c r="I194" s="89"/>
    </row>
    <row r="195" spans="2:9">
      <c r="B195" s="105">
        <v>95</v>
      </c>
      <c r="C195" s="105" t="s">
        <v>48</v>
      </c>
      <c r="D195" s="92" t="s">
        <v>542</v>
      </c>
      <c r="E195" s="1"/>
      <c r="G195" s="104">
        <v>1</v>
      </c>
      <c r="H195" s="104"/>
      <c r="I195" s="89"/>
    </row>
    <row r="196" spans="2:9">
      <c r="B196" s="105">
        <v>96</v>
      </c>
      <c r="C196" s="105" t="s">
        <v>36</v>
      </c>
      <c r="D196" s="92" t="s">
        <v>542</v>
      </c>
      <c r="E196" s="1"/>
      <c r="G196" s="104">
        <v>1</v>
      </c>
      <c r="H196" s="104"/>
      <c r="I196" s="89"/>
    </row>
    <row r="197" spans="2:9">
      <c r="B197" s="105">
        <v>97</v>
      </c>
      <c r="C197" s="105" t="s">
        <v>37</v>
      </c>
      <c r="D197" s="92" t="s">
        <v>542</v>
      </c>
      <c r="E197" s="1"/>
      <c r="G197" s="104">
        <v>1</v>
      </c>
      <c r="H197" s="104"/>
      <c r="I197" s="89"/>
    </row>
    <row r="198" spans="2:9">
      <c r="B198" s="105">
        <v>98</v>
      </c>
      <c r="C198" s="105" t="s">
        <v>38</v>
      </c>
      <c r="D198" s="92" t="s">
        <v>542</v>
      </c>
      <c r="E198" s="1"/>
      <c r="G198" s="104">
        <v>1</v>
      </c>
      <c r="H198" s="104"/>
      <c r="I198" s="89"/>
    </row>
    <row r="199" spans="2:9">
      <c r="B199" s="105">
        <v>99</v>
      </c>
      <c r="C199" s="105" t="s">
        <v>41</v>
      </c>
      <c r="D199" s="92" t="s">
        <v>542</v>
      </c>
      <c r="E199" s="1"/>
      <c r="G199" s="104">
        <v>1</v>
      </c>
      <c r="H199" s="104"/>
      <c r="I199" s="89"/>
    </row>
    <row r="200" spans="2:9">
      <c r="B200" s="105">
        <v>100</v>
      </c>
      <c r="C200" s="105" t="s">
        <v>15</v>
      </c>
      <c r="D200" s="92" t="s">
        <v>542</v>
      </c>
      <c r="E200" s="1"/>
      <c r="G200" s="104">
        <v>1</v>
      </c>
      <c r="H200" s="104"/>
      <c r="I200" s="89"/>
    </row>
    <row r="201" spans="2:9">
      <c r="B201" s="105">
        <v>101</v>
      </c>
      <c r="C201" s="105" t="s">
        <v>42</v>
      </c>
      <c r="D201" s="92" t="s">
        <v>542</v>
      </c>
      <c r="E201" s="1"/>
      <c r="G201" s="104">
        <v>1</v>
      </c>
      <c r="H201" s="104"/>
      <c r="I201" s="89"/>
    </row>
    <row r="202" spans="2:9">
      <c r="B202" s="105">
        <v>102</v>
      </c>
      <c r="C202" s="105" t="s">
        <v>46</v>
      </c>
      <c r="D202" s="92" t="s">
        <v>542</v>
      </c>
      <c r="E202" s="1"/>
      <c r="G202" s="104">
        <v>1</v>
      </c>
      <c r="H202" s="104"/>
      <c r="I202" s="89"/>
    </row>
    <row r="203" spans="2:9">
      <c r="B203" s="105">
        <v>103</v>
      </c>
      <c r="C203" s="105" t="s">
        <v>43</v>
      </c>
      <c r="D203" s="92" t="s">
        <v>542</v>
      </c>
      <c r="E203" s="1"/>
      <c r="G203" s="104">
        <v>1</v>
      </c>
      <c r="H203" s="104"/>
      <c r="I203" s="89"/>
    </row>
    <row r="204" spans="2:9">
      <c r="B204" s="105">
        <v>104</v>
      </c>
      <c r="C204" s="105" t="s">
        <v>44</v>
      </c>
      <c r="D204" s="92" t="s">
        <v>542</v>
      </c>
      <c r="E204" s="1"/>
      <c r="G204" s="104">
        <v>1</v>
      </c>
      <c r="H204" s="104"/>
      <c r="I204" s="89"/>
    </row>
    <row r="205" spans="2:9">
      <c r="B205" s="105">
        <v>105</v>
      </c>
      <c r="C205" s="105" t="s">
        <v>45</v>
      </c>
      <c r="D205" s="92" t="s">
        <v>542</v>
      </c>
      <c r="E205" s="1"/>
      <c r="G205" s="104">
        <v>1</v>
      </c>
      <c r="H205" s="104"/>
      <c r="I205" s="89"/>
    </row>
    <row r="206" spans="2:9">
      <c r="B206" s="105">
        <v>106</v>
      </c>
      <c r="C206" s="105" t="s">
        <v>454</v>
      </c>
      <c r="D206" s="92" t="s">
        <v>542</v>
      </c>
      <c r="E206" s="1"/>
      <c r="G206" s="104">
        <v>1</v>
      </c>
      <c r="H206" s="104"/>
      <c r="I206" s="89"/>
    </row>
    <row r="207" spans="2:9">
      <c r="B207" s="105">
        <v>107</v>
      </c>
      <c r="C207" s="105" t="s">
        <v>374</v>
      </c>
      <c r="D207" s="92" t="s">
        <v>542</v>
      </c>
      <c r="E207" s="1"/>
      <c r="G207" s="104">
        <v>1</v>
      </c>
      <c r="H207" s="104"/>
      <c r="I207" s="89"/>
    </row>
    <row r="208" spans="2:9">
      <c r="B208" s="105">
        <v>108</v>
      </c>
      <c r="C208" s="105" t="s">
        <v>372</v>
      </c>
      <c r="D208" s="92" t="s">
        <v>542</v>
      </c>
      <c r="E208" s="1"/>
      <c r="G208" s="104">
        <v>1</v>
      </c>
      <c r="H208" s="104"/>
      <c r="I208" s="89"/>
    </row>
    <row r="209" spans="2:9">
      <c r="G209" s="89"/>
      <c r="H209" s="89"/>
      <c r="I209" s="89"/>
    </row>
    <row r="210" spans="2:9">
      <c r="B210" s="132" t="s">
        <v>365</v>
      </c>
      <c r="C210" s="133"/>
      <c r="D210" s="133"/>
      <c r="E210" s="1"/>
      <c r="G210" s="188" t="s">
        <v>116</v>
      </c>
      <c r="H210" s="189"/>
      <c r="I210" s="143"/>
    </row>
    <row r="211" spans="2:9">
      <c r="B211" s="108" t="s">
        <v>121</v>
      </c>
      <c r="C211" s="108" t="s">
        <v>119</v>
      </c>
      <c r="D211" s="108" t="s">
        <v>107</v>
      </c>
      <c r="E211" s="1"/>
      <c r="G211" s="90" t="s">
        <v>553</v>
      </c>
      <c r="H211" s="90" t="s">
        <v>109</v>
      </c>
      <c r="I211" s="143"/>
    </row>
    <row r="212" spans="2:9">
      <c r="B212" s="160">
        <v>109</v>
      </c>
      <c r="C212" s="92" t="s">
        <v>391</v>
      </c>
      <c r="D212" s="92" t="s">
        <v>122</v>
      </c>
      <c r="G212" s="104">
        <v>1</v>
      </c>
      <c r="H212" s="104"/>
      <c r="I212" s="89"/>
    </row>
    <row r="213" spans="2:9">
      <c r="B213" s="160">
        <v>110</v>
      </c>
      <c r="C213" s="92" t="s">
        <v>392</v>
      </c>
      <c r="D213" s="92" t="s">
        <v>122</v>
      </c>
      <c r="G213" s="104">
        <v>1</v>
      </c>
      <c r="H213" s="104"/>
      <c r="I213" s="89"/>
    </row>
    <row r="214" spans="2:9">
      <c r="B214" s="160">
        <v>111</v>
      </c>
      <c r="C214" s="92" t="s">
        <v>393</v>
      </c>
      <c r="D214" s="92" t="s">
        <v>122</v>
      </c>
      <c r="G214" s="104">
        <v>1</v>
      </c>
      <c r="H214" s="104"/>
      <c r="I214" s="89"/>
    </row>
    <row r="215" spans="2:9">
      <c r="B215" s="160">
        <v>112</v>
      </c>
      <c r="C215" s="92" t="s">
        <v>301</v>
      </c>
      <c r="D215" s="92" t="str">
        <f>IFERROR(VLOOKUP('General Information'!$G$6, Convalide!$L$2:$M$8, 2,FALSE), "")</f>
        <v>€/l milk</v>
      </c>
      <c r="G215" s="104">
        <v>1</v>
      </c>
      <c r="H215" s="104"/>
      <c r="I215" s="89"/>
    </row>
    <row r="216" spans="2:9">
      <c r="B216" s="160">
        <v>113</v>
      </c>
      <c r="C216" s="92" t="s">
        <v>680</v>
      </c>
      <c r="D216" s="92" t="s">
        <v>114</v>
      </c>
      <c r="G216" s="104">
        <v>1</v>
      </c>
      <c r="H216" s="104"/>
      <c r="I216" s="89"/>
    </row>
    <row r="217" spans="2:9">
      <c r="B217" s="160">
        <v>114</v>
      </c>
      <c r="C217" s="92" t="s">
        <v>395</v>
      </c>
      <c r="D217" s="92" t="s">
        <v>114</v>
      </c>
      <c r="G217" s="104">
        <v>1</v>
      </c>
      <c r="H217" s="104"/>
      <c r="I217" s="89"/>
    </row>
    <row r="218" spans="2:9">
      <c r="B218" s="160">
        <v>115</v>
      </c>
      <c r="C218" s="92" t="s">
        <v>396</v>
      </c>
      <c r="D218" s="92" t="s">
        <v>397</v>
      </c>
      <c r="G218" s="104">
        <v>1</v>
      </c>
      <c r="H218" s="104"/>
      <c r="I218" s="89"/>
    </row>
    <row r="219" spans="2:9">
      <c r="G219" s="89"/>
      <c r="H219" s="89"/>
      <c r="I219" s="89"/>
    </row>
    <row r="220" spans="2:9">
      <c r="B220" s="124" t="s">
        <v>298</v>
      </c>
      <c r="C220" s="125"/>
      <c r="D220" s="125"/>
      <c r="E220" s="139"/>
      <c r="G220" s="188" t="s">
        <v>116</v>
      </c>
      <c r="H220" s="189"/>
      <c r="I220" s="143"/>
    </row>
    <row r="221" spans="2:9">
      <c r="B221" s="127" t="s">
        <v>121</v>
      </c>
      <c r="C221" s="127" t="s">
        <v>119</v>
      </c>
      <c r="D221" s="127" t="s">
        <v>107</v>
      </c>
      <c r="E221" s="140"/>
      <c r="G221" s="90" t="s">
        <v>553</v>
      </c>
      <c r="H221" s="90" t="s">
        <v>109</v>
      </c>
      <c r="I221" s="143"/>
    </row>
    <row r="222" spans="2:9">
      <c r="B222" s="160">
        <v>116</v>
      </c>
      <c r="C222" s="92" t="s">
        <v>621</v>
      </c>
      <c r="D222" s="92" t="s">
        <v>122</v>
      </c>
      <c r="G222" s="104">
        <v>1</v>
      </c>
      <c r="H222" s="104"/>
      <c r="I222" s="89"/>
    </row>
    <row r="223" spans="2:9">
      <c r="B223" s="160">
        <v>117</v>
      </c>
      <c r="C223" s="92" t="s">
        <v>123</v>
      </c>
      <c r="D223" s="92" t="s">
        <v>122</v>
      </c>
      <c r="G223" s="104">
        <v>1</v>
      </c>
      <c r="H223" s="104"/>
      <c r="I223" s="89"/>
    </row>
    <row r="224" spans="2:9">
      <c r="B224" s="160">
        <v>118</v>
      </c>
      <c r="C224" s="92" t="s">
        <v>133</v>
      </c>
      <c r="D224" s="92" t="s">
        <v>122</v>
      </c>
      <c r="G224" s="104">
        <v>1</v>
      </c>
      <c r="H224" s="104"/>
      <c r="I224" s="89"/>
    </row>
    <row r="225" spans="2:9">
      <c r="B225" s="160">
        <v>119</v>
      </c>
      <c r="C225" s="92" t="s">
        <v>141</v>
      </c>
      <c r="D225" s="92" t="s">
        <v>122</v>
      </c>
      <c r="G225" s="104">
        <v>1</v>
      </c>
      <c r="H225" s="104"/>
      <c r="I225" s="89"/>
    </row>
    <row r="226" spans="2:9">
      <c r="B226" s="160">
        <v>120</v>
      </c>
      <c r="C226" s="92" t="s">
        <v>140</v>
      </c>
      <c r="D226" s="92" t="s">
        <v>71</v>
      </c>
      <c r="G226" s="104">
        <v>1</v>
      </c>
      <c r="H226" s="104"/>
      <c r="I226" s="89"/>
    </row>
    <row r="227" spans="2:9">
      <c r="B227" s="160">
        <v>121</v>
      </c>
      <c r="C227" s="92" t="s">
        <v>354</v>
      </c>
      <c r="D227" s="93" t="s">
        <v>122</v>
      </c>
      <c r="G227" s="104">
        <v>1</v>
      </c>
      <c r="H227" s="104"/>
      <c r="I227" s="89"/>
    </row>
    <row r="228" spans="2:9" ht="18">
      <c r="C228" s="141"/>
      <c r="G228" s="89"/>
      <c r="H228" s="89"/>
      <c r="I228" s="89"/>
    </row>
    <row r="229" spans="2:9">
      <c r="B229" s="116" t="s">
        <v>299</v>
      </c>
      <c r="C229" s="117"/>
      <c r="D229" s="118"/>
      <c r="E229" s="12"/>
      <c r="G229" s="188" t="s">
        <v>116</v>
      </c>
      <c r="H229" s="189"/>
      <c r="I229" s="143"/>
    </row>
    <row r="230" spans="2:9">
      <c r="B230" s="119" t="s">
        <v>121</v>
      </c>
      <c r="C230" s="119" t="s">
        <v>119</v>
      </c>
      <c r="D230" s="119" t="s">
        <v>107</v>
      </c>
      <c r="E230" s="18"/>
      <c r="G230" s="90" t="s">
        <v>553</v>
      </c>
      <c r="H230" s="90" t="s">
        <v>109</v>
      </c>
      <c r="I230" s="143"/>
    </row>
    <row r="231" spans="2:9">
      <c r="B231" s="160">
        <v>122</v>
      </c>
      <c r="C231" s="92" t="s">
        <v>142</v>
      </c>
      <c r="D231" s="92" t="s">
        <v>122</v>
      </c>
      <c r="G231" s="104">
        <v>1</v>
      </c>
      <c r="H231" s="104"/>
      <c r="I231" s="89"/>
    </row>
    <row r="232" spans="2:9">
      <c r="B232" s="160">
        <v>123</v>
      </c>
      <c r="C232" s="92" t="s">
        <v>124</v>
      </c>
      <c r="D232" s="92" t="s">
        <v>122</v>
      </c>
      <c r="G232" s="104">
        <v>1</v>
      </c>
      <c r="H232" s="104"/>
      <c r="I232" s="89"/>
    </row>
    <row r="233" spans="2:9">
      <c r="B233" s="160">
        <v>124</v>
      </c>
      <c r="C233" s="92" t="s">
        <v>143</v>
      </c>
      <c r="D233" s="92" t="s">
        <v>69</v>
      </c>
      <c r="G233" s="104">
        <v>1</v>
      </c>
      <c r="H233" s="104"/>
      <c r="I233" s="89"/>
    </row>
    <row r="234" spans="2:9">
      <c r="B234" s="160">
        <v>125</v>
      </c>
      <c r="C234" s="92" t="s">
        <v>297</v>
      </c>
      <c r="D234" s="92" t="s">
        <v>122</v>
      </c>
      <c r="G234" s="104">
        <v>1</v>
      </c>
      <c r="H234" s="104"/>
      <c r="I234" s="89"/>
    </row>
    <row r="235" spans="2:9">
      <c r="B235" s="160">
        <v>126</v>
      </c>
      <c r="C235" s="92" t="s">
        <v>144</v>
      </c>
      <c r="D235" s="92" t="s">
        <v>122</v>
      </c>
      <c r="G235" s="104">
        <v>1</v>
      </c>
      <c r="H235" s="104"/>
      <c r="I235" s="89"/>
    </row>
    <row r="236" spans="2:9">
      <c r="B236" s="160">
        <v>127</v>
      </c>
      <c r="C236" s="92" t="s">
        <v>145</v>
      </c>
      <c r="D236" s="92" t="s">
        <v>122</v>
      </c>
      <c r="G236" s="104">
        <v>1</v>
      </c>
      <c r="H236" s="104"/>
      <c r="I236" s="89"/>
    </row>
    <row r="237" spans="2:9">
      <c r="G237" s="89"/>
      <c r="H237" s="89"/>
      <c r="I237" s="89"/>
    </row>
    <row r="238" spans="2:9">
      <c r="B238" s="135" t="s">
        <v>125</v>
      </c>
      <c r="C238" s="136"/>
      <c r="D238" s="137"/>
      <c r="E238" s="12"/>
      <c r="G238" s="188" t="s">
        <v>116</v>
      </c>
      <c r="H238" s="189"/>
      <c r="I238" s="143"/>
    </row>
    <row r="239" spans="2:9">
      <c r="B239" s="138" t="s">
        <v>121</v>
      </c>
      <c r="C239" s="138" t="s">
        <v>119</v>
      </c>
      <c r="D239" s="138" t="s">
        <v>107</v>
      </c>
      <c r="E239" s="18"/>
      <c r="G239" s="90" t="s">
        <v>553</v>
      </c>
      <c r="H239" s="90" t="s">
        <v>109</v>
      </c>
      <c r="I239" s="143"/>
    </row>
    <row r="240" spans="2:9">
      <c r="B240" s="160">
        <v>128</v>
      </c>
      <c r="C240" s="142" t="s">
        <v>450</v>
      </c>
      <c r="D240" s="142" t="s">
        <v>97</v>
      </c>
      <c r="G240" s="104">
        <v>1</v>
      </c>
      <c r="H240" s="104"/>
      <c r="I240" s="89"/>
    </row>
    <row r="241" spans="2:9">
      <c r="B241" s="160">
        <v>129</v>
      </c>
      <c r="C241" s="92" t="s">
        <v>126</v>
      </c>
      <c r="D241" s="92" t="s">
        <v>81</v>
      </c>
      <c r="G241" s="104">
        <v>1</v>
      </c>
      <c r="H241" s="104"/>
      <c r="I241" s="89"/>
    </row>
    <row r="242" spans="2:9" ht="15" customHeight="1">
      <c r="B242" s="160">
        <v>130</v>
      </c>
      <c r="C242" s="92" t="s">
        <v>127</v>
      </c>
      <c r="D242" s="92" t="s">
        <v>77</v>
      </c>
      <c r="G242" s="104">
        <v>1</v>
      </c>
      <c r="H242" s="104"/>
      <c r="I242" s="89"/>
    </row>
    <row r="243" spans="2:9" ht="15" customHeight="1">
      <c r="B243" s="160">
        <v>131</v>
      </c>
      <c r="C243" s="92" t="s">
        <v>581</v>
      </c>
      <c r="D243" s="92" t="s">
        <v>122</v>
      </c>
      <c r="G243" s="104">
        <v>1</v>
      </c>
      <c r="H243" s="104"/>
      <c r="I243" s="89"/>
    </row>
    <row r="244" spans="2:9">
      <c r="B244" s="160">
        <v>132</v>
      </c>
      <c r="C244" s="92" t="s">
        <v>128</v>
      </c>
      <c r="D244" s="92" t="s">
        <v>385</v>
      </c>
      <c r="G244" s="104">
        <v>1</v>
      </c>
      <c r="H244" s="104"/>
      <c r="I244" s="89"/>
    </row>
    <row r="245" spans="2:9">
      <c r="B245" s="160">
        <v>133</v>
      </c>
      <c r="C245" s="92" t="s">
        <v>129</v>
      </c>
      <c r="D245" s="92" t="s">
        <v>77</v>
      </c>
      <c r="G245" s="104">
        <v>1</v>
      </c>
      <c r="H245" s="104"/>
      <c r="I245" s="89"/>
    </row>
    <row r="246" spans="2:9">
      <c r="B246" s="160">
        <v>134</v>
      </c>
      <c r="C246" s="92" t="s">
        <v>585</v>
      </c>
      <c r="D246" s="92" t="s">
        <v>97</v>
      </c>
      <c r="G246" s="104">
        <v>1</v>
      </c>
      <c r="H246" s="104"/>
      <c r="I246" s="89"/>
    </row>
  </sheetData>
  <sheetProtection selectLockedCells="1"/>
  <mergeCells count="29">
    <mergeCell ref="G182:H182"/>
    <mergeCell ref="G229:H229"/>
    <mergeCell ref="G238:H238"/>
    <mergeCell ref="G70:H70"/>
    <mergeCell ref="G60:H60"/>
    <mergeCell ref="G91:H91"/>
    <mergeCell ref="G136:H136"/>
    <mergeCell ref="G159:H159"/>
    <mergeCell ref="G210:H210"/>
    <mergeCell ref="G220:H220"/>
    <mergeCell ref="G20:H20"/>
    <mergeCell ref="G22:H22"/>
    <mergeCell ref="G31:H31"/>
    <mergeCell ref="B45:E45"/>
    <mergeCell ref="G45:H45"/>
    <mergeCell ref="G2:H6"/>
    <mergeCell ref="B8:E8"/>
    <mergeCell ref="G12:H12"/>
    <mergeCell ref="G13:H13"/>
    <mergeCell ref="G8:H8"/>
    <mergeCell ref="G9:H9"/>
    <mergeCell ref="G10:H10"/>
    <mergeCell ref="G11:H11"/>
    <mergeCell ref="G18:H18"/>
    <mergeCell ref="G19:H19"/>
    <mergeCell ref="G14:H14"/>
    <mergeCell ref="G15:H15"/>
    <mergeCell ref="G16:H16"/>
    <mergeCell ref="G17:H17"/>
  </mergeCells>
  <phoneticPr fontId="2" type="noConversion"/>
  <dataValidations count="2">
    <dataValidation type="textLength" allowBlank="1" showInputMessage="1" showErrorMessage="1" sqref="H24:H29 H33:H43 H62:H68 G10:H20 H93:H134 H47:H58 H72:H89 H184:H208 H212:H218 H222:H227 H231:H236 H240:H246 H138:H158 H161:H181" xr:uid="{209536F5-1869-2949-B556-1717D11567E1}">
      <formula1>1</formula1>
      <formula2>1000</formula2>
    </dataValidation>
    <dataValidation type="decimal" allowBlank="1" showInputMessage="1" showErrorMessage="1" sqref="G231:G236 G62:G68 G93:G134 E10:E20 G33:G43 G47:G58 G72:G89 G138:G157 G161:G180 G184:G208 G212:G218 G222:G227 G24:G29 G240:G246" xr:uid="{E71BD53F-68C8-E246-B385-2D6CB363B4EA}">
      <formula1>0</formula1>
      <formula2>10000000000000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9150D401-1AB6-4649-90F0-81BC0697CEA8}">
          <x14:formula1>
            <xm:f>Convalide!$F$2:$F$3</xm:f>
          </x14:formula1>
          <xm:sqref>E96 E103 E117 E124</xm:sqref>
        </x14:dataValidation>
        <x14:dataValidation type="list" allowBlank="1" showInputMessage="1" showErrorMessage="1" xr:uid="{45C15BB8-E633-AF47-B1D8-C5096FD8399D}">
          <x14:formula1>
            <xm:f>Convalide!$G$2:$G$3</xm:f>
          </x14:formula1>
          <xm:sqref>E94 E101 E108 E115 E122 E129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79678-5166-9E4B-93EB-DD1F0DF3C8F7}">
  <sheetPr codeName="F____6"/>
  <dimension ref="A1:M50"/>
  <sheetViews>
    <sheetView zoomScale="55" zoomScaleNormal="55" workbookViewId="0">
      <selection activeCell="E6" sqref="E6"/>
    </sheetView>
  </sheetViews>
  <sheetFormatPr defaultColWidth="11.125" defaultRowHeight="15.75"/>
  <cols>
    <col min="1" max="1" width="21.125" customWidth="1"/>
    <col min="2" max="2" width="31.375" bestFit="1" customWidth="1"/>
    <col min="3" max="3" width="18.5" customWidth="1"/>
    <col min="4" max="4" width="13.375" customWidth="1"/>
    <col min="5" max="5" width="32.375" style="4" customWidth="1"/>
    <col min="6" max="6" width="35.875" bestFit="1" customWidth="1"/>
    <col min="7" max="7" width="36" customWidth="1"/>
    <col min="8" max="8" width="22.5" customWidth="1"/>
    <col min="9" max="10" width="26.875" customWidth="1"/>
    <col min="11" max="11" width="20.875" customWidth="1"/>
    <col min="12" max="12" width="25.125" customWidth="1"/>
    <col min="13" max="13" width="25" style="21" customWidth="1"/>
    <col min="15" max="15" width="22.375" customWidth="1"/>
  </cols>
  <sheetData>
    <row r="1" spans="1:13" s="4" customFormat="1">
      <c r="A1" s="46" t="s">
        <v>193</v>
      </c>
      <c r="M1" s="38"/>
    </row>
    <row r="2" spans="1:13" s="4" customFormat="1" ht="20.100000000000001" customHeight="1">
      <c r="A2" s="47" t="s">
        <v>178</v>
      </c>
      <c r="B2" s="47" t="s">
        <v>148</v>
      </c>
      <c r="C2" s="47" t="s">
        <v>149</v>
      </c>
      <c r="D2" s="47" t="s">
        <v>150</v>
      </c>
      <c r="E2" s="47" t="s">
        <v>206</v>
      </c>
      <c r="F2" s="47" t="s">
        <v>205</v>
      </c>
      <c r="G2" s="175"/>
    </row>
    <row r="3" spans="1:13" s="24" customFormat="1" ht="80.099999999999994" customHeight="1">
      <c r="A3" s="33" t="s">
        <v>0</v>
      </c>
      <c r="B3" s="34" t="s">
        <v>151</v>
      </c>
      <c r="C3" s="35" t="s">
        <v>169</v>
      </c>
      <c r="D3" s="36" t="str">
        <f>IFERROR(VLOOKUP('General Information'!$G$6, Convalide!$L$2:$M$8, 2,FALSE), "")</f>
        <v>€/l milk</v>
      </c>
      <c r="E3" s="24">
        <f>('Parcel 1 with DATSs'!K29*'General Information'!G32)/(IF('General Information'!G6="crop",'Parcel 1 with DATSs'!K10,IF('General Information'!G6="milk",'Parcel 1 with DATSs'!K241,IF('General Information'!G6="meat",'Parcel 1 with DATSs'!K242,IF('General Information'!G6="animal",'Parcel 1 with DATSs'!K243,IF('General Information'!G6="oyster",'Parcel 1 with DATSs'!K244,IF('General Information'!G6="honey",'Parcel 1 with DATSs'!K245,'Parcel 1 with DATSs'!K246)))))))</f>
        <v>1</v>
      </c>
      <c r="F3" s="37" t="s">
        <v>463</v>
      </c>
      <c r="G3" s="39" t="str">
        <f>CONCATENATE("cost revenue dats","_",$A$1,"_",A3,"_",B3)</f>
        <v>cost revenue dats_COST ANALYSIS_WATER _Cost of water</v>
      </c>
      <c r="H3" s="24" t="s">
        <v>1774</v>
      </c>
    </row>
    <row r="4" spans="1:13" s="4" customFormat="1" ht="80.099999999999994" customHeight="1">
      <c r="A4" s="33" t="s">
        <v>179</v>
      </c>
      <c r="B4" s="34" t="s">
        <v>154</v>
      </c>
      <c r="C4" s="35" t="s">
        <v>169</v>
      </c>
      <c r="D4" s="36" t="str">
        <f>IFERROR(VLOOKUP('General Information'!$G$6, Convalide!$L$2:$M$8, 2,FALSE), "")</f>
        <v>€/l milk</v>
      </c>
      <c r="E4" s="24">
        <f>'Parcel 1 with DATSs'!K43*'General Information'!G33/(IF('General Information'!G6="crop",'Parcel 1 with DATSs'!K10,IF('General Information'!G6="milk",'Parcel 1 with DATSs'!K241,IF('General Information'!G6="meat",'Parcel 1 with DATSs'!K242,IF('General Information'!G6="animal",'Parcel 1 with DATSs'!K243,IF('General Information'!G6="oyster",'Parcel 1 with DATSs'!K244,IF('General Information'!G6="honey",'Parcel 1 with DATSs'!K245,'Parcel 1 with DATSs'!K246)))))))</f>
        <v>1</v>
      </c>
      <c r="F4" s="37" t="s">
        <v>464</v>
      </c>
      <c r="G4" s="39" t="str">
        <f t="shared" ref="G4:G38" si="0">CONCATENATE("cost revenue dats","_",$A$1,"_",A4,"_",B4)</f>
        <v>cost revenue dats_COST ANALYSIS_FUEL _Cost of  fuel</v>
      </c>
      <c r="H4" s="24" t="s">
        <v>1775</v>
      </c>
    </row>
    <row r="5" spans="1:13" s="4" customFormat="1" ht="80.099999999999994" customHeight="1">
      <c r="A5" s="33" t="s">
        <v>560</v>
      </c>
      <c r="B5" s="34" t="s">
        <v>561</v>
      </c>
      <c r="C5" s="35" t="s">
        <v>169</v>
      </c>
      <c r="D5" s="36" t="str">
        <f>IFERROR(VLOOKUP('General Information'!$G$6, Convalide!$L$2:$M$8, 2,FALSE), "")</f>
        <v>€/l milk</v>
      </c>
      <c r="E5" s="24">
        <f>(('Parcel 1 with DATSs'!K54*'General Information'!G42)+('Parcel 1 with DATSs'!K56*'General Information'!G43)+('Parcel 1 with DATSs'!K58*'General Information'!G44))/'Parcel 1 with DATSs'!K10</f>
        <v>3</v>
      </c>
      <c r="F5" s="37"/>
      <c r="G5" s="39" t="str">
        <f t="shared" si="0"/>
        <v>cost revenue dats_COST ANALYSIS_GREENHOUSE FUEL_Cost of fuel for greenhouse</v>
      </c>
      <c r="H5" s="24" t="s">
        <v>1776</v>
      </c>
    </row>
    <row r="6" spans="1:13" s="4" customFormat="1" ht="63">
      <c r="A6" s="33" t="s">
        <v>180</v>
      </c>
      <c r="B6" s="44" t="s">
        <v>172</v>
      </c>
      <c r="C6" s="35" t="s">
        <v>169</v>
      </c>
      <c r="D6" s="36" t="str">
        <f>IFERROR(VLOOKUP('General Information'!$G$6, Convalide!$L$2:$M$8, 2,FALSE), "")</f>
        <v>€/l milk</v>
      </c>
      <c r="E6" s="165">
        <f>'Parcel 1 with DATSs'!K68*'General Information'!G45/(IF('General Information'!G6="crop",'Parcel 1 with DATSs'!K10,IF('General Information'!G6="milk",'Parcel 1 with DATSs'!K241,IF('General Information'!G6="meat",'Parcel 1 with DATSs'!K242,IF('General Information'!G6="animal",'Parcel 1 with DATSs'!K243,IF('General Information'!G6="oyster",'Parcel 1 with DATSs'!K244,IF('General Information'!G6="honey",'Parcel 1 with DATSs'!K245,'Parcel 1 with DATSs'!K246)))))))</f>
        <v>1</v>
      </c>
      <c r="F6" s="37" t="s">
        <v>465</v>
      </c>
      <c r="G6" s="39" t="str">
        <f t="shared" si="0"/>
        <v>cost revenue dats_COST ANALYSIS_ELECTRICITY_Cost of electricity</v>
      </c>
      <c r="H6" s="24" t="s">
        <v>1777</v>
      </c>
    </row>
    <row r="7" spans="1:13" s="4" customFormat="1" ht="132" customHeight="1">
      <c r="A7" s="33" t="s">
        <v>189</v>
      </c>
      <c r="B7" s="44" t="s">
        <v>190</v>
      </c>
      <c r="C7" s="35" t="s">
        <v>169</v>
      </c>
      <c r="D7" s="36" t="str">
        <f>IFERROR(VLOOKUP('General Information'!$G$6, Convalide!$L$2:$M$8, 2,FALSE), "")</f>
        <v>€/l milk</v>
      </c>
      <c r="E7" s="24">
        <f>('Parcel 1 with DATSs'!K82*'Parcel 1 with DATSs'!K83*'General Information'!G50)+('Parcel 1 with DATSs'!K85*'Parcel 1 with DATSs'!K86*'General Information'!G51)+('Parcel 1 with DATSs'!K88*'Parcel 1 with DATSs'!K89*'General Information'!G59)</f>
        <v>3</v>
      </c>
      <c r="F7" s="37" t="s">
        <v>455</v>
      </c>
      <c r="G7" s="39" t="str">
        <f t="shared" si="0"/>
        <v xml:space="preserve">cost revenue dats_COST ANALYSIS_PESTICIDE _Cost for pesticide </v>
      </c>
      <c r="H7" s="24" t="s">
        <v>1778</v>
      </c>
    </row>
    <row r="8" spans="1:13" s="4" customFormat="1" ht="134.1" customHeight="1">
      <c r="A8" s="33" t="s">
        <v>191</v>
      </c>
      <c r="B8" s="44" t="s">
        <v>192</v>
      </c>
      <c r="C8" s="35" t="s">
        <v>169</v>
      </c>
      <c r="D8" s="36" t="str">
        <f>IFERROR(VLOOKUP('General Information'!$G$6, Convalide!$L$2:$M$8, 2,FALSE), "")</f>
        <v>€/l milk</v>
      </c>
      <c r="E8" s="24">
        <f>('Parcel 1 with DATSs'!K95*'Parcel 1 with DATSs'!K96*'General Information'!G68)+('Parcel 1 with DATSs'!K102*'Parcel 1 with DATSs'!K103*'General Information'!G69)+('Parcel 1 with DATSs'!K109*'Parcel 1 with DATSs'!K110*'General Information'!G70)</f>
        <v>3</v>
      </c>
      <c r="F8" s="37" t="s">
        <v>456</v>
      </c>
      <c r="G8" s="39" t="str">
        <f t="shared" si="0"/>
        <v xml:space="preserve">cost revenue dats_COST ANALYSIS_FERTILISER_Cost of fertiliser </v>
      </c>
      <c r="H8" s="24" t="s">
        <v>1779</v>
      </c>
    </row>
    <row r="9" spans="1:13" s="4" customFormat="1" ht="134.1" customHeight="1">
      <c r="A9" s="33" t="s">
        <v>9</v>
      </c>
      <c r="B9" s="44" t="s">
        <v>234</v>
      </c>
      <c r="C9" s="35" t="s">
        <v>169</v>
      </c>
      <c r="D9" s="36" t="str">
        <f>IFERROR(VLOOKUP('General Information'!$G$6, Convalide!$L$2:$M$8, 2,FALSE), "")</f>
        <v>€/l milk</v>
      </c>
      <c r="E9" s="24">
        <f>(('General Information'!G79*'Parcel 1 with DATSs'!K151)+('General Information'!G80*'Parcel 1 with DATSs'!K153)+('General Information'!G81*'Parcel 1 with DATSs'!K157))/(IF('General Information'!G6="crop",'Parcel 1 with DATSs'!K10,IF('General Information'!G6="milk",'Parcel 1 with DATSs'!K241,IF('General Information'!G6="meat",'Parcel 1 with DATSs'!K242,IF('General Information'!G6="animal",'Parcel 1 with DATSs'!K243,IF('General Information'!G6="oyster",'Parcel 1 with DATSs'!K244,IF('General Information'!G6="honey",'Parcel 1 with DATSs'!K245,'Parcel 1 with DATSs'!K246)))))))</f>
        <v>3</v>
      </c>
      <c r="F9" s="37" t="s">
        <v>400</v>
      </c>
      <c r="G9" s="39" t="str">
        <f t="shared" si="0"/>
        <v>cost revenue dats_COST ANALYSIS_FEED_Cost of feed</v>
      </c>
      <c r="H9" s="24" t="s">
        <v>1780</v>
      </c>
    </row>
    <row r="10" spans="1:13" s="4" customFormat="1" ht="134.1" customHeight="1">
      <c r="A10" s="33" t="s">
        <v>12</v>
      </c>
      <c r="B10" s="44" t="s">
        <v>235</v>
      </c>
      <c r="C10" s="35" t="s">
        <v>169</v>
      </c>
      <c r="D10" s="36" t="str">
        <f>IFERROR(VLOOKUP('General Information'!$G$6, Convalide!$L$2:$M$8, 2,FALSE), "")</f>
        <v>€/l milk</v>
      </c>
      <c r="E10" s="24">
        <f>(('General Information'!G90*'Parcel 1 with DATSs'!K174)+('General Information'!G91*'Parcel 1 with DATSs'!K176)+('General Information'!G92*'Parcel 1 with DATSs'!K178))/(IF('General Information'!G6="crop",'Parcel 1 with DATSs'!K10,IF('General Information'!G6="milk",'Parcel 1 with DATSs'!K241,IF('General Information'!G6="meat",'Parcel 1 with DATSs'!K242,IF('General Information'!G6="animal",'Parcel 1 with DATSs'!K243,IF('General Information'!G6="oyster",'Parcel 1 with DATSs'!K244,IF('General Information'!G6="honey",'Parcel 1 with DATSs'!K245,'Parcel 1 with DATSs'!K246)))))))</f>
        <v>3</v>
      </c>
      <c r="F10" s="37" t="s">
        <v>418</v>
      </c>
      <c r="G10" s="39" t="str">
        <f t="shared" si="0"/>
        <v>cost revenue dats_COST ANALYSIS_DRUGS _ Cost of drugs</v>
      </c>
      <c r="H10" s="24" t="s">
        <v>1781</v>
      </c>
      <c r="I10" s="50"/>
      <c r="J10" s="50"/>
    </row>
    <row r="11" spans="1:13" s="4" customFormat="1" ht="53.1" customHeight="1">
      <c r="A11" s="33" t="s">
        <v>204</v>
      </c>
      <c r="B11" s="44" t="s">
        <v>184</v>
      </c>
      <c r="C11" s="35" t="s">
        <v>169</v>
      </c>
      <c r="D11" s="36" t="str">
        <f>IFERROR(VLOOKUP('General Information'!$G$6, Convalide!$L$2:$M$8, 2,FALSE), "")</f>
        <v>€/l milk</v>
      </c>
      <c r="E11" s="24">
        <f>'Parcel 1 with DATSs'!K184*'General Information'!G46/'Parcel 1 with DATSs'!K10</f>
        <v>1</v>
      </c>
      <c r="F11" s="37" t="s">
        <v>401</v>
      </c>
      <c r="G11" s="39" t="str">
        <f t="shared" si="0"/>
        <v>cost revenue dats_COST ANALYSIS_LABOUR_Cost of labour for irrigation</v>
      </c>
      <c r="H11" s="24" t="s">
        <v>1782</v>
      </c>
    </row>
    <row r="12" spans="1:13" s="4" customFormat="1" ht="59.1" customHeight="1">
      <c r="A12" s="33" t="s">
        <v>204</v>
      </c>
      <c r="B12" s="44" t="s">
        <v>582</v>
      </c>
      <c r="C12" s="35" t="s">
        <v>169</v>
      </c>
      <c r="D12" s="36" t="str">
        <f>IFERROR(VLOOKUP('General Information'!$G$6, Convalide!$L$2:$M$8, 2,FALSE), "")</f>
        <v>€/l milk</v>
      </c>
      <c r="E12" s="24">
        <f>'Parcel 1 with DATSs'!K185*'General Information'!G46/'Parcel 1 with DATSs'!K10</f>
        <v>1</v>
      </c>
      <c r="F12" s="37" t="s">
        <v>398</v>
      </c>
      <c r="G12" s="39" t="str">
        <f t="shared" si="0"/>
        <v>cost revenue dats_COST ANALYSIS_LABOUR_Cost of labour for pesticide application</v>
      </c>
      <c r="H12" s="24" t="s">
        <v>1783</v>
      </c>
    </row>
    <row r="13" spans="1:13" s="4" customFormat="1" ht="63.95" customHeight="1">
      <c r="A13" s="33" t="s">
        <v>204</v>
      </c>
      <c r="B13" s="44" t="s">
        <v>181</v>
      </c>
      <c r="C13" s="35" t="s">
        <v>169</v>
      </c>
      <c r="D13" s="36" t="str">
        <f>IFERROR(VLOOKUP('General Information'!$G$6, Convalide!$L$2:$M$8, 2,FALSE), "")</f>
        <v>€/l milk</v>
      </c>
      <c r="E13" s="24">
        <f>'Parcel 1 with DATSs'!K186*'General Information'!G46/'Parcel 1 with DATSs'!K10</f>
        <v>1</v>
      </c>
      <c r="F13" s="37" t="s">
        <v>402</v>
      </c>
      <c r="G13" s="39" t="str">
        <f t="shared" si="0"/>
        <v>cost revenue dats_COST ANALYSIS_LABOUR_Cost of labour for fertilisation</v>
      </c>
      <c r="H13" s="24" t="s">
        <v>1784</v>
      </c>
    </row>
    <row r="14" spans="1:13" s="4" customFormat="1" ht="75" customHeight="1">
      <c r="A14" s="33" t="s">
        <v>204</v>
      </c>
      <c r="B14" s="44" t="s">
        <v>186</v>
      </c>
      <c r="C14" s="35" t="s">
        <v>169</v>
      </c>
      <c r="D14" s="36" t="str">
        <f>IFERROR(VLOOKUP('General Information'!$G$6, Convalide!$L$2:$M$8, 2,FALSE), "")</f>
        <v>€/l milk</v>
      </c>
      <c r="E14" s="24">
        <f>'Parcel 1 with DATSs'!K187*'General Information'!G46/'Parcel 1 with DATSs'!K10</f>
        <v>1</v>
      </c>
      <c r="F14" s="37" t="s">
        <v>403</v>
      </c>
      <c r="G14" s="39" t="str">
        <f t="shared" si="0"/>
        <v xml:space="preserve">cost revenue dats_COST ANALYSIS_LABOUR_Cost of labour for sowing_planting </v>
      </c>
      <c r="H14" s="24" t="s">
        <v>1785</v>
      </c>
    </row>
    <row r="15" spans="1:13" s="4" customFormat="1" ht="57" customHeight="1">
      <c r="A15" s="33" t="s">
        <v>204</v>
      </c>
      <c r="B15" s="44" t="s">
        <v>187</v>
      </c>
      <c r="C15" s="35" t="s">
        <v>169</v>
      </c>
      <c r="D15" s="36" t="str">
        <f>IFERROR(VLOOKUP('General Information'!$G$6, Convalide!$L$2:$M$8, 2,FALSE), "")</f>
        <v>€/l milk</v>
      </c>
      <c r="E15" s="24">
        <f>'Parcel 1 with DATSs'!K188*'General Information'!G46/'Parcel 1 with DATSs'!K10</f>
        <v>1</v>
      </c>
      <c r="F15" s="37" t="s">
        <v>404</v>
      </c>
      <c r="G15" s="39" t="str">
        <f t="shared" si="0"/>
        <v>cost revenue dats_COST ANALYSIS_LABOUR_Cost of labour for pruning</v>
      </c>
      <c r="H15" s="24" t="s">
        <v>1786</v>
      </c>
    </row>
    <row r="16" spans="1:13" s="4" customFormat="1" ht="56.1" customHeight="1">
      <c r="A16" s="33" t="s">
        <v>204</v>
      </c>
      <c r="B16" s="44" t="s">
        <v>188</v>
      </c>
      <c r="C16" s="35" t="s">
        <v>169</v>
      </c>
      <c r="D16" s="36" t="str">
        <f>IFERROR(VLOOKUP('General Information'!$G$6, Convalide!$L$2:$M$8, 2,FALSE), "")</f>
        <v>€/l milk</v>
      </c>
      <c r="E16" s="24">
        <f>'Parcel 1 with DATSs'!K189*'General Information'!G46/'Parcel 1 with DATSs'!K10</f>
        <v>1</v>
      </c>
      <c r="F16" s="37" t="s">
        <v>399</v>
      </c>
      <c r="G16" s="39" t="str">
        <f t="shared" si="0"/>
        <v xml:space="preserve">cost revenue dats_COST ANALYSIS_LABOUR_Cost of labour for field visits </v>
      </c>
      <c r="H16" s="24" t="s">
        <v>1787</v>
      </c>
    </row>
    <row r="17" spans="1:8" s="4" customFormat="1" ht="56.1" customHeight="1">
      <c r="A17" s="33" t="s">
        <v>204</v>
      </c>
      <c r="B17" s="44" t="s">
        <v>207</v>
      </c>
      <c r="C17" s="35" t="s">
        <v>169</v>
      </c>
      <c r="D17" s="36" t="str">
        <f>IFERROR(VLOOKUP('General Information'!$G$6, Convalide!$L$2:$M$8, 2,FALSE), "")</f>
        <v>€/l milk</v>
      </c>
      <c r="E17" s="24">
        <f>'Parcel 1 with DATSs'!K190*'General Information'!G46/'Parcel 1 with DATSs'!K10</f>
        <v>1</v>
      </c>
      <c r="F17" s="37" t="s">
        <v>405</v>
      </c>
      <c r="G17" s="39" t="str">
        <f t="shared" si="0"/>
        <v>cost revenue dats_COST ANALYSIS_LABOUR_Cost of labour for greenhouse maintenance</v>
      </c>
      <c r="H17" s="24" t="s">
        <v>1788</v>
      </c>
    </row>
    <row r="18" spans="1:8" s="4" customFormat="1" ht="56.1" customHeight="1">
      <c r="A18" s="33" t="s">
        <v>204</v>
      </c>
      <c r="B18" s="44" t="s">
        <v>208</v>
      </c>
      <c r="C18" s="35" t="s">
        <v>169</v>
      </c>
      <c r="D18" s="36" t="str">
        <f>IFERROR(VLOOKUP('General Information'!$G$6, Convalide!$L$2:$M$8, 2,FALSE), "")</f>
        <v>€/l milk</v>
      </c>
      <c r="E18" s="24">
        <f>'Parcel 1 with DATSs'!K191*'General Information'!G46/'Parcel 1 with DATSs'!K246</f>
        <v>1</v>
      </c>
      <c r="F18" s="37" t="s">
        <v>380</v>
      </c>
      <c r="G18" s="39" t="str">
        <f t="shared" si="0"/>
        <v xml:space="preserve">cost revenue dats_COST ANALYSIS_LABOUR_Cost of labour for tracking the quantity of grain available in the silo </v>
      </c>
      <c r="H18" s="24" t="s">
        <v>1789</v>
      </c>
    </row>
    <row r="19" spans="1:8" s="4" customFormat="1" ht="56.1" customHeight="1">
      <c r="A19" s="33" t="s">
        <v>204</v>
      </c>
      <c r="B19" s="44" t="s">
        <v>583</v>
      </c>
      <c r="C19" s="35" t="s">
        <v>169</v>
      </c>
      <c r="D19" s="36" t="str">
        <f>IFERROR(VLOOKUP('General Information'!$G$6, Convalide!$L$2:$M$8, 2,FALSE), "")</f>
        <v>€/l milk</v>
      </c>
      <c r="E19" s="24">
        <f>'Parcel 1 with DATSs'!K192*'General Information'!G46/(IF('General Information'!G6="crop",'Parcel 1 with DATSs'!K10,IF('General Information'!G6="milk",'Parcel 1 with DATSs'!K241,IF('General Information'!G6="meat",'Parcel 1 with DATSs'!K242,IF('General Information'!G6="animal",'Parcel 1 with DATSs'!K243,IF('General Information'!G6="oyster",'Parcel 1 with DATSs'!K244,IF('General Information'!G6="honey",'Parcel 1 with DATSs'!K245,'Parcel 1 with DATSs'!K246)))))))</f>
        <v>1</v>
      </c>
      <c r="F19" s="37" t="s">
        <v>381</v>
      </c>
      <c r="G19" s="39" t="str">
        <f t="shared" si="0"/>
        <v>cost revenue dats_COST ANALYSIS_LABOUR_Cost of labour for assessing product quality</v>
      </c>
      <c r="H19" s="24" t="s">
        <v>1790</v>
      </c>
    </row>
    <row r="20" spans="1:8" s="4" customFormat="1" ht="56.1" customHeight="1">
      <c r="A20" s="33" t="s">
        <v>204</v>
      </c>
      <c r="B20" s="44" t="s">
        <v>210</v>
      </c>
      <c r="C20" s="35" t="s">
        <v>169</v>
      </c>
      <c r="D20" s="36" t="str">
        <f>IFERROR(VLOOKUP('General Information'!$G$6, Convalide!$L$2:$M$8, 2,FALSE), "")</f>
        <v>€/l milk</v>
      </c>
      <c r="E20" s="24">
        <f>'Parcel 1 with DATSs'!K193*'General Information'!G46/(IF('General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1</v>
      </c>
      <c r="F20" s="37" t="s">
        <v>382</v>
      </c>
      <c r="G20" s="39" t="str">
        <f t="shared" si="0"/>
        <v>cost revenue dats_COST ANALYSIS_LABOUR_Cost of labour for controlling purchase and sale prices and quantities</v>
      </c>
      <c r="H20" s="24" t="s">
        <v>1791</v>
      </c>
    </row>
    <row r="21" spans="1:8" s="4" customFormat="1" ht="56.1" customHeight="1">
      <c r="A21" s="33" t="s">
        <v>204</v>
      </c>
      <c r="B21" s="44" t="s">
        <v>211</v>
      </c>
      <c r="C21" s="35" t="s">
        <v>169</v>
      </c>
      <c r="D21" s="36" t="str">
        <f>IFERROR(VLOOKUP('General Information'!$G$6, Convalide!$L$2:$M$8, 2,FALSE), "")</f>
        <v>€/l milk</v>
      </c>
      <c r="E21" s="24">
        <f>'Parcel 1 with DATSs'!K194*'General Information'!G46/(IF('General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1</v>
      </c>
      <c r="F21" s="37" t="s">
        <v>383</v>
      </c>
      <c r="G21" s="39" t="str">
        <f t="shared" si="0"/>
        <v xml:space="preserve">cost revenue dats_COST ANALYSIS_LABOUR_Cost of labour for organise logistics </v>
      </c>
      <c r="H21" s="24" t="s">
        <v>1792</v>
      </c>
    </row>
    <row r="22" spans="1:8" s="4" customFormat="1" ht="56.1" customHeight="1">
      <c r="A22" s="33" t="s">
        <v>204</v>
      </c>
      <c r="B22" s="44" t="s">
        <v>212</v>
      </c>
      <c r="C22" s="35" t="s">
        <v>169</v>
      </c>
      <c r="D22" s="36" t="str">
        <f>IFERROR(VLOOKUP('General Information'!$G$6, Convalide!$L$2:$M$8, 2,FALSE), "")</f>
        <v>€/l milk</v>
      </c>
      <c r="E22" s="24">
        <f>'Parcel 1 with DATSs'!K195*'General Information'!G46/(IF('General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1</v>
      </c>
      <c r="F22" s="37" t="s">
        <v>406</v>
      </c>
      <c r="G22" s="39" t="str">
        <f t="shared" si="0"/>
        <v>cost revenue dats_COST ANALYSIS_LABOUR_Cost of labour for cleaning</v>
      </c>
      <c r="H22" s="24" t="s">
        <v>1793</v>
      </c>
    </row>
    <row r="23" spans="1:8" s="4" customFormat="1" ht="56.1" customHeight="1">
      <c r="A23" s="33" t="s">
        <v>204</v>
      </c>
      <c r="B23" s="44" t="s">
        <v>213</v>
      </c>
      <c r="C23" s="35" t="s">
        <v>169</v>
      </c>
      <c r="D23" s="36" t="str">
        <f>IFERROR(VLOOKUP('General Information'!$G$6, Convalide!$L$2:$M$8, 2,FALSE), "")</f>
        <v>€/l milk</v>
      </c>
      <c r="E23" s="24">
        <f>'Parcel 1 with DATSs'!K196*'General Information'!G46/(IF('General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1</v>
      </c>
      <c r="F23" s="37" t="s">
        <v>407</v>
      </c>
      <c r="G23" s="39" t="str">
        <f t="shared" si="0"/>
        <v xml:space="preserve">cost revenue dats_COST ANALYSIS_LABOUR_Cost of labour for stable visits </v>
      </c>
      <c r="H23" s="24" t="s">
        <v>1794</v>
      </c>
    </row>
    <row r="24" spans="1:8" s="4" customFormat="1" ht="56.1" customHeight="1">
      <c r="A24" s="33" t="s">
        <v>204</v>
      </c>
      <c r="B24" s="44" t="s">
        <v>214</v>
      </c>
      <c r="C24" s="35" t="s">
        <v>169</v>
      </c>
      <c r="D24" s="36" t="str">
        <f>IFERROR(VLOOKUP('General Information'!$G$6, Convalide!$L$2:$M$8, 2,FALSE), "")</f>
        <v>€/l milk</v>
      </c>
      <c r="E24" s="24">
        <f>'Parcel 1 with DATSs'!K197*'General Information'!G46/(IF('General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1</v>
      </c>
      <c r="F24" s="37" t="s">
        <v>408</v>
      </c>
      <c r="G24" s="39" t="str">
        <f t="shared" si="0"/>
        <v xml:space="preserve">cost revenue dats_COST ANALYSIS_LABOUR_Cost of labour for heat detection </v>
      </c>
      <c r="H24" s="24" t="s">
        <v>1795</v>
      </c>
    </row>
    <row r="25" spans="1:8" s="4" customFormat="1" ht="56.1" customHeight="1">
      <c r="A25" s="33" t="s">
        <v>204</v>
      </c>
      <c r="B25" s="44" t="s">
        <v>215</v>
      </c>
      <c r="C25" s="35" t="s">
        <v>169</v>
      </c>
      <c r="D25" s="36" t="str">
        <f>IFERROR(VLOOKUP('General Information'!$G$6, Convalide!$L$2:$M$8, 2,FALSE), "")</f>
        <v>€/l milk</v>
      </c>
      <c r="E25" s="24">
        <f>'Parcel 1 with DATSs'!K198*'General Information'!G46/(IF('General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1</v>
      </c>
      <c r="F25" s="37" t="s">
        <v>409</v>
      </c>
      <c r="G25" s="39" t="str">
        <f t="shared" si="0"/>
        <v xml:space="preserve">cost revenue dats_COST ANALYSIS_LABOUR_Cost of labour for calving detection </v>
      </c>
      <c r="H25" s="24" t="s">
        <v>1796</v>
      </c>
    </row>
    <row r="26" spans="1:8" s="4" customFormat="1" ht="56.1" customHeight="1">
      <c r="A26" s="33" t="s">
        <v>204</v>
      </c>
      <c r="B26" s="44" t="s">
        <v>216</v>
      </c>
      <c r="C26" s="35" t="s">
        <v>169</v>
      </c>
      <c r="D26" s="36" t="str">
        <f>IFERROR(VLOOKUP('General Information'!$G$6, Convalide!$L$2:$M$8, 2,FALSE), "")</f>
        <v>€/l milk</v>
      </c>
      <c r="E26" s="24">
        <f>'Parcel 1 with DATSs'!K199*'General Information'!G46/(IF('General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1</v>
      </c>
      <c r="F26" s="37" t="s">
        <v>410</v>
      </c>
      <c r="G26" s="39" t="str">
        <f t="shared" si="0"/>
        <v xml:space="preserve">cost revenue dats_COST ANALYSIS_LABOUR_Cost of labour for pigsty management </v>
      </c>
      <c r="H26" s="24" t="s">
        <v>1797</v>
      </c>
    </row>
    <row r="27" spans="1:8" s="4" customFormat="1" ht="56.1" customHeight="1">
      <c r="A27" s="33" t="s">
        <v>204</v>
      </c>
      <c r="B27" s="44" t="s">
        <v>451</v>
      </c>
      <c r="C27" s="35" t="s">
        <v>169</v>
      </c>
      <c r="D27" s="36" t="str">
        <f>IFERROR(VLOOKUP('General Information'!$G$6, Convalide!$L$2:$M$8, 2,FALSE), "")</f>
        <v>€/l milk</v>
      </c>
      <c r="E27" s="24">
        <f>'Parcel 1 with DATSs'!K200*'General Information'!G46/(IF('General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1</v>
      </c>
      <c r="F27" s="37" t="s">
        <v>452</v>
      </c>
      <c r="G27" s="39" t="str">
        <f t="shared" si="0"/>
        <v xml:space="preserve">cost revenue dats_COST ANALYSIS_LABOUR_Cost of milking </v>
      </c>
      <c r="H27" s="24" t="s">
        <v>1798</v>
      </c>
    </row>
    <row r="28" spans="1:8" s="4" customFormat="1" ht="56.1" customHeight="1">
      <c r="A28" s="33" t="s">
        <v>204</v>
      </c>
      <c r="B28" s="44" t="s">
        <v>217</v>
      </c>
      <c r="C28" s="35" t="s">
        <v>169</v>
      </c>
      <c r="D28" s="36" t="str">
        <f>IFERROR(VLOOKUP('General Information'!$G$6, Convalide!$L$2:$M$8, 2,FALSE), "")</f>
        <v>€/l milk</v>
      </c>
      <c r="E28" s="24">
        <f>'Parcel 1 with DATSs'!K201*'General Information'!G46/(IF('General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1</v>
      </c>
      <c r="F28" s="37" t="s">
        <v>411</v>
      </c>
      <c r="G28" s="39" t="str">
        <f t="shared" si="0"/>
        <v>cost revenue dats_COST ANALYSIS_LABOUR_Cost of labour for (milk) quality assessment</v>
      </c>
      <c r="H28" s="24" t="s">
        <v>1799</v>
      </c>
    </row>
    <row r="29" spans="1:8" s="4" customFormat="1" ht="56.1" customHeight="1">
      <c r="A29" s="33" t="s">
        <v>204</v>
      </c>
      <c r="B29" s="44" t="s">
        <v>218</v>
      </c>
      <c r="C29" s="35" t="s">
        <v>169</v>
      </c>
      <c r="D29" s="36" t="str">
        <f>IFERROR(VLOOKUP('General Information'!$G$6, Convalide!$L$2:$M$8, 2,FALSE), "")</f>
        <v>€/l milk</v>
      </c>
      <c r="E29" s="24">
        <f>'Parcel 1 with DATSs'!K202*'General Information'!G46/(IF('General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1</v>
      </c>
      <c r="F29" s="37" t="s">
        <v>412</v>
      </c>
      <c r="G29" s="39" t="str">
        <f t="shared" si="0"/>
        <v xml:space="preserve">cost revenue dats_COST ANALYSIS_LABOUR_Cost of labour for feeding </v>
      </c>
      <c r="H29" s="24" t="s">
        <v>1800</v>
      </c>
    </row>
    <row r="30" spans="1:8" s="4" customFormat="1" ht="56.1" customHeight="1">
      <c r="A30" s="33" t="s">
        <v>204</v>
      </c>
      <c r="B30" s="44" t="s">
        <v>219</v>
      </c>
      <c r="C30" s="35" t="s">
        <v>169</v>
      </c>
      <c r="D30" s="36" t="str">
        <f>IFERROR(VLOOKUP('General Information'!$G$6, Convalide!$L$2:$M$8, 2,FALSE), "")</f>
        <v>€/l milk</v>
      </c>
      <c r="E30" s="24">
        <f>'Parcel 1 with DATSs'!K203*'General Information'!G46/'Parcel 1 with DATSs'!K245</f>
        <v>1</v>
      </c>
      <c r="F30" s="37" t="s">
        <v>413</v>
      </c>
      <c r="G30" s="39" t="str">
        <f t="shared" si="0"/>
        <v xml:space="preserve">cost revenue dats_COST ANALYSIS_LABOUR_Cost of labour for beehives visits </v>
      </c>
      <c r="H30" s="24" t="s">
        <v>1801</v>
      </c>
    </row>
    <row r="31" spans="1:8" s="4" customFormat="1" ht="69.95" customHeight="1">
      <c r="A31" s="33" t="s">
        <v>204</v>
      </c>
      <c r="B31" s="44" t="s">
        <v>220</v>
      </c>
      <c r="C31" s="35" t="s">
        <v>169</v>
      </c>
      <c r="D31" s="36" t="str">
        <f>IFERROR(VLOOKUP('General Information'!$G$6, Convalide!$L$2:$M$8, 2,FALSE), "")</f>
        <v>€/l milk</v>
      </c>
      <c r="E31" s="24">
        <f>'Parcel 1 with DATSs'!K204*'General Information'!G46/'Parcel 1 with DATSs'!K244</f>
        <v>1</v>
      </c>
      <c r="F31" s="37" t="s">
        <v>414</v>
      </c>
      <c r="G31" s="39" t="str">
        <f t="shared" si="0"/>
        <v xml:space="preserve">cost revenue dats_COST ANALYSIS_LABOUR_Cost of labour for sampling of oysters </v>
      </c>
      <c r="H31" s="24" t="s">
        <v>1802</v>
      </c>
    </row>
    <row r="32" spans="1:8" s="4" customFormat="1" ht="69.95" customHeight="1">
      <c r="A32" s="33" t="s">
        <v>204</v>
      </c>
      <c r="B32" s="44" t="s">
        <v>221</v>
      </c>
      <c r="C32" s="35" t="s">
        <v>169</v>
      </c>
      <c r="D32" s="36" t="str">
        <f>IFERROR(VLOOKUP('General Information'!$G$6, Convalide!$L$2:$M$8, 2,FALSE), "")</f>
        <v>€/l milk</v>
      </c>
      <c r="E32" s="24">
        <f>'Parcel 1 with DATSs'!K205*'General Information'!G46/'Parcel 1 with DATSs'!K244</f>
        <v>1</v>
      </c>
      <c r="F32" s="37" t="s">
        <v>415</v>
      </c>
      <c r="G32" s="39" t="str">
        <f t="shared" si="0"/>
        <v xml:space="preserve">cost revenue dats_COST ANALYSIS_LABOUR_Cost of labour for transporting oysters to the laboratory  </v>
      </c>
      <c r="H32" s="24" t="s">
        <v>1803</v>
      </c>
    </row>
    <row r="33" spans="1:13" s="4" customFormat="1" ht="69.95" customHeight="1">
      <c r="A33" s="33" t="s">
        <v>204</v>
      </c>
      <c r="B33" s="44" t="s">
        <v>458</v>
      </c>
      <c r="C33" s="35" t="s">
        <v>169</v>
      </c>
      <c r="D33" s="36" t="str">
        <f>IFERROR(VLOOKUP('General Information'!$G$6, Convalide!$L$2:$M$8, 2,FALSE), "")</f>
        <v>€/l milk</v>
      </c>
      <c r="E33" s="24">
        <f>'Parcel 1 with DATSs'!K206*'General Information'!$G$46/(IF('General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1</v>
      </c>
      <c r="F33" s="37" t="s">
        <v>416</v>
      </c>
      <c r="G33" s="39" t="str">
        <f t="shared" si="0"/>
        <v xml:space="preserve">cost revenue dats_COST ANALYSIS_LABOUR_Cost of labour for harvesting </v>
      </c>
      <c r="H33" s="24" t="s">
        <v>1804</v>
      </c>
    </row>
    <row r="34" spans="1:13" s="4" customFormat="1" ht="69.95" customHeight="1">
      <c r="A34" s="33" t="s">
        <v>204</v>
      </c>
      <c r="B34" s="44" t="s">
        <v>375</v>
      </c>
      <c r="C34" s="35" t="s">
        <v>169</v>
      </c>
      <c r="D34" s="36" t="str">
        <f>IFERROR(VLOOKUP('General Information'!$G$6, Convalide!$L$2:$M$8, 2,FALSE), "")</f>
        <v>€/l milk</v>
      </c>
      <c r="E34" s="24">
        <f>'Parcel 1 with DATSs'!K207*'General Information'!G46/(IF('General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1</v>
      </c>
      <c r="F34" s="37" t="s">
        <v>417</v>
      </c>
      <c r="G34" s="39" t="str">
        <f t="shared" si="0"/>
        <v xml:space="preserve">cost revenue dats_COST ANALYSIS_LABOUR_Cost of labour for storage </v>
      </c>
      <c r="H34" s="24" t="s">
        <v>1805</v>
      </c>
    </row>
    <row r="35" spans="1:13" s="4" customFormat="1" ht="65.099999999999994" customHeight="1">
      <c r="A35" s="33" t="s">
        <v>204</v>
      </c>
      <c r="B35" s="44" t="s">
        <v>667</v>
      </c>
      <c r="C35" s="35" t="s">
        <v>169</v>
      </c>
      <c r="D35" s="36" t="str">
        <f>IFERROR(VLOOKUP('General Information'!$G$6, Convalide!$L$2:$M$8, 2,FALSE), "")</f>
        <v>€/l milk</v>
      </c>
      <c r="E35" s="24">
        <f>'Parcel 1 with DATSs'!K208*'General Information'!$G$46/(IF('General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1</v>
      </c>
      <c r="F35" s="37" t="s">
        <v>419</v>
      </c>
      <c r="G35" s="39" t="str">
        <f t="shared" si="0"/>
        <v xml:space="preserve">cost revenue dats_COST ANALYSIS_LABOUR_Cost of administrative activities, data collection, etc. </v>
      </c>
      <c r="H35" s="24" t="s">
        <v>1806</v>
      </c>
    </row>
    <row r="36" spans="1:13" s="4" customFormat="1" ht="63">
      <c r="A36" s="33" t="s">
        <v>562</v>
      </c>
      <c r="B36" s="45" t="s">
        <v>467</v>
      </c>
      <c r="C36" s="35" t="s">
        <v>169</v>
      </c>
      <c r="D36" s="36" t="str">
        <f>IFERROR(VLOOKUP('General Information'!$G$6, Convalide!$L$2:$M$8, 2,FALSE), "")</f>
        <v>€/l milk</v>
      </c>
      <c r="E36" s="24">
        <f>SUM(E3:E35)</f>
        <v>43</v>
      </c>
      <c r="F36" s="37" t="s">
        <v>420</v>
      </c>
      <c r="G36" s="39" t="str">
        <f t="shared" si="0"/>
        <v xml:space="preserve">cost revenue dats_COST ANALYSIS_COST_TOT Cost </v>
      </c>
      <c r="H36" s="24" t="s">
        <v>1807</v>
      </c>
    </row>
    <row r="37" spans="1:13" ht="60.95" customHeight="1">
      <c r="A37" s="40" t="s">
        <v>564</v>
      </c>
      <c r="B37" s="41" t="s">
        <v>563</v>
      </c>
      <c r="C37" s="35" t="s">
        <v>169</v>
      </c>
      <c r="D37" s="36" t="str">
        <f>IFERROR(VLOOKUP('General Information'!$G$6, Convalide!$L$2:$M$8, 2,FALSE), "")</f>
        <v>€/l milk</v>
      </c>
      <c r="E37" s="24">
        <f>('General Information'!G23+'General Information'!G24)/(IF('General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2</v>
      </c>
      <c r="F37" s="37" t="s">
        <v>421</v>
      </c>
      <c r="G37" s="39" t="str">
        <f t="shared" si="0"/>
        <v>cost revenue dats_COST ANALYSIS_DATSs_Cost of DATSs</v>
      </c>
      <c r="H37" s="24" t="s">
        <v>1808</v>
      </c>
      <c r="M37"/>
    </row>
    <row r="38" spans="1:13" ht="60.95" customHeight="1">
      <c r="A38" s="40" t="s">
        <v>564</v>
      </c>
      <c r="B38" s="41" t="s">
        <v>384</v>
      </c>
      <c r="C38" s="35" t="s">
        <v>169</v>
      </c>
      <c r="D38" s="36" t="str">
        <f>IFERROR(VLOOKUP('General Information'!$G$6, Convalide!$L$2:$M$8, 2,FALSE), "")</f>
        <v>€/l milk</v>
      </c>
      <c r="E38" s="24">
        <f>'General Information'!G27/(IF('General Information'!G6="crop",'Parcel 1 with DATSs'!K10,IF('General Information'!G6="milk",'Parcel 1 with DATSs'!K241,IF('General Information'!G6="meat",'Parcel 1 with DATSs'!K242,IF('General Information'!G6="animal",'Parcel 1 with DATSs'!K243, IF('General Information'!G6="oyster",'Parcel 1 with DATSs'!K244,IF('General Information'!G6="honey",'Parcel 1 with DATSs'!K245,'Parcel 1 with DATSs'!K246)))))))</f>
        <v>1</v>
      </c>
      <c r="F38" s="37" t="s">
        <v>422</v>
      </c>
      <c r="G38" s="39" t="str">
        <f t="shared" si="0"/>
        <v xml:space="preserve">cost revenue dats_COST ANALYSIS_DATSs_Cost of Training </v>
      </c>
      <c r="H38" s="24" t="s">
        <v>1809</v>
      </c>
      <c r="M38"/>
    </row>
    <row r="39" spans="1:13" ht="32.1" customHeight="1">
      <c r="A39" s="51"/>
      <c r="B39" s="3"/>
      <c r="C39" s="51"/>
      <c r="D39" s="1"/>
      <c r="E39" s="24"/>
      <c r="F39" s="30"/>
      <c r="G39" s="55" t="s">
        <v>1769</v>
      </c>
      <c r="H39" s="24" t="s">
        <v>1810</v>
      </c>
      <c r="M39"/>
    </row>
    <row r="40" spans="1:13" s="4" customFormat="1">
      <c r="A40" s="46" t="s">
        <v>194</v>
      </c>
      <c r="C40" s="51"/>
      <c r="F40" s="30"/>
      <c r="G40" s="55" t="s">
        <v>1769</v>
      </c>
      <c r="H40" s="24" t="s">
        <v>1811</v>
      </c>
      <c r="M40" s="38"/>
    </row>
    <row r="41" spans="1:13" s="4" customFormat="1" ht="20.100000000000001" customHeight="1">
      <c r="A41" s="47" t="s">
        <v>390</v>
      </c>
      <c r="B41" s="47" t="s">
        <v>148</v>
      </c>
      <c r="C41" s="47" t="s">
        <v>149</v>
      </c>
      <c r="D41" s="47" t="s">
        <v>150</v>
      </c>
      <c r="E41" s="47" t="s">
        <v>206</v>
      </c>
      <c r="F41" s="47" t="s">
        <v>205</v>
      </c>
      <c r="G41" s="55" t="s">
        <v>1769</v>
      </c>
      <c r="H41" s="24" t="s">
        <v>1812</v>
      </c>
    </row>
    <row r="42" spans="1:13" ht="60.95" customHeight="1">
      <c r="A42" s="40" t="s">
        <v>125</v>
      </c>
      <c r="B42" s="41" t="s">
        <v>668</v>
      </c>
      <c r="C42" s="35" t="s">
        <v>169</v>
      </c>
      <c r="D42" s="43" t="s">
        <v>153</v>
      </c>
      <c r="E42" s="24">
        <f>'Parcel 1 with DATSs'!K240/'Parcel 1 with DATSs'!K10*'General Information'!$G$48</f>
        <v>1</v>
      </c>
      <c r="F42" s="37" t="s">
        <v>195</v>
      </c>
      <c r="G42" s="39" t="str">
        <f>CONCATENATE("cost revenue dats","_",$A$40,"_",A42,"_",B42)</f>
        <v>cost revenue dats_REVENUES ANALYSIS_OUTPUT_Crop revenue</v>
      </c>
      <c r="H42" s="24" t="s">
        <v>1813</v>
      </c>
      <c r="M42"/>
    </row>
    <row r="43" spans="1:13" ht="60.95" customHeight="1">
      <c r="A43" s="40" t="s">
        <v>125</v>
      </c>
      <c r="B43" s="41" t="s">
        <v>669</v>
      </c>
      <c r="C43" s="35" t="s">
        <v>169</v>
      </c>
      <c r="D43" s="43" t="s">
        <v>376</v>
      </c>
      <c r="E43" s="24">
        <f>'Parcel 1 with DATSs'!K241*'General Information'!$G$105/'Parcel 1 with DATSs'!K17</f>
        <v>1</v>
      </c>
      <c r="F43" s="37" t="s">
        <v>236</v>
      </c>
      <c r="G43" s="39" t="str">
        <f t="shared" ref="G43:G48" si="1">CONCATENATE("cost revenue dats","_",$A$40,"_",A43,"_",B43)</f>
        <v>cost revenue dats_REVENUES ANALYSIS_OUTPUT_Milk revenue</v>
      </c>
      <c r="H43" s="24" t="s">
        <v>1814</v>
      </c>
      <c r="M43"/>
    </row>
    <row r="44" spans="1:13" ht="60.95" customHeight="1">
      <c r="A44" s="40" t="s">
        <v>125</v>
      </c>
      <c r="B44" s="41" t="s">
        <v>670</v>
      </c>
      <c r="C44" s="35" t="s">
        <v>169</v>
      </c>
      <c r="D44" s="43" t="s">
        <v>376</v>
      </c>
      <c r="E44" s="24">
        <f>'Parcel 1 with DATSs'!K242*'General Information'!G48/'Parcel 1 with DATSs'!K17</f>
        <v>1</v>
      </c>
      <c r="F44" s="37" t="s">
        <v>237</v>
      </c>
      <c r="G44" s="39" t="str">
        <f t="shared" si="1"/>
        <v>cost revenue dats_REVENUES ANALYSIS_OUTPUT_Meat revenue</v>
      </c>
      <c r="H44" s="24" t="s">
        <v>1815</v>
      </c>
      <c r="M44"/>
    </row>
    <row r="45" spans="1:13" ht="60.95" customHeight="1">
      <c r="A45" s="40" t="s">
        <v>125</v>
      </c>
      <c r="B45" s="41" t="s">
        <v>671</v>
      </c>
      <c r="C45" s="35" t="s">
        <v>169</v>
      </c>
      <c r="D45" s="43" t="s">
        <v>624</v>
      </c>
      <c r="E45" s="24">
        <f>'Parcel 1 with DATSs'!K244*'General Information'!$G$105/'Parcel 1 with DATSs'!K20</f>
        <v>1</v>
      </c>
      <c r="F45" s="37" t="s">
        <v>238</v>
      </c>
      <c r="G45" s="39" t="str">
        <f t="shared" si="1"/>
        <v>cost revenue dats_REVENUES ANALYSIS_OUTPUT_Oyster revenue</v>
      </c>
      <c r="H45" s="24" t="s">
        <v>1816</v>
      </c>
      <c r="M45"/>
    </row>
    <row r="46" spans="1:13" ht="60.95" customHeight="1">
      <c r="A46" s="40" t="s">
        <v>125</v>
      </c>
      <c r="B46" s="41" t="s">
        <v>672</v>
      </c>
      <c r="C46" s="35" t="s">
        <v>169</v>
      </c>
      <c r="D46" s="43" t="s">
        <v>625</v>
      </c>
      <c r="E46" s="24">
        <f>'Parcel 1 with DATSs'!K245*'General Information'!$G$105/'Parcel 1 with DATSs'!K19</f>
        <v>1</v>
      </c>
      <c r="F46" s="37" t="s">
        <v>239</v>
      </c>
      <c r="G46" s="39" t="str">
        <f t="shared" si="1"/>
        <v>cost revenue dats_REVENUES ANALYSIS_OUTPUT_Honey revenue</v>
      </c>
      <c r="H46" s="24" t="s">
        <v>1817</v>
      </c>
      <c r="M46"/>
    </row>
    <row r="47" spans="1:13" ht="60.95" customHeight="1">
      <c r="A47" s="40" t="s">
        <v>125</v>
      </c>
      <c r="B47" s="41" t="s">
        <v>673</v>
      </c>
      <c r="C47" s="35" t="s">
        <v>169</v>
      </c>
      <c r="D47" s="43" t="s">
        <v>508</v>
      </c>
      <c r="E47" s="24">
        <f>'Parcel 1 with DATSs'!K246*'General Information'!G48</f>
        <v>1</v>
      </c>
      <c r="F47" s="37"/>
      <c r="G47" s="39" t="str">
        <f t="shared" si="1"/>
        <v>cost revenue dats_REVENUES ANALYSIS_OUTPUT_Grain (silos) revenue</v>
      </c>
      <c r="H47" s="24" t="s">
        <v>1818</v>
      </c>
      <c r="M47"/>
    </row>
    <row r="48" spans="1:13" ht="60.95" customHeight="1">
      <c r="A48" s="40" t="s">
        <v>389</v>
      </c>
      <c r="B48" s="41" t="s">
        <v>301</v>
      </c>
      <c r="C48" s="35" t="s">
        <v>169</v>
      </c>
      <c r="D48" s="43" t="str">
        <f>IFERROR(VLOOKUP('General Information'!$G$6, Convalide!$L$2:$M$8, 2,FALSE), "")</f>
        <v>€/l milk</v>
      </c>
      <c r="E48" s="24">
        <f>'Parcel 1 with DATSs'!K215</f>
        <v>1</v>
      </c>
      <c r="F48" s="41" t="s">
        <v>301</v>
      </c>
      <c r="G48" s="39" t="str">
        <f t="shared" si="1"/>
        <v xml:space="preserve">cost revenue dats_REVENUES ANALYSIS_ADDITIONAL REVENUES_Additional revenues </v>
      </c>
      <c r="H48" s="24" t="s">
        <v>1819</v>
      </c>
      <c r="M48"/>
    </row>
    <row r="49" spans="1:13" ht="32.1" customHeight="1">
      <c r="A49" s="51"/>
      <c r="B49" s="3"/>
      <c r="C49" s="32"/>
      <c r="D49" s="1"/>
      <c r="E49" s="24"/>
      <c r="F49" s="30"/>
      <c r="G49" s="55"/>
      <c r="M49"/>
    </row>
    <row r="50" spans="1:13" ht="26.1" customHeight="1">
      <c r="A50" s="51"/>
      <c r="B50" s="51"/>
      <c r="C50" s="52"/>
      <c r="D50" s="51"/>
      <c r="E50" s="51"/>
      <c r="F50" s="51"/>
      <c r="M50"/>
    </row>
  </sheetData>
  <phoneticPr fontId="2" type="noConversion"/>
  <conditionalFormatting sqref="C2:C38 C41:C50">
    <cfRule type="containsText" dxfId="155" priority="12" operator="containsText" text="Without DATs">
      <formula>NOT(ISERROR(SEARCH("Without DATs",C2)))</formula>
    </cfRule>
  </conditionalFormatting>
  <conditionalFormatting sqref="C3:C38 C42:C50">
    <cfRule type="containsText" dxfId="154" priority="13" operator="containsText" text="With DATs">
      <formula>NOT(ISERROR(SEARCH("With DATs",C3)))</formula>
    </cfRule>
    <cfRule type="containsText" dxfId="153" priority="14" operator="containsText" text="With out DATs">
      <formula>NOT(ISERROR(SEARCH("With out DATs",C3)))</formula>
    </cfRule>
    <cfRule type="containsText" dxfId="152" priority="15" operator="containsText" text="TO-BE">
      <formula>NOT(ISERROR(SEARCH("TO-BE",C3)))</formula>
    </cfRule>
    <cfRule type="containsText" dxfId="151" priority="16" operator="containsText" text="AS-IS">
      <formula>NOT(ISERROR(SEARCH("AS-IS",C3)))</formula>
    </cfRule>
  </conditionalFormatting>
  <conditionalFormatting sqref="D1 D51:D1048576">
    <cfRule type="containsText" dxfId="150" priority="39" operator="containsText" text="Without DATs">
      <formula>NOT(ISERROR(SEARCH("Without DATs",D1)))</formula>
    </cfRule>
  </conditionalFormatting>
  <conditionalFormatting sqref="D40">
    <cfRule type="containsText" dxfId="149" priority="87" operator="containsText" text="Without DATs">
      <formula>NOT(ISERROR(SEARCH("Without DATs",D40)))</formula>
    </cfRule>
  </conditionalFormatting>
  <conditionalFormatting sqref="G3:G1048576">
    <cfRule type="cellIs" dxfId="148" priority="1" operator="lessThan">
      <formula>0</formula>
    </cfRule>
    <cfRule type="cellIs" dxfId="147" priority="2" operator="greaterThan">
      <formula>0</formula>
    </cfRule>
  </conditionalFormatting>
  <conditionalFormatting sqref="I10">
    <cfRule type="containsText" dxfId="146" priority="75" operator="containsText" text="Without DATs">
      <formula>NOT(ISERROR(SEARCH("Without DATs",I10)))</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615DC-441F-B64F-BA7D-AF39B5EA85C5}">
  <sheetPr codeName="F____7"/>
  <dimension ref="A1:M50"/>
  <sheetViews>
    <sheetView zoomScale="55" zoomScaleNormal="55" workbookViewId="0">
      <selection activeCell="C14" sqref="C14"/>
    </sheetView>
  </sheetViews>
  <sheetFormatPr defaultColWidth="11.125" defaultRowHeight="15.75"/>
  <cols>
    <col min="1" max="1" width="21.125" customWidth="1"/>
    <col min="2" max="2" width="31.375" bestFit="1" customWidth="1"/>
    <col min="3" max="3" width="18.5" customWidth="1"/>
    <col min="4" max="4" width="13.375" customWidth="1"/>
    <col min="5" max="5" width="32.375" style="4" customWidth="1"/>
    <col min="6" max="6" width="35.875" bestFit="1" customWidth="1"/>
    <col min="7" max="7" width="36" customWidth="1"/>
    <col min="8" max="8" width="22.5" customWidth="1"/>
    <col min="9" max="10" width="26.875" customWidth="1"/>
    <col min="11" max="11" width="20.875" customWidth="1"/>
    <col min="12" max="12" width="25.125" customWidth="1"/>
    <col min="13" max="13" width="25" style="21" customWidth="1"/>
    <col min="15" max="15" width="22.375" customWidth="1"/>
  </cols>
  <sheetData>
    <row r="1" spans="1:13" s="4" customFormat="1">
      <c r="A1" s="46" t="s">
        <v>193</v>
      </c>
      <c r="M1" s="38"/>
    </row>
    <row r="2" spans="1:13" s="4" customFormat="1" ht="20.100000000000001" customHeight="1">
      <c r="A2" s="47" t="s">
        <v>178</v>
      </c>
      <c r="B2" s="47" t="s">
        <v>148</v>
      </c>
      <c r="C2" s="47" t="s">
        <v>149</v>
      </c>
      <c r="D2" s="47" t="s">
        <v>150</v>
      </c>
      <c r="E2" s="47" t="s">
        <v>206</v>
      </c>
      <c r="F2" s="47" t="s">
        <v>205</v>
      </c>
      <c r="G2" s="175"/>
    </row>
    <row r="3" spans="1:13" s="24" customFormat="1" ht="80.099999999999994" customHeight="1">
      <c r="A3" s="33" t="s">
        <v>0</v>
      </c>
      <c r="B3" s="34" t="s">
        <v>151</v>
      </c>
      <c r="C3" s="35" t="s">
        <v>152</v>
      </c>
      <c r="D3" s="36" t="str">
        <f>IFERROR(VLOOKUP('General Information'!$G$6, Convalide!$L$2:$M$8, 2,FALSE), "")</f>
        <v>€/l milk</v>
      </c>
      <c r="E3" s="24">
        <f>('Parcel 1 without DATSs'!G29*'General Information'!G96)/(IF('General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3" s="37" t="s">
        <v>463</v>
      </c>
      <c r="G3" s="39" t="str">
        <f>CONCATENATE("cost revenue no dats","_",$A$1,"_",A3,"_",B3)</f>
        <v>cost revenue no dats_COST ANALYSIS_WATER _Cost of water</v>
      </c>
      <c r="H3" s="24" t="s">
        <v>1774</v>
      </c>
    </row>
    <row r="4" spans="1:13" s="4" customFormat="1" ht="80.099999999999994" customHeight="1">
      <c r="A4" s="33" t="s">
        <v>179</v>
      </c>
      <c r="B4" s="34" t="s">
        <v>154</v>
      </c>
      <c r="C4" s="35" t="s">
        <v>152</v>
      </c>
      <c r="D4" s="36" t="str">
        <f>IFERROR(VLOOKUP('General Information'!$G$6, Convalide!$L$2:$M$8, 2,FALSE), "")</f>
        <v>€/l milk</v>
      </c>
      <c r="E4" s="24">
        <f>'Parcel 1 without DATSs'!G43*'General Information'!G97/(IF('General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4" s="37" t="s">
        <v>464</v>
      </c>
      <c r="G4" s="39" t="str">
        <f t="shared" ref="G4:G38" si="0">CONCATENATE("cost revenue no dats","_",$A$1,"_",A4,"_",B4)</f>
        <v>cost revenue no dats_COST ANALYSIS_FUEL _Cost of  fuel</v>
      </c>
      <c r="H4" s="24" t="s">
        <v>1775</v>
      </c>
    </row>
    <row r="5" spans="1:13" s="4" customFormat="1" ht="80.099999999999994" customHeight="1">
      <c r="A5" s="33" t="s">
        <v>560</v>
      </c>
      <c r="B5" s="34" t="s">
        <v>561</v>
      </c>
      <c r="C5" s="35" t="s">
        <v>152</v>
      </c>
      <c r="D5" s="36" t="str">
        <f>IFERROR(VLOOKUP('General Information'!$G$6, Convalide!$L$2:$M$8, 2,FALSE), "")</f>
        <v>€/l milk</v>
      </c>
      <c r="E5" s="24">
        <f>(('Parcel 1 without DATSs'!G48*'General Information'!G99)+('Parcel 1 without DATSs'!G50*'General Information'!G100)+('Parcel 1 without DATSs'!G52*'General Information'!G101))/'Parcel 1 without DATSs'!E10</f>
        <v>3</v>
      </c>
      <c r="F5" s="37"/>
      <c r="G5" s="39" t="str">
        <f t="shared" si="0"/>
        <v>cost revenue no dats_COST ANALYSIS_GREENHOUSE FUEL_Cost of fuel for greenhouse</v>
      </c>
      <c r="H5" s="24" t="s">
        <v>1776</v>
      </c>
    </row>
    <row r="6" spans="1:13" s="4" customFormat="1" ht="63">
      <c r="A6" s="33" t="s">
        <v>180</v>
      </c>
      <c r="B6" s="44" t="s">
        <v>172</v>
      </c>
      <c r="C6" s="35" t="s">
        <v>152</v>
      </c>
      <c r="D6" s="36" t="str">
        <f>IFERROR(VLOOKUP('General Information'!$G$6, Convalide!$L$2:$M$8, 2,FALSE), "")</f>
        <v>€/l milk</v>
      </c>
      <c r="E6" s="24">
        <f>'Parcel 1 without DATSs'!G68*'General Information'!G102/(IF('General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6" s="37" t="s">
        <v>465</v>
      </c>
      <c r="G6" s="39" t="str">
        <f t="shared" si="0"/>
        <v>cost revenue no dats_COST ANALYSIS_ELECTRICITY_Cost of electricity</v>
      </c>
      <c r="H6" s="24" t="s">
        <v>1777</v>
      </c>
    </row>
    <row r="7" spans="1:13" s="4" customFormat="1" ht="132" customHeight="1">
      <c r="A7" s="33" t="s">
        <v>189</v>
      </c>
      <c r="B7" s="44" t="s">
        <v>190</v>
      </c>
      <c r="C7" s="35" t="s">
        <v>152</v>
      </c>
      <c r="D7" s="36" t="str">
        <f>IFERROR(VLOOKUP('General Information'!$G$6, Convalide!$L$2:$M$8, 2,FALSE), "")</f>
        <v>€/l milk</v>
      </c>
      <c r="E7" s="24">
        <f>('Parcel 1 without DATSs'!G73*'Parcel 1 without DATSs'!G74*'General Information'!G107)+('Parcel 1 without DATSs'!G76*'Parcel 1 without DATSs'!G77*'General Information'!G108)+('Parcel 1 without DATSs'!G79*'Parcel 1 without DATSs'!G80*'General Information'!G109)</f>
        <v>3</v>
      </c>
      <c r="F7" s="37" t="s">
        <v>455</v>
      </c>
      <c r="G7" s="39" t="str">
        <f t="shared" si="0"/>
        <v xml:space="preserve">cost revenue no dats_COST ANALYSIS_PESTICIDE _Cost for pesticide </v>
      </c>
      <c r="H7" s="24" t="s">
        <v>1778</v>
      </c>
    </row>
    <row r="8" spans="1:13" s="4" customFormat="1" ht="134.1" customHeight="1">
      <c r="A8" s="33" t="s">
        <v>191</v>
      </c>
      <c r="B8" s="44" t="s">
        <v>192</v>
      </c>
      <c r="C8" s="35" t="s">
        <v>152</v>
      </c>
      <c r="D8" s="36" t="str">
        <f>IFERROR(VLOOKUP('General Information'!$G$6, Convalide!$L$2:$M$8, 2,FALSE), "")</f>
        <v>€/l milk</v>
      </c>
      <c r="E8" s="24">
        <f>('Parcel 1 without DATSs'!G95*'Parcel 1 without DATSs'!G96*'General Information'!G111)+('Parcel 1 without DATSs'!G102*'Parcel 1 without DATSs'!G103*'General Information'!G112)+('Parcel 1 without DATSs'!G109*'Parcel 1 without DATSs'!G110*'General Information'!G113)</f>
        <v>3</v>
      </c>
      <c r="F8" s="37" t="s">
        <v>456</v>
      </c>
      <c r="G8" s="39" t="str">
        <f t="shared" si="0"/>
        <v xml:space="preserve">cost revenue no dats_COST ANALYSIS_FERTILISER_Cost of fertiliser </v>
      </c>
      <c r="H8" s="24" t="s">
        <v>1779</v>
      </c>
    </row>
    <row r="9" spans="1:13" s="4" customFormat="1" ht="134.1" customHeight="1">
      <c r="A9" s="33" t="s">
        <v>9</v>
      </c>
      <c r="B9" s="44" t="s">
        <v>234</v>
      </c>
      <c r="C9" s="35" t="s">
        <v>152</v>
      </c>
      <c r="D9" s="36" t="str">
        <f>IFERROR(VLOOKUP('General Information'!$G$6, Convalide!$L$2:$M$8, 2,FALSE), "")</f>
        <v>€/l milk</v>
      </c>
      <c r="E9" s="24">
        <f>('General Information'!G115*'Parcel 1 without DATSs'!G139+'General Information'!G116*'Parcel 1 without DATSs'!G141+'General Information'!G117*'Parcel 1 without DATSs'!G143)/(IF('General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3</v>
      </c>
      <c r="F9" s="37" t="s">
        <v>400</v>
      </c>
      <c r="G9" s="39" t="str">
        <f t="shared" si="0"/>
        <v>cost revenue no dats_COST ANALYSIS_FEED_Cost of feed</v>
      </c>
      <c r="H9" s="24" t="s">
        <v>1780</v>
      </c>
    </row>
    <row r="10" spans="1:13" s="4" customFormat="1" ht="134.1" customHeight="1">
      <c r="A10" s="33" t="s">
        <v>12</v>
      </c>
      <c r="B10" s="44" t="s">
        <v>235</v>
      </c>
      <c r="C10" s="35" t="s">
        <v>152</v>
      </c>
      <c r="D10" s="36" t="str">
        <f>IFERROR(VLOOKUP('General Information'!$G$6, Convalide!$L$2:$M$8, 2,FALSE), "")</f>
        <v>€/l milk</v>
      </c>
      <c r="E10" s="24">
        <f>('General Information'!G119*'Parcel 1 without DATSs'!G162+'General Information'!G120*'Parcel 1 without DATSs'!G164+'General Information'!G121*'Parcel 1 without DATSs'!G166)/(IF('General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3</v>
      </c>
      <c r="F10" s="37" t="s">
        <v>418</v>
      </c>
      <c r="G10" s="39" t="str">
        <f t="shared" si="0"/>
        <v>cost revenue no dats_COST ANALYSIS_DRUGS _ Cost of drugs</v>
      </c>
      <c r="H10" s="24" t="s">
        <v>1781</v>
      </c>
      <c r="I10" s="50"/>
      <c r="J10" s="50"/>
    </row>
    <row r="11" spans="1:13" s="4" customFormat="1" ht="53.1" customHeight="1">
      <c r="A11" s="33" t="s">
        <v>204</v>
      </c>
      <c r="B11" s="44" t="s">
        <v>184</v>
      </c>
      <c r="C11" s="35" t="s">
        <v>152</v>
      </c>
      <c r="D11" s="36" t="str">
        <f>IFERROR(VLOOKUP('General Information'!$G$6, Convalide!$L$2:$M$8, 2,FALSE), "")</f>
        <v>€/l milk</v>
      </c>
      <c r="E11" s="24">
        <f>'Parcel 1 without DATSs'!G184*'General Information'!G103/'Parcel 1 without DATSs'!E10</f>
        <v>1</v>
      </c>
      <c r="F11" s="37" t="s">
        <v>401</v>
      </c>
      <c r="G11" s="39" t="str">
        <f t="shared" si="0"/>
        <v>cost revenue no dats_COST ANALYSIS_LABOUR_Cost of labour for irrigation</v>
      </c>
      <c r="H11" s="24" t="s">
        <v>1782</v>
      </c>
    </row>
    <row r="12" spans="1:13" s="4" customFormat="1" ht="59.1" customHeight="1">
      <c r="A12" s="33" t="s">
        <v>204</v>
      </c>
      <c r="B12" s="44" t="s">
        <v>185</v>
      </c>
      <c r="C12" s="35" t="s">
        <v>152</v>
      </c>
      <c r="D12" s="36" t="str">
        <f>IFERROR(VLOOKUP('General Information'!$G$6, Convalide!$L$2:$M$8, 2,FALSE), "")</f>
        <v>€/l milk</v>
      </c>
      <c r="E12" s="24">
        <f>'Parcel 1 without DATSs'!G185*'General Information'!G103/'Parcel 1 without DATSs'!E10</f>
        <v>1</v>
      </c>
      <c r="F12" s="37" t="s">
        <v>398</v>
      </c>
      <c r="G12" s="39" t="str">
        <f t="shared" si="0"/>
        <v>cost revenue no dats_COST ANALYSIS_LABOUR_Cost of labour for pesticide</v>
      </c>
      <c r="H12" s="24" t="s">
        <v>1783</v>
      </c>
    </row>
    <row r="13" spans="1:13" s="4" customFormat="1" ht="63.95" customHeight="1">
      <c r="A13" s="33" t="s">
        <v>204</v>
      </c>
      <c r="B13" s="44" t="s">
        <v>181</v>
      </c>
      <c r="C13" s="35" t="s">
        <v>152</v>
      </c>
      <c r="D13" s="36" t="str">
        <f>IFERROR(VLOOKUP('General Information'!$G$6, Convalide!$L$2:$M$8, 2,FALSE), "")</f>
        <v>€/l milk</v>
      </c>
      <c r="E13" s="24">
        <f>'Parcel 1 without DATSs'!G186*'General Information'!G103/'Parcel 1 without DATSs'!E10</f>
        <v>1</v>
      </c>
      <c r="F13" s="37" t="s">
        <v>402</v>
      </c>
      <c r="G13" s="39" t="str">
        <f t="shared" si="0"/>
        <v>cost revenue no dats_COST ANALYSIS_LABOUR_Cost of labour for fertilisation</v>
      </c>
      <c r="H13" s="24" t="s">
        <v>1784</v>
      </c>
    </row>
    <row r="14" spans="1:13" s="4" customFormat="1" ht="75" customHeight="1">
      <c r="A14" s="33" t="s">
        <v>204</v>
      </c>
      <c r="B14" s="44" t="s">
        <v>186</v>
      </c>
      <c r="C14" s="35" t="s">
        <v>152</v>
      </c>
      <c r="D14" s="36" t="str">
        <f>IFERROR(VLOOKUP('General Information'!$G$6, Convalide!$L$2:$M$8, 2,FALSE), "")</f>
        <v>€/l milk</v>
      </c>
      <c r="E14" s="24">
        <f>'Parcel 1 without DATSs'!G187*'General Information'!G103/'Parcel 1 without DATSs'!E10</f>
        <v>1</v>
      </c>
      <c r="F14" s="37" t="s">
        <v>403</v>
      </c>
      <c r="G14" s="39" t="str">
        <f t="shared" si="0"/>
        <v xml:space="preserve">cost revenue no dats_COST ANALYSIS_LABOUR_Cost of labour for sowing_planting </v>
      </c>
      <c r="H14" s="24" t="s">
        <v>1785</v>
      </c>
    </row>
    <row r="15" spans="1:13" s="4" customFormat="1" ht="57" customHeight="1">
      <c r="A15" s="33" t="s">
        <v>204</v>
      </c>
      <c r="B15" s="44" t="s">
        <v>187</v>
      </c>
      <c r="C15" s="35" t="s">
        <v>152</v>
      </c>
      <c r="D15" s="36" t="str">
        <f>IFERROR(VLOOKUP('General Information'!$G$6, Convalide!$L$2:$M$8, 2,FALSE), "")</f>
        <v>€/l milk</v>
      </c>
      <c r="E15" s="24">
        <f>'Parcel 1 without DATSs'!G188*'General Information'!G103/'Parcel 1 without DATSs'!E10</f>
        <v>1</v>
      </c>
      <c r="F15" s="37" t="s">
        <v>404</v>
      </c>
      <c r="G15" s="39" t="str">
        <f t="shared" si="0"/>
        <v>cost revenue no dats_COST ANALYSIS_LABOUR_Cost of labour for pruning</v>
      </c>
      <c r="H15" s="24" t="s">
        <v>1786</v>
      </c>
    </row>
    <row r="16" spans="1:13" s="4" customFormat="1" ht="56.1" customHeight="1">
      <c r="A16" s="33" t="s">
        <v>204</v>
      </c>
      <c r="B16" s="44" t="s">
        <v>188</v>
      </c>
      <c r="C16" s="35" t="s">
        <v>152</v>
      </c>
      <c r="D16" s="36" t="str">
        <f>IFERROR(VLOOKUP('General Information'!$G$6, Convalide!$L$2:$M$8, 2,FALSE), "")</f>
        <v>€/l milk</v>
      </c>
      <c r="E16" s="24">
        <f>'Parcel 1 without DATSs'!G189*'General Information'!G103/'Parcel 1 without DATSs'!E10</f>
        <v>1</v>
      </c>
      <c r="F16" s="37" t="s">
        <v>399</v>
      </c>
      <c r="G16" s="39" t="str">
        <f t="shared" si="0"/>
        <v xml:space="preserve">cost revenue no dats_COST ANALYSIS_LABOUR_Cost of labour for field visits </v>
      </c>
      <c r="H16" s="24" t="s">
        <v>1787</v>
      </c>
    </row>
    <row r="17" spans="1:8" s="4" customFormat="1" ht="56.1" customHeight="1">
      <c r="A17" s="33" t="s">
        <v>204</v>
      </c>
      <c r="B17" s="44" t="s">
        <v>313</v>
      </c>
      <c r="C17" s="35" t="s">
        <v>152</v>
      </c>
      <c r="D17" s="36" t="str">
        <f>IFERROR(VLOOKUP('General Information'!$G$6, Convalide!$L$2:$M$8, 2,FALSE), "")</f>
        <v>€/l milk</v>
      </c>
      <c r="E17" s="24">
        <f>'Parcel 1 without DATSs'!G190*'General Information'!G103/'Parcel 1 without DATSs'!E10</f>
        <v>1</v>
      </c>
      <c r="F17" s="37" t="s">
        <v>405</v>
      </c>
      <c r="G17" s="39" t="str">
        <f t="shared" si="0"/>
        <v xml:space="preserve">cost revenue no dats_COST ANALYSIS_LABOUR_Cost of labour for greenhouse management </v>
      </c>
      <c r="H17" s="24" t="s">
        <v>1788</v>
      </c>
    </row>
    <row r="18" spans="1:8" s="4" customFormat="1" ht="56.1" customHeight="1">
      <c r="A18" s="33" t="s">
        <v>204</v>
      </c>
      <c r="B18" s="44" t="s">
        <v>208</v>
      </c>
      <c r="C18" s="35" t="s">
        <v>152</v>
      </c>
      <c r="D18" s="36" t="str">
        <f>IFERROR(VLOOKUP('General Information'!$G$6, Convalide!$L$2:$M$8, 2,FALSE), "")</f>
        <v>€/l milk</v>
      </c>
      <c r="E18" s="24">
        <f>'Parcel 1 without DATSs'!G191*'General Information'!G103/'Parcel 1 without DATSs'!E10</f>
        <v>1</v>
      </c>
      <c r="F18" s="37" t="s">
        <v>380</v>
      </c>
      <c r="G18" s="39" t="str">
        <f t="shared" si="0"/>
        <v xml:space="preserve">cost revenue no dats_COST ANALYSIS_LABOUR_Cost of labour for tracking the quantity of grain available in the silo </v>
      </c>
      <c r="H18" s="24" t="s">
        <v>1789</v>
      </c>
    </row>
    <row r="19" spans="1:8" s="4" customFormat="1" ht="56.1" customHeight="1">
      <c r="A19" s="33" t="s">
        <v>204</v>
      </c>
      <c r="B19" s="44" t="s">
        <v>583</v>
      </c>
      <c r="C19" s="35" t="s">
        <v>152</v>
      </c>
      <c r="D19" s="36" t="str">
        <f>IFERROR(VLOOKUP('General Information'!$G$6, Convalide!$L$2:$M$8, 2,FALSE), "")</f>
        <v>€/l milk</v>
      </c>
      <c r="E19" s="24">
        <f>'Parcel 1 without DATSs'!G192*'General Information'!G103/(IF('General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19" s="37" t="s">
        <v>381</v>
      </c>
      <c r="G19" s="39" t="str">
        <f t="shared" si="0"/>
        <v>cost revenue no dats_COST ANALYSIS_LABOUR_Cost of labour for assessing product quality</v>
      </c>
      <c r="H19" s="24" t="s">
        <v>1790</v>
      </c>
    </row>
    <row r="20" spans="1:8" s="4" customFormat="1" ht="56.1" customHeight="1">
      <c r="A20" s="33" t="s">
        <v>204</v>
      </c>
      <c r="B20" s="44" t="s">
        <v>210</v>
      </c>
      <c r="C20" s="35" t="s">
        <v>152</v>
      </c>
      <c r="D20" s="36" t="str">
        <f>IFERROR(VLOOKUP('General Information'!$G$6, Convalide!$L$2:$M$8, 2,FALSE), "")</f>
        <v>€/l milk</v>
      </c>
      <c r="E20" s="24">
        <f>'Parcel 1 without DATSs'!G193*'General Information'!G103/(IF('General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20" s="37" t="s">
        <v>382</v>
      </c>
      <c r="G20" s="39" t="str">
        <f t="shared" si="0"/>
        <v>cost revenue no dats_COST ANALYSIS_LABOUR_Cost of labour for controlling purchase and sale prices and quantities</v>
      </c>
      <c r="H20" s="24" t="s">
        <v>1791</v>
      </c>
    </row>
    <row r="21" spans="1:8" s="4" customFormat="1" ht="56.1" customHeight="1">
      <c r="A21" s="33" t="s">
        <v>204</v>
      </c>
      <c r="B21" s="44" t="s">
        <v>300</v>
      </c>
      <c r="C21" s="35" t="s">
        <v>152</v>
      </c>
      <c r="D21" s="36" t="str">
        <f>IFERROR(VLOOKUP('General Information'!$G$6, Convalide!$L$2:$M$8, 2,FALSE), "")</f>
        <v>€/l milk</v>
      </c>
      <c r="E21" s="24">
        <f>'Parcel 1 without DATSs'!G194*'General Information'!G103/(IF('General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21" s="37" t="s">
        <v>383</v>
      </c>
      <c r="G21" s="39" t="str">
        <f t="shared" si="0"/>
        <v xml:space="preserve">cost revenue no dats_COST ANALYSIS_LABOUR_Cost of labour for organising logistics </v>
      </c>
      <c r="H21" s="24" t="s">
        <v>1792</v>
      </c>
    </row>
    <row r="22" spans="1:8" s="4" customFormat="1" ht="56.1" customHeight="1">
      <c r="A22" s="33" t="s">
        <v>204</v>
      </c>
      <c r="B22" s="44" t="s">
        <v>212</v>
      </c>
      <c r="C22" s="35" t="s">
        <v>152</v>
      </c>
      <c r="D22" s="36" t="str">
        <f>IFERROR(VLOOKUP('General Information'!$G$6, Convalide!$L$2:$M$8, 2,FALSE), "")</f>
        <v>€/l milk</v>
      </c>
      <c r="E22" s="24">
        <f>'Parcel 1 without DATSs'!G195*'General Information'!G103/(IF('General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22" s="37" t="s">
        <v>406</v>
      </c>
      <c r="G22" s="39" t="str">
        <f t="shared" si="0"/>
        <v>cost revenue no dats_COST ANALYSIS_LABOUR_Cost of labour for cleaning</v>
      </c>
      <c r="H22" s="24" t="s">
        <v>1793</v>
      </c>
    </row>
    <row r="23" spans="1:8" s="4" customFormat="1" ht="56.1" customHeight="1">
      <c r="A23" s="33" t="s">
        <v>204</v>
      </c>
      <c r="B23" s="44" t="s">
        <v>213</v>
      </c>
      <c r="C23" s="35" t="s">
        <v>152</v>
      </c>
      <c r="D23" s="36" t="str">
        <f>IFERROR(VLOOKUP('General Information'!$G$6, Convalide!$L$2:$M$8, 2,FALSE), "")</f>
        <v>€/l milk</v>
      </c>
      <c r="E23" s="24">
        <f>'Parcel 1 without DATSs'!G196*'General Information'!G103/(IF('General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23" s="37" t="s">
        <v>407</v>
      </c>
      <c r="G23" s="39" t="str">
        <f t="shared" si="0"/>
        <v xml:space="preserve">cost revenue no dats_COST ANALYSIS_LABOUR_Cost of labour for stable visits </v>
      </c>
      <c r="H23" s="24" t="s">
        <v>1794</v>
      </c>
    </row>
    <row r="24" spans="1:8" s="4" customFormat="1" ht="56.1" customHeight="1">
      <c r="A24" s="33" t="s">
        <v>204</v>
      </c>
      <c r="B24" s="44" t="s">
        <v>214</v>
      </c>
      <c r="C24" s="35" t="s">
        <v>152</v>
      </c>
      <c r="D24" s="36" t="str">
        <f>IFERROR(VLOOKUP('General Information'!$G$6, Convalide!$L$2:$M$8, 2,FALSE), "")</f>
        <v>€/l milk</v>
      </c>
      <c r="E24" s="24">
        <f>'Parcel 1 without DATSs'!G197*'General Information'!G103/(IF('General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24" s="37" t="s">
        <v>408</v>
      </c>
      <c r="G24" s="39" t="str">
        <f t="shared" si="0"/>
        <v xml:space="preserve">cost revenue no dats_COST ANALYSIS_LABOUR_Cost of labour for heat detection </v>
      </c>
      <c r="H24" s="24" t="s">
        <v>1795</v>
      </c>
    </row>
    <row r="25" spans="1:8" s="4" customFormat="1" ht="56.1" customHeight="1">
      <c r="A25" s="33" t="s">
        <v>204</v>
      </c>
      <c r="B25" s="44" t="s">
        <v>215</v>
      </c>
      <c r="C25" s="35" t="s">
        <v>152</v>
      </c>
      <c r="D25" s="36" t="str">
        <f>IFERROR(VLOOKUP('General Information'!$G$6, Convalide!$L$2:$M$8, 2,FALSE), "")</f>
        <v>€/l milk</v>
      </c>
      <c r="E25" s="24">
        <f>'Parcel 1 without DATSs'!G198*'General Information'!G103/(IF('General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25" s="37" t="s">
        <v>409</v>
      </c>
      <c r="G25" s="39" t="str">
        <f t="shared" si="0"/>
        <v xml:space="preserve">cost revenue no dats_COST ANALYSIS_LABOUR_Cost of labour for calving detection </v>
      </c>
      <c r="H25" s="24" t="s">
        <v>1796</v>
      </c>
    </row>
    <row r="26" spans="1:8" s="4" customFormat="1" ht="56.1" customHeight="1">
      <c r="A26" s="33" t="s">
        <v>204</v>
      </c>
      <c r="B26" s="44" t="s">
        <v>216</v>
      </c>
      <c r="C26" s="35" t="s">
        <v>152</v>
      </c>
      <c r="D26" s="36" t="str">
        <f>IFERROR(VLOOKUP('General Information'!$G$6, Convalide!$L$2:$M$8, 2,FALSE), "")</f>
        <v>€/l milk</v>
      </c>
      <c r="E26" s="24">
        <f>'Parcel 1 without DATSs'!G199*'General Information'!G103/(IF('General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26" s="37" t="s">
        <v>410</v>
      </c>
      <c r="G26" s="39" t="str">
        <f t="shared" si="0"/>
        <v xml:space="preserve">cost revenue no dats_COST ANALYSIS_LABOUR_Cost of labour for pigsty management </v>
      </c>
      <c r="H26" s="24" t="s">
        <v>1797</v>
      </c>
    </row>
    <row r="27" spans="1:8" s="4" customFormat="1" ht="56.1" customHeight="1">
      <c r="A27" s="33" t="s">
        <v>204</v>
      </c>
      <c r="B27" s="44" t="s">
        <v>451</v>
      </c>
      <c r="C27" s="35" t="s">
        <v>152</v>
      </c>
      <c r="D27" s="36" t="str">
        <f>IFERROR(VLOOKUP('General Information'!$G$6, Convalide!$L$2:$M$8, 2,FALSE), "")</f>
        <v>€/l milk</v>
      </c>
      <c r="E27" s="24">
        <f>'Parcel 1 without DATSs'!G200*'General Information'!G103/(IF('General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27" s="37" t="s">
        <v>452</v>
      </c>
      <c r="G27" s="39" t="str">
        <f t="shared" si="0"/>
        <v xml:space="preserve">cost revenue no dats_COST ANALYSIS_LABOUR_Cost of milking </v>
      </c>
      <c r="H27" s="24" t="s">
        <v>1798</v>
      </c>
    </row>
    <row r="28" spans="1:8" s="4" customFormat="1" ht="56.1" customHeight="1">
      <c r="A28" s="33" t="s">
        <v>204</v>
      </c>
      <c r="B28" s="44" t="s">
        <v>217</v>
      </c>
      <c r="C28" s="35" t="s">
        <v>152</v>
      </c>
      <c r="D28" s="36" t="str">
        <f>IFERROR(VLOOKUP('General Information'!$G$6, Convalide!$L$2:$M$8, 2,FALSE), "")</f>
        <v>€/l milk</v>
      </c>
      <c r="E28" s="24">
        <f>'Parcel 1 without DATSs'!G201*'General Information'!G103/(IF('General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28" s="37" t="s">
        <v>411</v>
      </c>
      <c r="G28" s="39" t="str">
        <f t="shared" si="0"/>
        <v>cost revenue no dats_COST ANALYSIS_LABOUR_Cost of labour for (milk) quality assessment</v>
      </c>
      <c r="H28" s="24" t="s">
        <v>1799</v>
      </c>
    </row>
    <row r="29" spans="1:8" s="4" customFormat="1" ht="56.1" customHeight="1">
      <c r="A29" s="33" t="s">
        <v>204</v>
      </c>
      <c r="B29" s="44" t="s">
        <v>218</v>
      </c>
      <c r="C29" s="35" t="s">
        <v>152</v>
      </c>
      <c r="D29" s="36" t="str">
        <f>IFERROR(VLOOKUP('General Information'!$G$6, Convalide!$L$2:$M$8, 2,FALSE), "")</f>
        <v>€/l milk</v>
      </c>
      <c r="E29" s="24">
        <f>'Parcel 1 without DATSs'!G202*'General Information'!G103/(IF('General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29" s="37" t="s">
        <v>412</v>
      </c>
      <c r="G29" s="39" t="str">
        <f t="shared" si="0"/>
        <v xml:space="preserve">cost revenue no dats_COST ANALYSIS_LABOUR_Cost of labour for feeding </v>
      </c>
      <c r="H29" s="24" t="s">
        <v>1800</v>
      </c>
    </row>
    <row r="30" spans="1:8" s="4" customFormat="1" ht="56.1" customHeight="1">
      <c r="A30" s="33" t="s">
        <v>204</v>
      </c>
      <c r="B30" s="44" t="s">
        <v>219</v>
      </c>
      <c r="C30" s="35" t="s">
        <v>152</v>
      </c>
      <c r="D30" s="36" t="str">
        <f>IFERROR(VLOOKUP('General Information'!$G$6, Convalide!$L$2:$M$8, 2,FALSE), "")</f>
        <v>€/l milk</v>
      </c>
      <c r="E30" s="24">
        <f>'Parcel 1 without DATSs'!G203*'General Information'!G103/'Parcel 1 without DATSs'!E19</f>
        <v>1</v>
      </c>
      <c r="F30" s="37" t="s">
        <v>413</v>
      </c>
      <c r="G30" s="39" t="str">
        <f t="shared" si="0"/>
        <v xml:space="preserve">cost revenue no dats_COST ANALYSIS_LABOUR_Cost of labour for beehives visits </v>
      </c>
      <c r="H30" s="24" t="s">
        <v>1801</v>
      </c>
    </row>
    <row r="31" spans="1:8" s="4" customFormat="1" ht="69.95" customHeight="1">
      <c r="A31" s="33" t="s">
        <v>204</v>
      </c>
      <c r="B31" s="44" t="s">
        <v>220</v>
      </c>
      <c r="C31" s="35" t="s">
        <v>152</v>
      </c>
      <c r="D31" s="36" t="str">
        <f>IFERROR(VLOOKUP('General Information'!$G$6, Convalide!$L$2:$M$8, 2,FALSE), "")</f>
        <v>€/l milk</v>
      </c>
      <c r="E31" s="24">
        <f>'Parcel 1 without DATSs'!G204*'General Information'!G103/'Parcel 1 without DATSs'!G244</f>
        <v>1</v>
      </c>
      <c r="F31" s="37" t="s">
        <v>414</v>
      </c>
      <c r="G31" s="39" t="str">
        <f t="shared" si="0"/>
        <v xml:space="preserve">cost revenue no dats_COST ANALYSIS_LABOUR_Cost of labour for sampling of oysters </v>
      </c>
      <c r="H31" s="24" t="s">
        <v>1802</v>
      </c>
    </row>
    <row r="32" spans="1:8" s="4" customFormat="1" ht="69.95" customHeight="1">
      <c r="A32" s="33" t="s">
        <v>204</v>
      </c>
      <c r="B32" s="44" t="s">
        <v>221</v>
      </c>
      <c r="C32" s="35" t="s">
        <v>152</v>
      </c>
      <c r="D32" s="36" t="str">
        <f>IFERROR(VLOOKUP('General Information'!$G$6, Convalide!$L$2:$M$8, 2,FALSE), "")</f>
        <v>€/l milk</v>
      </c>
      <c r="E32" s="24">
        <f>'Parcel 1 without DATSs'!G205*'General Information'!G103/'Parcel 1 without DATSs'!G244</f>
        <v>1</v>
      </c>
      <c r="F32" s="37" t="s">
        <v>415</v>
      </c>
      <c r="G32" s="39" t="str">
        <f t="shared" si="0"/>
        <v xml:space="preserve">cost revenue no dats_COST ANALYSIS_LABOUR_Cost of labour for transporting oysters to the laboratory  </v>
      </c>
      <c r="H32" s="24" t="s">
        <v>1803</v>
      </c>
    </row>
    <row r="33" spans="1:13" s="4" customFormat="1" ht="69.95" customHeight="1">
      <c r="A33" s="33" t="s">
        <v>204</v>
      </c>
      <c r="B33" s="44" t="s">
        <v>457</v>
      </c>
      <c r="C33" s="35" t="s">
        <v>152</v>
      </c>
      <c r="D33" s="36" t="str">
        <f>IFERROR(VLOOKUP('General Information'!$G$6, Convalide!$L$2:$M$8, 2,FALSE), "")</f>
        <v>€/l milk</v>
      </c>
      <c r="E33" s="24">
        <f>'Parcel 1 without DATSs'!G206*'General Information'!G103/(IF('General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33" s="37" t="s">
        <v>416</v>
      </c>
      <c r="G33" s="39" t="str">
        <f t="shared" si="0"/>
        <v>cost revenue no dats_COST ANALYSIS_LABOUR_Cost of labour for harvesting</v>
      </c>
      <c r="H33" s="24" t="s">
        <v>1804</v>
      </c>
    </row>
    <row r="34" spans="1:13" s="4" customFormat="1" ht="69.95" customHeight="1">
      <c r="A34" s="33" t="s">
        <v>204</v>
      </c>
      <c r="B34" s="44" t="s">
        <v>375</v>
      </c>
      <c r="C34" s="35" t="s">
        <v>152</v>
      </c>
      <c r="D34" s="36" t="str">
        <f>IFERROR(VLOOKUP('General Information'!$G$6, Convalide!$L$2:$M$8, 2,FALSE), "")</f>
        <v>€/l milk</v>
      </c>
      <c r="E34" s="24">
        <f>'Parcel 1 without DATSs'!G207*'General Information'!G103/(IF('General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34" s="37" t="s">
        <v>417</v>
      </c>
      <c r="G34" s="39" t="str">
        <f t="shared" si="0"/>
        <v xml:space="preserve">cost revenue no dats_COST ANALYSIS_LABOUR_Cost of labour for storage </v>
      </c>
      <c r="H34" s="24" t="s">
        <v>1805</v>
      </c>
    </row>
    <row r="35" spans="1:13" s="4" customFormat="1" ht="65.099999999999994" customHeight="1">
      <c r="A35" s="33" t="s">
        <v>204</v>
      </c>
      <c r="B35" s="44" t="s">
        <v>667</v>
      </c>
      <c r="C35" s="35" t="s">
        <v>152</v>
      </c>
      <c r="D35" s="36" t="str">
        <f>IFERROR(VLOOKUP('General Information'!$G$6, Convalide!$L$2:$M$8, 2,FALSE), "")</f>
        <v>€/l milk</v>
      </c>
      <c r="E35" s="24">
        <f>'Parcel 1 without DATSs'!G208*'General Information'!G103/(IF('General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35" s="37" t="s">
        <v>419</v>
      </c>
      <c r="G35" s="39" t="str">
        <f t="shared" si="0"/>
        <v xml:space="preserve">cost revenue no dats_COST ANALYSIS_LABOUR_Cost of administrative activities, data collection, etc. </v>
      </c>
      <c r="H35" s="24" t="s">
        <v>1806</v>
      </c>
    </row>
    <row r="36" spans="1:13" s="4" customFormat="1" ht="63">
      <c r="A36" s="33" t="s">
        <v>562</v>
      </c>
      <c r="B36" s="45" t="s">
        <v>467</v>
      </c>
      <c r="C36" s="35" t="s">
        <v>152</v>
      </c>
      <c r="D36" s="36" t="str">
        <f>IFERROR(VLOOKUP('General Information'!$G$6, Convalide!$L$2:$M$8, 2,FALSE), "")</f>
        <v>€/l milk</v>
      </c>
      <c r="E36" s="24">
        <f>SUMIF(E3:E35, "&lt;&gt;#RIF!")</f>
        <v>43</v>
      </c>
      <c r="F36" s="37" t="s">
        <v>420</v>
      </c>
      <c r="G36" s="39" t="str">
        <f t="shared" si="0"/>
        <v xml:space="preserve">cost revenue no dats_COST ANALYSIS_COST_TOT Cost </v>
      </c>
      <c r="H36" s="24" t="s">
        <v>1807</v>
      </c>
    </row>
    <row r="37" spans="1:13" ht="60.95" customHeight="1">
      <c r="A37" s="40" t="s">
        <v>320</v>
      </c>
      <c r="B37" s="41" t="s">
        <v>321</v>
      </c>
      <c r="C37" s="35" t="s">
        <v>152</v>
      </c>
      <c r="D37" s="36"/>
      <c r="E37" s="24">
        <v>0</v>
      </c>
      <c r="F37" s="37"/>
      <c r="G37" s="39" t="str">
        <f t="shared" si="0"/>
        <v>cost revenue no dats_COST ANALYSIS_DAT_Cost of DAT</v>
      </c>
      <c r="H37" s="24" t="s">
        <v>1808</v>
      </c>
      <c r="M37"/>
    </row>
    <row r="38" spans="1:13" ht="60.95" customHeight="1">
      <c r="A38" s="40" t="s">
        <v>320</v>
      </c>
      <c r="B38" s="41" t="s">
        <v>384</v>
      </c>
      <c r="C38" s="35" t="s">
        <v>152</v>
      </c>
      <c r="D38" s="36"/>
      <c r="E38" s="24">
        <v>0</v>
      </c>
      <c r="F38" s="37"/>
      <c r="G38" s="39" t="str">
        <f t="shared" si="0"/>
        <v xml:space="preserve">cost revenue no dats_COST ANALYSIS_DAT_Cost of Training </v>
      </c>
      <c r="H38" s="24" t="s">
        <v>1809</v>
      </c>
      <c r="M38"/>
    </row>
    <row r="39" spans="1:13" ht="32.1" customHeight="1">
      <c r="A39" s="51"/>
      <c r="B39" s="3"/>
      <c r="C39" s="32"/>
      <c r="D39" s="1"/>
      <c r="E39" s="24"/>
      <c r="F39" s="30"/>
      <c r="G39" s="55" t="s">
        <v>1769</v>
      </c>
      <c r="H39" s="24" t="s">
        <v>1810</v>
      </c>
      <c r="M39"/>
    </row>
    <row r="40" spans="1:13" s="4" customFormat="1">
      <c r="A40" s="46" t="s">
        <v>194</v>
      </c>
      <c r="F40" s="30"/>
      <c r="G40" s="55" t="s">
        <v>1769</v>
      </c>
      <c r="H40" s="24" t="s">
        <v>1811</v>
      </c>
      <c r="M40" s="38"/>
    </row>
    <row r="41" spans="1:13" s="4" customFormat="1" ht="20.100000000000001" customHeight="1">
      <c r="A41" s="47" t="s">
        <v>390</v>
      </c>
      <c r="B41" s="47" t="s">
        <v>148</v>
      </c>
      <c r="C41" s="47" t="s">
        <v>149</v>
      </c>
      <c r="D41" s="47" t="s">
        <v>150</v>
      </c>
      <c r="E41" s="47" t="s">
        <v>206</v>
      </c>
      <c r="F41" s="47" t="s">
        <v>205</v>
      </c>
      <c r="G41" s="55" t="s">
        <v>1769</v>
      </c>
      <c r="H41" s="24" t="s">
        <v>1812</v>
      </c>
    </row>
    <row r="42" spans="1:13" ht="60.95" customHeight="1">
      <c r="A42" s="40" t="s">
        <v>125</v>
      </c>
      <c r="B42" s="41" t="s">
        <v>668</v>
      </c>
      <c r="C42" s="42" t="s">
        <v>152</v>
      </c>
      <c r="D42" s="43" t="s">
        <v>153</v>
      </c>
      <c r="E42" s="24">
        <f>'Parcel 1 without DATSs'!G240/'Parcel 1 without DATSs'!E10*'General Information'!G105</f>
        <v>1</v>
      </c>
      <c r="F42" s="37" t="s">
        <v>195</v>
      </c>
      <c r="G42" s="39" t="str">
        <f>CONCATENATE("cost revenue no dats","_",$A$40,"_",A42,"_",B42)</f>
        <v>cost revenue no dats_REVENUES ANALYSIS_OUTPUT_Crop revenue</v>
      </c>
      <c r="H42" s="24" t="s">
        <v>1813</v>
      </c>
      <c r="M42"/>
    </row>
    <row r="43" spans="1:13" ht="60.95" customHeight="1">
      <c r="A43" s="40" t="s">
        <v>125</v>
      </c>
      <c r="B43" s="41" t="s">
        <v>669</v>
      </c>
      <c r="C43" s="42" t="s">
        <v>152</v>
      </c>
      <c r="D43" s="43" t="s">
        <v>376</v>
      </c>
      <c r="E43" s="24">
        <f>'Parcel 1 without DATSs'!G241/'Parcel 1 without DATSs'!E17*'General Information'!G105</f>
        <v>1</v>
      </c>
      <c r="F43" s="37" t="s">
        <v>236</v>
      </c>
      <c r="G43" s="39" t="str">
        <f t="shared" ref="G43:G48" si="1">CONCATENATE("cost revenue no dats","_",$A$40,"_",A43,"_",B43)</f>
        <v>cost revenue no dats_REVENUES ANALYSIS_OUTPUT_Milk revenue</v>
      </c>
      <c r="H43" s="24" t="s">
        <v>1814</v>
      </c>
      <c r="M43"/>
    </row>
    <row r="44" spans="1:13" ht="60.95" customHeight="1">
      <c r="A44" s="40" t="s">
        <v>125</v>
      </c>
      <c r="B44" s="41" t="s">
        <v>670</v>
      </c>
      <c r="C44" s="42" t="s">
        <v>152</v>
      </c>
      <c r="D44" s="43" t="s">
        <v>376</v>
      </c>
      <c r="E44" s="24">
        <f>'Parcel 1 without DATSs'!G242/'Parcel 1 without DATSs'!E17*'General Information'!G105</f>
        <v>1</v>
      </c>
      <c r="F44" s="37" t="s">
        <v>237</v>
      </c>
      <c r="G44" s="39" t="str">
        <f t="shared" si="1"/>
        <v>cost revenue no dats_REVENUES ANALYSIS_OUTPUT_Meat revenue</v>
      </c>
      <c r="H44" s="24" t="s">
        <v>1815</v>
      </c>
      <c r="M44"/>
    </row>
    <row r="45" spans="1:13" ht="60.95" customHeight="1">
      <c r="A45" s="40" t="s">
        <v>125</v>
      </c>
      <c r="B45" s="41" t="s">
        <v>671</v>
      </c>
      <c r="C45" s="42" t="s">
        <v>152</v>
      </c>
      <c r="D45" s="43" t="s">
        <v>624</v>
      </c>
      <c r="E45" s="24">
        <f>'Parcel 1 without DATSs'!G244/'Parcel 1 without DATSs'!E20*'General Information'!G105</f>
        <v>1</v>
      </c>
      <c r="F45" s="37" t="s">
        <v>238</v>
      </c>
      <c r="G45" s="39" t="str">
        <f t="shared" si="1"/>
        <v>cost revenue no dats_REVENUES ANALYSIS_OUTPUT_Oyster revenue</v>
      </c>
      <c r="H45" s="24" t="s">
        <v>1816</v>
      </c>
      <c r="M45"/>
    </row>
    <row r="46" spans="1:13" ht="60.95" customHeight="1">
      <c r="A46" s="40" t="s">
        <v>125</v>
      </c>
      <c r="B46" s="41" t="s">
        <v>672</v>
      </c>
      <c r="C46" s="42" t="s">
        <v>152</v>
      </c>
      <c r="D46" s="43" t="s">
        <v>625</v>
      </c>
      <c r="E46" s="24">
        <f>'Parcel 1 without DATSs'!G245/'Parcel 1 without DATSs'!E19*'General Information'!G105</f>
        <v>1</v>
      </c>
      <c r="F46" s="37" t="s">
        <v>239</v>
      </c>
      <c r="G46" s="39" t="str">
        <f t="shared" si="1"/>
        <v>cost revenue no dats_REVENUES ANALYSIS_OUTPUT_Honey revenue</v>
      </c>
      <c r="H46" s="24" t="s">
        <v>1817</v>
      </c>
      <c r="M46"/>
    </row>
    <row r="47" spans="1:13" ht="60.95" customHeight="1">
      <c r="A47" s="40" t="s">
        <v>125</v>
      </c>
      <c r="B47" s="41" t="s">
        <v>673</v>
      </c>
      <c r="C47" s="42" t="s">
        <v>152</v>
      </c>
      <c r="D47" s="43" t="s">
        <v>508</v>
      </c>
      <c r="E47" s="24">
        <f>'Parcel 1 without DATSs'!G246*'General Information'!G105</f>
        <v>1</v>
      </c>
      <c r="F47" s="37"/>
      <c r="G47" s="39" t="str">
        <f t="shared" si="1"/>
        <v>cost revenue no dats_REVENUES ANALYSIS_OUTPUT_Grain (silos) revenue</v>
      </c>
      <c r="H47" s="24" t="s">
        <v>1818</v>
      </c>
      <c r="M47"/>
    </row>
    <row r="48" spans="1:13" ht="60.95" customHeight="1">
      <c r="A48" s="40" t="s">
        <v>389</v>
      </c>
      <c r="B48" s="41" t="s">
        <v>301</v>
      </c>
      <c r="C48" s="42" t="s">
        <v>152</v>
      </c>
      <c r="D48" s="43" t="str">
        <f>IFERROR(VLOOKUP('General Information'!$G$6, Convalide!$L$2:$M$8, 2,FALSE), "")</f>
        <v>€/l milk</v>
      </c>
      <c r="E48" s="24">
        <f>'Parcel 1 without DATSs'!G215</f>
        <v>1</v>
      </c>
      <c r="F48" s="41" t="s">
        <v>301</v>
      </c>
      <c r="G48" s="39" t="str">
        <f t="shared" si="1"/>
        <v xml:space="preserve">cost revenue no dats_REVENUES ANALYSIS_ADDITIONAL REVENUES_Additional revenues </v>
      </c>
      <c r="H48" s="24" t="s">
        <v>1819</v>
      </c>
      <c r="M48"/>
    </row>
    <row r="49" spans="1:13" ht="60.95" customHeight="1">
      <c r="A49" s="51"/>
      <c r="B49" s="3"/>
      <c r="C49" s="52"/>
      <c r="D49" s="1"/>
      <c r="E49" s="24"/>
      <c r="F49" s="30"/>
      <c r="G49" s="55"/>
      <c r="M49"/>
    </row>
    <row r="50" spans="1:13" ht="30" customHeight="1">
      <c r="A50" s="51"/>
      <c r="B50" s="3"/>
      <c r="C50" s="52"/>
      <c r="D50" s="51"/>
      <c r="E50" s="24"/>
      <c r="F50" s="30"/>
      <c r="M50"/>
    </row>
  </sheetData>
  <phoneticPr fontId="2" type="noConversion"/>
  <conditionalFormatting sqref="C2:C39 C41:C50">
    <cfRule type="containsText" dxfId="145" priority="114" operator="containsText" text="Without DATs">
      <formula>NOT(ISERROR(SEARCH("Without DATs",C2)))</formula>
    </cfRule>
  </conditionalFormatting>
  <conditionalFormatting sqref="C3:C39 C42:C50">
    <cfRule type="containsText" dxfId="144" priority="25" operator="containsText" text="With DATs">
      <formula>NOT(ISERROR(SEARCH("With DATs",C3)))</formula>
    </cfRule>
    <cfRule type="containsText" dxfId="143" priority="26" operator="containsText" text="With out DATs">
      <formula>NOT(ISERROR(SEARCH("With out DATs",C3)))</formula>
    </cfRule>
    <cfRule type="containsText" dxfId="142" priority="27" operator="containsText" text="TO-BE">
      <formula>NOT(ISERROR(SEARCH("TO-BE",C3)))</formula>
    </cfRule>
    <cfRule type="containsText" dxfId="141" priority="28" operator="containsText" text="AS-IS">
      <formula>NOT(ISERROR(SEARCH("AS-IS",C3)))</formula>
    </cfRule>
  </conditionalFormatting>
  <conditionalFormatting sqref="D1 D51:D1048576">
    <cfRule type="containsText" dxfId="140" priority="3" operator="containsText" text="Without DATs">
      <formula>NOT(ISERROR(SEARCH("Without DATs",D1)))</formula>
    </cfRule>
  </conditionalFormatting>
  <conditionalFormatting sqref="D40">
    <cfRule type="containsText" dxfId="139" priority="4" operator="containsText" text="Without DATs">
      <formula>NOT(ISERROR(SEARCH("Without DATs",D40)))</formula>
    </cfRule>
  </conditionalFormatting>
  <conditionalFormatting sqref="G3:G1048576">
    <cfRule type="cellIs" dxfId="138" priority="1" operator="lessThan">
      <formula>0</formula>
    </cfRule>
    <cfRule type="cellIs" dxfId="137" priority="2" operator="greaterThan">
      <formula>0</formula>
    </cfRule>
  </conditionalFormatting>
  <conditionalFormatting sqref="I10">
    <cfRule type="containsText" dxfId="136" priority="96" operator="containsText" text="Without DATs">
      <formula>NOT(ISERROR(SEARCH("Without DATs",I10)))</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A8134-1FCE-9F4D-8F3E-A29C58584939}">
  <sheetPr codeName="F____8"/>
  <dimension ref="A1:H111"/>
  <sheetViews>
    <sheetView tabSelected="1" topLeftCell="A48" zoomScale="70" zoomScaleNormal="70" workbookViewId="0">
      <selection activeCell="E60" sqref="E60"/>
    </sheetView>
  </sheetViews>
  <sheetFormatPr defaultColWidth="11.125" defaultRowHeight="15.75"/>
  <cols>
    <col min="1" max="1" width="24.5" customWidth="1"/>
    <col min="2" max="2" width="31.375" bestFit="1" customWidth="1"/>
    <col min="3" max="3" width="18.5" customWidth="1"/>
    <col min="4" max="4" width="13.375" customWidth="1"/>
    <col min="5" max="5" width="32.375" style="4" customWidth="1"/>
    <col min="6" max="6" width="35.875" bestFit="1" customWidth="1"/>
    <col min="7" max="7" width="58" customWidth="1"/>
    <col min="9" max="9" width="22.375" customWidth="1"/>
  </cols>
  <sheetData>
    <row r="1" spans="1:8" s="4" customFormat="1">
      <c r="A1" s="68" t="s">
        <v>1770</v>
      </c>
      <c r="F1" s="30"/>
    </row>
    <row r="2" spans="1:8" s="4" customFormat="1">
      <c r="A2" s="47"/>
      <c r="B2" s="47" t="s">
        <v>148</v>
      </c>
      <c r="C2" s="47" t="s">
        <v>149</v>
      </c>
      <c r="D2" s="47" t="s">
        <v>150</v>
      </c>
      <c r="E2" s="47" t="s">
        <v>206</v>
      </c>
      <c r="F2" s="47" t="s">
        <v>205</v>
      </c>
    </row>
    <row r="3" spans="1:8">
      <c r="A3" s="33"/>
      <c r="B3" s="41" t="s">
        <v>589</v>
      </c>
      <c r="C3" s="35" t="s">
        <v>169</v>
      </c>
      <c r="D3" s="43" t="s">
        <v>340</v>
      </c>
      <c r="E3" s="24">
        <f>'Parcel 1 with DATSs'!K240/'Parcel 1 with DATSs'!K10</f>
        <v>1</v>
      </c>
      <c r="F3" s="37" t="s">
        <v>427</v>
      </c>
      <c r="G3" s="39" t="str">
        <f>CONCATENATE("sust kpis dats","_",$A$1,"_",B3)</f>
        <v>sust kpis dats_Economic PRODUCTIVITY _Yield</v>
      </c>
      <c r="H3" t="s">
        <v>1774</v>
      </c>
    </row>
    <row r="4" spans="1:8" ht="31.5">
      <c r="A4" s="33"/>
      <c r="B4" s="41" t="s">
        <v>431</v>
      </c>
      <c r="C4" s="35" t="s">
        <v>169</v>
      </c>
      <c r="D4" s="43" t="s">
        <v>339</v>
      </c>
      <c r="E4" s="87">
        <f>'Parcel 1 with DATSs'!K240/SUM('Parcel 1 with DATSs'!K184:K208)</f>
        <v>0.04</v>
      </c>
      <c r="F4" s="37" t="s">
        <v>332</v>
      </c>
      <c r="G4" s="39" t="str">
        <f t="shared" ref="G4:G13" si="0">CONCATENATE("sust kpis dats","_",$A$1,"_",B4)</f>
        <v>sust kpis dats_Economic PRODUCTIVITY _Labour productivity (arable and horticulture)</v>
      </c>
      <c r="H4" t="s">
        <v>1775</v>
      </c>
    </row>
    <row r="5" spans="1:8" ht="31.5">
      <c r="A5" s="33"/>
      <c r="B5" s="41" t="s">
        <v>432</v>
      </c>
      <c r="C5" s="35" t="s">
        <v>169</v>
      </c>
      <c r="D5" s="43" t="s">
        <v>593</v>
      </c>
      <c r="E5" s="24">
        <f>'Parcel 1 with DATSs'!K241/SUM('Parcel 1 with DATSs'!K184:K208)</f>
        <v>0.04</v>
      </c>
      <c r="F5" s="37" t="s">
        <v>332</v>
      </c>
      <c r="G5" s="39" t="str">
        <f t="shared" si="0"/>
        <v>sust kpis dats_Economic PRODUCTIVITY _Labour productivity (dairy livestock)</v>
      </c>
      <c r="H5" t="s">
        <v>1776</v>
      </c>
    </row>
    <row r="6" spans="1:8" ht="31.5">
      <c r="A6" s="33"/>
      <c r="B6" s="41" t="s">
        <v>433</v>
      </c>
      <c r="C6" s="35" t="s">
        <v>169</v>
      </c>
      <c r="D6" s="43" t="s">
        <v>592</v>
      </c>
      <c r="E6" s="87">
        <f>'Parcel 1 with DATSs'!K242/SUM('Parcel 1 with DATSs'!K184:K208)</f>
        <v>0.04</v>
      </c>
      <c r="F6" s="37" t="s">
        <v>332</v>
      </c>
      <c r="G6" s="39" t="str">
        <f t="shared" si="0"/>
        <v>sust kpis dats_Economic PRODUCTIVITY _Labour productivity  (meat livestock)</v>
      </c>
      <c r="H6" t="s">
        <v>1777</v>
      </c>
    </row>
    <row r="7" spans="1:8" ht="31.5">
      <c r="A7" s="33"/>
      <c r="B7" s="41" t="s">
        <v>434</v>
      </c>
      <c r="C7" s="35" t="s">
        <v>169</v>
      </c>
      <c r="D7" s="43" t="s">
        <v>594</v>
      </c>
      <c r="E7" s="87">
        <f>'Parcel 1 with DATSs'!K244/SUM('Parcel 1 with DATSs'!K184:K208)</f>
        <v>0.04</v>
      </c>
      <c r="F7" s="37" t="s">
        <v>332</v>
      </c>
      <c r="G7" s="39" t="str">
        <f t="shared" si="0"/>
        <v>sust kpis dats_Economic PRODUCTIVITY _Labour productivity  (aquaculture)</v>
      </c>
      <c r="H7" t="s">
        <v>1778</v>
      </c>
    </row>
    <row r="8" spans="1:8" ht="31.5">
      <c r="A8" s="33"/>
      <c r="B8" s="41" t="s">
        <v>435</v>
      </c>
      <c r="C8" s="35" t="s">
        <v>169</v>
      </c>
      <c r="D8" s="43" t="s">
        <v>595</v>
      </c>
      <c r="E8" s="87">
        <f>'Parcel 1 with DATSs'!K245/SUM('Parcel 1 with DATSs'!K184:K208)</f>
        <v>0.04</v>
      </c>
      <c r="F8" s="37" t="s">
        <v>332</v>
      </c>
      <c r="G8" s="39" t="str">
        <f t="shared" si="0"/>
        <v>sust kpis dats_Economic PRODUCTIVITY _Labour productivity  (apiculture)</v>
      </c>
      <c r="H8" t="s">
        <v>1779</v>
      </c>
    </row>
    <row r="9" spans="1:8" ht="28.5">
      <c r="A9" s="33"/>
      <c r="B9" s="41" t="s">
        <v>674</v>
      </c>
      <c r="C9" s="35" t="s">
        <v>169</v>
      </c>
      <c r="D9" s="43" t="s">
        <v>675</v>
      </c>
      <c r="E9" s="87">
        <f>'Parcel 1 with DATSs'!K246/SUM('Parcel 1 with DATSs'!K184:K208)</f>
        <v>0.04</v>
      </c>
      <c r="F9" s="37"/>
      <c r="G9" s="39" t="str">
        <f t="shared" si="0"/>
        <v>sust kpis dats_Economic PRODUCTIVITY _Labour productivity (silos)</v>
      </c>
      <c r="H9" t="s">
        <v>1780</v>
      </c>
    </row>
    <row r="10" spans="1:8" ht="31.5">
      <c r="A10" s="33"/>
      <c r="B10" s="41" t="s">
        <v>333</v>
      </c>
      <c r="C10" s="35" t="s">
        <v>169</v>
      </c>
      <c r="D10" s="43" t="s">
        <v>676</v>
      </c>
      <c r="E10" s="24">
        <f>'Parcel 1 with DATSs'!K241/'Parcel 1 with DATSs'!K17/(('General Information'!G10-'General Information'!G9)+1)</f>
        <v>1</v>
      </c>
      <c r="F10" s="37" t="s">
        <v>334</v>
      </c>
      <c r="G10" s="39" t="str">
        <f t="shared" si="0"/>
        <v>sust kpis dats_Economic PRODUCTIVITY _Milk productivity</v>
      </c>
      <c r="H10" t="s">
        <v>1781</v>
      </c>
    </row>
    <row r="11" spans="1:8">
      <c r="A11" s="33"/>
      <c r="B11" s="41" t="s">
        <v>338</v>
      </c>
      <c r="C11" s="35" t="s">
        <v>169</v>
      </c>
      <c r="D11" s="43" t="s">
        <v>679</v>
      </c>
      <c r="E11" s="24">
        <f>'Parcel 1 with DATSs'!K242/'Parcel 1 with DATSs'!K17/(('General Information'!G10-'General Information'!G9)+1)</f>
        <v>1</v>
      </c>
      <c r="F11" s="37" t="s">
        <v>425</v>
      </c>
      <c r="G11" s="39" t="str">
        <f t="shared" si="0"/>
        <v xml:space="preserve">sust kpis dats_Economic PRODUCTIVITY _Meat productivity </v>
      </c>
      <c r="H11" t="s">
        <v>1782</v>
      </c>
    </row>
    <row r="12" spans="1:8">
      <c r="A12" s="33"/>
      <c r="B12" s="41" t="s">
        <v>335</v>
      </c>
      <c r="C12" s="35" t="s">
        <v>169</v>
      </c>
      <c r="D12" s="43" t="s">
        <v>590</v>
      </c>
      <c r="E12" s="24">
        <f>'Parcel 1 with DATSs'!K245/'Parcel 1 with DATSs'!K19</f>
        <v>1</v>
      </c>
      <c r="F12" s="37" t="s">
        <v>424</v>
      </c>
      <c r="G12" s="39" t="str">
        <f t="shared" si="0"/>
        <v>sust kpis dats_Economic PRODUCTIVITY _Bees productivity</v>
      </c>
      <c r="H12" t="s">
        <v>1783</v>
      </c>
    </row>
    <row r="13" spans="1:8">
      <c r="A13" s="33"/>
      <c r="B13" s="41" t="s">
        <v>336</v>
      </c>
      <c r="C13" s="35" t="s">
        <v>169</v>
      </c>
      <c r="D13" s="43" t="s">
        <v>591</v>
      </c>
      <c r="E13" s="24">
        <f>'Parcel 1 with DATSs'!K244/'Parcel 1 with DATSs'!K20</f>
        <v>1</v>
      </c>
      <c r="F13" s="37" t="s">
        <v>337</v>
      </c>
      <c r="G13" s="39" t="str">
        <f t="shared" si="0"/>
        <v>sust kpis dats_Economic PRODUCTIVITY _Oyster productivity</v>
      </c>
      <c r="H13" t="s">
        <v>1784</v>
      </c>
    </row>
    <row r="14" spans="1:8">
      <c r="A14" s="51"/>
      <c r="B14" s="3"/>
      <c r="C14" s="52"/>
      <c r="D14" s="1"/>
      <c r="E14" s="24"/>
      <c r="H14" t="s">
        <v>1785</v>
      </c>
    </row>
    <row r="15" spans="1:8" s="4" customFormat="1">
      <c r="A15" s="68" t="s">
        <v>1771</v>
      </c>
      <c r="F15" s="30"/>
      <c r="H15" t="s">
        <v>1786</v>
      </c>
    </row>
    <row r="16" spans="1:8" s="4" customFormat="1">
      <c r="A16" s="47"/>
      <c r="B16" s="47" t="s">
        <v>148</v>
      </c>
      <c r="C16" s="47" t="s">
        <v>149</v>
      </c>
      <c r="D16" s="47" t="s">
        <v>150</v>
      </c>
      <c r="E16" s="47" t="s">
        <v>206</v>
      </c>
      <c r="F16" s="47" t="s">
        <v>205</v>
      </c>
      <c r="H16" t="s">
        <v>1787</v>
      </c>
    </row>
    <row r="17" spans="1:8" ht="31.5">
      <c r="A17" s="33"/>
      <c r="B17" s="41" t="s">
        <v>345</v>
      </c>
      <c r="C17" s="35" t="s">
        <v>169</v>
      </c>
      <c r="D17" s="43" t="s">
        <v>114</v>
      </c>
      <c r="E17" s="87">
        <f>('Parcel 1 with DATSs'!K192/SUM('Parcel 1 with DATSs'!K191:K194))*100</f>
        <v>25</v>
      </c>
      <c r="F17" s="37" t="s">
        <v>346</v>
      </c>
      <c r="G17" s="39" t="str">
        <f>CONCATENATE("sust kpis dats","_",$A$15,"_",B17)</f>
        <v>sust kpis dats_Economic EFFICIENCY _Rate of time for quality analysis</v>
      </c>
      <c r="H17" t="s">
        <v>1788</v>
      </c>
    </row>
    <row r="18" spans="1:8" ht="31.5">
      <c r="A18" s="66"/>
      <c r="B18" s="41" t="s">
        <v>347</v>
      </c>
      <c r="C18" s="35" t="s">
        <v>169</v>
      </c>
      <c r="D18" s="43" t="s">
        <v>114</v>
      </c>
      <c r="E18" s="24">
        <f>('Parcel 1 with DATSs'!K212/'Parcel 1 with DATSs'!K213)*100</f>
        <v>100</v>
      </c>
      <c r="F18" s="37" t="s">
        <v>348</v>
      </c>
      <c r="G18" s="39" t="str">
        <f t="shared" ref="G18:G19" si="1">CONCATENATE("sust kpis dats","_",$A$15,"_",B18)</f>
        <v>sust kpis dats_Economic EFFICIENCY _Rate of on-time fulfilled orders</v>
      </c>
      <c r="H18" t="s">
        <v>1789</v>
      </c>
    </row>
    <row r="19" spans="1:8">
      <c r="A19" s="33"/>
      <c r="B19" s="41" t="s">
        <v>349</v>
      </c>
      <c r="C19" s="35" t="s">
        <v>169</v>
      </c>
      <c r="D19" s="43" t="s">
        <v>122</v>
      </c>
      <c r="E19" s="24">
        <f>'Parcel 1 with DATSs'!K214</f>
        <v>1</v>
      </c>
      <c r="F19" s="37" t="s">
        <v>349</v>
      </c>
      <c r="G19" s="39" t="str">
        <f t="shared" si="1"/>
        <v>sust kpis dats_Economic EFFICIENCY _Number of wrong orders</v>
      </c>
      <c r="H19" t="s">
        <v>1790</v>
      </c>
    </row>
    <row r="20" spans="1:8">
      <c r="A20" s="51"/>
      <c r="B20" s="3"/>
      <c r="C20" s="52"/>
      <c r="D20" s="1"/>
      <c r="E20" s="30"/>
      <c r="H20" t="s">
        <v>1791</v>
      </c>
    </row>
    <row r="21" spans="1:8" s="4" customFormat="1">
      <c r="A21" s="46" t="s">
        <v>350</v>
      </c>
      <c r="F21" s="30"/>
      <c r="H21" t="s">
        <v>1792</v>
      </c>
    </row>
    <row r="22" spans="1:8" s="4" customFormat="1">
      <c r="A22" s="47" t="s">
        <v>178</v>
      </c>
      <c r="B22" s="47" t="s">
        <v>148</v>
      </c>
      <c r="C22" s="47" t="s">
        <v>149</v>
      </c>
      <c r="D22" s="47" t="s">
        <v>150</v>
      </c>
      <c r="E22" s="47" t="s">
        <v>206</v>
      </c>
      <c r="F22" s="47" t="s">
        <v>205</v>
      </c>
      <c r="H22" t="s">
        <v>1793</v>
      </c>
    </row>
    <row r="23" spans="1:8">
      <c r="A23" s="33"/>
      <c r="B23" s="41" t="s">
        <v>351</v>
      </c>
      <c r="C23" s="35" t="s">
        <v>169</v>
      </c>
      <c r="D23" s="43"/>
      <c r="E23" s="87"/>
      <c r="F23" s="37"/>
      <c r="G23" s="39" t="str">
        <f>CONCATENATE("sust kpis dats","_",$A$21,"_",B23)</f>
        <v xml:space="preserve">sust kpis dats_PRODUCT QUALITY  _Intrinsic product quality </v>
      </c>
      <c r="H23" t="s">
        <v>1794</v>
      </c>
    </row>
    <row r="24" spans="1:8">
      <c r="A24" s="33"/>
      <c r="B24" s="41" t="s">
        <v>394</v>
      </c>
      <c r="C24" s="35" t="s">
        <v>169</v>
      </c>
      <c r="D24" s="43" t="s">
        <v>114</v>
      </c>
      <c r="E24" s="24">
        <f>'Parcel 1 with DATSs'!K216</f>
        <v>1</v>
      </c>
      <c r="F24" s="37"/>
      <c r="G24" s="39" t="str">
        <f t="shared" ref="G24:G26" si="2">CONCATENATE("sust kpis dats","_",$A$21,"_",B24)</f>
        <v>sust kpis dats_PRODUCT QUALITY  _Protein % DRY MATTER</v>
      </c>
      <c r="H24" t="s">
        <v>1795</v>
      </c>
    </row>
    <row r="25" spans="1:8">
      <c r="A25" s="33"/>
      <c r="B25" s="41" t="s">
        <v>395</v>
      </c>
      <c r="C25" s="35" t="s">
        <v>169</v>
      </c>
      <c r="D25" s="43" t="s">
        <v>114</v>
      </c>
      <c r="E25" s="24">
        <f>'Parcel 1 with DATSs'!K217</f>
        <v>1</v>
      </c>
      <c r="F25" s="37"/>
      <c r="G25" s="39" t="str">
        <f t="shared" si="2"/>
        <v>sust kpis dats_PRODUCT QUALITY  _Humidity</v>
      </c>
      <c r="H25" t="s">
        <v>1796</v>
      </c>
    </row>
    <row r="26" spans="1:8">
      <c r="A26" s="33"/>
      <c r="B26" s="41" t="s">
        <v>396</v>
      </c>
      <c r="C26" s="35" t="s">
        <v>169</v>
      </c>
      <c r="D26" s="43" t="s">
        <v>397</v>
      </c>
      <c r="E26" s="24">
        <f>'Parcel 1 with DATSs'!K218</f>
        <v>1</v>
      </c>
      <c r="F26" s="37"/>
      <c r="G26" s="39" t="str">
        <f t="shared" si="2"/>
        <v xml:space="preserve">sust kpis dats_PRODUCT QUALITY  _Test Weight </v>
      </c>
      <c r="H26" t="s">
        <v>1797</v>
      </c>
    </row>
    <row r="27" spans="1:8">
      <c r="A27" s="51"/>
      <c r="B27" s="3"/>
      <c r="C27" s="52"/>
      <c r="D27" s="1"/>
      <c r="E27" s="30"/>
      <c r="H27" t="s">
        <v>1798</v>
      </c>
    </row>
    <row r="28" spans="1:8" s="24" customFormat="1" ht="16.5" thickBot="1">
      <c r="A28" s="49" t="s">
        <v>366</v>
      </c>
      <c r="H28" t="s">
        <v>1799</v>
      </c>
    </row>
    <row r="29" spans="1:8" s="24" customFormat="1">
      <c r="A29" s="47" t="s">
        <v>241</v>
      </c>
      <c r="B29" s="47" t="s">
        <v>155</v>
      </c>
      <c r="C29" s="47" t="s">
        <v>149</v>
      </c>
      <c r="D29" s="47" t="s">
        <v>150</v>
      </c>
      <c r="E29" s="47" t="s">
        <v>206</v>
      </c>
      <c r="F29" s="47" t="s">
        <v>156</v>
      </c>
      <c r="G29" s="31"/>
      <c r="H29" t="s">
        <v>1800</v>
      </c>
    </row>
    <row r="30" spans="1:8">
      <c r="A30" s="33" t="s">
        <v>191</v>
      </c>
      <c r="B30" s="41" t="s">
        <v>17</v>
      </c>
      <c r="C30" s="35" t="s">
        <v>169</v>
      </c>
      <c r="D30" s="43" t="s">
        <v>157</v>
      </c>
      <c r="E30" s="24">
        <f>'Parcel 1 with DATSs'!K95*'Parcel 1 with DATSs'!K96*('Parcel 1 with DATSs'!K97/100)+'Parcel 1 with DATSs'!K102*'Parcel 1 with DATSs'!K103*('Parcel 1 with DATSs'!K104/100)+'Parcel 1 with DATSs'!K109*'Parcel 1 with DATSs'!K110*('Parcel 1 with DATSs'!K111/100)</f>
        <v>0.03</v>
      </c>
      <c r="F30" s="37" t="s">
        <v>197</v>
      </c>
      <c r="G30" s="39" t="str">
        <f>CONCATENATE("sust kpis dats","_",$A$28,"_",B30)</f>
        <v>sust kpis dats_ENVIRONMENTAL KPIs_Nitrogen applied</v>
      </c>
      <c r="H30" t="s">
        <v>1801</v>
      </c>
    </row>
    <row r="31" spans="1:8" ht="31.5">
      <c r="A31" s="33" t="s">
        <v>191</v>
      </c>
      <c r="B31" s="41" t="s">
        <v>18</v>
      </c>
      <c r="C31" s="35" t="s">
        <v>169</v>
      </c>
      <c r="D31" s="43" t="s">
        <v>114</v>
      </c>
      <c r="E31" s="24">
        <f>((('Parcel 1 with DATSs'!K240*1000/'Parcel 1 with DATSs'!K10)*C101)/(E30)*100)</f>
        <v>2333.333333333333</v>
      </c>
      <c r="F31" s="37" t="s">
        <v>596</v>
      </c>
      <c r="G31" s="39" t="str">
        <f t="shared" ref="G31:G60" si="3">CONCATENATE("sust kpis dats","_",$A$28,"_",B31)</f>
        <v>sust kpis dats_ENVIRONMENTAL KPIs_Nitrogen use efficiency</v>
      </c>
      <c r="H31" t="s">
        <v>1802</v>
      </c>
    </row>
    <row r="32" spans="1:8">
      <c r="A32" s="33" t="s">
        <v>191</v>
      </c>
      <c r="B32" s="41" t="s">
        <v>19</v>
      </c>
      <c r="C32" s="35" t="s">
        <v>169</v>
      </c>
      <c r="D32" s="43" t="s">
        <v>157</v>
      </c>
      <c r="E32" s="24">
        <f>'Parcel 1 with DATSs'!K95*'Parcel 1 with DATSs'!K96*('Parcel 1 with DATSs'!K98/100)+'Parcel 1 with DATSs'!K102*'Parcel 1 with DATSs'!K103*('Parcel 1 with DATSs'!K105/100)+'Parcel 1 with DATSs'!K109*'Parcel 1 with DATSs'!K110*('Parcel 1 with DATSs'!K112/100)</f>
        <v>0.03</v>
      </c>
      <c r="F32" s="37" t="s">
        <v>198</v>
      </c>
      <c r="G32" s="39" t="str">
        <f t="shared" si="3"/>
        <v>sust kpis dats_ENVIRONMENTAL KPIs_Phosphorus applied</v>
      </c>
      <c r="H32" t="s">
        <v>1803</v>
      </c>
    </row>
    <row r="33" spans="1:8" ht="31.5">
      <c r="A33" s="33" t="s">
        <v>191</v>
      </c>
      <c r="B33" s="41" t="s">
        <v>20</v>
      </c>
      <c r="C33" s="35" t="s">
        <v>169</v>
      </c>
      <c r="D33" s="43" t="s">
        <v>114</v>
      </c>
      <c r="E33" s="24">
        <f>((('Parcel 1 with DATSs'!K240*1000/'Parcel 1 with DATSs'!K10)*C102)/E32*100)</f>
        <v>733.33333333333337</v>
      </c>
      <c r="F33" s="37" t="s">
        <v>597</v>
      </c>
      <c r="G33" s="39" t="str">
        <f t="shared" si="3"/>
        <v>sust kpis dats_ENVIRONMENTAL KPIs_Phosphorus use efficiency</v>
      </c>
      <c r="H33" t="s">
        <v>1804</v>
      </c>
    </row>
    <row r="34" spans="1:8">
      <c r="A34" s="33" t="s">
        <v>191</v>
      </c>
      <c r="B34" s="41" t="s">
        <v>308</v>
      </c>
      <c r="C34" s="35" t="s">
        <v>169</v>
      </c>
      <c r="D34" s="43" t="s">
        <v>114</v>
      </c>
      <c r="E34" s="24">
        <f>'Parcel 1 with DATSs'!K95*'Parcel 1 with DATSs'!K96*('Parcel 1 with DATSs'!K99/100)+'Parcel 1 with DATSs'!K102*'Parcel 1 with DATSs'!K103*('Parcel 1 with DATSs'!K106/100)+'Parcel 1 with DATSs'!K109*'Parcel 1 with DATSs'!K110*('Parcel 1 with DATSs'!K113/100)</f>
        <v>0.03</v>
      </c>
      <c r="F34" s="37" t="s">
        <v>310</v>
      </c>
      <c r="G34" s="39" t="str">
        <f t="shared" si="3"/>
        <v>sust kpis dats_ENVIRONMENTAL KPIs_ Potassium applied</v>
      </c>
      <c r="H34" t="s">
        <v>1805</v>
      </c>
    </row>
    <row r="35" spans="1:8" ht="31.5">
      <c r="A35" s="33" t="s">
        <v>191</v>
      </c>
      <c r="B35" s="41" t="s">
        <v>309</v>
      </c>
      <c r="C35" s="35" t="s">
        <v>169</v>
      </c>
      <c r="D35" s="43" t="s">
        <v>114</v>
      </c>
      <c r="E35" s="87">
        <f>(((('Parcel 1 with DATSs'!K240*1000)/'Parcel 1 with DATSs'!K10)*'sust. impact KPIs DATS'!C103)/E34*100)</f>
        <v>6000.0000000000009</v>
      </c>
      <c r="F35" s="37" t="s">
        <v>598</v>
      </c>
      <c r="G35" s="39" t="str">
        <f t="shared" si="3"/>
        <v>sust kpis dats_ENVIRONMENTAL KPIs_Potassium use efficiency</v>
      </c>
      <c r="H35" t="s">
        <v>1806</v>
      </c>
    </row>
    <row r="36" spans="1:8" ht="31.5">
      <c r="A36" s="33" t="s">
        <v>189</v>
      </c>
      <c r="B36" s="41" t="s">
        <v>323</v>
      </c>
      <c r="C36" s="35" t="s">
        <v>169</v>
      </c>
      <c r="D36" s="43" t="s">
        <v>157</v>
      </c>
      <c r="E36" s="24">
        <f>('Parcel 1 with DATSs'!K82*'Parcel 1 with DATSs'!K83)+('Parcel 1 with DATSs'!K85*'Parcel 1 with DATSs'!K86)+('Parcel 1 with DATSs'!K88*'Parcel 1 with DATSs'!K89)</f>
        <v>3</v>
      </c>
      <c r="F36" s="37" t="s">
        <v>324</v>
      </c>
      <c r="G36" s="39" t="str">
        <f t="shared" si="3"/>
        <v>sust kpis dats_ENVIRONMENTAL KPIs_pesticides, herbicides and fungicides use</v>
      </c>
      <c r="H36" t="s">
        <v>1807</v>
      </c>
    </row>
    <row r="37" spans="1:8" ht="28.5">
      <c r="A37" s="33" t="s">
        <v>0</v>
      </c>
      <c r="B37" s="41" t="s">
        <v>305</v>
      </c>
      <c r="C37" s="35" t="s">
        <v>169</v>
      </c>
      <c r="D37" s="43" t="s">
        <v>681</v>
      </c>
      <c r="E37" s="24">
        <f>'Parcel 1 with DATSs'!K29/'Parcel 1 with DATSs'!K10</f>
        <v>1</v>
      </c>
      <c r="F37" s="37" t="s">
        <v>200</v>
      </c>
      <c r="G37" s="39" t="str">
        <f t="shared" si="3"/>
        <v xml:space="preserve">sust kpis dats_ENVIRONMENTAL KPIs_Arable and horticulture water consumption </v>
      </c>
      <c r="H37" t="s">
        <v>1808</v>
      </c>
    </row>
    <row r="38" spans="1:8" ht="28.5">
      <c r="A38" s="33" t="s">
        <v>0</v>
      </c>
      <c r="B38" s="41" t="s">
        <v>429</v>
      </c>
      <c r="C38" s="35" t="s">
        <v>169</v>
      </c>
      <c r="D38" s="43" t="s">
        <v>430</v>
      </c>
      <c r="E38" s="24" t="e">
        <f>'Parcel 1 without DATSs'!#REF!/'Parcel 1 without DATSs'!#REF!</f>
        <v>#REF!</v>
      </c>
      <c r="F38" s="37" t="s">
        <v>307</v>
      </c>
      <c r="G38" s="39" t="str">
        <f t="shared" si="3"/>
        <v xml:space="preserve">sust kpis dats_ENVIRONMENTAL KPIs_Aquaculture water productivity </v>
      </c>
      <c r="H38" t="s">
        <v>1809</v>
      </c>
    </row>
    <row r="39" spans="1:8">
      <c r="A39" s="33" t="s">
        <v>0</v>
      </c>
      <c r="B39" s="41" t="s">
        <v>21</v>
      </c>
      <c r="C39" s="35" t="s">
        <v>169</v>
      </c>
      <c r="D39" s="43" t="s">
        <v>462</v>
      </c>
      <c r="E39" s="24">
        <f>(('Parcel 1 with DATSs'!K240)*1000)/(IF(('Parcel 1 with DATSs'!K24+'Parcel 1 with DATSs'!K25)&gt;0,('Parcel 1 with DATSs'!K24+'Parcel 1 with DATSs'!K25),'Parcel 1 with DATSs'!K29))</f>
        <v>500</v>
      </c>
      <c r="F39" s="37" t="s">
        <v>201</v>
      </c>
      <c r="G39" s="39" t="str">
        <f t="shared" si="3"/>
        <v>sust kpis dats_ENVIRONMENTAL KPIs_Irrigation water productivity</v>
      </c>
      <c r="H39" t="s">
        <v>1810</v>
      </c>
    </row>
    <row r="40" spans="1:8" ht="31.5">
      <c r="A40" s="33" t="s">
        <v>180</v>
      </c>
      <c r="B40" s="41" t="s">
        <v>22</v>
      </c>
      <c r="C40" s="35" t="s">
        <v>169</v>
      </c>
      <c r="D40" s="43" t="str">
        <f>IFERROR(VLOOKUP('General Information'!$G$6, Convalide!$V$2:$W$8, 2,FALSE), "")</f>
        <v>kWh/kg meat</v>
      </c>
      <c r="E40" s="24">
        <f>'Parcel 1 with DATSs'!K68/(IF('General Information'!G6="crop",'Parcel 1 with DATSs'!K10,IF('General Information'!G6="milk",'Parcel 1 with DATSs'!K241,IF('General Information'!G6="meat",'Parcel 1 with DATSs'!K242,IF('General Information'!G6="animal",'Parcel 1 with DATSs'!K243,IF('General Information'!G6="oyster",'Parcel 1 with DATSs'!K244,IF('General Information'!G6="honey",'Parcel 1 with DATSs'!K245,'Parcel 1 with DATSs'!K246)))))))</f>
        <v>1</v>
      </c>
      <c r="F40" s="37" t="s">
        <v>439</v>
      </c>
      <c r="G40" s="39" t="str">
        <f t="shared" si="3"/>
        <v>sust kpis dats_ENVIRONMENTAL KPIs_Electricity consumption</v>
      </c>
      <c r="H40" t="s">
        <v>1811</v>
      </c>
    </row>
    <row r="41" spans="1:8" s="22" customFormat="1" ht="31.5">
      <c r="A41" s="33" t="s">
        <v>371</v>
      </c>
      <c r="B41" s="41" t="s">
        <v>39</v>
      </c>
      <c r="C41" s="35" t="s">
        <v>169</v>
      </c>
      <c r="D41" s="43" t="s">
        <v>173</v>
      </c>
      <c r="E41" s="24">
        <f>'Parcel 1 with DATSs'!K225/'Parcel 1 with DATSs'!K226</f>
        <v>1</v>
      </c>
      <c r="F41" s="37" t="s">
        <v>139</v>
      </c>
      <c r="G41" s="39" t="str">
        <f t="shared" si="3"/>
        <v xml:space="preserve">sust kpis dats_ENVIRONMENTAL KPIs_Ease of movement </v>
      </c>
      <c r="H41" t="s">
        <v>1812</v>
      </c>
    </row>
    <row r="42" spans="1:8" s="22" customFormat="1" ht="31.5">
      <c r="A42" s="33" t="s">
        <v>371</v>
      </c>
      <c r="B42" s="41" t="s">
        <v>440</v>
      </c>
      <c r="C42" s="35" t="s">
        <v>169</v>
      </c>
      <c r="D42" s="43" t="s">
        <v>114</v>
      </c>
      <c r="E42" s="24">
        <f>'Parcel 1 with DATSs'!K222/'Parcel 1 with DATSs'!K17*100</f>
        <v>100</v>
      </c>
      <c r="F42" s="37" t="s">
        <v>174</v>
      </c>
      <c r="G42" s="39" t="str">
        <f t="shared" si="3"/>
        <v>sust kpis dats_ENVIRONMENTAL KPIs_Mortality rate (livestock)</v>
      </c>
      <c r="H42" t="s">
        <v>1813</v>
      </c>
    </row>
    <row r="43" spans="1:8" s="22" customFormat="1" ht="31.5">
      <c r="A43" s="33" t="s">
        <v>371</v>
      </c>
      <c r="B43" s="41" t="s">
        <v>441</v>
      </c>
      <c r="C43" s="35" t="s">
        <v>169</v>
      </c>
      <c r="D43" s="43" t="s">
        <v>622</v>
      </c>
      <c r="E43" s="24">
        <f>'Parcel 1 with DATSs'!K222/'Parcel 1 with DATSs'!K20</f>
        <v>1</v>
      </c>
      <c r="F43" s="37" t="s">
        <v>443</v>
      </c>
      <c r="G43" s="39" t="str">
        <f t="shared" si="3"/>
        <v>sust kpis dats_ENVIRONMENTAL KPIs_Mortality rate (aquaculture)</v>
      </c>
      <c r="H43" t="s">
        <v>1814</v>
      </c>
    </row>
    <row r="44" spans="1:8" s="22" customFormat="1" ht="31.5">
      <c r="A44" s="33" t="s">
        <v>371</v>
      </c>
      <c r="B44" s="41" t="s">
        <v>442</v>
      </c>
      <c r="C44" s="35" t="s">
        <v>169</v>
      </c>
      <c r="D44" s="43" t="s">
        <v>114</v>
      </c>
      <c r="E44" s="24">
        <f>'Parcel 1 with DATSs'!K222/'Parcel 1 with DATSs'!K19*100</f>
        <v>100</v>
      </c>
      <c r="F44" s="37" t="s">
        <v>443</v>
      </c>
      <c r="G44" s="39" t="str">
        <f t="shared" si="3"/>
        <v>sust kpis dats_ENVIRONMENTAL KPIs_Mortality rate (apiculture)</v>
      </c>
      <c r="H44" t="s">
        <v>1815</v>
      </c>
    </row>
    <row r="45" spans="1:8" s="22" customFormat="1" ht="31.5">
      <c r="A45" s="33" t="s">
        <v>371</v>
      </c>
      <c r="B45" s="41" t="s">
        <v>40</v>
      </c>
      <c r="C45" s="35" t="s">
        <v>169</v>
      </c>
      <c r="D45" s="43" t="s">
        <v>114</v>
      </c>
      <c r="E45" s="24">
        <f>'Parcel 1 with DATSs'!K223/'Parcel 1 with DATSs'!K224</f>
        <v>1</v>
      </c>
      <c r="F45" s="37" t="s">
        <v>175</v>
      </c>
      <c r="G45" s="39" t="str">
        <f t="shared" si="3"/>
        <v>sust kpis dats_ENVIRONMENTAL KPIs_Mortality rate at birth</v>
      </c>
      <c r="H45" t="s">
        <v>1816</v>
      </c>
    </row>
    <row r="46" spans="1:8" s="22" customFormat="1" ht="31.5">
      <c r="A46" s="33" t="s">
        <v>371</v>
      </c>
      <c r="B46" s="41" t="s">
        <v>352</v>
      </c>
      <c r="C46" s="67" t="s">
        <v>169</v>
      </c>
      <c r="D46" s="43" t="s">
        <v>114</v>
      </c>
      <c r="E46" s="24">
        <f>'Parcel 1 with DATSs'!K227/'Parcel 1 with DATSs'!K17</f>
        <v>1</v>
      </c>
      <c r="F46" s="37" t="s">
        <v>353</v>
      </c>
      <c r="G46" s="39" t="str">
        <f t="shared" si="3"/>
        <v>sust kpis dats_ENVIRONMENTAL KPIs_Cows with high SCC</v>
      </c>
      <c r="H46" t="s">
        <v>1817</v>
      </c>
    </row>
    <row r="47" spans="1:8" s="22" customFormat="1">
      <c r="A47" s="33" t="s">
        <v>12</v>
      </c>
      <c r="B47" s="41" t="s">
        <v>303</v>
      </c>
      <c r="C47" s="35" t="s">
        <v>169</v>
      </c>
      <c r="D47" s="43" t="s">
        <v>538</v>
      </c>
      <c r="E47" s="24">
        <f>('Parcel 1 with DATSs'!K174+'Parcel 1 with DATSs'!K176+'Parcel 1 with DATSs'!K178)/'Parcel 1 with DATSs'!K17</f>
        <v>3</v>
      </c>
      <c r="F47" s="37" t="s">
        <v>292</v>
      </c>
      <c r="G47" s="39" t="str">
        <f t="shared" si="3"/>
        <v xml:space="preserve">sust kpis dats_ENVIRONMENTAL KPIs_Drugs use in dairy livestock </v>
      </c>
      <c r="H47" t="s">
        <v>1818</v>
      </c>
    </row>
    <row r="48" spans="1:8" s="22" customFormat="1" ht="28.5">
      <c r="A48" s="33" t="s">
        <v>12</v>
      </c>
      <c r="B48" s="41" t="s">
        <v>304</v>
      </c>
      <c r="C48" s="35" t="s">
        <v>169</v>
      </c>
      <c r="D48" s="43" t="s">
        <v>538</v>
      </c>
      <c r="E48" s="24">
        <f>('Parcel 1 with DATSs'!K174+'Parcel 1 with DATSs'!K176+'Parcel 1 with DATSs'!K178)/'Parcel 1 with DATSs'!K17</f>
        <v>3</v>
      </c>
      <c r="F48" s="37" t="s">
        <v>292</v>
      </c>
      <c r="G48" s="39" t="str">
        <f t="shared" si="3"/>
        <v xml:space="preserve">sust kpis dats_ENVIRONMENTAL KPIs_Drugs use in meat livestock   </v>
      </c>
      <c r="H48" t="s">
        <v>1819</v>
      </c>
    </row>
    <row r="49" spans="1:8" s="22" customFormat="1">
      <c r="A49" s="33" t="s">
        <v>12</v>
      </c>
      <c r="B49" s="41" t="s">
        <v>291</v>
      </c>
      <c r="C49" s="35" t="s">
        <v>169</v>
      </c>
      <c r="D49" s="43" t="s">
        <v>623</v>
      </c>
      <c r="E49" s="24" t="e">
        <f>('Parcel 1 with DATSs'!K175+'Parcel 1 with DATSs'!K177+'Parcel 1 with DATSs'!#REF!)/'Parcel 1 with DATSs'!E20</f>
        <v>#REF!</v>
      </c>
      <c r="F49" s="37" t="s">
        <v>292</v>
      </c>
      <c r="G49" s="39" t="str">
        <f t="shared" si="3"/>
        <v xml:space="preserve">sust kpis dats_ENVIRONMENTAL KPIs_Drugs use in aquaculture </v>
      </c>
      <c r="H49" t="s">
        <v>1820</v>
      </c>
    </row>
    <row r="50" spans="1:8" s="22" customFormat="1">
      <c r="A50" s="33" t="s">
        <v>12</v>
      </c>
      <c r="B50" s="41" t="s">
        <v>290</v>
      </c>
      <c r="C50" s="35" t="s">
        <v>169</v>
      </c>
      <c r="D50" s="43" t="s">
        <v>540</v>
      </c>
      <c r="E50" s="24" t="e">
        <f>('Parcel 1 with DATSs'!K175+'Parcel 1 with DATSs'!K177+'Parcel 1 with DATSs'!#REF!)/'Parcel 1 with DATSs'!E19</f>
        <v>#REF!</v>
      </c>
      <c r="F50" s="37" t="s">
        <v>292</v>
      </c>
      <c r="G50" s="39" t="str">
        <f t="shared" si="3"/>
        <v xml:space="preserve">sust kpis dats_ENVIRONMENTAL KPIs_Drugs use in apiculture </v>
      </c>
      <c r="H50" t="s">
        <v>1821</v>
      </c>
    </row>
    <row r="51" spans="1:8" ht="31.5">
      <c r="A51" s="33" t="s">
        <v>179</v>
      </c>
      <c r="B51" s="41" t="s">
        <v>23</v>
      </c>
      <c r="C51" s="35" t="s">
        <v>169</v>
      </c>
      <c r="D51" s="43" t="s">
        <v>159</v>
      </c>
      <c r="E51" s="87">
        <f>('Parcel 1 with DATSs'!K43*'sust. impact KPIs DATS'!C97*'sust. impact KPIs DATS'!C98)/'Parcel 1 with DATSs'!K10</f>
        <v>2.6601900000000001</v>
      </c>
      <c r="F51" s="37" t="s">
        <v>203</v>
      </c>
      <c r="G51" s="39" t="str">
        <f t="shared" si="3"/>
        <v xml:space="preserve">sust kpis dats_ENVIRONMENTAL KPIs_Fuel GHG emission </v>
      </c>
      <c r="H51" t="s">
        <v>1822</v>
      </c>
    </row>
    <row r="52" spans="1:8" ht="28.5">
      <c r="A52" s="33" t="s">
        <v>179</v>
      </c>
      <c r="B52" s="41" t="s">
        <v>326</v>
      </c>
      <c r="C52" s="35" t="s">
        <v>169</v>
      </c>
      <c r="D52" s="43" t="s">
        <v>242</v>
      </c>
      <c r="E52" s="24">
        <f>'Parcel 1 with DATSs'!K43/'Parcel 1 with DATSs'!K10</f>
        <v>1</v>
      </c>
      <c r="F52" s="37" t="s">
        <v>355</v>
      </c>
      <c r="G52" s="39" t="str">
        <f t="shared" si="3"/>
        <v xml:space="preserve">sust kpis dats_ENVIRONMENTAL KPIs_Arable and horticulture fuel consumption </v>
      </c>
      <c r="H52" t="s">
        <v>1823</v>
      </c>
    </row>
    <row r="53" spans="1:8">
      <c r="A53" s="33" t="s">
        <v>179</v>
      </c>
      <c r="B53" s="41" t="s">
        <v>327</v>
      </c>
      <c r="C53" s="35" t="s">
        <v>169</v>
      </c>
      <c r="D53" s="43" t="s">
        <v>521</v>
      </c>
      <c r="E53" s="24">
        <f>'Parcel 1 with DATSs'!K43/'Parcel 1 with DATSs'!K17</f>
        <v>1</v>
      </c>
      <c r="F53" s="37" t="s">
        <v>356</v>
      </c>
      <c r="G53" s="39" t="str">
        <f t="shared" si="3"/>
        <v xml:space="preserve">sust kpis dats_ENVIRONMENTAL KPIs_Livestock fuel consumption </v>
      </c>
      <c r="H53" t="s">
        <v>1824</v>
      </c>
    </row>
    <row r="54" spans="1:8" ht="31.5">
      <c r="A54" s="33" t="s">
        <v>179</v>
      </c>
      <c r="B54" s="41" t="s">
        <v>328</v>
      </c>
      <c r="C54" s="35" t="s">
        <v>169</v>
      </c>
      <c r="D54" s="43" t="s">
        <v>358</v>
      </c>
      <c r="E54" s="24">
        <f>'Parcel 1 with DATSs'!K43/'Parcel 1 with DATSs'!K20</f>
        <v>1</v>
      </c>
      <c r="F54" s="37" t="s">
        <v>357</v>
      </c>
      <c r="G54" s="39" t="str">
        <f t="shared" si="3"/>
        <v xml:space="preserve">sust kpis dats_ENVIRONMENTAL KPIs_Aquaculture fuel consumption </v>
      </c>
      <c r="H54" t="s">
        <v>1825</v>
      </c>
    </row>
    <row r="55" spans="1:8" ht="31.5">
      <c r="A55" s="33" t="s">
        <v>179</v>
      </c>
      <c r="B55" s="41" t="s">
        <v>329</v>
      </c>
      <c r="C55" s="35" t="s">
        <v>169</v>
      </c>
      <c r="D55" s="43" t="s">
        <v>501</v>
      </c>
      <c r="E55" s="24">
        <f>'Parcel 1 with DATSs'!K43/'Parcel 1 with DATSs'!K19</f>
        <v>1</v>
      </c>
      <c r="F55" s="37" t="s">
        <v>361</v>
      </c>
      <c r="G55" s="39" t="str">
        <f t="shared" si="3"/>
        <v xml:space="preserve">sust kpis dats_ENVIRONMENTAL KPIs_Apiculture fuel consumption </v>
      </c>
      <c r="H55" t="s">
        <v>1826</v>
      </c>
    </row>
    <row r="56" spans="1:8" s="22" customFormat="1" ht="31.5">
      <c r="B56" s="26" t="s">
        <v>161</v>
      </c>
      <c r="C56" s="3"/>
      <c r="D56" s="26" t="s">
        <v>161</v>
      </c>
      <c r="E56" s="172">
        <f>E30*C80</f>
        <v>2.9999999999999997E-4</v>
      </c>
      <c r="F56" s="37" t="s">
        <v>448</v>
      </c>
      <c r="G56" s="39" t="str">
        <f>CONCATENATE("sust kpis dats","_",$A$28,"_",B56)</f>
        <v>sust kpis dats_ENVIRONMENTAL KPIs_direct</v>
      </c>
      <c r="H56" t="s">
        <v>1827</v>
      </c>
    </row>
    <row r="57" spans="1:8" s="22" customFormat="1" ht="63">
      <c r="B57" s="26" t="s">
        <v>162</v>
      </c>
      <c r="C57" s="3"/>
      <c r="D57" s="26" t="s">
        <v>162</v>
      </c>
      <c r="E57" s="88">
        <f>((((IF('Parcel 1 with DATSs'!G100="Mineral",'Parcel 1 with DATSs'!G101*'Parcel 1 with DATSs'!G102*'Parcel 1 with DATSs'!G103/100,0))+
(IF('Parcel 1 with DATSs'!G107="Mineral",'Parcel 1 with DATSs'!G108*'Parcel 1 with DATSs'!G109*'Parcel 1 with DATSs'!G110/100,0))+
(IF('Parcel 1 with DATSs'!G114="Mineral",'Parcel 1 with DATSs'!G115*'Parcel 1 with DATSs'!G116*'Parcel 1 with DATSs'!G117/100,0))+
(IF('Parcel 1 with DATSs'!G121="Mineral",'Parcel 1 with DATSs'!G122*'Parcel 1 with DATSs'!G123*'Parcel 1 with DATSs'!G124/100,0))+
(IF('Parcel 1 with DATSs'!G128="Mineral",'Parcel 1 with DATSs'!G129*'Parcel 1 with DATSs'!G130*'Parcel 1 with DATSs'!G131/100,0))+
(IF('Parcel 1 with DATSs'!G135="Mineral",'Parcel 1 with DATSs'!G136*'Parcel 1 with DATSs'!G137*'Parcel 1 with DATSs'!G138/100,0))+
(IF('Parcel 1 with DATSs'!G142="Mineral",'Parcel 1 with DATSs'!G143*'Parcel 1 with DATSs'!G144*'Parcel 1 with DATSs'!G145/100,0))+
(IF('Parcel 1 with DATSs'!G149="Mineral",'Parcel 1 with DATSs'!G150*'Parcel 1 with DATSs'!G151*'Parcel 1 with DATSs'!G152/100,0))+
(IF('Parcel 1 with DATSs'!G156="Mineral",'Parcel 1 with DATSs'!G157*'Parcel 1 with DATSs'!G158*'Parcel 1 with DATSs'!G159/100,0))+
(IF('Parcel 1 with DATSs'!G163="Mineral",'Parcel 1 with DATSs'!G164*'Parcel 1 with DATSs'!G165*'Parcel 1 with DATSs'!G166/100,0)))
*'sust. impact KPIs DATS'!C88) + (((IF('Parcel 1 with DATSs'!G100="Organic",'Parcel 1 with DATSs'!G101*'Parcel 1 with DATSs'!G102*'Parcel 1 with DATSs'!G103/100,0))+
(IF('Parcel 1 with DATSs'!G107="Organic",'Parcel 1 with DATSs'!G108*'Parcel 1 with DATSs'!G109*'Parcel 1 with DATSs'!G110/100,0))+
(IF('Parcel 1 with DATSs'!G114="Organic",'Parcel 1 with DATSs'!G115*'Parcel 1 with DATSs'!G116*'Parcel 1 with DATSs'!G117/100,0))+
(IF('Parcel 1 with DATSs'!G121="Organic",'Parcel 1 with DATSs'!G122*'Parcel 1 with DATSs'!G123*'Parcel 1 with DATSs'!G124/100,0))+
(IF('Parcel 1 with DATSs'!G128="Organic",'Parcel 1 with DATSs'!G129*'Parcel 1 with DATSs'!G130*'Parcel 1 with DATSs'!G131/100,0))+
(IF('Parcel 1 with DATSs'!G135="Organic",'Parcel 1 with DATSs'!G136*'Parcel 1 with DATSs'!G137*'Parcel 1 with DATSs'!G138/100,0))+
(IF('Parcel 1 with DATSs'!G142="Organic",'Parcel 1 with DATSs'!G143*'Parcel 1 with DATSs'!G144*'Parcel 1 with DATSs'!G145/100,0))+
(IF('Parcel 1 with DATSs'!G149="Organic",'Parcel 1 with DATSs'!G150*'Parcel 1 with DATSs'!G151*'Parcel 1 with DATSs'!G152/100,0))+
(IF('Parcel 1 with DATSs'!G156="Organic",'Parcel 1 with DATSs'!G157*'Parcel 1 with DATSs'!G158*'Parcel 1 with DATSs'!G159/100,0))+
(IF('Parcel 1 with DATSs'!G163="Organic",'Parcel 1 with DATSs'!G164*'Parcel 1 with DATSs'!G165*'Parcel 1 with DATSs'!G166/100,0)))
*'sust. impact KPIs DATS'!C89))
*'sust. impact KPIs DATS'!C85</f>
        <v>0</v>
      </c>
      <c r="F57" s="37" t="s">
        <v>447</v>
      </c>
      <c r="G57" s="39" t="str">
        <f>CONCATENATE("sust kpis dats","_",$A$28,"_",B57)</f>
        <v>sust kpis dats_ENVIRONMENTAL KPIs_indirect volatilisation</v>
      </c>
      <c r="H57" t="s">
        <v>1828</v>
      </c>
    </row>
    <row r="58" spans="1:8" s="22" customFormat="1" ht="47.25">
      <c r="B58" s="26" t="s">
        <v>445</v>
      </c>
      <c r="C58" s="3"/>
      <c r="D58" s="26" t="s">
        <v>445</v>
      </c>
      <c r="E58" s="171">
        <f>E30*C90*C92</f>
        <v>7.9199999999999987E-5</v>
      </c>
      <c r="F58" s="37" t="s">
        <v>446</v>
      </c>
      <c r="G58" s="39" t="str">
        <f>CONCATENATE("sust kpis dats","_",$A$28,"_",B58)</f>
        <v>sust kpis dats_ENVIRONMENTAL KPIs_indirect leaching/runoff</v>
      </c>
      <c r="H58" t="s">
        <v>1829</v>
      </c>
    </row>
    <row r="59" spans="1:8" s="51" customFormat="1">
      <c r="A59" s="33" t="s">
        <v>191</v>
      </c>
      <c r="B59" s="40" t="s">
        <v>24</v>
      </c>
      <c r="C59" s="35" t="s">
        <v>169</v>
      </c>
      <c r="D59" s="40" t="s">
        <v>159</v>
      </c>
      <c r="E59" s="174">
        <f>(E56+E57+E58)*C93*C94</f>
        <v>0.16267679999999998</v>
      </c>
      <c r="F59" s="37" t="s">
        <v>160</v>
      </c>
      <c r="G59" s="39" t="str">
        <f t="shared" si="3"/>
        <v xml:space="preserve">sust kpis dats_ENVIRONMENTAL KPIs_N2O GHG emission </v>
      </c>
      <c r="H59" t="s">
        <v>1830</v>
      </c>
    </row>
    <row r="60" spans="1:8" s="22" customFormat="1">
      <c r="B60" s="10" t="s">
        <v>1768</v>
      </c>
      <c r="C60" s="3"/>
      <c r="D60" s="23"/>
      <c r="E60" s="173">
        <f>E59+E51</f>
        <v>2.8228667999999999</v>
      </c>
      <c r="F60" s="3"/>
      <c r="G60" s="39" t="str">
        <f t="shared" si="3"/>
        <v>sust kpis dats_ENVIRONMENTAL KPIs_Total</v>
      </c>
      <c r="H60" t="s">
        <v>1831</v>
      </c>
    </row>
    <row r="61" spans="1:8" s="22" customFormat="1">
      <c r="B61" s="10"/>
      <c r="C61" s="3"/>
      <c r="D61" s="23"/>
      <c r="E61" s="53"/>
      <c r="F61" s="3"/>
      <c r="G61" s="3"/>
      <c r="H61" t="s">
        <v>1832</v>
      </c>
    </row>
    <row r="62" spans="1:8" ht="16.5" thickBot="1">
      <c r="A62" s="27" t="s">
        <v>367</v>
      </c>
      <c r="B62" s="22"/>
      <c r="C62" s="22"/>
      <c r="D62" s="22"/>
      <c r="E62" s="24"/>
      <c r="F62" s="22"/>
      <c r="G62" s="22"/>
      <c r="H62" t="s">
        <v>1833</v>
      </c>
    </row>
    <row r="63" spans="1:8">
      <c r="A63" s="47"/>
      <c r="B63" s="47" t="s">
        <v>155</v>
      </c>
      <c r="C63" s="47" t="s">
        <v>149</v>
      </c>
      <c r="D63" s="47" t="s">
        <v>150</v>
      </c>
      <c r="E63" s="47" t="s">
        <v>206</v>
      </c>
      <c r="F63" s="47" t="s">
        <v>156</v>
      </c>
      <c r="G63" s="29"/>
      <c r="H63" t="s">
        <v>1834</v>
      </c>
    </row>
    <row r="64" spans="1:8" ht="31.5">
      <c r="A64" s="40"/>
      <c r="B64" s="41" t="s">
        <v>25</v>
      </c>
      <c r="C64" s="28" t="s">
        <v>169</v>
      </c>
      <c r="D64" s="43" t="s">
        <v>170</v>
      </c>
      <c r="E64" s="24">
        <f>'General Information'!G25/'General Information'!G14</f>
        <v>1</v>
      </c>
      <c r="F64" s="37" t="s">
        <v>171</v>
      </c>
      <c r="G64" s="39" t="str">
        <f>CONCATENATE("sust kpis dats","_",$A$62,"_",B64)</f>
        <v>sust kpis dats_SOCIAL KPIs_Training hours (for the use of DATs)</v>
      </c>
      <c r="H64" t="s">
        <v>1835</v>
      </c>
    </row>
    <row r="65" spans="1:8" ht="31.5">
      <c r="A65" s="40"/>
      <c r="B65" s="41" t="s">
        <v>26</v>
      </c>
      <c r="C65" s="35" t="s">
        <v>169</v>
      </c>
      <c r="D65" s="43" t="s">
        <v>163</v>
      </c>
      <c r="E65" s="24">
        <f>'Parcel 1 with DATSs'!K233/'Parcel 1 with DATSs'!K234</f>
        <v>1</v>
      </c>
      <c r="F65" s="37" t="s">
        <v>296</v>
      </c>
      <c r="G65" s="39" t="str">
        <f t="shared" ref="G65:G68" si="4">CONCATENATE("sust kpis dats","_",$A$62,"_",B65)</f>
        <v>sust kpis dats_SOCIAL KPIs_Working time</v>
      </c>
      <c r="H65" t="s">
        <v>1836</v>
      </c>
    </row>
    <row r="66" spans="1:8" ht="31.5">
      <c r="A66" s="40"/>
      <c r="B66" s="41" t="s">
        <v>27</v>
      </c>
      <c r="C66" s="35" t="s">
        <v>169</v>
      </c>
      <c r="D66" s="43" t="s">
        <v>165</v>
      </c>
      <c r="E66" s="24">
        <f>'Parcel 1 with DATSs'!K231/'Parcel 1 with DATSs'!K233</f>
        <v>1</v>
      </c>
      <c r="F66" s="37" t="s">
        <v>166</v>
      </c>
      <c r="G66" s="39" t="str">
        <f t="shared" si="4"/>
        <v xml:space="preserve">sust kpis dats_SOCIAL KPIs_Frequency rate of occupational injuries </v>
      </c>
      <c r="H66" t="s">
        <v>1837</v>
      </c>
    </row>
    <row r="67" spans="1:8" ht="47.25">
      <c r="A67" s="40"/>
      <c r="B67" s="41" t="s">
        <v>28</v>
      </c>
      <c r="C67" s="35" t="s">
        <v>169</v>
      </c>
      <c r="D67" s="43" t="s">
        <v>114</v>
      </c>
      <c r="E67" s="24">
        <f>'Parcel 1 with DATSs'!K232/'Parcel 1 with DATSs'!K233</f>
        <v>1</v>
      </c>
      <c r="F67" s="37" t="s">
        <v>167</v>
      </c>
      <c r="G67" s="39" t="str">
        <f t="shared" si="4"/>
        <v xml:space="preserve">sust kpis dats_SOCIAL KPIs_Incidence of occupational injuries </v>
      </c>
      <c r="H67" t="s">
        <v>1838</v>
      </c>
    </row>
    <row r="68" spans="1:8" ht="31.5">
      <c r="A68" s="40"/>
      <c r="B68" s="41" t="s">
        <v>29</v>
      </c>
      <c r="C68" s="35" t="s">
        <v>169</v>
      </c>
      <c r="D68" s="43" t="s">
        <v>114</v>
      </c>
      <c r="E68" s="24">
        <f>'Parcel 1 with DATSs'!K235/'Parcel 1 with DATSs'!K236</f>
        <v>1</v>
      </c>
      <c r="F68" s="37" t="s">
        <v>168</v>
      </c>
      <c r="G68" s="39" t="str">
        <f t="shared" si="4"/>
        <v>sust kpis dats_SOCIAL KPIs_Contribution to local employment</v>
      </c>
      <c r="H68" t="s">
        <v>1839</v>
      </c>
    </row>
    <row r="77" spans="1:8">
      <c r="A77" s="56"/>
      <c r="B77" s="62" t="s">
        <v>244</v>
      </c>
      <c r="C77" s="63"/>
      <c r="D77" s="56" t="s">
        <v>319</v>
      </c>
      <c r="E77" s="56"/>
      <c r="F77" s="56"/>
    </row>
    <row r="78" spans="1:8">
      <c r="A78" s="64" t="s">
        <v>245</v>
      </c>
      <c r="B78" s="65" t="s">
        <v>150</v>
      </c>
      <c r="C78" s="65" t="s">
        <v>108</v>
      </c>
      <c r="D78" s="65" t="s">
        <v>246</v>
      </c>
      <c r="E78" s="56"/>
      <c r="F78" s="56"/>
    </row>
    <row r="79" spans="1:8">
      <c r="A79" s="57" t="s">
        <v>247</v>
      </c>
      <c r="B79" s="56"/>
      <c r="C79" s="56"/>
      <c r="D79" s="56"/>
      <c r="E79" s="56"/>
      <c r="F79" s="56"/>
    </row>
    <row r="80" spans="1:8">
      <c r="A80" s="148" t="s">
        <v>248</v>
      </c>
      <c r="B80" s="149" t="s">
        <v>249</v>
      </c>
      <c r="C80" s="149">
        <v>0.01</v>
      </c>
      <c r="D80" s="148" t="s">
        <v>250</v>
      </c>
      <c r="E80" s="56"/>
      <c r="F80" s="56"/>
    </row>
    <row r="81" spans="1:6">
      <c r="A81" s="56" t="s">
        <v>251</v>
      </c>
      <c r="B81" s="58" t="s">
        <v>249</v>
      </c>
      <c r="C81" s="58">
        <v>1.6E-2</v>
      </c>
      <c r="D81" s="56" t="s">
        <v>252</v>
      </c>
      <c r="E81" s="56"/>
      <c r="F81" s="56"/>
    </row>
    <row r="82" spans="1:6">
      <c r="A82" s="56" t="s">
        <v>253</v>
      </c>
      <c r="B82" s="58" t="s">
        <v>249</v>
      </c>
      <c r="C82" s="58">
        <v>6.0000000000000001E-3</v>
      </c>
      <c r="D82" s="56" t="s">
        <v>254</v>
      </c>
      <c r="E82" s="56"/>
      <c r="F82" s="56"/>
    </row>
    <row r="83" spans="1:6">
      <c r="A83" s="56" t="s">
        <v>255</v>
      </c>
      <c r="B83" s="58" t="s">
        <v>249</v>
      </c>
      <c r="C83" s="58">
        <v>6.0000000000000001E-3</v>
      </c>
      <c r="D83" s="56" t="s">
        <v>256</v>
      </c>
      <c r="E83" s="56"/>
      <c r="F83" s="56"/>
    </row>
    <row r="84" spans="1:6">
      <c r="A84" s="57" t="s">
        <v>257</v>
      </c>
      <c r="B84" s="56"/>
      <c r="C84" s="56"/>
      <c r="D84" s="56"/>
      <c r="E84" s="56"/>
      <c r="F84" s="56"/>
    </row>
    <row r="85" spans="1:6">
      <c r="A85" s="148" t="s">
        <v>258</v>
      </c>
      <c r="B85" s="149" t="s">
        <v>259</v>
      </c>
      <c r="C85" s="149">
        <v>0.01</v>
      </c>
      <c r="D85" s="148" t="s">
        <v>260</v>
      </c>
      <c r="E85" s="56"/>
      <c r="F85" s="56"/>
    </row>
    <row r="86" spans="1:6">
      <c r="A86" s="56" t="s">
        <v>261</v>
      </c>
      <c r="B86" s="58" t="s">
        <v>259</v>
      </c>
      <c r="C86" s="58">
        <v>1.4E-2</v>
      </c>
      <c r="D86" s="56" t="s">
        <v>262</v>
      </c>
      <c r="E86" s="56"/>
      <c r="F86" s="56"/>
    </row>
    <row r="87" spans="1:6">
      <c r="A87" s="56" t="s">
        <v>263</v>
      </c>
      <c r="B87" s="58" t="s">
        <v>259</v>
      </c>
      <c r="C87" s="58">
        <v>5.0000000000000001E-3</v>
      </c>
      <c r="D87" s="56" t="s">
        <v>264</v>
      </c>
      <c r="E87" s="56"/>
      <c r="F87" s="56"/>
    </row>
    <row r="88" spans="1:6">
      <c r="A88" s="148" t="s">
        <v>265</v>
      </c>
      <c r="B88" s="149" t="s">
        <v>266</v>
      </c>
      <c r="C88" s="149">
        <v>0.11</v>
      </c>
      <c r="D88" s="148" t="s">
        <v>267</v>
      </c>
      <c r="E88" s="56"/>
      <c r="F88" s="56"/>
    </row>
    <row r="89" spans="1:6">
      <c r="A89" s="148" t="s">
        <v>268</v>
      </c>
      <c r="B89" s="149" t="s">
        <v>266</v>
      </c>
      <c r="C89" s="149">
        <v>0.21</v>
      </c>
      <c r="D89" s="148" t="s">
        <v>269</v>
      </c>
      <c r="E89" s="56"/>
      <c r="F89" s="56"/>
    </row>
    <row r="90" spans="1:6">
      <c r="A90" s="148" t="s">
        <v>270</v>
      </c>
      <c r="B90" s="149" t="s">
        <v>271</v>
      </c>
      <c r="C90" s="149">
        <v>0.24</v>
      </c>
      <c r="D90" s="148" t="s">
        <v>272</v>
      </c>
      <c r="E90" s="56"/>
      <c r="F90" s="56"/>
    </row>
    <row r="91" spans="1:6">
      <c r="A91" s="56" t="s">
        <v>273</v>
      </c>
      <c r="B91" s="58" t="s">
        <v>271</v>
      </c>
      <c r="C91" s="58">
        <v>0</v>
      </c>
      <c r="D91" s="56" t="s">
        <v>274</v>
      </c>
      <c r="E91" s="56"/>
      <c r="F91" s="56"/>
    </row>
    <row r="92" spans="1:6">
      <c r="A92" s="148" t="s">
        <v>275</v>
      </c>
      <c r="B92" s="148" t="s">
        <v>276</v>
      </c>
      <c r="C92" s="149">
        <v>1.0999999999999999E-2</v>
      </c>
      <c r="D92" s="148" t="s">
        <v>277</v>
      </c>
      <c r="E92" s="148"/>
      <c r="F92" s="56"/>
    </row>
    <row r="93" spans="1:6">
      <c r="A93" s="148" t="s">
        <v>278</v>
      </c>
      <c r="B93" s="149" t="s">
        <v>279</v>
      </c>
      <c r="C93" s="148">
        <f>44/28</f>
        <v>1.5714285714285714</v>
      </c>
      <c r="D93" s="148" t="s">
        <v>280</v>
      </c>
      <c r="E93" s="148"/>
      <c r="F93" s="56"/>
    </row>
    <row r="94" spans="1:6">
      <c r="A94" s="148" t="s">
        <v>281</v>
      </c>
      <c r="B94" s="148"/>
      <c r="C94" s="155">
        <v>273</v>
      </c>
      <c r="D94" s="148" t="s">
        <v>449</v>
      </c>
      <c r="E94" s="148"/>
      <c r="F94" s="56"/>
    </row>
    <row r="95" spans="1:6">
      <c r="A95" s="56"/>
      <c r="B95" s="56"/>
      <c r="C95" s="56"/>
      <c r="D95" s="56"/>
      <c r="E95" s="56"/>
      <c r="F95" s="56"/>
    </row>
    <row r="96" spans="1:6">
      <c r="A96" s="64" t="s">
        <v>282</v>
      </c>
      <c r="B96" s="56"/>
      <c r="C96" s="56"/>
      <c r="D96" s="56"/>
      <c r="E96" s="56"/>
      <c r="F96" s="56"/>
    </row>
    <row r="97" spans="1:6">
      <c r="A97" s="148" t="s">
        <v>283</v>
      </c>
      <c r="B97" s="149" t="s">
        <v>682</v>
      </c>
      <c r="C97" s="148">
        <v>35.9</v>
      </c>
      <c r="D97" s="148" t="s">
        <v>285</v>
      </c>
      <c r="E97" s="56"/>
      <c r="F97" s="56"/>
    </row>
    <row r="98" spans="1:6">
      <c r="A98" s="148" t="s">
        <v>286</v>
      </c>
      <c r="B98" s="149" t="s">
        <v>287</v>
      </c>
      <c r="C98" s="148">
        <v>7.4099999999999999E-2</v>
      </c>
      <c r="D98" s="148" t="s">
        <v>288</v>
      </c>
      <c r="E98" s="56"/>
      <c r="F98" s="56"/>
    </row>
    <row r="99" spans="1:6">
      <c r="A99" s="56"/>
      <c r="B99" s="56"/>
      <c r="C99" s="56"/>
      <c r="D99" s="56"/>
      <c r="E99" s="56"/>
      <c r="F99" s="56"/>
    </row>
    <row r="100" spans="1:6">
      <c r="A100" s="64" t="s">
        <v>468</v>
      </c>
      <c r="B100" s="61"/>
      <c r="C100" s="56"/>
      <c r="D100" s="56"/>
      <c r="E100" s="56"/>
      <c r="F100" s="56"/>
    </row>
    <row r="101" spans="1:6">
      <c r="A101" s="150" t="str">
        <f>'General Information'!G7</f>
        <v>Apple</v>
      </c>
      <c r="B101" s="150" t="s">
        <v>459</v>
      </c>
      <c r="C101" s="153">
        <f>IFERROR(VLOOKUP('General Information'!$G$7, Convalide!$O$2:$P$18, 2,FALSE), "")</f>
        <v>6.9999999999999999E-4</v>
      </c>
      <c r="D101" s="56"/>
      <c r="E101" s="56"/>
      <c r="F101" s="56"/>
    </row>
    <row r="102" spans="1:6">
      <c r="A102" s="150" t="str">
        <f>'General Information'!G7</f>
        <v>Apple</v>
      </c>
      <c r="B102" s="154" t="s">
        <v>460</v>
      </c>
      <c r="C102" s="150">
        <f>IFERROR(VLOOKUP('General Information'!$G$7, Convalide!$Q$2:$R$18, 2,FALSE), "")</f>
        <v>2.2000000000000001E-4</v>
      </c>
      <c r="D102" s="56"/>
      <c r="E102" s="56"/>
      <c r="F102" s="56"/>
    </row>
    <row r="103" spans="1:6">
      <c r="A103" s="150" t="str">
        <f>'General Information'!G7</f>
        <v>Apple</v>
      </c>
      <c r="B103" s="154" t="s">
        <v>461</v>
      </c>
      <c r="C103" s="150">
        <f>IFERROR(VLOOKUP('General Information'!$G$7, Convalide!$S$2:$T$18, 2,FALSE), "")</f>
        <v>1.8E-3</v>
      </c>
      <c r="D103" s="60"/>
      <c r="E103" s="60"/>
      <c r="F103" s="60"/>
    </row>
    <row r="104" spans="1:6">
      <c r="A104" s="59"/>
      <c r="B104" s="73"/>
      <c r="C104" s="59"/>
      <c r="D104" s="59"/>
      <c r="E104" s="59"/>
      <c r="F104" s="59"/>
    </row>
    <row r="105" spans="1:6">
      <c r="A105" s="59"/>
      <c r="B105" s="73"/>
      <c r="C105" s="59"/>
      <c r="D105" s="59"/>
      <c r="E105" s="59"/>
      <c r="F105" s="59"/>
    </row>
    <row r="106" spans="1:6">
      <c r="A106" s="60"/>
      <c r="B106" s="74"/>
      <c r="C106" s="60"/>
      <c r="D106" s="60"/>
      <c r="E106" s="60"/>
      <c r="F106" s="60"/>
    </row>
    <row r="107" spans="1:6">
      <c r="A107" s="59"/>
      <c r="B107" s="74"/>
      <c r="C107" s="60"/>
      <c r="D107" s="59"/>
      <c r="E107" s="59"/>
      <c r="F107" s="59"/>
    </row>
    <row r="108" spans="1:6">
      <c r="A108" s="59"/>
      <c r="B108" s="74"/>
      <c r="C108" s="60"/>
      <c r="D108" s="59"/>
      <c r="E108" s="59"/>
      <c r="F108" s="59"/>
    </row>
    <row r="109" spans="1:6">
      <c r="A109" s="60"/>
      <c r="B109" s="74"/>
      <c r="C109" s="60"/>
      <c r="D109" s="59"/>
      <c r="E109" s="60"/>
      <c r="F109" s="60"/>
    </row>
    <row r="110" spans="1:6">
      <c r="A110" s="59"/>
      <c r="B110" s="59"/>
      <c r="C110" s="59"/>
      <c r="D110" s="59"/>
      <c r="E110" s="59"/>
      <c r="F110" s="59"/>
    </row>
    <row r="111" spans="1:6">
      <c r="A111" s="59"/>
      <c r="B111" s="59"/>
      <c r="C111" s="59"/>
      <c r="D111" s="59"/>
      <c r="E111" s="59"/>
      <c r="F111" s="59"/>
    </row>
  </sheetData>
  <phoneticPr fontId="2" type="noConversion"/>
  <conditionalFormatting sqref="B56:B58">
    <cfRule type="containsText" dxfId="135" priority="25" operator="containsText" text="With out DATs">
      <formula>NOT(ISERROR(SEARCH("With out DATs",B56)))</formula>
    </cfRule>
    <cfRule type="containsText" dxfId="134" priority="23" operator="containsText" text="Without DATs">
      <formula>NOT(ISERROR(SEARCH("Without DATs",B56)))</formula>
    </cfRule>
    <cfRule type="containsText" dxfId="133" priority="24" operator="containsText" text="With DATs">
      <formula>NOT(ISERROR(SEARCH("With DATs",B56)))</formula>
    </cfRule>
    <cfRule type="containsText" dxfId="132" priority="26" operator="containsText" text="TO-BE">
      <formula>NOT(ISERROR(SEARCH("TO-BE",B56)))</formula>
    </cfRule>
    <cfRule type="containsText" dxfId="131" priority="27" operator="containsText" text="AS-IS">
      <formula>NOT(ISERROR(SEARCH("AS-IS",B56)))</formula>
    </cfRule>
    <cfRule type="containsText" dxfId="130" priority="28" operator="containsText" text="Without DATs">
      <formula>NOT(ISERROR(SEARCH("Without DATs",B56)))</formula>
    </cfRule>
    <cfRule type="containsText" dxfId="129" priority="29" operator="containsText" text="With DATs">
      <formula>NOT(ISERROR(SEARCH("With DATs",B56)))</formula>
    </cfRule>
    <cfRule type="containsText" dxfId="128" priority="30" operator="containsText" text="With out DATs">
      <formula>NOT(ISERROR(SEARCH("With out DATs",B56)))</formula>
    </cfRule>
    <cfRule type="containsText" dxfId="127" priority="31" operator="containsText" text="TO-BE">
      <formula>NOT(ISERROR(SEARCH("TO-BE",B56)))</formula>
    </cfRule>
    <cfRule type="containsText" dxfId="126" priority="32" operator="containsText" text="AS-IS">
      <formula>NOT(ISERROR(SEARCH("AS-IS",B56)))</formula>
    </cfRule>
  </conditionalFormatting>
  <conditionalFormatting sqref="C2:C14">
    <cfRule type="containsText" dxfId="125" priority="75" operator="containsText" text="Without DATs">
      <formula>NOT(ISERROR(SEARCH("Without DATs",C2)))</formula>
    </cfRule>
  </conditionalFormatting>
  <conditionalFormatting sqref="C3:C13 C30:C59 D56:D58 D60:D61">
    <cfRule type="containsText" dxfId="124" priority="73" operator="containsText" text="TO-BE">
      <formula>NOT(ISERROR(SEARCH("TO-BE",C3)))</formula>
    </cfRule>
    <cfRule type="containsText" dxfId="123" priority="72" operator="containsText" text="With out DATs">
      <formula>NOT(ISERROR(SEARCH("With out DATs",C3)))</formula>
    </cfRule>
    <cfRule type="containsText" dxfId="122" priority="71" operator="containsText" text="With DATs">
      <formula>NOT(ISERROR(SEARCH("With DATs",C3)))</formula>
    </cfRule>
    <cfRule type="containsText" dxfId="121" priority="70" operator="containsText" text="Without DATs">
      <formula>NOT(ISERROR(SEARCH("Without DATs",C3)))</formula>
    </cfRule>
    <cfRule type="containsText" dxfId="120" priority="74" operator="containsText" text="AS-IS">
      <formula>NOT(ISERROR(SEARCH("AS-IS",C3)))</formula>
    </cfRule>
  </conditionalFormatting>
  <conditionalFormatting sqref="C14">
    <cfRule type="containsText" dxfId="119" priority="208" operator="containsText" text="TO-BE">
      <formula>NOT(ISERROR(SEARCH("TO-BE",C14)))</formula>
    </cfRule>
    <cfRule type="containsText" dxfId="118" priority="207" operator="containsText" text="With out DATs">
      <formula>NOT(ISERROR(SEARCH("With out DATs",C14)))</formula>
    </cfRule>
    <cfRule type="containsText" dxfId="117" priority="206" operator="containsText" text="With DATs">
      <formula>NOT(ISERROR(SEARCH("With DATs",C14)))</formula>
    </cfRule>
    <cfRule type="containsText" dxfId="116" priority="209" operator="containsText" text="AS-IS">
      <formula>NOT(ISERROR(SEARCH("AS-IS",C14)))</formula>
    </cfRule>
  </conditionalFormatting>
  <conditionalFormatting sqref="C17:C20">
    <cfRule type="containsText" dxfId="115" priority="55" operator="containsText" text="AS-IS">
      <formula>NOT(ISERROR(SEARCH("AS-IS",C17)))</formula>
    </cfRule>
    <cfRule type="containsText" dxfId="114" priority="51" operator="containsText" text="Without DATs">
      <formula>NOT(ISERROR(SEARCH("Without DATs",C17)))</formula>
    </cfRule>
    <cfRule type="containsText" dxfId="113" priority="52" operator="containsText" text="With DATs">
      <formula>NOT(ISERROR(SEARCH("With DATs",C17)))</formula>
    </cfRule>
    <cfRule type="containsText" dxfId="112" priority="53" operator="containsText" text="With out DATs">
      <formula>NOT(ISERROR(SEARCH("With out DATs",C17)))</formula>
    </cfRule>
    <cfRule type="containsText" dxfId="111" priority="54" operator="containsText" text="TO-BE">
      <formula>NOT(ISERROR(SEARCH("TO-BE",C17)))</formula>
    </cfRule>
  </conditionalFormatting>
  <conditionalFormatting sqref="C22:C27">
    <cfRule type="containsText" dxfId="110" priority="50" operator="containsText" text="Without DATs">
      <formula>NOT(ISERROR(SEARCH("Without DATs",C22)))</formula>
    </cfRule>
  </conditionalFormatting>
  <conditionalFormatting sqref="C23:C26 C16:C19">
    <cfRule type="containsText" dxfId="109" priority="66" operator="containsText" text="Without DATs">
      <formula>NOT(ISERROR(SEARCH("Without DATs",C16)))</formula>
    </cfRule>
  </conditionalFormatting>
  <conditionalFormatting sqref="C23:C27">
    <cfRule type="containsText" dxfId="108" priority="57" operator="containsText" text="With DATs">
      <formula>NOT(ISERROR(SEARCH("With DATs",C23)))</formula>
    </cfRule>
    <cfRule type="containsText" dxfId="107" priority="58" operator="containsText" text="With out DATs">
      <formula>NOT(ISERROR(SEARCH("With out DATs",C23)))</formula>
    </cfRule>
    <cfRule type="containsText" dxfId="106" priority="59" operator="containsText" text="TO-BE">
      <formula>NOT(ISERROR(SEARCH("TO-BE",C23)))</formula>
    </cfRule>
    <cfRule type="containsText" dxfId="105" priority="60" operator="containsText" text="AS-IS">
      <formula>NOT(ISERROR(SEARCH("AS-IS",C23)))</formula>
    </cfRule>
  </conditionalFormatting>
  <conditionalFormatting sqref="C30:C50 A29:D29 F29 A63:D63 F63">
    <cfRule type="containsText" dxfId="104" priority="172" operator="containsText" text="Without DATs">
      <formula>NOT(ISERROR(SEARCH("Without DATs",A29)))</formula>
    </cfRule>
  </conditionalFormatting>
  <conditionalFormatting sqref="C59">
    <cfRule type="containsText" dxfId="103" priority="164" operator="containsText" text="Without DATs">
      <formula>NOT(ISERROR(SEARCH("Without DATs",C59)))</formula>
    </cfRule>
  </conditionalFormatting>
  <conditionalFormatting sqref="C64:C68">
    <cfRule type="containsText" dxfId="102" priority="144" operator="containsText" text="Without DATs">
      <formula>NOT(ISERROR(SEARCH("Without DATs",C64)))</formula>
    </cfRule>
    <cfRule type="containsText" dxfId="101" priority="145" operator="containsText" text="With DATs">
      <formula>NOT(ISERROR(SEARCH("With DATs",C64)))</formula>
    </cfRule>
    <cfRule type="containsText" dxfId="100" priority="146" operator="containsText" text="With out DATs">
      <formula>NOT(ISERROR(SEARCH("With out DATs",C64)))</formula>
    </cfRule>
    <cfRule type="containsText" dxfId="99" priority="147" operator="containsText" text="TO-BE">
      <formula>NOT(ISERROR(SEARCH("TO-BE",C64)))</formula>
    </cfRule>
    <cfRule type="containsText" dxfId="98" priority="148" operator="containsText" text="AS-IS">
      <formula>NOT(ISERROR(SEARCH("AS-IS",C64)))</formula>
    </cfRule>
  </conditionalFormatting>
  <conditionalFormatting sqref="C65:C68">
    <cfRule type="containsText" dxfId="97" priority="159" operator="containsText" text="Without DATs">
      <formula>NOT(ISERROR(SEARCH("Without DATs",C65)))</formula>
    </cfRule>
  </conditionalFormatting>
  <conditionalFormatting sqref="D1">
    <cfRule type="containsText" dxfId="96" priority="133" operator="containsText" text="Without DATs">
      <formula>NOT(ISERROR(SEARCH("Without DATs",D1)))</formula>
    </cfRule>
  </conditionalFormatting>
  <conditionalFormatting sqref="D15">
    <cfRule type="containsText" dxfId="95" priority="69" operator="containsText" text="Without DATs">
      <formula>NOT(ISERROR(SEARCH("Without DATs",D15)))</formula>
    </cfRule>
  </conditionalFormatting>
  <conditionalFormatting sqref="D21">
    <cfRule type="containsText" dxfId="94" priority="49" operator="containsText" text="Without DATs">
      <formula>NOT(ISERROR(SEARCH("Without DATs",D21)))</formula>
    </cfRule>
  </conditionalFormatting>
  <conditionalFormatting sqref="D69:D103 D110:D1048576">
    <cfRule type="containsText" dxfId="93" priority="127" operator="containsText" text="Without DATs">
      <formula>NOT(ISERROR(SEARCH("Without DATs",D69)))</formula>
    </cfRule>
  </conditionalFormatting>
  <conditionalFormatting sqref="G3:G13 G30:G60">
    <cfRule type="cellIs" dxfId="92" priority="22" operator="greaterThan">
      <formula>0</formula>
    </cfRule>
    <cfRule type="cellIs" dxfId="91" priority="21" operator="lessThan">
      <formula>0</formula>
    </cfRule>
  </conditionalFormatting>
  <conditionalFormatting sqref="G17:G19">
    <cfRule type="cellIs" dxfId="90" priority="8" operator="greaterThan">
      <formula>0</formula>
    </cfRule>
    <cfRule type="cellIs" dxfId="89" priority="7" operator="lessThan">
      <formula>0</formula>
    </cfRule>
  </conditionalFormatting>
  <conditionalFormatting sqref="G23:G26">
    <cfRule type="cellIs" dxfId="88" priority="6" operator="greaterThan">
      <formula>0</formula>
    </cfRule>
    <cfRule type="cellIs" dxfId="87" priority="5" operator="lessThan">
      <formula>0</formula>
    </cfRule>
  </conditionalFormatting>
  <conditionalFormatting sqref="G64:G71">
    <cfRule type="cellIs" dxfId="86" priority="1" operator="lessThan">
      <formula>0</formula>
    </cfRule>
    <cfRule type="cellIs" dxfId="85" priority="2" operator="greaterThan">
      <formula>0</formula>
    </cfRule>
  </conditionalFormatting>
  <conditionalFormatting sqref="G77:G1048576">
    <cfRule type="cellIs" dxfId="84" priority="20" operator="greaterThan">
      <formula>0</formula>
    </cfRule>
    <cfRule type="cellIs" dxfId="83" priority="19" operator="lessThan">
      <formula>0</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7EAC-2DB7-A944-BCDA-D3C1A0C6AEE9}">
  <sheetPr codeName="F____9"/>
  <dimension ref="A1:M111"/>
  <sheetViews>
    <sheetView zoomScale="55" zoomScaleNormal="55" workbookViewId="0">
      <selection activeCell="E71" sqref="E71"/>
    </sheetView>
  </sheetViews>
  <sheetFormatPr defaultColWidth="11.125" defaultRowHeight="15.75"/>
  <cols>
    <col min="1" max="1" width="21.125" customWidth="1"/>
    <col min="2" max="2" width="31.375" bestFit="1" customWidth="1"/>
    <col min="3" max="3" width="18.5" customWidth="1"/>
    <col min="4" max="4" width="13.375" customWidth="1"/>
    <col min="5" max="5" width="32.375" style="4" customWidth="1"/>
    <col min="6" max="6" width="35.875" bestFit="1" customWidth="1"/>
    <col min="7" max="7" width="58" customWidth="1"/>
    <col min="8" max="8" width="22.5" customWidth="1"/>
    <col min="9" max="10" width="26.875" customWidth="1"/>
    <col min="11" max="11" width="20.875" customWidth="1"/>
    <col min="12" max="12" width="25.125" customWidth="1"/>
    <col min="13" max="13" width="25" style="21" customWidth="1"/>
    <col min="15" max="15" width="22.375" customWidth="1"/>
  </cols>
  <sheetData>
    <row r="1" spans="1:13" s="4" customFormat="1" ht="31.5">
      <c r="A1" s="68" t="s">
        <v>1770</v>
      </c>
      <c r="F1" s="30"/>
      <c r="M1" s="38"/>
    </row>
    <row r="2" spans="1:13" s="4" customFormat="1">
      <c r="A2" s="47" t="s">
        <v>178</v>
      </c>
      <c r="B2" s="47" t="s">
        <v>148</v>
      </c>
      <c r="C2" s="47" t="s">
        <v>149</v>
      </c>
      <c r="D2" s="47" t="s">
        <v>150</v>
      </c>
      <c r="E2" s="47" t="s">
        <v>206</v>
      </c>
      <c r="F2" s="47" t="s">
        <v>205</v>
      </c>
    </row>
    <row r="3" spans="1:13">
      <c r="A3" s="33"/>
      <c r="B3" s="41" t="s">
        <v>331</v>
      </c>
      <c r="C3" s="42" t="s">
        <v>152</v>
      </c>
      <c r="D3" s="43" t="s">
        <v>340</v>
      </c>
      <c r="E3" s="24">
        <f>'Parcel 1 without DATSs'!G240/'Parcel 1 without DATSs'!E10</f>
        <v>1</v>
      </c>
      <c r="F3" s="37" t="s">
        <v>427</v>
      </c>
      <c r="G3" s="39" t="str">
        <f>CONCATENATE("sust kpis no dats","_",$A$1,"_",B3)</f>
        <v>sust kpis no dats_Economic PRODUCTIVITY _Land Productivity</v>
      </c>
      <c r="H3" t="s">
        <v>1774</v>
      </c>
      <c r="M3"/>
    </row>
    <row r="4" spans="1:13" ht="31.5">
      <c r="A4" s="33"/>
      <c r="B4" s="41" t="s">
        <v>431</v>
      </c>
      <c r="C4" s="42" t="s">
        <v>152</v>
      </c>
      <c r="D4" s="43" t="s">
        <v>339</v>
      </c>
      <c r="E4" s="24">
        <f>'Parcel 1 without DATSs'!G240/SUM('Parcel 1 without DATSs'!G184:G208)</f>
        <v>0.04</v>
      </c>
      <c r="F4" s="37" t="s">
        <v>332</v>
      </c>
      <c r="G4" s="39" t="str">
        <f t="shared" ref="G4:G13" si="0">CONCATENATE("sust kpis no dats","_",$A$1,"_",B4)</f>
        <v>sust kpis no dats_Economic PRODUCTIVITY _Labour productivity (arable and horticulture)</v>
      </c>
      <c r="H4" t="s">
        <v>1775</v>
      </c>
      <c r="M4"/>
    </row>
    <row r="5" spans="1:13" ht="31.5">
      <c r="A5" s="33"/>
      <c r="B5" s="41" t="s">
        <v>432</v>
      </c>
      <c r="C5" s="42" t="s">
        <v>152</v>
      </c>
      <c r="D5" s="43" t="s">
        <v>436</v>
      </c>
      <c r="E5" s="24">
        <f>'Parcel 1 without DATSs'!G241/SUM('Parcel 1 without DATSs'!G184:G208)</f>
        <v>0.04</v>
      </c>
      <c r="F5" s="37" t="s">
        <v>332</v>
      </c>
      <c r="G5" s="39" t="str">
        <f t="shared" si="0"/>
        <v>sust kpis no dats_Economic PRODUCTIVITY _Labour productivity (dairy livestock)</v>
      </c>
      <c r="H5" t="s">
        <v>1776</v>
      </c>
      <c r="M5"/>
    </row>
    <row r="6" spans="1:13" ht="31.5">
      <c r="A6" s="33"/>
      <c r="B6" s="41" t="s">
        <v>433</v>
      </c>
      <c r="C6" s="42" t="s">
        <v>152</v>
      </c>
      <c r="D6" s="43" t="s">
        <v>437</v>
      </c>
      <c r="E6" s="24">
        <f>'Parcel 1 without DATSs'!G242/SUM('Parcel 1 without DATSs'!G184:G208)</f>
        <v>0.04</v>
      </c>
      <c r="F6" s="37" t="s">
        <v>332</v>
      </c>
      <c r="G6" s="39" t="str">
        <f t="shared" si="0"/>
        <v>sust kpis no dats_Economic PRODUCTIVITY _Labour productivity  (meat livestock)</v>
      </c>
      <c r="H6" t="s">
        <v>1777</v>
      </c>
      <c r="M6"/>
    </row>
    <row r="7" spans="1:13" ht="31.5">
      <c r="A7" s="33"/>
      <c r="B7" s="41" t="s">
        <v>434</v>
      </c>
      <c r="C7" s="42" t="s">
        <v>152</v>
      </c>
      <c r="D7" s="43" t="s">
        <v>438</v>
      </c>
      <c r="E7" s="24">
        <f>'Parcel 1 without DATSs'!G244/SUM('Parcel 1 without DATSs'!G184:G208)</f>
        <v>0.04</v>
      </c>
      <c r="F7" s="37" t="s">
        <v>332</v>
      </c>
      <c r="G7" s="39" t="str">
        <f t="shared" si="0"/>
        <v>sust kpis no dats_Economic PRODUCTIVITY _Labour productivity  (aquaculture)</v>
      </c>
      <c r="H7" t="s">
        <v>1778</v>
      </c>
      <c r="M7"/>
    </row>
    <row r="8" spans="1:13" ht="31.5">
      <c r="A8" s="33"/>
      <c r="B8" s="41" t="s">
        <v>435</v>
      </c>
      <c r="C8" s="42" t="s">
        <v>152</v>
      </c>
      <c r="D8" s="43" t="s">
        <v>437</v>
      </c>
      <c r="E8" s="24">
        <f>'Parcel 1 without DATSs'!G245/SUM('Parcel 1 without DATSs'!G184:G208)</f>
        <v>0.04</v>
      </c>
      <c r="F8" s="37" t="s">
        <v>332</v>
      </c>
      <c r="G8" s="39" t="str">
        <f t="shared" si="0"/>
        <v>sust kpis no dats_Economic PRODUCTIVITY _Labour productivity  (apiculture)</v>
      </c>
      <c r="H8" t="s">
        <v>1779</v>
      </c>
      <c r="M8"/>
    </row>
    <row r="9" spans="1:13" ht="28.5">
      <c r="A9" s="33"/>
      <c r="B9" s="41" t="s">
        <v>674</v>
      </c>
      <c r="C9" s="42" t="s">
        <v>152</v>
      </c>
      <c r="D9" s="43" t="s">
        <v>675</v>
      </c>
      <c r="E9" s="24">
        <f>'Parcel 1 without DATSs'!G246/SUM('Parcel 1 without DATSs'!G184:G208)</f>
        <v>0.04</v>
      </c>
      <c r="F9" s="37"/>
      <c r="G9" s="39" t="str">
        <f t="shared" si="0"/>
        <v>sust kpis no dats_Economic PRODUCTIVITY _Labour productivity (silos)</v>
      </c>
      <c r="H9" t="s">
        <v>1780</v>
      </c>
      <c r="M9"/>
    </row>
    <row r="10" spans="1:13" ht="31.5">
      <c r="A10" s="33"/>
      <c r="B10" s="41" t="s">
        <v>333</v>
      </c>
      <c r="C10" s="42" t="s">
        <v>152</v>
      </c>
      <c r="D10" s="43" t="s">
        <v>676</v>
      </c>
      <c r="E10" s="24">
        <f>'Parcel 1 without DATSs'!G241/'Parcel 1 without DATSs'!E17/(('General Information'!G10-'General Information'!G9)+1)</f>
        <v>1</v>
      </c>
      <c r="F10" s="37" t="s">
        <v>334</v>
      </c>
      <c r="G10" s="39" t="str">
        <f t="shared" si="0"/>
        <v>sust kpis no dats_Economic PRODUCTIVITY _Milk productivity</v>
      </c>
      <c r="H10" t="s">
        <v>1781</v>
      </c>
      <c r="M10"/>
    </row>
    <row r="11" spans="1:13">
      <c r="A11" s="33"/>
      <c r="B11" s="41" t="s">
        <v>338</v>
      </c>
      <c r="C11" s="42" t="s">
        <v>152</v>
      </c>
      <c r="D11" s="43" t="s">
        <v>426</v>
      </c>
      <c r="E11" s="24">
        <f>'Parcel 1 without DATSs'!G242/'Parcel 1 without DATSs'!E17/('General Information'!G10-'General Information'!G9+1)</f>
        <v>1</v>
      </c>
      <c r="F11" s="37" t="s">
        <v>425</v>
      </c>
      <c r="G11" s="39" t="str">
        <f t="shared" si="0"/>
        <v xml:space="preserve">sust kpis no dats_Economic PRODUCTIVITY _Meat productivity </v>
      </c>
      <c r="H11" t="s">
        <v>1782</v>
      </c>
      <c r="M11"/>
    </row>
    <row r="12" spans="1:13">
      <c r="A12" s="33"/>
      <c r="B12" s="41" t="s">
        <v>335</v>
      </c>
      <c r="C12" s="42" t="s">
        <v>152</v>
      </c>
      <c r="D12" s="43" t="s">
        <v>423</v>
      </c>
      <c r="E12" s="24">
        <f>'Parcel 1 without DATSs'!G245/'Parcel 1 without DATSs'!E19</f>
        <v>1</v>
      </c>
      <c r="F12" s="37" t="s">
        <v>424</v>
      </c>
      <c r="G12" s="39" t="str">
        <f t="shared" si="0"/>
        <v>sust kpis no dats_Economic PRODUCTIVITY _Bees productivity</v>
      </c>
      <c r="H12" t="s">
        <v>1783</v>
      </c>
      <c r="M12"/>
    </row>
    <row r="13" spans="1:13">
      <c r="A13" s="33"/>
      <c r="B13" s="41" t="s">
        <v>336</v>
      </c>
      <c r="C13" s="42" t="s">
        <v>152</v>
      </c>
      <c r="D13" s="43" t="s">
        <v>343</v>
      </c>
      <c r="E13" s="24">
        <f>'Parcel 1 without DATSs'!G244/'Parcel 1 without DATSs'!E20</f>
        <v>1</v>
      </c>
      <c r="F13" s="37" t="s">
        <v>337</v>
      </c>
      <c r="G13" s="39" t="str">
        <f t="shared" si="0"/>
        <v>sust kpis no dats_Economic PRODUCTIVITY _Oyster productivity</v>
      </c>
      <c r="H13" t="s">
        <v>1784</v>
      </c>
      <c r="M13"/>
    </row>
    <row r="14" spans="1:13">
      <c r="A14" s="51"/>
      <c r="B14" s="3"/>
      <c r="C14" s="52"/>
      <c r="D14" s="1"/>
      <c r="E14" s="30"/>
      <c r="H14" t="s">
        <v>1785</v>
      </c>
      <c r="M14"/>
    </row>
    <row r="15" spans="1:13" s="4" customFormat="1">
      <c r="A15" s="68" t="s">
        <v>1771</v>
      </c>
      <c r="F15" s="30"/>
      <c r="H15" t="s">
        <v>1786</v>
      </c>
      <c r="M15" s="38"/>
    </row>
    <row r="16" spans="1:13" s="4" customFormat="1">
      <c r="A16" s="47" t="s">
        <v>178</v>
      </c>
      <c r="B16" s="47" t="s">
        <v>148</v>
      </c>
      <c r="C16" s="47" t="s">
        <v>149</v>
      </c>
      <c r="D16" s="47" t="s">
        <v>150</v>
      </c>
      <c r="E16" s="47" t="s">
        <v>206</v>
      </c>
      <c r="F16" s="47" t="s">
        <v>205</v>
      </c>
      <c r="H16" t="s">
        <v>1787</v>
      </c>
    </row>
    <row r="17" spans="1:13" ht="31.5">
      <c r="A17" s="33"/>
      <c r="B17" s="41" t="s">
        <v>345</v>
      </c>
      <c r="C17" s="42" t="s">
        <v>152</v>
      </c>
      <c r="D17" s="43" t="s">
        <v>114</v>
      </c>
      <c r="E17" s="24">
        <f>('Parcel 1 without DATSs'!G192/SUM('Parcel 1 without DATSs'!G191:G194))*100</f>
        <v>25</v>
      </c>
      <c r="F17" s="37" t="s">
        <v>364</v>
      </c>
      <c r="G17" s="39" t="str">
        <f>CONCATENATE("sust kpis no dats","_",$A$15,"_",B17)</f>
        <v>sust kpis no dats_Economic EFFICIENCY _Rate of time for quality analysis</v>
      </c>
      <c r="H17" t="s">
        <v>1788</v>
      </c>
      <c r="M17"/>
    </row>
    <row r="18" spans="1:13" ht="31.5">
      <c r="A18" s="66"/>
      <c r="B18" s="41" t="s">
        <v>347</v>
      </c>
      <c r="C18" s="42" t="s">
        <v>152</v>
      </c>
      <c r="D18" s="43" t="s">
        <v>114</v>
      </c>
      <c r="E18" s="24">
        <f>('Parcel 1 without DATSs'!G212/'Parcel 1 without DATSs'!G213)*100</f>
        <v>100</v>
      </c>
      <c r="F18" s="37" t="s">
        <v>348</v>
      </c>
      <c r="G18" s="39" t="str">
        <f t="shared" ref="G18:G19" si="1">CONCATENATE("sust kpis no dats","_",$A$15,"_",B18)</f>
        <v>sust kpis no dats_Economic EFFICIENCY _Rate of on-time fulfilled orders</v>
      </c>
      <c r="H18" t="s">
        <v>1789</v>
      </c>
      <c r="M18"/>
    </row>
    <row r="19" spans="1:13" ht="28.5">
      <c r="A19" s="33"/>
      <c r="B19" s="41" t="s">
        <v>349</v>
      </c>
      <c r="C19" s="42" t="s">
        <v>152</v>
      </c>
      <c r="D19" s="43" t="s">
        <v>122</v>
      </c>
      <c r="E19" s="24">
        <f>'Parcel 1 without DATSs'!G214</f>
        <v>1</v>
      </c>
      <c r="F19" s="37" t="s">
        <v>349</v>
      </c>
      <c r="G19" s="39" t="str">
        <f t="shared" si="1"/>
        <v>sust kpis no dats_Economic EFFICIENCY _Number of wrong orders</v>
      </c>
      <c r="H19" t="s">
        <v>1790</v>
      </c>
      <c r="M19"/>
    </row>
    <row r="20" spans="1:13">
      <c r="A20" s="51"/>
      <c r="B20" s="3"/>
      <c r="C20" s="52"/>
      <c r="D20" s="1"/>
      <c r="E20" s="30"/>
      <c r="H20" t="s">
        <v>1791</v>
      </c>
      <c r="M20"/>
    </row>
    <row r="21" spans="1:13" s="4" customFormat="1">
      <c r="A21" s="46" t="s">
        <v>350</v>
      </c>
      <c r="F21" s="30"/>
      <c r="H21" t="s">
        <v>1792</v>
      </c>
      <c r="M21" s="38"/>
    </row>
    <row r="22" spans="1:13" s="4" customFormat="1">
      <c r="A22" s="47" t="s">
        <v>178</v>
      </c>
      <c r="B22" s="47" t="s">
        <v>148</v>
      </c>
      <c r="C22" s="47" t="s">
        <v>149</v>
      </c>
      <c r="D22" s="47" t="s">
        <v>150</v>
      </c>
      <c r="E22" s="47" t="s">
        <v>206</v>
      </c>
      <c r="F22" s="47" t="s">
        <v>205</v>
      </c>
      <c r="H22" t="s">
        <v>1793</v>
      </c>
    </row>
    <row r="23" spans="1:13">
      <c r="A23" s="66"/>
      <c r="B23" s="41" t="s">
        <v>351</v>
      </c>
      <c r="C23" s="42" t="s">
        <v>152</v>
      </c>
      <c r="D23" s="43"/>
      <c r="E23" s="24"/>
      <c r="F23" s="43"/>
      <c r="G23" s="39" t="str">
        <f>CONCATENATE("sust kpis no dats","_",$A$21,"_",B23)</f>
        <v xml:space="preserve">sust kpis no dats_PRODUCT QUALITY  _Intrinsic product quality </v>
      </c>
      <c r="H23" t="s">
        <v>1794</v>
      </c>
      <c r="M23"/>
    </row>
    <row r="24" spans="1:13">
      <c r="A24" s="33"/>
      <c r="B24" s="41" t="s">
        <v>394</v>
      </c>
      <c r="C24" s="42" t="s">
        <v>152</v>
      </c>
      <c r="D24" s="43" t="s">
        <v>114</v>
      </c>
      <c r="E24" s="24">
        <f>'Parcel 1 without DATSs'!G216</f>
        <v>1</v>
      </c>
      <c r="F24" s="37"/>
      <c r="G24" s="39" t="str">
        <f t="shared" ref="G24:G26" si="2">CONCATENATE("sust kpis no dats","_",$A$21,"_",B24)</f>
        <v>sust kpis no dats_PRODUCT QUALITY  _Protein % DRY MATTER</v>
      </c>
      <c r="H24" t="s">
        <v>1795</v>
      </c>
      <c r="M24"/>
    </row>
    <row r="25" spans="1:13">
      <c r="A25" s="33"/>
      <c r="B25" s="41" t="s">
        <v>395</v>
      </c>
      <c r="C25" s="42" t="s">
        <v>152</v>
      </c>
      <c r="D25" s="43" t="s">
        <v>114</v>
      </c>
      <c r="E25" s="24" t="e">
        <f>'Parcel 1 without DATSs'!#REF!</f>
        <v>#REF!</v>
      </c>
      <c r="F25" s="37"/>
      <c r="G25" s="39" t="str">
        <f t="shared" si="2"/>
        <v>sust kpis no dats_PRODUCT QUALITY  _Humidity</v>
      </c>
      <c r="H25" t="s">
        <v>1796</v>
      </c>
      <c r="M25"/>
    </row>
    <row r="26" spans="1:13">
      <c r="A26" s="33"/>
      <c r="B26" s="41" t="s">
        <v>396</v>
      </c>
      <c r="C26" s="42" t="s">
        <v>152</v>
      </c>
      <c r="D26" s="43" t="s">
        <v>397</v>
      </c>
      <c r="E26" s="24" t="e">
        <f>'Parcel 1 without DATSs'!#REF!</f>
        <v>#REF!</v>
      </c>
      <c r="F26" s="37"/>
      <c r="G26" s="39" t="str">
        <f t="shared" si="2"/>
        <v xml:space="preserve">sust kpis no dats_PRODUCT QUALITY  _Test Weight </v>
      </c>
      <c r="H26" t="s">
        <v>1797</v>
      </c>
      <c r="M26"/>
    </row>
    <row r="27" spans="1:13">
      <c r="A27" s="51"/>
      <c r="B27" s="3"/>
      <c r="C27" s="52"/>
      <c r="D27" s="51"/>
      <c r="E27" s="51"/>
      <c r="F27" s="51"/>
      <c r="H27" t="s">
        <v>1798</v>
      </c>
      <c r="M27"/>
    </row>
    <row r="28" spans="1:13" s="24" customFormat="1" ht="30.75" thickBot="1">
      <c r="A28" s="49" t="s">
        <v>366</v>
      </c>
      <c r="H28" t="s">
        <v>1799</v>
      </c>
      <c r="M28" s="48"/>
    </row>
    <row r="29" spans="1:13" s="24" customFormat="1">
      <c r="A29" s="47" t="s">
        <v>241</v>
      </c>
      <c r="B29" s="47" t="s">
        <v>155</v>
      </c>
      <c r="C29" s="47" t="s">
        <v>149</v>
      </c>
      <c r="D29" s="47" t="s">
        <v>150</v>
      </c>
      <c r="E29" s="47" t="s">
        <v>206</v>
      </c>
      <c r="F29" s="47" t="s">
        <v>156</v>
      </c>
      <c r="G29" s="31"/>
      <c r="H29" t="s">
        <v>1800</v>
      </c>
      <c r="I29" s="50"/>
      <c r="J29" s="50"/>
      <c r="K29" s="50"/>
      <c r="L29" s="50"/>
      <c r="M29" s="50"/>
    </row>
    <row r="30" spans="1:13">
      <c r="A30" s="33" t="s">
        <v>191</v>
      </c>
      <c r="B30" s="41" t="s">
        <v>17</v>
      </c>
      <c r="C30" s="42" t="s">
        <v>152</v>
      </c>
      <c r="D30" s="43" t="s">
        <v>157</v>
      </c>
      <c r="E30" s="24">
        <f>'Parcel 1 without DATSs'!G95*'Parcel 1 without DATSs'!G96*('Parcel 1 without DATSs'!G97/100)+'Parcel 1 without DATSs'!G102*'Parcel 1 without DATSs'!G103*('Parcel 1 without DATSs'!G104/100)+'Parcel 1 without DATSs'!G109*'Parcel 1 without DATSs'!G110*('Parcel 1 without DATSs'!G111/100)</f>
        <v>0.03</v>
      </c>
      <c r="F30" s="37" t="s">
        <v>197</v>
      </c>
      <c r="G30" s="39" t="str">
        <f>CONCATENATE("sust kpis no dats","_",$A$28,"_",B30)</f>
        <v>sust kpis no dats_ENVIRONMENTAL KPIs_Nitrogen applied</v>
      </c>
      <c r="H30" t="s">
        <v>1801</v>
      </c>
      <c r="M30"/>
    </row>
    <row r="31" spans="1:13" ht="31.5">
      <c r="A31" s="33" t="s">
        <v>191</v>
      </c>
      <c r="B31" s="41" t="s">
        <v>18</v>
      </c>
      <c r="C31" s="42" t="s">
        <v>152</v>
      </c>
      <c r="D31" s="43" t="s">
        <v>114</v>
      </c>
      <c r="E31" s="24">
        <f>(('Parcel 1 without DATSs'!G240*1000/'Parcel 1 without DATSs'!E10)*'sust. impact KPIs NO DATS'!C101)/E30*100</f>
        <v>2333.333333333333</v>
      </c>
      <c r="F31" s="37" t="s">
        <v>196</v>
      </c>
      <c r="G31" s="39" t="str">
        <f t="shared" ref="G31:G59" si="3">CONCATENATE("sust kpis no dats","_",$A$28,"_",B31)</f>
        <v>sust kpis no dats_ENVIRONMENTAL KPIs_Nitrogen use efficiency</v>
      </c>
      <c r="H31" t="s">
        <v>1802</v>
      </c>
      <c r="M31"/>
    </row>
    <row r="32" spans="1:13">
      <c r="A32" s="33" t="s">
        <v>191</v>
      </c>
      <c r="B32" s="41" t="s">
        <v>19</v>
      </c>
      <c r="C32" s="42" t="s">
        <v>152</v>
      </c>
      <c r="D32" s="43" t="s">
        <v>157</v>
      </c>
      <c r="E32" s="24">
        <f>'Parcel 1 without DATSs'!G95*'Parcel 1 without DATSs'!G96*('Parcel 1 without DATSs'!G98/100)+'Parcel 1 without DATSs'!G102*'Parcel 1 without DATSs'!G103*('Parcel 1 without DATSs'!G105/100)+'Parcel 1 without DATSs'!G109*'Parcel 1 without DATSs'!G110*('Parcel 1 without DATSs'!G112/100)</f>
        <v>0.03</v>
      </c>
      <c r="F32" s="37" t="s">
        <v>198</v>
      </c>
      <c r="G32" s="39" t="str">
        <f t="shared" si="3"/>
        <v>sust kpis no dats_ENVIRONMENTAL KPIs_Phosphorus applied</v>
      </c>
      <c r="H32" t="s">
        <v>1803</v>
      </c>
      <c r="M32"/>
    </row>
    <row r="33" spans="1:13" ht="31.5">
      <c r="A33" s="33" t="s">
        <v>191</v>
      </c>
      <c r="B33" s="41" t="s">
        <v>20</v>
      </c>
      <c r="C33" s="42" t="s">
        <v>152</v>
      </c>
      <c r="D33" s="43" t="s">
        <v>114</v>
      </c>
      <c r="E33" s="24">
        <f>(('Parcel 1 without DATSs'!G240*1000/'Parcel 1 without DATSs'!E10)*'sust. impact KPIs NO DATS'!C102)/E32*100</f>
        <v>733.33333333333337</v>
      </c>
      <c r="F33" s="37" t="s">
        <v>199</v>
      </c>
      <c r="G33" s="39" t="str">
        <f t="shared" si="3"/>
        <v>sust kpis no dats_ENVIRONMENTAL KPIs_Phosphorus use efficiency</v>
      </c>
      <c r="H33" t="s">
        <v>1804</v>
      </c>
      <c r="M33"/>
    </row>
    <row r="34" spans="1:13">
      <c r="A34" s="33" t="s">
        <v>191</v>
      </c>
      <c r="B34" s="41" t="s">
        <v>322</v>
      </c>
      <c r="C34" s="42" t="s">
        <v>152</v>
      </c>
      <c r="D34" s="43" t="s">
        <v>114</v>
      </c>
      <c r="E34" s="24">
        <f>'Parcel 1 without DATSs'!G95*'Parcel 1 without DATSs'!G96*('Parcel 1 without DATSs'!G99/100)+'Parcel 1 without DATSs'!G102*'Parcel 1 without DATSs'!G103*('Parcel 1 without DATSs'!G106/100)+'Parcel 1 without DATSs'!G109*'Parcel 1 without DATSs'!G110*('Parcel 1 without DATSs'!G113/100)</f>
        <v>0.03</v>
      </c>
      <c r="F34" s="37" t="s">
        <v>310</v>
      </c>
      <c r="G34" s="39" t="str">
        <f t="shared" si="3"/>
        <v>sust kpis no dats_ENVIRONMENTAL KPIs_Potassium applied</v>
      </c>
      <c r="H34" t="s">
        <v>1805</v>
      </c>
      <c r="M34"/>
    </row>
    <row r="35" spans="1:13" ht="31.5">
      <c r="A35" s="33" t="s">
        <v>191</v>
      </c>
      <c r="B35" s="41" t="s">
        <v>309</v>
      </c>
      <c r="C35" s="42" t="s">
        <v>152</v>
      </c>
      <c r="D35" s="43" t="s">
        <v>114</v>
      </c>
      <c r="E35" s="24">
        <f>(('Parcel 1 without DATSs'!G240*1000/'Parcel 1 without DATSs'!E10)*'sust. impact KPIs NO DATS'!C103)/E34*100</f>
        <v>6000.0000000000009</v>
      </c>
      <c r="F35" s="37" t="s">
        <v>311</v>
      </c>
      <c r="G35" s="39" t="str">
        <f t="shared" si="3"/>
        <v>sust kpis no dats_ENVIRONMENTAL KPIs_Potassium use efficiency</v>
      </c>
      <c r="H35" t="s">
        <v>1806</v>
      </c>
      <c r="M35"/>
    </row>
    <row r="36" spans="1:13" ht="31.5">
      <c r="A36" s="33" t="s">
        <v>189</v>
      </c>
      <c r="B36" s="41" t="s">
        <v>428</v>
      </c>
      <c r="C36" s="42" t="s">
        <v>152</v>
      </c>
      <c r="D36" s="43" t="s">
        <v>157</v>
      </c>
      <c r="E36" s="24">
        <f>('Parcel 1 without DATSs'!G73*'Parcel 1 without DATSs'!G74)+('Parcel 1 without DATSs'!G76*'Parcel 1 without DATSs'!G77)+('Parcel 1 without DATSs'!G79*'Parcel 1 without DATSs'!G80)</f>
        <v>3</v>
      </c>
      <c r="F36" s="37" t="s">
        <v>325</v>
      </c>
      <c r="G36" s="39" t="str">
        <f t="shared" si="3"/>
        <v>sust kpis no dats_ENVIRONMENTAL KPIs_Pesticides, herbicides and fungicides use</v>
      </c>
      <c r="H36" t="s">
        <v>1807</v>
      </c>
      <c r="M36"/>
    </row>
    <row r="37" spans="1:13" ht="28.5">
      <c r="A37" s="33" t="s">
        <v>0</v>
      </c>
      <c r="B37" s="41" t="s">
        <v>305</v>
      </c>
      <c r="C37" s="42" t="s">
        <v>152</v>
      </c>
      <c r="D37" s="43" t="s">
        <v>681</v>
      </c>
      <c r="E37" s="24">
        <f>'Parcel 1 without DATSs'!G29/'Parcel 1 without DATSs'!E10</f>
        <v>1</v>
      </c>
      <c r="F37" s="37" t="s">
        <v>200</v>
      </c>
      <c r="G37" s="39" t="str">
        <f t="shared" si="3"/>
        <v xml:space="preserve">sust kpis no dats_ENVIRONMENTAL KPIs_Arable and horticulture water consumption </v>
      </c>
      <c r="H37" t="s">
        <v>1808</v>
      </c>
      <c r="M37"/>
    </row>
    <row r="38" spans="1:13" ht="28.5">
      <c r="A38" s="33" t="s">
        <v>0</v>
      </c>
      <c r="B38" s="41" t="s">
        <v>429</v>
      </c>
      <c r="C38" s="42" t="s">
        <v>152</v>
      </c>
      <c r="D38" s="43" t="s">
        <v>430</v>
      </c>
      <c r="E38" s="24" t="e">
        <f>'Parcel 1 without DATSs'!#REF!/'Parcel 1 without DATSs'!#REF!</f>
        <v>#REF!</v>
      </c>
      <c r="F38" s="37" t="s">
        <v>307</v>
      </c>
      <c r="G38" s="39" t="str">
        <f t="shared" si="3"/>
        <v xml:space="preserve">sust kpis no dats_ENVIRONMENTAL KPIs_Aquaculture water productivity </v>
      </c>
      <c r="H38" t="s">
        <v>1809</v>
      </c>
      <c r="M38"/>
    </row>
    <row r="39" spans="1:13" ht="28.5">
      <c r="A39" s="33" t="s">
        <v>0</v>
      </c>
      <c r="B39" s="41" t="s">
        <v>21</v>
      </c>
      <c r="C39" s="42" t="s">
        <v>152</v>
      </c>
      <c r="D39" s="43" t="s">
        <v>462</v>
      </c>
      <c r="E39" s="24">
        <f>(('Parcel 1 without DATSs'!G240)*1000)/(IF(('Parcel 1 without DATSs'!G24+'Parcel 1 without DATSs'!G25)&gt;0,('Parcel 1 without DATSs'!G24+'Parcel 1 without DATSs'!G25),'Parcel 1 without DATSs'!G29))</f>
        <v>500</v>
      </c>
      <c r="F39" s="37" t="s">
        <v>201</v>
      </c>
      <c r="G39" s="39" t="str">
        <f t="shared" si="3"/>
        <v>sust kpis no dats_ENVIRONMENTAL KPIs_Irrigation water productivity</v>
      </c>
      <c r="H39" t="s">
        <v>1810</v>
      </c>
      <c r="M39"/>
    </row>
    <row r="40" spans="1:13">
      <c r="A40" s="33" t="s">
        <v>180</v>
      </c>
      <c r="B40" s="41" t="s">
        <v>22</v>
      </c>
      <c r="C40" s="42" t="s">
        <v>152</v>
      </c>
      <c r="D40" s="43" t="s">
        <v>158</v>
      </c>
      <c r="E40" s="24">
        <f>'Parcel 1 without DATSs'!G68/(IF('General Information'!G6="crop",'Parcel 1 without DATSs'!E10,IF('General Information'!G6="milk",'Parcel 1 without DATSs'!G241,IF('General Information'!G6="meat",'Parcel 1 without DATSs'!G242,IF('General Information'!G6="animal",'Parcel 1 without DATSs'!G243,IF('General Information'!G6="oyster",'Parcel 1 without DATSs'!G244,IF('General Information'!G6="honey",'Parcel 1 without DATSs'!G245,'Parcel 1 without DATSs'!G246)))))))</f>
        <v>1</v>
      </c>
      <c r="F40" s="37" t="s">
        <v>202</v>
      </c>
      <c r="G40" s="39" t="str">
        <f t="shared" si="3"/>
        <v>sust kpis no dats_ENVIRONMENTAL KPIs_Electricity consumption</v>
      </c>
      <c r="H40" t="s">
        <v>1811</v>
      </c>
      <c r="M40"/>
    </row>
    <row r="41" spans="1:13" s="22" customFormat="1" ht="31.5">
      <c r="A41" s="33" t="s">
        <v>371</v>
      </c>
      <c r="B41" s="41" t="s">
        <v>39</v>
      </c>
      <c r="C41" s="42" t="s">
        <v>152</v>
      </c>
      <c r="D41" s="43" t="s">
        <v>173</v>
      </c>
      <c r="E41" s="24">
        <f>'Parcel 1 without DATSs'!G225/'Parcel 1 without DATSs'!G226</f>
        <v>1</v>
      </c>
      <c r="F41" s="37" t="s">
        <v>139</v>
      </c>
      <c r="G41" s="39" t="str">
        <f t="shared" si="3"/>
        <v xml:space="preserve">sust kpis no dats_ENVIRONMENTAL KPIs_Ease of movement </v>
      </c>
      <c r="H41" t="s">
        <v>1812</v>
      </c>
      <c r="J41" s="30"/>
      <c r="K41" s="3"/>
      <c r="M41" s="3"/>
    </row>
    <row r="42" spans="1:13" s="22" customFormat="1" ht="31.5">
      <c r="A42" s="33" t="s">
        <v>371</v>
      </c>
      <c r="B42" s="41" t="s">
        <v>444</v>
      </c>
      <c r="C42" s="42" t="s">
        <v>152</v>
      </c>
      <c r="D42" s="43" t="s">
        <v>114</v>
      </c>
      <c r="E42" s="24">
        <f>'Parcel 1 without DATSs'!G222/'Parcel 1 without DATSs'!E17*100</f>
        <v>100</v>
      </c>
      <c r="F42" s="37" t="s">
        <v>174</v>
      </c>
      <c r="G42" s="39" t="str">
        <f t="shared" si="3"/>
        <v xml:space="preserve">sust kpis no dats_ENVIRONMENTAL KPIs_Mortality rate (livestock) </v>
      </c>
      <c r="H42" t="s">
        <v>1813</v>
      </c>
      <c r="J42" s="30"/>
      <c r="K42" s="3"/>
      <c r="M42" s="3"/>
    </row>
    <row r="43" spans="1:13" s="22" customFormat="1" ht="31.5">
      <c r="A43" s="33" t="s">
        <v>371</v>
      </c>
      <c r="B43" s="41" t="s">
        <v>441</v>
      </c>
      <c r="C43" s="42" t="s">
        <v>152</v>
      </c>
      <c r="D43" s="43" t="s">
        <v>114</v>
      </c>
      <c r="E43" s="24">
        <f>'Parcel 1 without DATSs'!G222/'Parcel 1 without DATSs'!E20</f>
        <v>1</v>
      </c>
      <c r="F43" s="37" t="s">
        <v>443</v>
      </c>
      <c r="G43" s="39" t="str">
        <f t="shared" si="3"/>
        <v>sust kpis no dats_ENVIRONMENTAL KPIs_Mortality rate (aquaculture)</v>
      </c>
      <c r="H43" t="s">
        <v>1814</v>
      </c>
      <c r="J43" s="30"/>
      <c r="K43" s="3"/>
      <c r="M43" s="3"/>
    </row>
    <row r="44" spans="1:13" s="22" customFormat="1" ht="31.5">
      <c r="A44" s="33" t="s">
        <v>371</v>
      </c>
      <c r="B44" s="41" t="s">
        <v>442</v>
      </c>
      <c r="C44" s="42" t="s">
        <v>152</v>
      </c>
      <c r="D44" s="43" t="s">
        <v>114</v>
      </c>
      <c r="E44" s="24">
        <f>'Parcel 1 without DATSs'!G222/'Parcel 1 without DATSs'!E19*100</f>
        <v>100</v>
      </c>
      <c r="F44" s="37" t="s">
        <v>443</v>
      </c>
      <c r="G44" s="39" t="str">
        <f t="shared" si="3"/>
        <v>sust kpis no dats_ENVIRONMENTAL KPIs_Mortality rate (apiculture)</v>
      </c>
      <c r="H44" t="s">
        <v>1815</v>
      </c>
      <c r="J44" s="30"/>
      <c r="K44" s="3"/>
      <c r="M44" s="3"/>
    </row>
    <row r="45" spans="1:13" s="22" customFormat="1" ht="31.5">
      <c r="A45" s="33" t="s">
        <v>371</v>
      </c>
      <c r="B45" s="41" t="s">
        <v>40</v>
      </c>
      <c r="C45" s="42" t="s">
        <v>152</v>
      </c>
      <c r="D45" s="43" t="s">
        <v>114</v>
      </c>
      <c r="E45" s="24">
        <f>'Parcel 1 without DATSs'!G223/'Parcel 1 without DATSs'!G224</f>
        <v>1</v>
      </c>
      <c r="F45" s="37" t="s">
        <v>175</v>
      </c>
      <c r="G45" s="39" t="str">
        <f t="shared" si="3"/>
        <v>sust kpis no dats_ENVIRONMENTAL KPIs_Mortality rate at birth</v>
      </c>
      <c r="H45" t="s">
        <v>1816</v>
      </c>
      <c r="J45" s="30"/>
      <c r="K45" s="3"/>
      <c r="M45" s="3"/>
    </row>
    <row r="46" spans="1:13" s="22" customFormat="1" ht="31.5">
      <c r="A46" s="33" t="s">
        <v>371</v>
      </c>
      <c r="B46" s="41" t="s">
        <v>352</v>
      </c>
      <c r="C46" s="42" t="s">
        <v>152</v>
      </c>
      <c r="D46" s="43" t="s">
        <v>114</v>
      </c>
      <c r="E46" s="24">
        <f>'Parcel 1 without DATSs'!G227/'Parcel 1 without DATSs'!E17</f>
        <v>1</v>
      </c>
      <c r="F46" s="37" t="s">
        <v>353</v>
      </c>
      <c r="G46" s="39" t="str">
        <f t="shared" si="3"/>
        <v>sust kpis no dats_ENVIRONMENTAL KPIs_Cows with high SCC</v>
      </c>
      <c r="H46" t="s">
        <v>1817</v>
      </c>
      <c r="J46" s="30"/>
      <c r="K46" s="3"/>
      <c r="M46" s="3"/>
    </row>
    <row r="47" spans="1:13" s="22" customFormat="1" ht="28.5">
      <c r="A47" s="33" t="s">
        <v>12</v>
      </c>
      <c r="B47" s="41" t="s">
        <v>303</v>
      </c>
      <c r="C47" s="42" t="s">
        <v>152</v>
      </c>
      <c r="D47" s="43" t="s">
        <v>293</v>
      </c>
      <c r="E47" s="24">
        <f>('Parcel 1 without DATSs'!G162+'Parcel 1 without DATSs'!G164+'Parcel 1 without DATSs'!G166)/'Parcel 1 without DATSs'!E17</f>
        <v>3</v>
      </c>
      <c r="F47" s="37" t="s">
        <v>292</v>
      </c>
      <c r="G47" s="39" t="str">
        <f t="shared" si="3"/>
        <v xml:space="preserve">sust kpis no dats_ENVIRONMENTAL KPIs_Drugs use in dairy livestock </v>
      </c>
      <c r="H47" t="s">
        <v>1818</v>
      </c>
      <c r="J47" s="30"/>
      <c r="K47" s="3"/>
      <c r="M47" s="3"/>
    </row>
    <row r="48" spans="1:13" s="22" customFormat="1" ht="28.5">
      <c r="A48" s="33" t="s">
        <v>12</v>
      </c>
      <c r="B48" s="41" t="s">
        <v>304</v>
      </c>
      <c r="C48" s="42" t="s">
        <v>152</v>
      </c>
      <c r="D48" s="43" t="s">
        <v>176</v>
      </c>
      <c r="E48" s="24">
        <f>('Parcel 1 without DATSs'!G162+'Parcel 1 without DATSs'!G164+'Parcel 1 without DATSs'!G166)/'Parcel 1 without DATSs'!E17</f>
        <v>3</v>
      </c>
      <c r="F48" s="37" t="s">
        <v>292</v>
      </c>
      <c r="G48" s="39" t="str">
        <f t="shared" si="3"/>
        <v xml:space="preserve">sust kpis no dats_ENVIRONMENTAL KPIs_Drugs use in meat livestock   </v>
      </c>
      <c r="H48" t="s">
        <v>1819</v>
      </c>
      <c r="J48" s="30"/>
      <c r="K48" s="3"/>
      <c r="M48" s="3"/>
    </row>
    <row r="49" spans="1:13" s="22" customFormat="1" ht="28.5">
      <c r="A49" s="33" t="s">
        <v>12</v>
      </c>
      <c r="B49" s="41" t="s">
        <v>291</v>
      </c>
      <c r="C49" s="42" t="s">
        <v>152</v>
      </c>
      <c r="D49" s="43" t="s">
        <v>176</v>
      </c>
      <c r="E49" s="24">
        <f>('Parcel 1 without DATSs'!G162+'Parcel 1 without DATSs'!G164+'Parcel 1 without DATSs'!G166)/'Parcel 1 without DATSs'!E20</f>
        <v>3</v>
      </c>
      <c r="F49" s="37" t="s">
        <v>292</v>
      </c>
      <c r="G49" s="39" t="str">
        <f t="shared" si="3"/>
        <v xml:space="preserve">sust kpis no dats_ENVIRONMENTAL KPIs_Drugs use in aquaculture </v>
      </c>
      <c r="H49" t="s">
        <v>1820</v>
      </c>
      <c r="J49" s="30"/>
      <c r="K49" s="3"/>
      <c r="M49" s="3"/>
    </row>
    <row r="50" spans="1:13" s="22" customFormat="1">
      <c r="A50" s="33" t="s">
        <v>12</v>
      </c>
      <c r="B50" s="41" t="s">
        <v>290</v>
      </c>
      <c r="C50" s="42" t="s">
        <v>152</v>
      </c>
      <c r="D50" s="43" t="s">
        <v>176</v>
      </c>
      <c r="E50" s="24">
        <f>('Parcel 1 without DATSs'!G162+'Parcel 1 without DATSs'!G164+'Parcel 1 without DATSs'!G166)/'Parcel 1 without DATSs'!E19</f>
        <v>3</v>
      </c>
      <c r="F50" s="37" t="s">
        <v>292</v>
      </c>
      <c r="G50" s="39" t="str">
        <f t="shared" si="3"/>
        <v xml:space="preserve">sust kpis no dats_ENVIRONMENTAL KPIs_Drugs use in apiculture </v>
      </c>
      <c r="H50" t="s">
        <v>1821</v>
      </c>
      <c r="J50" s="30"/>
      <c r="K50" s="3"/>
      <c r="M50" s="3"/>
    </row>
    <row r="51" spans="1:13" ht="31.5">
      <c r="A51" s="33" t="s">
        <v>179</v>
      </c>
      <c r="B51" s="41" t="s">
        <v>23</v>
      </c>
      <c r="C51" s="42" t="s">
        <v>152</v>
      </c>
      <c r="D51" s="43" t="s">
        <v>159</v>
      </c>
      <c r="E51" s="24">
        <f>('Parcel 1 without DATSs'!G43*'sust. impact KPIs NO DATS'!C97*'sust. impact KPIs NO DATS'!C98)/'Parcel 1 without DATSs'!E10</f>
        <v>2.6601900000000001</v>
      </c>
      <c r="F51" s="37" t="s">
        <v>203</v>
      </c>
      <c r="G51" s="39" t="str">
        <f t="shared" si="3"/>
        <v xml:space="preserve">sust kpis no dats_ENVIRONMENTAL KPIs_Fuel GHG emission </v>
      </c>
      <c r="H51" t="s">
        <v>1822</v>
      </c>
      <c r="M51"/>
    </row>
    <row r="52" spans="1:13" ht="28.5">
      <c r="A52" s="33" t="s">
        <v>179</v>
      </c>
      <c r="B52" s="41" t="s">
        <v>326</v>
      </c>
      <c r="C52" s="42" t="s">
        <v>152</v>
      </c>
      <c r="D52" s="43" t="s">
        <v>242</v>
      </c>
      <c r="E52" s="24">
        <f>'Parcel 1 without DATSs'!G43/'Parcel 1 without DATSs'!E10</f>
        <v>1</v>
      </c>
      <c r="F52" s="37" t="s">
        <v>355</v>
      </c>
      <c r="G52" s="39" t="str">
        <f t="shared" si="3"/>
        <v xml:space="preserve">sust kpis no dats_ENVIRONMENTAL KPIs_Arable and horticulture fuel consumption </v>
      </c>
      <c r="H52" t="s">
        <v>1823</v>
      </c>
      <c r="M52"/>
    </row>
    <row r="53" spans="1:13" ht="31.5">
      <c r="A53" s="33" t="s">
        <v>179</v>
      </c>
      <c r="B53" s="41" t="s">
        <v>327</v>
      </c>
      <c r="C53" s="42" t="s">
        <v>152</v>
      </c>
      <c r="D53" s="43" t="s">
        <v>363</v>
      </c>
      <c r="E53" s="24">
        <f>'Parcel 1 without DATSs'!G43/'Parcel 1 without DATSs'!E17</f>
        <v>1</v>
      </c>
      <c r="F53" s="37" t="s">
        <v>362</v>
      </c>
      <c r="G53" s="39" t="str">
        <f t="shared" si="3"/>
        <v xml:space="preserve">sust kpis no dats_ENVIRONMENTAL KPIs_Livestock fuel consumption </v>
      </c>
      <c r="H53" t="s">
        <v>1824</v>
      </c>
      <c r="M53"/>
    </row>
    <row r="54" spans="1:13" ht="31.5">
      <c r="A54" s="33" t="s">
        <v>179</v>
      </c>
      <c r="B54" s="41" t="s">
        <v>328</v>
      </c>
      <c r="C54" s="42" t="s">
        <v>152</v>
      </c>
      <c r="D54" s="43" t="s">
        <v>358</v>
      </c>
      <c r="E54" s="24">
        <f>'Parcel 1 without DATSs'!G43/'Parcel 1 without DATSs'!E20</f>
        <v>1</v>
      </c>
      <c r="F54" s="37" t="s">
        <v>357</v>
      </c>
      <c r="G54" s="39" t="str">
        <f t="shared" si="3"/>
        <v xml:space="preserve">sust kpis no dats_ENVIRONMENTAL KPIs_Aquaculture fuel consumption </v>
      </c>
      <c r="H54" t="s">
        <v>1825</v>
      </c>
      <c r="M54"/>
    </row>
    <row r="55" spans="1:13" ht="31.5">
      <c r="A55" s="33" t="s">
        <v>179</v>
      </c>
      <c r="B55" s="41" t="s">
        <v>329</v>
      </c>
      <c r="C55" s="42" t="s">
        <v>152</v>
      </c>
      <c r="D55" s="43" t="s">
        <v>360</v>
      </c>
      <c r="E55" s="24">
        <f>'Parcel 1 without DATSs'!G43/'Parcel 1 without DATSs'!E19</f>
        <v>1</v>
      </c>
      <c r="F55" s="37" t="s">
        <v>361</v>
      </c>
      <c r="G55" s="39" t="str">
        <f t="shared" si="3"/>
        <v xml:space="preserve">sust kpis no dats_ENVIRONMENTAL KPIs_Apiculture fuel consumption </v>
      </c>
      <c r="H55" t="s">
        <v>1826</v>
      </c>
      <c r="M55"/>
    </row>
    <row r="56" spans="1:13" s="22" customFormat="1" ht="31.5">
      <c r="B56" s="26" t="s">
        <v>161</v>
      </c>
      <c r="C56" s="3"/>
      <c r="D56" s="26" t="s">
        <v>161</v>
      </c>
      <c r="E56" s="22">
        <f>E30*C80</f>
        <v>2.9999999999999997E-4</v>
      </c>
      <c r="F56" s="37" t="s">
        <v>448</v>
      </c>
      <c r="G56" s="39" t="str">
        <f>CONCATENATE("sust kpis no dats","_",$A$28,"_",B56)</f>
        <v>sust kpis no dats_ENVIRONMENTAL KPIs_direct</v>
      </c>
      <c r="H56" t="s">
        <v>1827</v>
      </c>
      <c r="I56" s="3"/>
      <c r="J56" s="3"/>
      <c r="L56" s="3"/>
      <c r="M56" s="3"/>
    </row>
    <row r="57" spans="1:13" s="22" customFormat="1" ht="63">
      <c r="B57" s="26" t="s">
        <v>162</v>
      </c>
      <c r="C57" s="3"/>
      <c r="D57" s="26" t="s">
        <v>162</v>
      </c>
      <c r="E57" s="22">
        <f>(((IF('Parcel 1 without DATSs'!G94="Mineral",'Parcel 1 without DATSs'!G95*'Parcel 1 without DATSs'!G96*'Parcel 1 without DATSs'!G97/100,0))+(IF('Parcel 1 without DATSs'!G101="Mineral",'Parcel 1 without DATSs'!G102*'Parcel 1 without DATSs'!G103*'Parcel 1 without DATSs'!G104/100,0))+(IF('Parcel 1 without DATSs'!G108="Mineral",'Parcel 1 without DATSs'!G109*'Parcel 1 without DATSs'!G110*'Parcel 1 without DATSs'!G111/100,0)))*'sust. impact KPIs DATS'!C88 + ((IF('Parcel 1 without DATSs'!G94="Organic",'Parcel 1 without DATSs'!G95*'Parcel 1 without DATSs'!G96*'Parcel 1 without DATSs'!G97/100,0))+(IF('Parcel 1 without DATSs'!G101="Organic",'Parcel 1 without DATSs'!G102*'Parcel 1 without DATSs'!G103*'Parcel 1 without DATSs'!G104/100,0))+(IF('Parcel 1 without DATSs'!G108="Organic",'Parcel 1 without DATSs'!G109*'Parcel 1 without DATSs'!G110*'Parcel 1 without DATSs'!G111/100,0)))*'sust. impact KPIs DATS'!C89)*'sust. impact KPIs DATS'!C85</f>
        <v>0</v>
      </c>
      <c r="F57" s="37" t="s">
        <v>447</v>
      </c>
      <c r="G57" s="39" t="str">
        <f>CONCATENATE("sust kpis no dats","_",$A$28,"_",B57)</f>
        <v>sust kpis no dats_ENVIRONMENTAL KPIs_indirect volatilisation</v>
      </c>
      <c r="H57" t="s">
        <v>1828</v>
      </c>
      <c r="I57" s="3"/>
      <c r="J57" s="3"/>
      <c r="L57" s="3"/>
      <c r="M57" s="3"/>
    </row>
    <row r="58" spans="1:13" s="22" customFormat="1" ht="47.25">
      <c r="B58" s="26" t="s">
        <v>445</v>
      </c>
      <c r="C58" s="3"/>
      <c r="D58" s="26" t="s">
        <v>445</v>
      </c>
      <c r="E58" s="22">
        <f>E30*C90*C92</f>
        <v>7.9199999999999987E-5</v>
      </c>
      <c r="F58" s="37" t="s">
        <v>446</v>
      </c>
      <c r="G58" s="39" t="str">
        <f>CONCATENATE("sust kpis no dats","_",$A$28,"_",B58)</f>
        <v>sust kpis no dats_ENVIRONMENTAL KPIs_indirect leaching/runoff</v>
      </c>
      <c r="H58" t="s">
        <v>1829</v>
      </c>
      <c r="I58" s="3"/>
      <c r="J58" s="3"/>
      <c r="L58" s="3"/>
      <c r="M58" s="3"/>
    </row>
    <row r="59" spans="1:13" s="22" customFormat="1">
      <c r="A59" s="33" t="s">
        <v>191</v>
      </c>
      <c r="B59" s="41" t="s">
        <v>24</v>
      </c>
      <c r="C59" s="42" t="s">
        <v>152</v>
      </c>
      <c r="D59" s="40" t="s">
        <v>159</v>
      </c>
      <c r="E59" s="24">
        <f>(E56+E57+E58)*C93*C94</f>
        <v>0.16267679999999998</v>
      </c>
      <c r="F59" s="37" t="s">
        <v>160</v>
      </c>
      <c r="G59" s="39" t="str">
        <f t="shared" si="3"/>
        <v xml:space="preserve">sust kpis no dats_ENVIRONMENTAL KPIs_N2O GHG emission </v>
      </c>
      <c r="H59" t="s">
        <v>1830</v>
      </c>
      <c r="M59" s="3"/>
    </row>
    <row r="60" spans="1:13" s="22" customFormat="1">
      <c r="B60" s="10" t="s">
        <v>1768</v>
      </c>
      <c r="C60" s="3"/>
      <c r="E60" s="24">
        <f>((305-E59)/E59)*100</f>
        <v>187388.32039971283</v>
      </c>
      <c r="F60" s="3"/>
      <c r="G60" s="39" t="str">
        <f>CONCATENATE("sust kpis no dats","_",$A$28,"_",B60)</f>
        <v>sust kpis no dats_ENVIRONMENTAL KPIs_Total</v>
      </c>
      <c r="H60" t="s">
        <v>1831</v>
      </c>
      <c r="I60" s="3"/>
      <c r="J60" s="3"/>
      <c r="L60" s="3"/>
      <c r="M60" s="3"/>
    </row>
    <row r="61" spans="1:13" s="22" customFormat="1">
      <c r="B61" s="10"/>
      <c r="C61" s="3"/>
      <c r="D61" s="23"/>
      <c r="E61" s="53"/>
      <c r="F61" s="3"/>
      <c r="G61" s="3"/>
      <c r="H61" t="s">
        <v>1832</v>
      </c>
      <c r="I61" s="3"/>
      <c r="J61" s="3"/>
      <c r="L61" s="3"/>
      <c r="M61" s="3"/>
    </row>
    <row r="62" spans="1:13" ht="16.5" thickBot="1">
      <c r="A62" s="27" t="s">
        <v>367</v>
      </c>
      <c r="B62" s="22"/>
      <c r="C62" s="22"/>
      <c r="D62" s="22"/>
      <c r="F62" s="22"/>
      <c r="G62" s="22"/>
      <c r="H62" t="s">
        <v>1833</v>
      </c>
      <c r="I62" s="22"/>
      <c r="J62" s="22"/>
      <c r="K62" s="3"/>
      <c r="L62" s="22"/>
      <c r="M62" s="23"/>
    </row>
    <row r="63" spans="1:13">
      <c r="A63" s="47"/>
      <c r="B63" s="47" t="s">
        <v>155</v>
      </c>
      <c r="C63" s="47" t="s">
        <v>149</v>
      </c>
      <c r="D63" s="47" t="s">
        <v>150</v>
      </c>
      <c r="E63" s="47" t="s">
        <v>206</v>
      </c>
      <c r="F63" s="47" t="s">
        <v>156</v>
      </c>
      <c r="G63" s="29"/>
      <c r="H63" t="s">
        <v>1834</v>
      </c>
      <c r="I63" s="29"/>
      <c r="J63" s="29"/>
      <c r="K63" s="29"/>
      <c r="M63"/>
    </row>
    <row r="64" spans="1:13" ht="31.5">
      <c r="A64" s="40"/>
      <c r="B64" s="41" t="s">
        <v>25</v>
      </c>
      <c r="C64" s="28" t="s">
        <v>169</v>
      </c>
      <c r="D64" s="43" t="s">
        <v>170</v>
      </c>
      <c r="E64" s="24">
        <v>0</v>
      </c>
      <c r="F64" s="37" t="s">
        <v>171</v>
      </c>
      <c r="G64" s="39" t="str">
        <f>CONCATENATE("sust kpis dats","_",$A$62,"_",B64)</f>
        <v>sust kpis dats_SOCIAL KPIs_Training hours (for the use of DATs)</v>
      </c>
      <c r="H64" t="s">
        <v>1835</v>
      </c>
      <c r="I64" s="29"/>
      <c r="J64" s="29"/>
      <c r="K64" s="29"/>
      <c r="M64"/>
    </row>
    <row r="65" spans="1:13" ht="47.25">
      <c r="A65" s="40"/>
      <c r="B65" s="41" t="s">
        <v>26</v>
      </c>
      <c r="C65" s="54" t="s">
        <v>152</v>
      </c>
      <c r="D65" s="43" t="s">
        <v>163</v>
      </c>
      <c r="E65" s="24">
        <f>'Parcel 1 without DATSs'!G233/'Parcel 1 without DATSs'!G234</f>
        <v>1</v>
      </c>
      <c r="F65" s="37" t="s">
        <v>164</v>
      </c>
      <c r="G65" s="39" t="str">
        <f t="shared" ref="G65:G68" si="4">CONCATENATE("sust kpis no dats","_",$A$62,"_",B65)</f>
        <v>sust kpis no dats_SOCIAL KPIs_Working time</v>
      </c>
      <c r="H65" t="s">
        <v>1836</v>
      </c>
      <c r="I65" s="23"/>
      <c r="J65" s="25"/>
      <c r="K65" s="3"/>
      <c r="M65"/>
    </row>
    <row r="66" spans="1:13" ht="31.5">
      <c r="A66" s="40"/>
      <c r="B66" s="41" t="s">
        <v>27</v>
      </c>
      <c r="C66" s="54" t="s">
        <v>152</v>
      </c>
      <c r="D66" s="43" t="s">
        <v>165</v>
      </c>
      <c r="E66" s="24">
        <f>'Parcel 1 without DATSs'!G231/'Parcel 1 without DATSs'!G233</f>
        <v>1</v>
      </c>
      <c r="F66" s="37" t="s">
        <v>166</v>
      </c>
      <c r="G66" s="39" t="str">
        <f t="shared" si="4"/>
        <v xml:space="preserve">sust kpis no dats_SOCIAL KPIs_Frequency rate of occupational injuries </v>
      </c>
      <c r="H66" t="s">
        <v>1837</v>
      </c>
      <c r="I66" s="23"/>
      <c r="J66" s="25"/>
      <c r="K66" s="3"/>
      <c r="M66"/>
    </row>
    <row r="67" spans="1:13" ht="47.25">
      <c r="A67" s="40"/>
      <c r="B67" s="41" t="s">
        <v>28</v>
      </c>
      <c r="C67" s="54" t="s">
        <v>152</v>
      </c>
      <c r="D67" s="43" t="s">
        <v>114</v>
      </c>
      <c r="E67" s="24">
        <f>'Parcel 1 without DATSs'!G232/'Parcel 1 without DATSs'!G233</f>
        <v>1</v>
      </c>
      <c r="F67" s="37" t="s">
        <v>167</v>
      </c>
      <c r="G67" s="39" t="str">
        <f t="shared" si="4"/>
        <v xml:space="preserve">sust kpis no dats_SOCIAL KPIs_Incidence of occupational injuries </v>
      </c>
      <c r="H67" t="s">
        <v>1838</v>
      </c>
      <c r="I67" s="23"/>
      <c r="J67" s="25"/>
      <c r="K67" s="3"/>
      <c r="M67"/>
    </row>
    <row r="68" spans="1:13" ht="31.5">
      <c r="A68" s="40"/>
      <c r="B68" s="41" t="s">
        <v>29</v>
      </c>
      <c r="C68" s="54" t="s">
        <v>152</v>
      </c>
      <c r="D68" s="43" t="s">
        <v>114</v>
      </c>
      <c r="E68" s="24">
        <f>'Parcel 1 without DATSs'!G235/'Parcel 1 without DATSs'!G236</f>
        <v>1</v>
      </c>
      <c r="F68" s="37" t="s">
        <v>168</v>
      </c>
      <c r="G68" s="39" t="str">
        <f t="shared" si="4"/>
        <v>sust kpis no dats_SOCIAL KPIs_Contribution to local employment</v>
      </c>
      <c r="H68" t="s">
        <v>1839</v>
      </c>
      <c r="I68" s="23"/>
      <c r="J68" s="25"/>
      <c r="K68" s="3"/>
      <c r="M68"/>
    </row>
    <row r="77" spans="1:13">
      <c r="A77" s="56"/>
      <c r="B77" s="62" t="s">
        <v>244</v>
      </c>
      <c r="C77" s="63"/>
      <c r="D77" s="56" t="s">
        <v>319</v>
      </c>
      <c r="E77" s="56"/>
      <c r="F77" s="56"/>
      <c r="M77"/>
    </row>
    <row r="78" spans="1:13">
      <c r="A78" s="64" t="s">
        <v>245</v>
      </c>
      <c r="B78" s="65" t="s">
        <v>150</v>
      </c>
      <c r="C78" s="65" t="s">
        <v>108</v>
      </c>
      <c r="D78" s="65" t="s">
        <v>246</v>
      </c>
      <c r="E78" s="56"/>
      <c r="F78" s="56"/>
      <c r="M78"/>
    </row>
    <row r="79" spans="1:13">
      <c r="A79" s="57" t="s">
        <v>247</v>
      </c>
      <c r="B79" s="56"/>
      <c r="C79" s="56"/>
      <c r="D79" s="56"/>
      <c r="E79" s="56"/>
      <c r="F79" s="56"/>
      <c r="M79"/>
    </row>
    <row r="80" spans="1:13">
      <c r="A80" s="148" t="s">
        <v>248</v>
      </c>
      <c r="B80" s="149" t="s">
        <v>249</v>
      </c>
      <c r="C80" s="149">
        <v>0.01</v>
      </c>
      <c r="D80" s="148" t="s">
        <v>250</v>
      </c>
      <c r="E80" s="148"/>
      <c r="F80" s="56"/>
      <c r="M80"/>
    </row>
    <row r="81" spans="1:13">
      <c r="A81" s="56" t="s">
        <v>251</v>
      </c>
      <c r="B81" s="58" t="s">
        <v>249</v>
      </c>
      <c r="C81" s="58">
        <v>1.6E-2</v>
      </c>
      <c r="D81" s="56" t="s">
        <v>252</v>
      </c>
      <c r="E81" s="56"/>
      <c r="F81" s="56"/>
      <c r="M81"/>
    </row>
    <row r="82" spans="1:13">
      <c r="A82" s="56" t="s">
        <v>253</v>
      </c>
      <c r="B82" s="58" t="s">
        <v>249</v>
      </c>
      <c r="C82" s="58">
        <v>6.0000000000000001E-3</v>
      </c>
      <c r="D82" s="56" t="s">
        <v>254</v>
      </c>
      <c r="E82" s="56"/>
      <c r="F82" s="56"/>
      <c r="M82"/>
    </row>
    <row r="83" spans="1:13">
      <c r="A83" s="56" t="s">
        <v>255</v>
      </c>
      <c r="B83" s="58" t="s">
        <v>249</v>
      </c>
      <c r="C83" s="58">
        <v>6.0000000000000001E-3</v>
      </c>
      <c r="D83" s="56" t="s">
        <v>256</v>
      </c>
      <c r="E83" s="56"/>
      <c r="F83" s="56"/>
      <c r="M83"/>
    </row>
    <row r="84" spans="1:13">
      <c r="A84" s="57" t="s">
        <v>257</v>
      </c>
      <c r="B84" s="56"/>
      <c r="C84" s="56"/>
      <c r="D84" s="56"/>
      <c r="E84" s="56"/>
      <c r="F84" s="56"/>
      <c r="M84"/>
    </row>
    <row r="85" spans="1:13">
      <c r="A85" s="148" t="s">
        <v>258</v>
      </c>
      <c r="B85" s="149" t="s">
        <v>259</v>
      </c>
      <c r="C85" s="149">
        <v>0.01</v>
      </c>
      <c r="D85" s="148" t="s">
        <v>260</v>
      </c>
      <c r="E85" s="148"/>
      <c r="F85" s="56"/>
      <c r="M85"/>
    </row>
    <row r="86" spans="1:13">
      <c r="A86" s="56" t="s">
        <v>261</v>
      </c>
      <c r="B86" s="58" t="s">
        <v>259</v>
      </c>
      <c r="C86" s="58">
        <v>1.4E-2</v>
      </c>
      <c r="D86" s="56" t="s">
        <v>262</v>
      </c>
      <c r="E86" s="56"/>
      <c r="F86" s="56"/>
      <c r="M86"/>
    </row>
    <row r="87" spans="1:13">
      <c r="A87" s="56" t="s">
        <v>263</v>
      </c>
      <c r="B87" s="58" t="s">
        <v>259</v>
      </c>
      <c r="C87" s="58">
        <v>5.0000000000000001E-3</v>
      </c>
      <c r="D87" s="56" t="s">
        <v>264</v>
      </c>
      <c r="E87" s="56"/>
      <c r="F87" s="56"/>
      <c r="M87"/>
    </row>
    <row r="88" spans="1:13">
      <c r="A88" s="148" t="s">
        <v>265</v>
      </c>
      <c r="B88" s="149" t="s">
        <v>266</v>
      </c>
      <c r="C88" s="149">
        <v>0.11</v>
      </c>
      <c r="D88" s="148" t="s">
        <v>267</v>
      </c>
      <c r="E88" s="148"/>
      <c r="F88" s="56"/>
      <c r="M88"/>
    </row>
    <row r="89" spans="1:13">
      <c r="A89" s="148" t="s">
        <v>268</v>
      </c>
      <c r="B89" s="149" t="s">
        <v>266</v>
      </c>
      <c r="C89" s="149">
        <v>0.21</v>
      </c>
      <c r="D89" s="148" t="s">
        <v>269</v>
      </c>
      <c r="E89" s="148"/>
      <c r="F89" s="56"/>
      <c r="M89"/>
    </row>
    <row r="90" spans="1:13">
      <c r="A90" s="148" t="s">
        <v>270</v>
      </c>
      <c r="B90" s="149" t="s">
        <v>271</v>
      </c>
      <c r="C90" s="149">
        <v>0.24</v>
      </c>
      <c r="D90" s="148" t="s">
        <v>272</v>
      </c>
      <c r="E90" s="56"/>
      <c r="F90" s="56"/>
      <c r="M90"/>
    </row>
    <row r="91" spans="1:13">
      <c r="A91" s="56" t="s">
        <v>273</v>
      </c>
      <c r="B91" s="58" t="s">
        <v>271</v>
      </c>
      <c r="C91" s="58">
        <v>0</v>
      </c>
      <c r="D91" s="56" t="s">
        <v>274</v>
      </c>
      <c r="E91" s="56"/>
      <c r="F91" s="56"/>
      <c r="M91"/>
    </row>
    <row r="92" spans="1:13">
      <c r="A92" s="148" t="s">
        <v>275</v>
      </c>
      <c r="B92" s="148" t="s">
        <v>276</v>
      </c>
      <c r="C92" s="149">
        <v>1.0999999999999999E-2</v>
      </c>
      <c r="D92" s="148" t="s">
        <v>277</v>
      </c>
      <c r="E92" s="148"/>
      <c r="F92" s="56"/>
      <c r="M92"/>
    </row>
    <row r="93" spans="1:13">
      <c r="A93" s="148" t="s">
        <v>278</v>
      </c>
      <c r="B93" s="149" t="s">
        <v>279</v>
      </c>
      <c r="C93" s="148">
        <f>44/28</f>
        <v>1.5714285714285714</v>
      </c>
      <c r="D93" s="148" t="s">
        <v>280</v>
      </c>
      <c r="E93" s="148"/>
      <c r="F93" s="56"/>
      <c r="M93"/>
    </row>
    <row r="94" spans="1:13">
      <c r="A94" s="148" t="s">
        <v>281</v>
      </c>
      <c r="B94" s="148"/>
      <c r="C94" s="149">
        <v>273</v>
      </c>
      <c r="D94" s="148" t="s">
        <v>449</v>
      </c>
      <c r="E94" s="148"/>
      <c r="F94" s="56"/>
      <c r="M94"/>
    </row>
    <row r="95" spans="1:13">
      <c r="A95" s="56"/>
      <c r="B95" s="56"/>
      <c r="C95" s="56"/>
      <c r="D95" s="56"/>
      <c r="E95" s="56"/>
      <c r="F95" s="56"/>
      <c r="M95"/>
    </row>
    <row r="96" spans="1:13">
      <c r="A96" s="64" t="s">
        <v>282</v>
      </c>
      <c r="B96" s="56"/>
      <c r="C96" s="56"/>
      <c r="D96" s="56"/>
      <c r="E96" s="56"/>
      <c r="F96" s="56"/>
      <c r="M96"/>
    </row>
    <row r="97" spans="1:13">
      <c r="A97" s="148" t="s">
        <v>283</v>
      </c>
      <c r="B97" s="149" t="s">
        <v>284</v>
      </c>
      <c r="C97" s="148">
        <v>35.9</v>
      </c>
      <c r="D97" s="148" t="s">
        <v>285</v>
      </c>
      <c r="E97" s="56"/>
      <c r="F97" s="56"/>
      <c r="M97"/>
    </row>
    <row r="98" spans="1:13">
      <c r="A98" s="148" t="s">
        <v>286</v>
      </c>
      <c r="B98" s="149" t="s">
        <v>287</v>
      </c>
      <c r="C98" s="148">
        <v>7.4099999999999999E-2</v>
      </c>
      <c r="D98" s="148" t="s">
        <v>288</v>
      </c>
      <c r="E98" s="56"/>
      <c r="F98" s="56"/>
      <c r="M98"/>
    </row>
    <row r="99" spans="1:13">
      <c r="A99" s="56"/>
      <c r="B99" s="56"/>
      <c r="C99" s="56"/>
      <c r="D99" s="56"/>
      <c r="E99" s="56"/>
      <c r="F99" s="56"/>
      <c r="M99"/>
    </row>
    <row r="100" spans="1:13">
      <c r="A100" s="64" t="s">
        <v>468</v>
      </c>
      <c r="B100" s="61"/>
      <c r="C100" s="56"/>
      <c r="D100" s="56"/>
      <c r="E100" s="56"/>
      <c r="F100" s="56"/>
      <c r="M100"/>
    </row>
    <row r="101" spans="1:13">
      <c r="A101" s="150" t="str">
        <f>'General Information'!G7</f>
        <v>Apple</v>
      </c>
      <c r="B101" s="151" t="s">
        <v>459</v>
      </c>
      <c r="C101" s="150">
        <f>IFERROR(VLOOKUP('General Information'!$G$7, Convalide!$O$2:$P$18, 2,FALSE), "")</f>
        <v>6.9999999999999999E-4</v>
      </c>
      <c r="D101" s="56"/>
      <c r="E101" s="56"/>
      <c r="F101" s="56"/>
      <c r="M101"/>
    </row>
    <row r="102" spans="1:13">
      <c r="A102" s="150" t="str">
        <f>'General Information'!G7</f>
        <v>Apple</v>
      </c>
      <c r="B102" s="152" t="s">
        <v>460</v>
      </c>
      <c r="C102" s="150">
        <f>IFERROR(VLOOKUP('General Information'!$G$7, Convalide!$Q$2:$R$18, 2,FALSE), "")</f>
        <v>2.2000000000000001E-4</v>
      </c>
      <c r="D102" s="56"/>
      <c r="E102" s="56"/>
      <c r="F102" s="56"/>
      <c r="M102"/>
    </row>
    <row r="103" spans="1:13">
      <c r="A103" s="150" t="str">
        <f>'General Information'!G7</f>
        <v>Apple</v>
      </c>
      <c r="B103" s="152" t="s">
        <v>461</v>
      </c>
      <c r="C103" s="150">
        <f>IFERROR(VLOOKUP('General Information'!$G$7, Convalide!$S$2:$T$18, 2,FALSE), "")</f>
        <v>1.8E-3</v>
      </c>
      <c r="D103" s="56"/>
      <c r="E103" s="60"/>
      <c r="F103" s="56"/>
    </row>
    <row r="104" spans="1:13">
      <c r="A104" s="59"/>
      <c r="B104" s="73"/>
      <c r="C104" s="59"/>
      <c r="D104" s="59"/>
      <c r="E104" s="59"/>
      <c r="F104" s="59"/>
    </row>
    <row r="105" spans="1:13">
      <c r="A105" s="59"/>
      <c r="B105" s="73"/>
      <c r="C105" s="59"/>
      <c r="D105" s="59"/>
      <c r="E105" s="59"/>
      <c r="F105" s="59"/>
    </row>
    <row r="106" spans="1:13">
      <c r="A106" s="60"/>
      <c r="B106" s="74"/>
      <c r="C106" s="60"/>
      <c r="D106" s="60"/>
      <c r="E106" s="60"/>
      <c r="F106" s="60"/>
    </row>
    <row r="107" spans="1:13">
      <c r="A107" s="59"/>
      <c r="B107" s="74"/>
      <c r="C107" s="60"/>
      <c r="D107" s="59"/>
      <c r="E107" s="59"/>
      <c r="F107" s="59"/>
    </row>
    <row r="108" spans="1:13">
      <c r="A108" s="59"/>
      <c r="B108" s="74"/>
      <c r="C108" s="60"/>
      <c r="D108" s="59"/>
      <c r="E108" s="59"/>
      <c r="F108" s="59"/>
    </row>
    <row r="109" spans="1:13">
      <c r="A109" s="60"/>
      <c r="B109" s="74"/>
      <c r="C109" s="60"/>
      <c r="D109" s="59"/>
      <c r="E109" s="60"/>
      <c r="F109" s="60"/>
    </row>
    <row r="110" spans="1:13">
      <c r="A110" s="59"/>
      <c r="B110" s="59"/>
      <c r="C110" s="59"/>
      <c r="D110" s="59"/>
      <c r="E110" s="59"/>
      <c r="F110" s="59"/>
    </row>
    <row r="111" spans="1:13">
      <c r="A111" s="59"/>
      <c r="B111" s="59"/>
      <c r="C111" s="59"/>
      <c r="D111" s="59"/>
      <c r="E111" s="59"/>
      <c r="F111" s="59"/>
    </row>
  </sheetData>
  <phoneticPr fontId="2" type="noConversion"/>
  <conditionalFormatting sqref="B56:B58 B60">
    <cfRule type="containsText" dxfId="82" priority="27" operator="containsText" text="TO-BE">
      <formula>NOT(ISERROR(SEARCH("TO-BE",B56)))</formula>
    </cfRule>
    <cfRule type="containsText" dxfId="81" priority="28" operator="containsText" text="AS-IS">
      <formula>NOT(ISERROR(SEARCH("AS-IS",B56)))</formula>
    </cfRule>
    <cfRule type="containsText" dxfId="80" priority="29" operator="containsText" text="Without DATs">
      <formula>NOT(ISERROR(SEARCH("Without DATs",B56)))</formula>
    </cfRule>
    <cfRule type="containsText" dxfId="79" priority="30" operator="containsText" text="With DATs">
      <formula>NOT(ISERROR(SEARCH("With DATs",B56)))</formula>
    </cfRule>
    <cfRule type="containsText" dxfId="78" priority="31" operator="containsText" text="With out DATs">
      <formula>NOT(ISERROR(SEARCH("With out DATs",B56)))</formula>
    </cfRule>
    <cfRule type="containsText" dxfId="77" priority="32" operator="containsText" text="TO-BE">
      <formula>NOT(ISERROR(SEARCH("TO-BE",B56)))</formula>
    </cfRule>
    <cfRule type="containsText" dxfId="76" priority="24" operator="containsText" text="Without DATs">
      <formula>NOT(ISERROR(SEARCH("Without DATs",B56)))</formula>
    </cfRule>
    <cfRule type="containsText" dxfId="75" priority="25" operator="containsText" text="With DATs">
      <formula>NOT(ISERROR(SEARCH("With DATs",B56)))</formula>
    </cfRule>
    <cfRule type="containsText" dxfId="74" priority="26" operator="containsText" text="With out DATs">
      <formula>NOT(ISERROR(SEARCH("With out DATs",B56)))</formula>
    </cfRule>
    <cfRule type="containsText" dxfId="73" priority="33" operator="containsText" text="AS-IS">
      <formula>NOT(ISERROR(SEARCH("AS-IS",B56)))</formula>
    </cfRule>
  </conditionalFormatting>
  <conditionalFormatting sqref="C2:C14 C16:C20 C22:C27">
    <cfRule type="containsText" dxfId="72" priority="89" operator="containsText" text="Without DATs">
      <formula>NOT(ISERROR(SEARCH("Without DATs",C2)))</formula>
    </cfRule>
  </conditionalFormatting>
  <conditionalFormatting sqref="C3:C13 C17:C19">
    <cfRule type="containsText" dxfId="71" priority="88" operator="containsText" text="AS-IS">
      <formula>NOT(ISERROR(SEARCH("AS-IS",C3)))</formula>
    </cfRule>
    <cfRule type="containsText" dxfId="70" priority="87" operator="containsText" text="TO-BE">
      <formula>NOT(ISERROR(SEARCH("TO-BE",C3)))</formula>
    </cfRule>
    <cfRule type="containsText" dxfId="69" priority="86" operator="containsText" text="With out DATs">
      <formula>NOT(ISERROR(SEARCH("With out DATs",C3)))</formula>
    </cfRule>
    <cfRule type="containsText" dxfId="68" priority="85" operator="containsText" text="With DATs">
      <formula>NOT(ISERROR(SEARCH("With DATs",C3)))</formula>
    </cfRule>
  </conditionalFormatting>
  <conditionalFormatting sqref="C14">
    <cfRule type="containsText" dxfId="67" priority="125" operator="containsText" text="AS-IS">
      <formula>NOT(ISERROR(SEARCH("AS-IS",C14)))</formula>
    </cfRule>
    <cfRule type="containsText" dxfId="66" priority="124" operator="containsText" text="TO-BE">
      <formula>NOT(ISERROR(SEARCH("TO-BE",C14)))</formula>
    </cfRule>
    <cfRule type="containsText" dxfId="65" priority="123" operator="containsText" text="With out DATs">
      <formula>NOT(ISERROR(SEARCH("With out DATs",C14)))</formula>
    </cfRule>
    <cfRule type="containsText" dxfId="64" priority="122" operator="containsText" text="With DATs">
      <formula>NOT(ISERROR(SEARCH("With DATs",C14)))</formula>
    </cfRule>
  </conditionalFormatting>
  <conditionalFormatting sqref="C20">
    <cfRule type="containsText" dxfId="63" priority="102" operator="containsText" text="AS-IS">
      <formula>NOT(ISERROR(SEARCH("AS-IS",C20)))</formula>
    </cfRule>
    <cfRule type="containsText" dxfId="62" priority="100" operator="containsText" text="With out DATs">
      <formula>NOT(ISERROR(SEARCH("With out DATs",C20)))</formula>
    </cfRule>
    <cfRule type="containsText" dxfId="61" priority="99" operator="containsText" text="With DATs">
      <formula>NOT(ISERROR(SEARCH("With DATs",C20)))</formula>
    </cfRule>
    <cfRule type="containsText" dxfId="60" priority="101" operator="containsText" text="TO-BE">
      <formula>NOT(ISERROR(SEARCH("TO-BE",C20)))</formula>
    </cfRule>
  </conditionalFormatting>
  <conditionalFormatting sqref="C23:C27 C30:C59">
    <cfRule type="containsText" dxfId="59" priority="205" operator="containsText" text="With out DATs">
      <formula>NOT(ISERROR(SEARCH("With out DATs",C23)))</formula>
    </cfRule>
    <cfRule type="containsText" dxfId="58" priority="206" operator="containsText" text="TO-BE">
      <formula>NOT(ISERROR(SEARCH("TO-BE",C23)))</formula>
    </cfRule>
    <cfRule type="containsText" dxfId="57" priority="207" operator="containsText" text="AS-IS">
      <formula>NOT(ISERROR(SEARCH("AS-IS",C23)))</formula>
    </cfRule>
  </conditionalFormatting>
  <conditionalFormatting sqref="C30:C59 A29:D29 F29 A63:D63 F63 D69:D71">
    <cfRule type="containsText" dxfId="56" priority="197" operator="containsText" text="Without DATs">
      <formula>NOT(ISERROR(SEARCH("Without DATs",A29)))</formula>
    </cfRule>
  </conditionalFormatting>
  <conditionalFormatting sqref="C30:C59 C23:C27">
    <cfRule type="containsText" dxfId="55" priority="204" operator="containsText" text="With DATs">
      <formula>NOT(ISERROR(SEARCH("With DATs",C23)))</formula>
    </cfRule>
  </conditionalFormatting>
  <conditionalFormatting sqref="C41:C50">
    <cfRule type="containsText" dxfId="54" priority="187" operator="containsText" text="With DATs">
      <formula>NOT(ISERROR(SEARCH("With DATs",C41)))</formula>
    </cfRule>
    <cfRule type="containsText" dxfId="53" priority="188" operator="containsText" text="With out DATs">
      <formula>NOT(ISERROR(SEARCH("With out DATs",C41)))</formula>
    </cfRule>
    <cfRule type="containsText" dxfId="52" priority="189" operator="containsText" text="TO-BE">
      <formula>NOT(ISERROR(SEARCH("TO-BE",C41)))</formula>
    </cfRule>
    <cfRule type="containsText" dxfId="51" priority="190" operator="containsText" text="AS-IS">
      <formula>NOT(ISERROR(SEARCH("AS-IS",C41)))</formula>
    </cfRule>
  </conditionalFormatting>
  <conditionalFormatting sqref="C64">
    <cfRule type="containsText" dxfId="50" priority="3" operator="containsText" text="Without DATs">
      <formula>NOT(ISERROR(SEARCH("Without DATs",C64)))</formula>
    </cfRule>
  </conditionalFormatting>
  <conditionalFormatting sqref="C64:C68">
    <cfRule type="containsText" dxfId="49" priority="4" operator="containsText" text="With DATs">
      <formula>NOT(ISERROR(SEARCH("With DATs",C64)))</formula>
    </cfRule>
    <cfRule type="containsText" dxfId="48" priority="5" operator="containsText" text="With out DATs">
      <formula>NOT(ISERROR(SEARCH("With out DATs",C64)))</formula>
    </cfRule>
    <cfRule type="containsText" dxfId="47" priority="6" operator="containsText" text="TO-BE">
      <formula>NOT(ISERROR(SEARCH("TO-BE",C64)))</formula>
    </cfRule>
    <cfRule type="containsText" dxfId="46" priority="7" operator="containsText" text="AS-IS">
      <formula>NOT(ISERROR(SEARCH("AS-IS",C64)))</formula>
    </cfRule>
  </conditionalFormatting>
  <conditionalFormatting sqref="C65:C68">
    <cfRule type="containsText" dxfId="45" priority="202" operator="containsText" text="Without DATs">
      <formula>NOT(ISERROR(SEARCH("Without DATs",C65)))</formula>
    </cfRule>
  </conditionalFormatting>
  <conditionalFormatting sqref="D1">
    <cfRule type="containsText" dxfId="44" priority="120" operator="containsText" text="Without DATs">
      <formula>NOT(ISERROR(SEARCH("Without DATs",D1)))</formula>
    </cfRule>
  </conditionalFormatting>
  <conditionalFormatting sqref="D15">
    <cfRule type="containsText" dxfId="43" priority="111" operator="containsText" text="Without DATs">
      <formula>NOT(ISERROR(SEARCH("Without DATs",D15)))</formula>
    </cfRule>
  </conditionalFormatting>
  <conditionalFormatting sqref="D21">
    <cfRule type="containsText" dxfId="42" priority="96" operator="containsText" text="Without DATs">
      <formula>NOT(ISERROR(SEARCH("Without DATs",D21)))</formula>
    </cfRule>
  </conditionalFormatting>
  <conditionalFormatting sqref="D56:D58 M56:M62 D60:D61">
    <cfRule type="containsText" dxfId="41" priority="47" operator="containsText" text="With out DATs">
      <formula>NOT(ISERROR(SEARCH("With out DATs",D56)))</formula>
    </cfRule>
    <cfRule type="containsText" dxfId="40" priority="45" operator="containsText" text="Without DATs">
      <formula>NOT(ISERROR(SEARCH("Without DATs",D56)))</formula>
    </cfRule>
    <cfRule type="containsText" dxfId="39" priority="46" operator="containsText" text="With DATs">
      <formula>NOT(ISERROR(SEARCH("With DATs",D56)))</formula>
    </cfRule>
    <cfRule type="containsText" dxfId="38" priority="48" operator="containsText" text="TO-BE">
      <formula>NOT(ISERROR(SEARCH("TO-BE",D56)))</formula>
    </cfRule>
    <cfRule type="containsText" dxfId="37" priority="49" operator="containsText" text="AS-IS">
      <formula>NOT(ISERROR(SEARCH("AS-IS",D56)))</formula>
    </cfRule>
  </conditionalFormatting>
  <conditionalFormatting sqref="D77:D103">
    <cfRule type="containsText" dxfId="36" priority="74" operator="containsText" text="Without DATs">
      <formula>NOT(ISERROR(SEARCH("Without DATs",D77)))</formula>
    </cfRule>
  </conditionalFormatting>
  <conditionalFormatting sqref="D110:D1048576">
    <cfRule type="containsText" dxfId="35" priority="52" operator="containsText" text="Without DATs">
      <formula>NOT(ISERROR(SEARCH("Without DATs",D110)))</formula>
    </cfRule>
  </conditionalFormatting>
  <conditionalFormatting sqref="G3:G13 G30:G60">
    <cfRule type="cellIs" dxfId="34" priority="20" operator="lessThan">
      <formula>0</formula>
    </cfRule>
    <cfRule type="cellIs" dxfId="33" priority="21" operator="greaterThan">
      <formula>0</formula>
    </cfRule>
  </conditionalFormatting>
  <conditionalFormatting sqref="G17:G19">
    <cfRule type="cellIs" dxfId="32" priority="15" operator="greaterThan">
      <formula>0</formula>
    </cfRule>
    <cfRule type="cellIs" dxfId="31" priority="14" operator="lessThan">
      <formula>0</formula>
    </cfRule>
  </conditionalFormatting>
  <conditionalFormatting sqref="G23:G26">
    <cfRule type="cellIs" dxfId="30" priority="13" operator="greaterThan">
      <formula>0</formula>
    </cfRule>
    <cfRule type="cellIs" dxfId="29" priority="12" operator="lessThan">
      <formula>0</formula>
    </cfRule>
  </conditionalFormatting>
  <conditionalFormatting sqref="G64:G71">
    <cfRule type="cellIs" dxfId="28" priority="2" operator="greaterThan">
      <formula>0</formula>
    </cfRule>
    <cfRule type="cellIs" dxfId="27" priority="1" operator="lessThan">
      <formula>0</formula>
    </cfRule>
  </conditionalFormatting>
  <conditionalFormatting sqref="G77:G1048576">
    <cfRule type="cellIs" dxfId="26" priority="19" operator="greaterThan">
      <formula>0</formula>
    </cfRule>
    <cfRule type="cellIs" dxfId="25" priority="18" operator="lessThan">
      <formula>0</formula>
    </cfRule>
  </conditionalFormatting>
  <conditionalFormatting sqref="K63:K68 I65:I68">
    <cfRule type="containsText" dxfId="24" priority="192" operator="containsText" text="Without DATs">
      <formula>NOT(ISERROR(SEARCH("Without DATs",I63)))</formula>
    </cfRule>
    <cfRule type="containsText" dxfId="23" priority="193" operator="containsText" text="With DATs">
      <formula>NOT(ISERROR(SEARCH("With DATs",I63)))</formula>
    </cfRule>
    <cfRule type="containsText" dxfId="22" priority="194" operator="containsText" text="With out DATs">
      <formula>NOT(ISERROR(SEARCH("With out DATs",I63)))</formula>
    </cfRule>
    <cfRule type="containsText" dxfId="21" priority="195" operator="containsText" text="TO-BE">
      <formula>NOT(ISERROR(SEARCH("TO-BE",I63)))</formula>
    </cfRule>
    <cfRule type="containsText" dxfId="20" priority="196" operator="containsText" text="AS-IS">
      <formula>NOT(ISERROR(SEARCH("AS-IS",I63)))</formula>
    </cfRule>
  </conditionalFormatting>
  <conditionalFormatting sqref="M28:M29">
    <cfRule type="containsText" dxfId="19" priority="210" operator="containsText" text="Without DATs">
      <formula>NOT(ISERROR(SEARCH("Without DATs",M28)))</formula>
    </cfRule>
    <cfRule type="containsText" dxfId="18" priority="211" operator="containsText" text="With DATs">
      <formula>NOT(ISERROR(SEARCH("With DATs",M28)))</formula>
    </cfRule>
    <cfRule type="containsText" dxfId="17" priority="212" operator="containsText" text="With out DATs">
      <formula>NOT(ISERROR(SEARCH("With out DATs",M28)))</formula>
    </cfRule>
    <cfRule type="containsText" dxfId="16" priority="213" operator="containsText" text="TO-BE">
      <formula>NOT(ISERROR(SEARCH("TO-BE",M28)))</formula>
    </cfRule>
    <cfRule type="containsText" dxfId="15" priority="214" operator="containsText" text="AS-IS">
      <formula>NOT(ISERROR(SEARCH("AS-IS",M28)))</formula>
    </cfRule>
  </conditionalFormatting>
  <conditionalFormatting sqref="M41:M50">
    <cfRule type="containsText" dxfId="14" priority="62" operator="containsText" text="AS-IS">
      <formula>NOT(ISERROR(SEARCH("AS-IS",M41)))</formula>
    </cfRule>
    <cfRule type="containsText" dxfId="13" priority="61" operator="containsText" text="TO-BE">
      <formula>NOT(ISERROR(SEARCH("TO-BE",M41)))</formula>
    </cfRule>
    <cfRule type="containsText" dxfId="12" priority="60" operator="containsText" text="With out DATs">
      <formula>NOT(ISERROR(SEARCH("With out DATs",M41)))</formula>
    </cfRule>
    <cfRule type="containsText" dxfId="11" priority="59" operator="containsText" text="With DATs">
      <formula>NOT(ISERROR(SEARCH("With DATs",M41)))</formula>
    </cfRule>
    <cfRule type="containsText" dxfId="10" priority="58" operator="containsText" text="Without DATs">
      <formula>NOT(ISERROR(SEARCH("Without DATs",M41)))</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E756-0D0A-5B4D-BE42-51D8AB9C73A4}">
  <sheetPr codeName="F____10"/>
  <dimension ref="A1:Q116"/>
  <sheetViews>
    <sheetView zoomScale="70" zoomScaleNormal="70" workbookViewId="0">
      <selection activeCell="E116" sqref="E116"/>
    </sheetView>
  </sheetViews>
  <sheetFormatPr defaultColWidth="11.125" defaultRowHeight="15.75"/>
  <cols>
    <col min="1" max="1" width="24.125" bestFit="1" customWidth="1"/>
    <col min="2" max="2" width="31.375" bestFit="1" customWidth="1"/>
    <col min="3" max="4" width="18.5" customWidth="1"/>
    <col min="5" max="6" width="13.375" customWidth="1"/>
    <col min="7" max="7" width="71.875" style="4" customWidth="1"/>
    <col min="8" max="8" width="62.875" style="4" customWidth="1"/>
    <col min="9" max="9" width="32.375" style="4" customWidth="1"/>
    <col min="10" max="10" width="35.875" bestFit="1" customWidth="1"/>
    <col min="11" max="11" width="36" customWidth="1"/>
    <col min="12" max="12" width="22.5" customWidth="1"/>
    <col min="13" max="14" width="26.875" customWidth="1"/>
    <col min="15" max="15" width="20.875" customWidth="1"/>
    <col min="16" max="16" width="25.125" customWidth="1"/>
    <col min="17" max="17" width="25" style="21" customWidth="1"/>
    <col min="19" max="19" width="22.375" customWidth="1"/>
  </cols>
  <sheetData>
    <row r="1" spans="1:17" ht="16.5" thickBot="1">
      <c r="A1" s="202" t="s">
        <v>469</v>
      </c>
      <c r="B1" s="202"/>
      <c r="C1" s="202"/>
      <c r="D1" s="202"/>
      <c r="E1" s="202"/>
      <c r="F1" s="202"/>
    </row>
    <row r="2" spans="1:17">
      <c r="A2" s="77" t="s">
        <v>475</v>
      </c>
      <c r="Q2"/>
    </row>
    <row r="3" spans="1:17">
      <c r="A3" s="33" t="s">
        <v>476</v>
      </c>
      <c r="B3" s="44" t="s">
        <v>477</v>
      </c>
      <c r="C3" s="36" t="str">
        <f>'Cost-revenue DATS'!D36</f>
        <v>€/l milk</v>
      </c>
      <c r="D3" s="176"/>
      <c r="E3" s="24">
        <f>('Cost-revenue DATS'!E37-'Cost-revenue NO DATS'!E37)</f>
        <v>2</v>
      </c>
      <c r="F3" s="24"/>
      <c r="G3" s="4" t="str">
        <f>CONCATENATE("analysis","_",$A$1,"_",B3)</f>
        <v>analysis_COST BENEFIT ANALYSIS_Cost of DATS</v>
      </c>
      <c r="H3" s="4" t="s">
        <v>1774</v>
      </c>
      <c r="Q3"/>
    </row>
    <row r="4" spans="1:17">
      <c r="A4" s="78"/>
      <c r="B4" s="31"/>
      <c r="C4" s="79"/>
      <c r="D4" s="79"/>
      <c r="E4" s="24"/>
      <c r="F4" s="24"/>
      <c r="H4" s="4" t="s">
        <v>1775</v>
      </c>
      <c r="Q4"/>
    </row>
    <row r="5" spans="1:17">
      <c r="A5" s="77" t="s">
        <v>478</v>
      </c>
      <c r="H5" s="4" t="s">
        <v>1776</v>
      </c>
      <c r="Q5"/>
    </row>
    <row r="6" spans="1:17">
      <c r="A6" s="80" t="s">
        <v>471</v>
      </c>
      <c r="H6" s="4" t="s">
        <v>1777</v>
      </c>
      <c r="Q6"/>
    </row>
    <row r="7" spans="1:17">
      <c r="A7" s="47" t="s">
        <v>480</v>
      </c>
      <c r="B7" s="47" t="s">
        <v>155</v>
      </c>
      <c r="C7" s="47" t="s">
        <v>150</v>
      </c>
      <c r="D7" s="47"/>
      <c r="E7" s="47" t="s">
        <v>206</v>
      </c>
      <c r="F7" s="47"/>
      <c r="H7" s="4" t="s">
        <v>1778</v>
      </c>
      <c r="J7" s="71"/>
      <c r="Q7"/>
    </row>
    <row r="8" spans="1:17">
      <c r="A8" s="33" t="s">
        <v>0</v>
      </c>
      <c r="B8" s="34" t="s">
        <v>151</v>
      </c>
      <c r="C8" s="36" t="s">
        <v>153</v>
      </c>
      <c r="D8" s="176"/>
      <c r="E8" s="82">
        <f>'Cost-revenue DATS'!E3-'Cost-revenue NO DATS'!E3</f>
        <v>0</v>
      </c>
      <c r="F8" s="24"/>
      <c r="G8" s="4" t="str">
        <f>CONCATENATE("analysis","_",$A$5,"_",A8,"_",B8)</f>
        <v>analysis_BENEFITS_WATER _Cost of water</v>
      </c>
      <c r="H8" s="4" t="s">
        <v>1779</v>
      </c>
      <c r="J8" s="71"/>
    </row>
    <row r="9" spans="1:17">
      <c r="A9" s="33" t="s">
        <v>179</v>
      </c>
      <c r="B9" s="34" t="s">
        <v>154</v>
      </c>
      <c r="C9" s="36" t="s">
        <v>153</v>
      </c>
      <c r="D9" s="176"/>
      <c r="E9" s="82">
        <f>'Cost-revenue DATS'!E4-'Cost-revenue NO DATS'!E4</f>
        <v>0</v>
      </c>
      <c r="F9" s="24"/>
      <c r="G9" s="4" t="str">
        <f t="shared" ref="G9:G40" si="0">CONCATENATE("analysis","_",$A$5,"_",A9,"_",B9)</f>
        <v>analysis_BENEFITS_FUEL _Cost of  fuel</v>
      </c>
      <c r="H9" s="4" t="s">
        <v>1780</v>
      </c>
      <c r="J9" s="71"/>
      <c r="K9" s="72"/>
      <c r="L9" s="72"/>
      <c r="M9" s="72"/>
    </row>
    <row r="10" spans="1:17">
      <c r="A10" s="33" t="s">
        <v>180</v>
      </c>
      <c r="B10" s="44" t="s">
        <v>172</v>
      </c>
      <c r="C10" s="36" t="s">
        <v>153</v>
      </c>
      <c r="D10" s="176"/>
      <c r="E10" s="82">
        <f>'Cost-revenue DATS'!E6-'Cost-revenue NO DATS'!E6</f>
        <v>0</v>
      </c>
      <c r="F10" s="24"/>
      <c r="G10" s="4" t="str">
        <f t="shared" si="0"/>
        <v>analysis_BENEFITS_ELECTRICITY_Cost of electricity</v>
      </c>
      <c r="H10" s="4" t="s">
        <v>1781</v>
      </c>
      <c r="J10" s="71"/>
    </row>
    <row r="11" spans="1:17">
      <c r="A11" s="33" t="s">
        <v>189</v>
      </c>
      <c r="B11" s="44" t="s">
        <v>190</v>
      </c>
      <c r="C11" s="36" t="s">
        <v>153</v>
      </c>
      <c r="D11" s="176"/>
      <c r="E11" s="82">
        <f>105-120</f>
        <v>-15</v>
      </c>
      <c r="F11" s="24"/>
      <c r="G11" s="4" t="str">
        <f t="shared" si="0"/>
        <v xml:space="preserve">analysis_BENEFITS_PESTICIDE _Cost for pesticide </v>
      </c>
      <c r="H11" s="4" t="s">
        <v>1782</v>
      </c>
    </row>
    <row r="12" spans="1:17">
      <c r="A12" s="33" t="s">
        <v>191</v>
      </c>
      <c r="B12" s="44" t="s">
        <v>192</v>
      </c>
      <c r="C12" s="36" t="s">
        <v>153</v>
      </c>
      <c r="D12" s="176"/>
      <c r="E12" s="82">
        <f>'Cost-revenue DATS'!E8-'Cost-revenue NO DATS'!E8</f>
        <v>0</v>
      </c>
      <c r="F12" s="24"/>
      <c r="G12" s="4" t="str">
        <f t="shared" si="0"/>
        <v xml:space="preserve">analysis_BENEFITS_FERTILISER_Cost of fertiliser </v>
      </c>
      <c r="H12" s="4" t="s">
        <v>1783</v>
      </c>
    </row>
    <row r="13" spans="1:17">
      <c r="A13" s="33" t="s">
        <v>9</v>
      </c>
      <c r="B13" s="44" t="s">
        <v>234</v>
      </c>
      <c r="C13" s="36" t="s">
        <v>153</v>
      </c>
      <c r="D13" s="176"/>
      <c r="E13" s="82">
        <f>'Cost-revenue DATS'!E9-'Cost-revenue NO DATS'!E9</f>
        <v>0</v>
      </c>
      <c r="F13" s="24"/>
      <c r="G13" s="4" t="str">
        <f t="shared" si="0"/>
        <v>analysis_BENEFITS_FEED_Cost of feed</v>
      </c>
      <c r="H13" s="4" t="s">
        <v>1784</v>
      </c>
      <c r="J13" s="71"/>
    </row>
    <row r="14" spans="1:17">
      <c r="A14" s="33" t="s">
        <v>12</v>
      </c>
      <c r="B14" s="44" t="s">
        <v>235</v>
      </c>
      <c r="C14" s="36" t="s">
        <v>153</v>
      </c>
      <c r="D14" s="176"/>
      <c r="E14" s="82">
        <f>'Cost-revenue DATS'!E10-'Cost-revenue NO DATS'!E10</f>
        <v>0</v>
      </c>
      <c r="F14" s="24"/>
      <c r="G14" s="4" t="str">
        <f t="shared" si="0"/>
        <v>analysis_BENEFITS_DRUGS _ Cost of drugs</v>
      </c>
      <c r="H14" s="4" t="s">
        <v>1785</v>
      </c>
      <c r="J14" s="71"/>
    </row>
    <row r="15" spans="1:17">
      <c r="A15" s="33" t="s">
        <v>204</v>
      </c>
      <c r="B15" s="44" t="s">
        <v>184</v>
      </c>
      <c r="C15" s="36" t="s">
        <v>153</v>
      </c>
      <c r="D15" s="176"/>
      <c r="E15" s="82">
        <f>'Cost-revenue DATS'!E11-'Cost-revenue NO DATS'!E11</f>
        <v>0</v>
      </c>
      <c r="F15" s="24"/>
      <c r="G15" s="4" t="str">
        <f t="shared" si="0"/>
        <v>analysis_BENEFITS_LABOUR_Cost of labour for irrigation</v>
      </c>
      <c r="H15" s="4" t="s">
        <v>1786</v>
      </c>
    </row>
    <row r="16" spans="1:17">
      <c r="A16" s="33" t="s">
        <v>204</v>
      </c>
      <c r="B16" s="44" t="s">
        <v>185</v>
      </c>
      <c r="C16" s="36" t="s">
        <v>153</v>
      </c>
      <c r="D16" s="176"/>
      <c r="E16" s="82">
        <f>'Cost-revenue DATS'!E12-'Cost-revenue NO DATS'!E12</f>
        <v>0</v>
      </c>
      <c r="F16" s="24"/>
      <c r="G16" s="4" t="str">
        <f t="shared" si="0"/>
        <v>analysis_BENEFITS_LABOUR_Cost of labour for pesticide</v>
      </c>
      <c r="H16" s="4" t="s">
        <v>1787</v>
      </c>
      <c r="J16" s="71"/>
    </row>
    <row r="17" spans="1:10">
      <c r="A17" s="33" t="s">
        <v>204</v>
      </c>
      <c r="B17" s="44" t="s">
        <v>181</v>
      </c>
      <c r="C17" s="36" t="s">
        <v>153</v>
      </c>
      <c r="D17" s="176"/>
      <c r="E17" s="82">
        <f>'Cost-revenue DATS'!E13-'Cost-revenue NO DATS'!E13</f>
        <v>0</v>
      </c>
      <c r="F17" s="24"/>
      <c r="G17" s="4" t="str">
        <f t="shared" si="0"/>
        <v>analysis_BENEFITS_LABOUR_Cost of labour for fertilisation</v>
      </c>
      <c r="H17" s="4" t="s">
        <v>1788</v>
      </c>
      <c r="J17" s="71"/>
    </row>
    <row r="18" spans="1:10">
      <c r="A18" s="33" t="s">
        <v>204</v>
      </c>
      <c r="B18" s="44" t="s">
        <v>186</v>
      </c>
      <c r="C18" s="36" t="s">
        <v>153</v>
      </c>
      <c r="D18" s="176"/>
      <c r="E18" s="82">
        <f>'Cost-revenue DATS'!E14-'Cost-revenue NO DATS'!E14</f>
        <v>0</v>
      </c>
      <c r="F18" s="24"/>
      <c r="G18" s="4" t="str">
        <f t="shared" si="0"/>
        <v xml:space="preserve">analysis_BENEFITS_LABOUR_Cost of labour for sowing_planting </v>
      </c>
      <c r="H18" s="4" t="s">
        <v>1789</v>
      </c>
      <c r="J18" s="71"/>
    </row>
    <row r="19" spans="1:10">
      <c r="A19" s="33" t="s">
        <v>204</v>
      </c>
      <c r="B19" s="44" t="s">
        <v>187</v>
      </c>
      <c r="C19" s="36" t="s">
        <v>153</v>
      </c>
      <c r="D19" s="176"/>
      <c r="E19" s="82">
        <f>'Cost-revenue DATS'!E15-'Cost-revenue NO DATS'!E15</f>
        <v>0</v>
      </c>
      <c r="F19" s="24"/>
      <c r="G19" s="4" t="str">
        <f t="shared" si="0"/>
        <v>analysis_BENEFITS_LABOUR_Cost of labour for pruning</v>
      </c>
      <c r="H19" s="4" t="s">
        <v>1790</v>
      </c>
      <c r="J19" s="71"/>
    </row>
    <row r="20" spans="1:10">
      <c r="A20" s="33" t="s">
        <v>204</v>
      </c>
      <c r="B20" s="44" t="s">
        <v>188</v>
      </c>
      <c r="C20" s="36" t="s">
        <v>153</v>
      </c>
      <c r="D20" s="176"/>
      <c r="E20" s="82">
        <f>'Cost-revenue DATS'!E16-'Cost-revenue NO DATS'!E16</f>
        <v>0</v>
      </c>
      <c r="F20" s="24"/>
      <c r="G20" s="4" t="str">
        <f t="shared" si="0"/>
        <v xml:space="preserve">analysis_BENEFITS_LABOUR_Cost of labour for field visits </v>
      </c>
      <c r="H20" s="4" t="s">
        <v>1791</v>
      </c>
      <c r="J20" s="71"/>
    </row>
    <row r="21" spans="1:10" ht="30">
      <c r="A21" s="33" t="s">
        <v>204</v>
      </c>
      <c r="B21" s="44" t="s">
        <v>318</v>
      </c>
      <c r="C21" s="36" t="s">
        <v>153</v>
      </c>
      <c r="D21" s="176"/>
      <c r="E21" s="82">
        <f>'Cost-revenue DATS'!E17-'Cost-revenue NO DATS'!E17</f>
        <v>0</v>
      </c>
      <c r="F21" s="24"/>
      <c r="G21" s="4" t="str">
        <f t="shared" si="0"/>
        <v>analysis_BENEFITS_LABOUR_Cost of labour for greenhouse management</v>
      </c>
      <c r="H21" s="4" t="s">
        <v>1792</v>
      </c>
      <c r="J21" s="71"/>
    </row>
    <row r="22" spans="1:10" ht="31.5">
      <c r="A22" s="33" t="s">
        <v>204</v>
      </c>
      <c r="B22" s="44" t="s">
        <v>208</v>
      </c>
      <c r="C22" s="36" t="s">
        <v>370</v>
      </c>
      <c r="D22" s="176"/>
      <c r="E22" s="82">
        <f>'Cost-revenue DATS'!E18-'Cost-revenue NO DATS'!E18</f>
        <v>0</v>
      </c>
      <c r="F22" s="24"/>
      <c r="G22" s="4" t="str">
        <f t="shared" si="0"/>
        <v xml:space="preserve">analysis_BENEFITS_LABOUR_Cost of labour for tracking the quantity of grain available in the silo </v>
      </c>
      <c r="H22" s="4" t="s">
        <v>1793</v>
      </c>
      <c r="J22" s="71"/>
    </row>
    <row r="23" spans="1:10" ht="30">
      <c r="A23" s="33" t="s">
        <v>204</v>
      </c>
      <c r="B23" s="44" t="s">
        <v>209</v>
      </c>
      <c r="C23" s="36" t="s">
        <v>370</v>
      </c>
      <c r="D23" s="176"/>
      <c r="E23" s="82">
        <f>'Cost-revenue DATS'!E19-'Cost-revenue NO DATS'!E19</f>
        <v>0</v>
      </c>
      <c r="F23" s="24"/>
      <c r="G23" s="4" t="str">
        <f t="shared" si="0"/>
        <v>analysis_BENEFITS_LABOUR_Cost of labour for assessing grain quality</v>
      </c>
      <c r="H23" s="4" t="s">
        <v>1794</v>
      </c>
    </row>
    <row r="24" spans="1:10" ht="31.5">
      <c r="A24" s="33" t="s">
        <v>204</v>
      </c>
      <c r="B24" s="44" t="s">
        <v>210</v>
      </c>
      <c r="C24" s="36" t="s">
        <v>370</v>
      </c>
      <c r="D24" s="176"/>
      <c r="E24" s="82">
        <f>'Cost-revenue DATS'!E20-'Cost-revenue NO DATS'!E20</f>
        <v>0</v>
      </c>
      <c r="F24" s="24"/>
      <c r="G24" s="4" t="str">
        <f t="shared" si="0"/>
        <v>analysis_BENEFITS_LABOUR_Cost of labour for controlling purchase and sale prices and quantities</v>
      </c>
      <c r="H24" s="4" t="s">
        <v>1795</v>
      </c>
    </row>
    <row r="25" spans="1:10">
      <c r="A25" s="33" t="s">
        <v>204</v>
      </c>
      <c r="B25" s="44" t="s">
        <v>211</v>
      </c>
      <c r="C25" s="36" t="s">
        <v>370</v>
      </c>
      <c r="D25" s="176"/>
      <c r="E25" s="82">
        <f>'Cost-revenue DATS'!E21-'Cost-revenue NO DATS'!E21</f>
        <v>0</v>
      </c>
      <c r="F25" s="24"/>
      <c r="G25" s="4" t="str">
        <f t="shared" si="0"/>
        <v xml:space="preserve">analysis_BENEFITS_LABOUR_Cost of labour for organise logistics </v>
      </c>
      <c r="H25" s="4" t="s">
        <v>1796</v>
      </c>
    </row>
    <row r="26" spans="1:10">
      <c r="A26" s="33" t="s">
        <v>204</v>
      </c>
      <c r="B26" s="44" t="s">
        <v>212</v>
      </c>
      <c r="C26" s="36" t="s">
        <v>376</v>
      </c>
      <c r="D26" s="176"/>
      <c r="E26" s="82">
        <f>'Cost-revenue DATS'!E22-'Cost-revenue NO DATS'!E22</f>
        <v>0</v>
      </c>
      <c r="F26" s="24"/>
      <c r="G26" s="4" t="str">
        <f t="shared" si="0"/>
        <v>analysis_BENEFITS_LABOUR_Cost of labour for cleaning</v>
      </c>
      <c r="H26" s="4" t="s">
        <v>1797</v>
      </c>
    </row>
    <row r="27" spans="1:10">
      <c r="A27" s="33" t="s">
        <v>204</v>
      </c>
      <c r="B27" s="44" t="s">
        <v>213</v>
      </c>
      <c r="C27" s="36" t="s">
        <v>376</v>
      </c>
      <c r="D27" s="176"/>
      <c r="E27" s="82">
        <f>'Cost-revenue DATS'!E23-'Cost-revenue NO DATS'!E23</f>
        <v>0</v>
      </c>
      <c r="F27" s="24"/>
      <c r="G27" s="4" t="str">
        <f t="shared" si="0"/>
        <v xml:space="preserve">analysis_BENEFITS_LABOUR_Cost of labour for stable visits </v>
      </c>
      <c r="H27" s="4" t="s">
        <v>1798</v>
      </c>
    </row>
    <row r="28" spans="1:10">
      <c r="A28" s="33" t="s">
        <v>204</v>
      </c>
      <c r="B28" s="44" t="s">
        <v>214</v>
      </c>
      <c r="C28" s="36" t="s">
        <v>376</v>
      </c>
      <c r="D28" s="176"/>
      <c r="E28" s="82">
        <f>'Cost-revenue DATS'!E24-'Cost-revenue NO DATS'!E24</f>
        <v>0</v>
      </c>
      <c r="F28" s="24"/>
      <c r="G28" s="4" t="str">
        <f t="shared" si="0"/>
        <v xml:space="preserve">analysis_BENEFITS_LABOUR_Cost of labour for heat detection </v>
      </c>
      <c r="H28" s="4" t="s">
        <v>1799</v>
      </c>
    </row>
    <row r="29" spans="1:10">
      <c r="A29" s="33" t="s">
        <v>204</v>
      </c>
      <c r="B29" s="44" t="s">
        <v>215</v>
      </c>
      <c r="C29" s="36" t="s">
        <v>376</v>
      </c>
      <c r="D29" s="176"/>
      <c r="E29" s="82">
        <f>'Cost-revenue DATS'!E25-'Cost-revenue NO DATS'!E25</f>
        <v>0</v>
      </c>
      <c r="F29" s="24"/>
      <c r="G29" s="4" t="str">
        <f t="shared" si="0"/>
        <v xml:space="preserve">analysis_BENEFITS_LABOUR_Cost of labour for calving detection </v>
      </c>
      <c r="H29" s="4" t="s">
        <v>1800</v>
      </c>
    </row>
    <row r="30" spans="1:10">
      <c r="A30" s="33" t="s">
        <v>204</v>
      </c>
      <c r="B30" s="44" t="s">
        <v>216</v>
      </c>
      <c r="C30" s="36" t="s">
        <v>376</v>
      </c>
      <c r="D30" s="176"/>
      <c r="E30" s="82">
        <f>'Cost-revenue DATS'!E26-'Cost-revenue NO DATS'!E26</f>
        <v>0</v>
      </c>
      <c r="F30" s="24"/>
      <c r="G30" s="4" t="str">
        <f t="shared" si="0"/>
        <v xml:space="preserve">analysis_BENEFITS_LABOUR_Cost of labour for pigsty management </v>
      </c>
      <c r="H30" s="4" t="s">
        <v>1801</v>
      </c>
    </row>
    <row r="31" spans="1:10">
      <c r="A31" s="33" t="s">
        <v>204</v>
      </c>
      <c r="B31" s="44" t="s">
        <v>453</v>
      </c>
      <c r="C31" s="36" t="s">
        <v>376</v>
      </c>
      <c r="D31" s="176"/>
      <c r="E31" s="82">
        <f>'Cost-revenue DATS'!E27-'Cost-revenue NO DATS'!E27</f>
        <v>0</v>
      </c>
      <c r="F31" s="24"/>
      <c r="G31" s="4" t="str">
        <f t="shared" si="0"/>
        <v>analysis_BENEFITS_LABOUR_Cost of labour formilking</v>
      </c>
      <c r="H31" s="4" t="s">
        <v>1802</v>
      </c>
    </row>
    <row r="32" spans="1:10" ht="30">
      <c r="A32" s="33" t="s">
        <v>204</v>
      </c>
      <c r="B32" s="44" t="s">
        <v>217</v>
      </c>
      <c r="C32" s="36" t="s">
        <v>376</v>
      </c>
      <c r="D32" s="176"/>
      <c r="E32" s="82">
        <f>'Cost-revenue DATS'!E28-'Cost-revenue NO DATS'!E28</f>
        <v>0</v>
      </c>
      <c r="F32" s="24"/>
      <c r="G32" s="4" t="str">
        <f t="shared" si="0"/>
        <v>analysis_BENEFITS_LABOUR_Cost of labour for (milk) quality assessment</v>
      </c>
      <c r="H32" s="4" t="s">
        <v>1803</v>
      </c>
    </row>
    <row r="33" spans="1:10">
      <c r="A33" s="33" t="s">
        <v>204</v>
      </c>
      <c r="B33" s="44" t="s">
        <v>218</v>
      </c>
      <c r="C33" s="36" t="s">
        <v>376</v>
      </c>
      <c r="D33" s="176"/>
      <c r="E33" s="82">
        <f>'Cost-revenue DATS'!E29-'Cost-revenue NO DATS'!E29</f>
        <v>0</v>
      </c>
      <c r="F33" s="24"/>
      <c r="G33" s="4" t="str">
        <f t="shared" si="0"/>
        <v xml:space="preserve">analysis_BENEFITS_LABOUR_Cost of labour for feeding </v>
      </c>
      <c r="H33" s="4" t="s">
        <v>1804</v>
      </c>
    </row>
    <row r="34" spans="1:10">
      <c r="A34" s="33" t="s">
        <v>204</v>
      </c>
      <c r="B34" s="44" t="s">
        <v>219</v>
      </c>
      <c r="C34" s="36" t="s">
        <v>377</v>
      </c>
      <c r="D34" s="176"/>
      <c r="E34" s="82">
        <f>'Cost-revenue DATS'!E30-'Cost-revenue NO DATS'!E30</f>
        <v>0</v>
      </c>
      <c r="F34" s="24"/>
      <c r="G34" s="4" t="str">
        <f t="shared" si="0"/>
        <v xml:space="preserve">analysis_BENEFITS_LABOUR_Cost of labour for beehives visits </v>
      </c>
      <c r="H34" s="4" t="s">
        <v>1805</v>
      </c>
    </row>
    <row r="35" spans="1:10">
      <c r="A35" s="33" t="s">
        <v>204</v>
      </c>
      <c r="B35" s="44" t="s">
        <v>220</v>
      </c>
      <c r="C35" s="36" t="s">
        <v>378</v>
      </c>
      <c r="D35" s="176"/>
      <c r="E35" s="82">
        <f>'Cost-revenue DATS'!E31-'Cost-revenue NO DATS'!E31</f>
        <v>0</v>
      </c>
      <c r="F35" s="24"/>
      <c r="G35" s="4" t="str">
        <f t="shared" si="0"/>
        <v xml:space="preserve">analysis_BENEFITS_LABOUR_Cost of labour for sampling of oysters </v>
      </c>
      <c r="H35" s="4" t="s">
        <v>1806</v>
      </c>
    </row>
    <row r="36" spans="1:10" ht="30">
      <c r="A36" s="33" t="s">
        <v>204</v>
      </c>
      <c r="B36" s="44" t="s">
        <v>221</v>
      </c>
      <c r="C36" s="36" t="s">
        <v>378</v>
      </c>
      <c r="D36" s="176"/>
      <c r="E36" s="82">
        <f>'Cost-revenue DATS'!E32-'Cost-revenue NO DATS'!E32</f>
        <v>0</v>
      </c>
      <c r="F36" s="24"/>
      <c r="G36" s="4" t="str">
        <f t="shared" si="0"/>
        <v xml:space="preserve">analysis_BENEFITS_LABOUR_Cost of labour for transporting oysters to the laboratory  </v>
      </c>
      <c r="H36" s="4" t="s">
        <v>1807</v>
      </c>
    </row>
    <row r="37" spans="1:10">
      <c r="A37" s="33" t="s">
        <v>204</v>
      </c>
      <c r="B37" s="44" t="s">
        <v>458</v>
      </c>
      <c r="C37" s="36" t="s">
        <v>378</v>
      </c>
      <c r="D37" s="176"/>
      <c r="E37" s="82">
        <f>'Cost-revenue DATS'!E33-'Cost-revenue NO DATS'!E33</f>
        <v>0</v>
      </c>
      <c r="F37" s="24"/>
      <c r="G37" s="4" t="str">
        <f t="shared" si="0"/>
        <v xml:space="preserve">analysis_BENEFITS_LABOUR_Cost of labour for harvesting </v>
      </c>
      <c r="H37" s="4" t="s">
        <v>1808</v>
      </c>
    </row>
    <row r="38" spans="1:10">
      <c r="A38" s="33" t="s">
        <v>204</v>
      </c>
      <c r="B38" s="44" t="s">
        <v>375</v>
      </c>
      <c r="C38" s="36" t="s">
        <v>378</v>
      </c>
      <c r="D38" s="176"/>
      <c r="E38" s="82">
        <f>'Cost-revenue DATS'!E34-'Cost-revenue NO DATS'!E34</f>
        <v>0</v>
      </c>
      <c r="F38" s="24"/>
      <c r="G38" s="4" t="str">
        <f t="shared" si="0"/>
        <v xml:space="preserve">analysis_BENEFITS_LABOUR_Cost of labour for storage </v>
      </c>
      <c r="H38" s="4" t="s">
        <v>1809</v>
      </c>
    </row>
    <row r="39" spans="1:10" ht="30">
      <c r="A39" s="33" t="s">
        <v>204</v>
      </c>
      <c r="B39" s="44" t="s">
        <v>372</v>
      </c>
      <c r="C39" s="36" t="s">
        <v>379</v>
      </c>
      <c r="D39" s="176"/>
      <c r="E39" s="82">
        <f>'Cost-revenue DATS'!E35-'Cost-revenue NO DATS'!E35</f>
        <v>0</v>
      </c>
      <c r="F39" s="24"/>
      <c r="G39" s="4" t="str">
        <f t="shared" si="0"/>
        <v xml:space="preserve">analysis_BENEFITS_LABOUR_Administrative activities, data collection, etc. </v>
      </c>
      <c r="H39" s="4" t="s">
        <v>1810</v>
      </c>
    </row>
    <row r="40" spans="1:10">
      <c r="A40" s="45" t="s">
        <v>474</v>
      </c>
      <c r="B40" s="45" t="s">
        <v>473</v>
      </c>
      <c r="C40" s="81" t="str">
        <f>'Cost-revenue DATS'!D36</f>
        <v>€/l milk</v>
      </c>
      <c r="D40" s="177"/>
      <c r="E40" s="83" cm="1">
        <f t="array" ref="E40">SUM(IF(ISNUMBER(E8:E39),E8:E39,0))</f>
        <v>-15</v>
      </c>
      <c r="F40" s="24"/>
      <c r="G40" s="4" t="str">
        <f t="shared" si="0"/>
        <v>analysis_BENEFITS_TOT Costs_Sum of costs</v>
      </c>
      <c r="H40" s="4" t="s">
        <v>1811</v>
      </c>
    </row>
    <row r="41" spans="1:10">
      <c r="A41" s="80" t="s">
        <v>472</v>
      </c>
      <c r="H41" s="4" t="s">
        <v>1812</v>
      </c>
    </row>
    <row r="42" spans="1:10">
      <c r="A42" s="47" t="s">
        <v>178</v>
      </c>
      <c r="B42" s="47" t="s">
        <v>155</v>
      </c>
      <c r="C42" s="47" t="s">
        <v>150</v>
      </c>
      <c r="D42" s="47"/>
      <c r="E42" s="47" t="s">
        <v>206</v>
      </c>
      <c r="F42" s="47"/>
      <c r="G42" s="47" t="s">
        <v>466</v>
      </c>
      <c r="H42" s="4" t="s">
        <v>1813</v>
      </c>
      <c r="J42" s="3"/>
    </row>
    <row r="43" spans="1:10">
      <c r="A43" s="40" t="s">
        <v>125</v>
      </c>
      <c r="B43" s="41" t="s">
        <v>479</v>
      </c>
      <c r="C43" s="43" t="s">
        <v>153</v>
      </c>
      <c r="D43" s="178"/>
      <c r="E43" s="24">
        <f>'Cost-revenue DATS'!E42-'Cost-revenue NO DATS'!E42</f>
        <v>0</v>
      </c>
      <c r="F43" s="24"/>
      <c r="G43" s="4" t="str">
        <f>CONCATENATE("analysis","_",$A$41,"_",A43,"_",B43)</f>
        <v>analysis_IMPACT ON REVENUES _OUTPUT_Revenues</v>
      </c>
      <c r="H43" s="4" t="s">
        <v>1814</v>
      </c>
      <c r="J43" s="3"/>
    </row>
    <row r="44" spans="1:10">
      <c r="A44" s="40" t="s">
        <v>125</v>
      </c>
      <c r="B44" s="41" t="s">
        <v>479</v>
      </c>
      <c r="C44" s="43" t="s">
        <v>153</v>
      </c>
      <c r="D44" s="178"/>
      <c r="E44" s="24">
        <f>'Cost-revenue DATS'!E43-'Cost-revenue NO DATS'!E43</f>
        <v>0</v>
      </c>
      <c r="F44" s="24"/>
      <c r="G44" s="4" t="str">
        <f t="shared" ref="G44:G52" si="1">CONCATENATE("analysis","_",$A$41,"_",A44,"_",B44)</f>
        <v>analysis_IMPACT ON REVENUES _OUTPUT_Revenues</v>
      </c>
      <c r="H44" s="4" t="s">
        <v>1815</v>
      </c>
      <c r="J44" s="3"/>
    </row>
    <row r="45" spans="1:10">
      <c r="A45" s="40" t="s">
        <v>125</v>
      </c>
      <c r="B45" s="41" t="s">
        <v>479</v>
      </c>
      <c r="C45" s="43" t="s">
        <v>153</v>
      </c>
      <c r="D45" s="178"/>
      <c r="E45" s="24">
        <f>'Cost-revenue DATS'!E44-'Cost-revenue NO DATS'!E44</f>
        <v>0</v>
      </c>
      <c r="F45" s="24"/>
      <c r="G45" s="4" t="str">
        <f t="shared" si="1"/>
        <v>analysis_IMPACT ON REVENUES _OUTPUT_Revenues</v>
      </c>
      <c r="H45" s="4" t="s">
        <v>1816</v>
      </c>
      <c r="J45" s="3"/>
    </row>
    <row r="46" spans="1:10">
      <c r="A46" s="40" t="s">
        <v>125</v>
      </c>
      <c r="B46" s="41" t="s">
        <v>479</v>
      </c>
      <c r="C46" s="43" t="s">
        <v>153</v>
      </c>
      <c r="D46" s="178"/>
      <c r="E46" s="24">
        <f>'Cost-revenue DATS'!E45-'Cost-revenue NO DATS'!E45</f>
        <v>0</v>
      </c>
      <c r="F46" s="24"/>
      <c r="G46" s="4" t="str">
        <f t="shared" si="1"/>
        <v>analysis_IMPACT ON REVENUES _OUTPUT_Revenues</v>
      </c>
      <c r="H46" s="4" t="s">
        <v>1817</v>
      </c>
      <c r="J46" s="3"/>
    </row>
    <row r="47" spans="1:10">
      <c r="A47" s="40" t="s">
        <v>125</v>
      </c>
      <c r="B47" s="41" t="s">
        <v>479</v>
      </c>
      <c r="C47" s="43" t="s">
        <v>153</v>
      </c>
      <c r="D47" s="178"/>
      <c r="E47" s="24">
        <f>'Cost-revenue DATS'!E46-'Cost-revenue NO DATS'!E46</f>
        <v>0</v>
      </c>
      <c r="F47" s="24"/>
      <c r="G47" s="4" t="str">
        <f t="shared" si="1"/>
        <v>analysis_IMPACT ON REVENUES _OUTPUT_Revenues</v>
      </c>
      <c r="H47" s="4" t="s">
        <v>1818</v>
      </c>
    </row>
    <row r="48" spans="1:10">
      <c r="A48" s="77" t="s">
        <v>470</v>
      </c>
      <c r="B48" s="41" t="s">
        <v>1773</v>
      </c>
      <c r="C48" s="43" t="s">
        <v>153</v>
      </c>
      <c r="D48" s="178"/>
      <c r="E48" s="84">
        <f>SUM(E43:E47)-E40</f>
        <v>15</v>
      </c>
      <c r="F48" s="24"/>
      <c r="G48" s="4" t="str">
        <f t="shared" si="1"/>
        <v>analysis_IMPACT ON REVENUES _BENEFIT_total</v>
      </c>
      <c r="H48" s="4" t="s">
        <v>1819</v>
      </c>
      <c r="I48"/>
    </row>
    <row r="49" spans="1:9">
      <c r="A49" s="77" t="s">
        <v>481</v>
      </c>
      <c r="B49" s="41" t="s">
        <v>1773</v>
      </c>
      <c r="C49" s="43" t="s">
        <v>153</v>
      </c>
      <c r="D49" s="178"/>
      <c r="E49" s="84">
        <f>SUM(E44:E48)-E41-E3</f>
        <v>13</v>
      </c>
      <c r="G49" s="4" t="str">
        <f t="shared" si="1"/>
        <v>analysis_IMPACT ON REVENUES _NET BENEFIT_total</v>
      </c>
      <c r="H49" s="4" t="s">
        <v>1820</v>
      </c>
      <c r="I49"/>
    </row>
    <row r="50" spans="1:9">
      <c r="A50" s="77" t="s">
        <v>482</v>
      </c>
      <c r="B50" s="41" t="s">
        <v>1773</v>
      </c>
      <c r="C50" s="43" t="s">
        <v>485</v>
      </c>
      <c r="D50" s="178"/>
      <c r="E50" s="84"/>
      <c r="G50" s="4" t="str">
        <f t="shared" si="1"/>
        <v>analysis_IMPACT ON REVENUES _PAYBACK PERIOD_total</v>
      </c>
      <c r="H50" s="4" t="s">
        <v>1821</v>
      </c>
      <c r="I50"/>
    </row>
    <row r="51" spans="1:9">
      <c r="A51" s="77" t="s">
        <v>483</v>
      </c>
      <c r="B51" s="41" t="s">
        <v>1773</v>
      </c>
      <c r="C51" s="43" t="s">
        <v>153</v>
      </c>
      <c r="D51" s="178"/>
      <c r="E51" s="84"/>
      <c r="G51" s="4" t="str">
        <f t="shared" si="1"/>
        <v>analysis_IMPACT ON REVENUES _NPV_total</v>
      </c>
      <c r="H51" s="4" t="s">
        <v>1822</v>
      </c>
      <c r="I51"/>
    </row>
    <row r="52" spans="1:9">
      <c r="A52" s="77" t="s">
        <v>484</v>
      </c>
      <c r="B52" s="41" t="s">
        <v>1773</v>
      </c>
      <c r="C52" s="43" t="s">
        <v>153</v>
      </c>
      <c r="D52" s="178"/>
      <c r="E52" s="84"/>
      <c r="G52" s="4" t="str">
        <f t="shared" si="1"/>
        <v>analysis_IMPACT ON REVENUES _ROI_total</v>
      </c>
      <c r="H52" s="4" t="s">
        <v>1823</v>
      </c>
      <c r="I52"/>
    </row>
    <row r="53" spans="1:9">
      <c r="A53" s="29"/>
      <c r="G53"/>
      <c r="H53" s="4" t="s">
        <v>1824</v>
      </c>
      <c r="I53"/>
    </row>
    <row r="54" spans="1:9">
      <c r="A54" s="46" t="s">
        <v>302</v>
      </c>
      <c r="H54" s="4" t="s">
        <v>1825</v>
      </c>
    </row>
    <row r="55" spans="1:9">
      <c r="A55" s="47"/>
      <c r="B55" s="47" t="s">
        <v>155</v>
      </c>
      <c r="C55" s="47" t="s">
        <v>150</v>
      </c>
      <c r="D55" s="47"/>
      <c r="E55" s="47" t="s">
        <v>206</v>
      </c>
      <c r="F55" s="47" t="s">
        <v>114</v>
      </c>
      <c r="G55"/>
      <c r="H55" s="4" t="s">
        <v>1826</v>
      </c>
      <c r="I55"/>
    </row>
    <row r="56" spans="1:9">
      <c r="A56" s="33" t="s">
        <v>302</v>
      </c>
      <c r="B56" s="41" t="s">
        <v>331</v>
      </c>
      <c r="C56" s="43" t="s">
        <v>340</v>
      </c>
      <c r="D56" s="178"/>
      <c r="E56" s="82">
        <f>'sust. impact KPIs DATS'!E3-'sust. impact KPIs NO DATS'!E3</f>
        <v>0</v>
      </c>
      <c r="F56" s="82">
        <f>E56*100/'sust. impact KPIs NO DATS'!E3</f>
        <v>0</v>
      </c>
      <c r="G56" s="4" t="str">
        <f>CONCATENATE("analysis","_",$A$54,"_",A56,"_",B56)</f>
        <v>analysis_PRODUCTIVITY _PRODUCTIVITY _Land Productivity</v>
      </c>
      <c r="H56" s="4" t="s">
        <v>1827</v>
      </c>
      <c r="I56"/>
    </row>
    <row r="57" spans="1:9" ht="31.5">
      <c r="A57" s="33" t="s">
        <v>302</v>
      </c>
      <c r="B57" s="41" t="s">
        <v>431</v>
      </c>
      <c r="C57" s="43" t="s">
        <v>339</v>
      </c>
      <c r="D57" s="178"/>
      <c r="E57" s="82">
        <f>'sust. impact KPIs DATS'!E4-'sust. impact KPIs NO DATS'!E4</f>
        <v>0</v>
      </c>
      <c r="F57" s="82">
        <f>E57*100/'sust. impact KPIs NO DATS'!E4</f>
        <v>0</v>
      </c>
      <c r="G57" s="4" t="str">
        <f t="shared" ref="G57:G65" si="2">CONCATENATE("analysis","_",$A$54,"_",A57,"_",B57)</f>
        <v>analysis_PRODUCTIVITY _PRODUCTIVITY _Labour productivity (arable and horticulture)</v>
      </c>
      <c r="H57" s="4" t="s">
        <v>1828</v>
      </c>
      <c r="I57"/>
    </row>
    <row r="58" spans="1:9">
      <c r="A58" s="33" t="s">
        <v>302</v>
      </c>
      <c r="B58" s="41" t="s">
        <v>432</v>
      </c>
      <c r="C58" s="43" t="s">
        <v>436</v>
      </c>
      <c r="D58" s="178"/>
      <c r="E58" s="24">
        <f>'sust. impact KPIs DATS'!E5-'sust. impact KPIs NO DATS'!E5</f>
        <v>0</v>
      </c>
      <c r="F58" s="24">
        <f>E58*100/'sust. impact KPIs NO DATS'!E5</f>
        <v>0</v>
      </c>
      <c r="G58" s="4" t="str">
        <f t="shared" si="2"/>
        <v>analysis_PRODUCTIVITY _PRODUCTIVITY _Labour productivity (dairy livestock)</v>
      </c>
      <c r="H58" s="4" t="s">
        <v>1829</v>
      </c>
      <c r="I58"/>
    </row>
    <row r="59" spans="1:9">
      <c r="A59" s="33" t="s">
        <v>302</v>
      </c>
      <c r="B59" s="41" t="s">
        <v>433</v>
      </c>
      <c r="C59" s="43" t="s">
        <v>437</v>
      </c>
      <c r="D59" s="178"/>
      <c r="E59" s="24">
        <f>'sust. impact KPIs DATS'!E6-'sust. impact KPIs NO DATS'!E6</f>
        <v>0</v>
      </c>
      <c r="F59" s="24">
        <f>E59*100/'sust. impact KPIs NO DATS'!E6</f>
        <v>0</v>
      </c>
      <c r="G59" s="4" t="str">
        <f t="shared" si="2"/>
        <v>analysis_PRODUCTIVITY _PRODUCTIVITY _Labour productivity  (meat livestock)</v>
      </c>
      <c r="H59" s="4" t="s">
        <v>1830</v>
      </c>
      <c r="I59"/>
    </row>
    <row r="60" spans="1:9">
      <c r="A60" s="33" t="s">
        <v>302</v>
      </c>
      <c r="B60" s="41" t="s">
        <v>434</v>
      </c>
      <c r="C60" s="43" t="s">
        <v>438</v>
      </c>
      <c r="D60" s="178"/>
      <c r="E60" s="24">
        <f>'sust. impact KPIs DATS'!E7-'sust. impact KPIs NO DATS'!E7</f>
        <v>0</v>
      </c>
      <c r="F60" s="24">
        <f>E60*100/'sust. impact KPIs NO DATS'!E7</f>
        <v>0</v>
      </c>
      <c r="G60" s="4" t="str">
        <f t="shared" si="2"/>
        <v>analysis_PRODUCTIVITY _PRODUCTIVITY _Labour productivity  (aquaculture)</v>
      </c>
      <c r="H60" s="4" t="s">
        <v>1831</v>
      </c>
      <c r="I60"/>
    </row>
    <row r="61" spans="1:9">
      <c r="A61" s="33" t="s">
        <v>302</v>
      </c>
      <c r="B61" s="41" t="s">
        <v>435</v>
      </c>
      <c r="C61" s="43" t="s">
        <v>437</v>
      </c>
      <c r="D61" s="178"/>
      <c r="E61" s="24">
        <f>'sust. impact KPIs DATS'!E8-'sust. impact KPIs NO DATS'!E8</f>
        <v>0</v>
      </c>
      <c r="F61" s="24">
        <f>E61*100/'sust. impact KPIs NO DATS'!E8</f>
        <v>0</v>
      </c>
      <c r="G61" s="4" t="str">
        <f t="shared" si="2"/>
        <v>analysis_PRODUCTIVITY _PRODUCTIVITY _Labour productivity  (apiculture)</v>
      </c>
      <c r="H61" s="4" t="s">
        <v>1832</v>
      </c>
      <c r="I61"/>
    </row>
    <row r="62" spans="1:9">
      <c r="A62" s="33" t="s">
        <v>302</v>
      </c>
      <c r="B62" s="41" t="s">
        <v>333</v>
      </c>
      <c r="C62" s="43" t="s">
        <v>342</v>
      </c>
      <c r="D62" s="178"/>
      <c r="E62" s="24">
        <f>'sust. impact KPIs DATS'!E10-'sust. impact KPIs NO DATS'!E10</f>
        <v>0</v>
      </c>
      <c r="F62" s="24">
        <f>E62*100/'sust. impact KPIs NO DATS'!E10</f>
        <v>0</v>
      </c>
      <c r="G62" s="4" t="str">
        <f t="shared" si="2"/>
        <v>analysis_PRODUCTIVITY _PRODUCTIVITY _Milk productivity</v>
      </c>
      <c r="H62" s="4" t="s">
        <v>1833</v>
      </c>
      <c r="I62"/>
    </row>
    <row r="63" spans="1:9">
      <c r="A63" s="33" t="s">
        <v>302</v>
      </c>
      <c r="B63" s="41" t="s">
        <v>338</v>
      </c>
      <c r="C63" s="43" t="s">
        <v>341</v>
      </c>
      <c r="D63" s="178"/>
      <c r="E63" s="24">
        <f>'sust. impact KPIs DATS'!E11-'sust. impact KPIs NO DATS'!E11</f>
        <v>0</v>
      </c>
      <c r="F63" s="24">
        <f>E63*100/'sust. impact KPIs NO DATS'!E11</f>
        <v>0</v>
      </c>
      <c r="G63" s="4" t="str">
        <f t="shared" si="2"/>
        <v xml:space="preserve">analysis_PRODUCTIVITY _PRODUCTIVITY _Meat productivity </v>
      </c>
      <c r="H63" s="4" t="s">
        <v>1834</v>
      </c>
      <c r="I63"/>
    </row>
    <row r="64" spans="1:9">
      <c r="A64" s="33" t="s">
        <v>302</v>
      </c>
      <c r="B64" s="41" t="s">
        <v>335</v>
      </c>
      <c r="C64" s="43" t="s">
        <v>359</v>
      </c>
      <c r="D64" s="178"/>
      <c r="E64" s="24">
        <f>'sust. impact KPIs DATS'!E12-'sust. impact KPIs NO DATS'!E12</f>
        <v>0</v>
      </c>
      <c r="F64" s="24">
        <f>E64*100/'sust. impact KPIs NO DATS'!E12</f>
        <v>0</v>
      </c>
      <c r="G64" s="4" t="str">
        <f t="shared" si="2"/>
        <v>analysis_PRODUCTIVITY _PRODUCTIVITY _Bees productivity</v>
      </c>
      <c r="H64" s="4" t="s">
        <v>1835</v>
      </c>
      <c r="I64"/>
    </row>
    <row r="65" spans="1:9">
      <c r="A65" s="33" t="s">
        <v>302</v>
      </c>
      <c r="B65" s="41" t="s">
        <v>336</v>
      </c>
      <c r="C65" s="43" t="s">
        <v>343</v>
      </c>
      <c r="D65" s="178"/>
      <c r="E65" s="24">
        <f>'sust. impact KPIs DATS'!E13-'sust. impact KPIs NO DATS'!E13</f>
        <v>0</v>
      </c>
      <c r="F65" s="24">
        <f>E65*100/'sust. impact KPIs NO DATS'!E13</f>
        <v>0</v>
      </c>
      <c r="G65" s="4" t="str">
        <f t="shared" si="2"/>
        <v>analysis_PRODUCTIVITY _PRODUCTIVITY _Oyster productivity</v>
      </c>
      <c r="H65" s="4" t="s">
        <v>1836</v>
      </c>
      <c r="I65"/>
    </row>
    <row r="66" spans="1:9">
      <c r="F66" s="24"/>
      <c r="G66"/>
      <c r="H66" s="4" t="s">
        <v>1837</v>
      </c>
      <c r="I66"/>
    </row>
    <row r="67" spans="1:9">
      <c r="A67" s="46" t="s">
        <v>344</v>
      </c>
      <c r="F67" s="24"/>
      <c r="G67"/>
      <c r="H67" s="4" t="s">
        <v>1838</v>
      </c>
      <c r="I67"/>
    </row>
    <row r="68" spans="1:9">
      <c r="A68" s="47"/>
      <c r="B68" s="47" t="s">
        <v>155</v>
      </c>
      <c r="C68" s="47" t="s">
        <v>150</v>
      </c>
      <c r="D68" s="47"/>
      <c r="E68" s="47" t="s">
        <v>206</v>
      </c>
      <c r="F68" s="47" t="s">
        <v>114</v>
      </c>
      <c r="G68"/>
      <c r="H68" s="4" t="s">
        <v>1839</v>
      </c>
      <c r="I68"/>
    </row>
    <row r="69" spans="1:9">
      <c r="A69" s="33" t="s">
        <v>344</v>
      </c>
      <c r="B69" s="41" t="s">
        <v>345</v>
      </c>
      <c r="C69" s="43" t="s">
        <v>114</v>
      </c>
      <c r="D69" s="178"/>
      <c r="E69" s="24">
        <f>'sust. impact KPIs DATS'!E17-'sust. impact KPIs NO DATS'!E17</f>
        <v>0</v>
      </c>
      <c r="F69" s="24">
        <f>E69*100/'sust. impact KPIs NO DATS'!E17</f>
        <v>0</v>
      </c>
      <c r="G69" s="4" t="str">
        <f>CONCATENATE("analysis","_",$A$67,"_",A69,"_",B69)</f>
        <v>analysis_EFFICIENCY _EFFICIENCY _Rate of time for quality analysis</v>
      </c>
      <c r="H69" s="4" t="s">
        <v>1840</v>
      </c>
      <c r="I69"/>
    </row>
    <row r="70" spans="1:9">
      <c r="A70" s="33" t="s">
        <v>344</v>
      </c>
      <c r="B70" s="41" t="s">
        <v>347</v>
      </c>
      <c r="C70" s="43" t="s">
        <v>114</v>
      </c>
      <c r="D70" s="178"/>
      <c r="E70" s="24">
        <f>'sust. impact KPIs DATS'!E18-'sust. impact KPIs NO DATS'!E18</f>
        <v>0</v>
      </c>
      <c r="F70" s="24">
        <f>E70*100/'sust. impact KPIs NO DATS'!E18</f>
        <v>0</v>
      </c>
      <c r="G70" s="4" t="str">
        <f t="shared" ref="G70:G71" si="3">CONCATENATE("analysis","_",$A$67,"_",A70,"_",B70)</f>
        <v>analysis_EFFICIENCY _EFFICIENCY _Rate of on-time fulfilled orders</v>
      </c>
      <c r="H70" s="4" t="s">
        <v>1841</v>
      </c>
      <c r="I70"/>
    </row>
    <row r="71" spans="1:9">
      <c r="A71" s="33" t="s">
        <v>344</v>
      </c>
      <c r="B71" s="41" t="s">
        <v>349</v>
      </c>
      <c r="C71" s="43" t="s">
        <v>122</v>
      </c>
      <c r="D71" s="178"/>
      <c r="E71" s="24">
        <f>'sust. impact KPIs DATS'!E19-'sust. impact KPIs NO DATS'!E19</f>
        <v>0</v>
      </c>
      <c r="F71" s="24">
        <f>E71*100/'sust. impact KPIs NO DATS'!E19</f>
        <v>0</v>
      </c>
      <c r="G71" s="4" t="str">
        <f t="shared" si="3"/>
        <v>analysis_EFFICIENCY _EFFICIENCY _Number of wrong orders</v>
      </c>
      <c r="H71" s="4" t="s">
        <v>1842</v>
      </c>
      <c r="I71"/>
    </row>
    <row r="72" spans="1:9">
      <c r="F72" s="24"/>
      <c r="G72"/>
      <c r="H72" s="4" t="s">
        <v>1843</v>
      </c>
      <c r="I72"/>
    </row>
    <row r="73" spans="1:9">
      <c r="A73" s="46" t="s">
        <v>350</v>
      </c>
      <c r="F73" s="24"/>
      <c r="G73"/>
      <c r="H73" s="4" t="s">
        <v>1844</v>
      </c>
      <c r="I73"/>
    </row>
    <row r="74" spans="1:9">
      <c r="A74" s="47"/>
      <c r="B74" s="47" t="s">
        <v>155</v>
      </c>
      <c r="C74" s="47" t="s">
        <v>150</v>
      </c>
      <c r="D74" s="47"/>
      <c r="E74" s="47" t="s">
        <v>206</v>
      </c>
      <c r="F74" s="47" t="s">
        <v>114</v>
      </c>
      <c r="G74"/>
      <c r="H74" s="4" t="s">
        <v>1845</v>
      </c>
      <c r="I74"/>
    </row>
    <row r="75" spans="1:9">
      <c r="A75" s="33" t="s">
        <v>1772</v>
      </c>
      <c r="B75" s="41" t="s">
        <v>351</v>
      </c>
      <c r="C75" s="43"/>
      <c r="D75" s="178"/>
      <c r="E75" s="24">
        <f>'sust. impact KPIs DATS'!E23-'sust. impact KPIs NO DATS'!E23</f>
        <v>0</v>
      </c>
      <c r="F75" s="24" t="e">
        <f>E75*100/'sust. impact KPIs NO DATS'!E23</f>
        <v>#DIV/0!</v>
      </c>
      <c r="G75" s="4" t="str">
        <f>CONCATENATE("analysis","_",$A$73,"_",A75,"_",B75)</f>
        <v xml:space="preserve">analysis_PRODUCT QUALITY  _product_Intrinsic product quality </v>
      </c>
      <c r="H75" s="4" t="s">
        <v>1846</v>
      </c>
      <c r="I75"/>
    </row>
    <row r="76" spans="1:9">
      <c r="A76" s="33" t="s">
        <v>1772</v>
      </c>
      <c r="B76" s="41" t="s">
        <v>394</v>
      </c>
      <c r="C76" s="43" t="s">
        <v>114</v>
      </c>
      <c r="D76" s="178"/>
      <c r="E76" s="24">
        <f>'sust. impact KPIs DATS'!E24-'sust. impact KPIs NO DATS'!E24</f>
        <v>0</v>
      </c>
      <c r="F76" s="24">
        <f>E76*100/'sust. impact KPIs NO DATS'!E24</f>
        <v>0</v>
      </c>
      <c r="G76" s="4" t="str">
        <f t="shared" ref="G76:G78" si="4">CONCATENATE("analysis","_",$A$73,"_",A76,"_",B76)</f>
        <v>analysis_PRODUCT QUALITY  _product_Protein % DRY MATTER</v>
      </c>
      <c r="H76" s="4" t="s">
        <v>1847</v>
      </c>
      <c r="I76"/>
    </row>
    <row r="77" spans="1:9">
      <c r="A77" s="33" t="s">
        <v>1772</v>
      </c>
      <c r="B77" s="41" t="s">
        <v>395</v>
      </c>
      <c r="C77" s="43" t="s">
        <v>114</v>
      </c>
      <c r="D77" s="178"/>
      <c r="E77" s="24" t="e">
        <f>'sust. impact KPIs DATS'!E25-'sust. impact KPIs NO DATS'!E25</f>
        <v>#REF!</v>
      </c>
      <c r="F77" s="24" t="e">
        <f>E77*100/'sust. impact KPIs NO DATS'!E25</f>
        <v>#REF!</v>
      </c>
      <c r="G77" s="4" t="str">
        <f t="shared" si="4"/>
        <v>analysis_PRODUCT QUALITY  _product_Humidity</v>
      </c>
      <c r="H77" s="4" t="s">
        <v>1848</v>
      </c>
      <c r="I77"/>
    </row>
    <row r="78" spans="1:9">
      <c r="A78" s="33" t="s">
        <v>1772</v>
      </c>
      <c r="B78" s="41" t="s">
        <v>396</v>
      </c>
      <c r="C78" s="43" t="s">
        <v>397</v>
      </c>
      <c r="D78" s="178"/>
      <c r="E78" s="24" t="e">
        <f>'sust. impact KPIs DATS'!E26-'sust. impact KPIs NO DATS'!E26</f>
        <v>#REF!</v>
      </c>
      <c r="F78" s="24" t="e">
        <f>E78*100/'sust. impact KPIs NO DATS'!E26</f>
        <v>#REF!</v>
      </c>
      <c r="G78" s="4" t="str">
        <f t="shared" si="4"/>
        <v xml:space="preserve">analysis_PRODUCT QUALITY  _product_Test Weight </v>
      </c>
      <c r="H78" s="4" t="s">
        <v>1849</v>
      </c>
      <c r="I78"/>
    </row>
    <row r="79" spans="1:9">
      <c r="F79" s="24"/>
      <c r="G79"/>
      <c r="H79" s="4" t="s">
        <v>1850</v>
      </c>
      <c r="I79"/>
    </row>
    <row r="80" spans="1:9" ht="30.75" thickBot="1">
      <c r="A80" s="49" t="s">
        <v>240</v>
      </c>
      <c r="B80" s="24"/>
      <c r="F80" s="24"/>
      <c r="H80" s="4" t="s">
        <v>1851</v>
      </c>
    </row>
    <row r="81" spans="1:11">
      <c r="A81" s="47" t="s">
        <v>241</v>
      </c>
      <c r="B81" s="47" t="s">
        <v>155</v>
      </c>
      <c r="C81" s="47" t="s">
        <v>150</v>
      </c>
      <c r="D81" s="47"/>
      <c r="E81" s="47" t="s">
        <v>206</v>
      </c>
      <c r="F81" s="47" t="s">
        <v>114</v>
      </c>
      <c r="H81" s="4" t="s">
        <v>1852</v>
      </c>
    </row>
    <row r="82" spans="1:11">
      <c r="A82" s="33" t="s">
        <v>191</v>
      </c>
      <c r="B82" s="41" t="s">
        <v>17</v>
      </c>
      <c r="C82" s="43" t="s">
        <v>157</v>
      </c>
      <c r="D82" s="178"/>
      <c r="E82" s="82">
        <f>'sust. impact KPIs DATS'!E30-'sust. impact KPIs NO DATS'!E30</f>
        <v>0</v>
      </c>
      <c r="F82" s="82">
        <f>E82*100/'sust. impact KPIs NO DATS'!E30</f>
        <v>0</v>
      </c>
      <c r="G82" s="4" t="str">
        <f>CONCATENATE("analysis","_",$A$80,"_",A82,"_",B82)</f>
        <v>analysis_ENVIRONMENTAL ANALYSIS _FERTILISER_Nitrogen applied</v>
      </c>
      <c r="H82" s="4" t="s">
        <v>1853</v>
      </c>
    </row>
    <row r="83" spans="1:11">
      <c r="A83" s="33" t="s">
        <v>191</v>
      </c>
      <c r="B83" s="41" t="s">
        <v>18</v>
      </c>
      <c r="C83" s="43" t="s">
        <v>114</v>
      </c>
      <c r="D83" s="178"/>
      <c r="E83" s="82">
        <f>'sust. impact KPIs DATS'!E31-'sust. impact KPIs NO DATS'!E31</f>
        <v>0</v>
      </c>
      <c r="F83" s="82"/>
      <c r="G83" s="4" t="str">
        <f t="shared" ref="G83:G108" si="5">CONCATENATE("analysis","_",$A$80,"_",A83,"_",B83)</f>
        <v>analysis_ENVIRONMENTAL ANALYSIS _FERTILISER_Nitrogen use efficiency</v>
      </c>
      <c r="H83" s="4" t="s">
        <v>1854</v>
      </c>
    </row>
    <row r="84" spans="1:11">
      <c r="A84" s="33" t="s">
        <v>191</v>
      </c>
      <c r="B84" s="41" t="s">
        <v>19</v>
      </c>
      <c r="C84" s="43" t="s">
        <v>157</v>
      </c>
      <c r="D84" s="178"/>
      <c r="E84" s="82">
        <f>'sust. impact KPIs DATS'!E32-'sust. impact KPIs NO DATS'!E32</f>
        <v>0</v>
      </c>
      <c r="F84" s="82">
        <f>E84*100/'sust. impact KPIs NO DATS'!E32</f>
        <v>0</v>
      </c>
      <c r="G84" s="4" t="str">
        <f t="shared" si="5"/>
        <v>analysis_ENVIRONMENTAL ANALYSIS _FERTILISER_Phosphorus applied</v>
      </c>
      <c r="H84" s="4" t="s">
        <v>1855</v>
      </c>
    </row>
    <row r="85" spans="1:11">
      <c r="A85" s="33" t="s">
        <v>191</v>
      </c>
      <c r="B85" s="41" t="s">
        <v>20</v>
      </c>
      <c r="C85" s="43" t="s">
        <v>114</v>
      </c>
      <c r="D85" s="178"/>
      <c r="E85" s="82">
        <f>'sust. impact KPIs DATS'!E33-'sust. impact KPIs NO DATS'!E33</f>
        <v>0</v>
      </c>
      <c r="F85" s="82"/>
      <c r="G85" s="4" t="str">
        <f t="shared" si="5"/>
        <v>analysis_ENVIRONMENTAL ANALYSIS _FERTILISER_Phosphorus use efficiency</v>
      </c>
      <c r="H85" s="4" t="s">
        <v>1856</v>
      </c>
      <c r="J85" s="3"/>
      <c r="K85" s="1"/>
    </row>
    <row r="86" spans="1:11">
      <c r="A86" s="33" t="s">
        <v>191</v>
      </c>
      <c r="B86" s="41" t="s">
        <v>322</v>
      </c>
      <c r="C86" s="43" t="s">
        <v>157</v>
      </c>
      <c r="D86" s="178"/>
      <c r="E86" s="82">
        <f>'sust. impact KPIs DATS'!E34-'sust. impact KPIs NO DATS'!E34</f>
        <v>0</v>
      </c>
      <c r="F86" s="82">
        <f>E86*100/'sust. impact KPIs NO DATS'!E34</f>
        <v>0</v>
      </c>
      <c r="G86" s="4" t="str">
        <f t="shared" si="5"/>
        <v>analysis_ENVIRONMENTAL ANALYSIS _FERTILISER_Potassium applied</v>
      </c>
      <c r="H86" s="4" t="s">
        <v>1857</v>
      </c>
      <c r="J86" s="3"/>
      <c r="K86" s="1"/>
    </row>
    <row r="87" spans="1:11">
      <c r="A87" s="33" t="s">
        <v>191</v>
      </c>
      <c r="B87" s="41" t="s">
        <v>309</v>
      </c>
      <c r="C87" s="43" t="s">
        <v>114</v>
      </c>
      <c r="D87" s="178"/>
      <c r="E87" s="82">
        <f>'sust. impact KPIs DATS'!E35-'sust. impact KPIs NO DATS'!E35</f>
        <v>0</v>
      </c>
      <c r="F87" s="82"/>
      <c r="G87" s="4" t="str">
        <f t="shared" si="5"/>
        <v>analysis_ENVIRONMENTAL ANALYSIS _FERTILISER_Potassium use efficiency</v>
      </c>
      <c r="H87" s="4" t="s">
        <v>1858</v>
      </c>
      <c r="J87" s="3"/>
      <c r="K87" s="1"/>
    </row>
    <row r="88" spans="1:11" ht="31.5">
      <c r="A88" s="33" t="s">
        <v>189</v>
      </c>
      <c r="B88" s="41" t="s">
        <v>323</v>
      </c>
      <c r="C88" s="43" t="s">
        <v>157</v>
      </c>
      <c r="D88" s="178"/>
      <c r="E88" s="82">
        <f>'sust. impact KPIs DATS'!E36-'sust. impact KPIs NO DATS'!E36</f>
        <v>0</v>
      </c>
      <c r="F88" s="82">
        <f>E88*100/'sust. impact KPIs NO DATS'!E36</f>
        <v>0</v>
      </c>
      <c r="G88" s="4" t="str">
        <f t="shared" si="5"/>
        <v>analysis_ENVIRONMENTAL ANALYSIS _PESTICIDE _pesticides, herbicides and fungicides use</v>
      </c>
      <c r="H88" s="4" t="s">
        <v>1859</v>
      </c>
      <c r="J88" s="3"/>
      <c r="K88" s="1"/>
    </row>
    <row r="89" spans="1:11" ht="31.5">
      <c r="A89" s="33" t="s">
        <v>0</v>
      </c>
      <c r="B89" s="41" t="s">
        <v>305</v>
      </c>
      <c r="C89" s="43" t="s">
        <v>242</v>
      </c>
      <c r="D89" s="178"/>
      <c r="E89" s="82">
        <f>'sust. impact KPIs DATS'!E37-'sust. impact KPIs NO DATS'!E37</f>
        <v>0</v>
      </c>
      <c r="F89" s="82">
        <f>E89*100/'sust. impact KPIs NO DATS'!E37</f>
        <v>0</v>
      </c>
      <c r="G89" s="4" t="str">
        <f t="shared" si="5"/>
        <v xml:space="preserve">analysis_ENVIRONMENTAL ANALYSIS _WATER _Arable and horticulture water consumption </v>
      </c>
      <c r="H89" s="4" t="s">
        <v>1860</v>
      </c>
      <c r="J89" s="3"/>
      <c r="K89" s="1"/>
    </row>
    <row r="90" spans="1:11">
      <c r="A90" s="33" t="s">
        <v>0</v>
      </c>
      <c r="B90" s="41" t="s">
        <v>306</v>
      </c>
      <c r="C90" s="43" t="s">
        <v>330</v>
      </c>
      <c r="D90" s="178"/>
      <c r="E90" s="82" t="e">
        <f>'sust. impact KPIs DATS'!E38-'sust. impact KPIs NO DATS'!E38</f>
        <v>#REF!</v>
      </c>
      <c r="F90" s="82" t="e">
        <f>E90*100/'sust. impact KPIs NO DATS'!E38</f>
        <v>#REF!</v>
      </c>
      <c r="G90" s="4" t="str">
        <f t="shared" si="5"/>
        <v>analysis_ENVIRONMENTAL ANALYSIS _WATER _Aquaculture water consumption</v>
      </c>
      <c r="H90" s="4" t="s">
        <v>1861</v>
      </c>
      <c r="J90" s="3"/>
      <c r="K90" s="1"/>
    </row>
    <row r="91" spans="1:11">
      <c r="A91" s="33" t="s">
        <v>0</v>
      </c>
      <c r="B91" s="41" t="s">
        <v>21</v>
      </c>
      <c r="C91" s="43" t="s">
        <v>462</v>
      </c>
      <c r="D91" s="178"/>
      <c r="E91" s="82">
        <f>'sust. impact KPIs DATS'!E39-'sust. impact KPIs NO DATS'!E39</f>
        <v>0</v>
      </c>
      <c r="F91" s="82">
        <f>E91*100/'sust. impact KPIs NO DATS'!E39</f>
        <v>0</v>
      </c>
      <c r="G91" s="4" t="str">
        <f t="shared" si="5"/>
        <v>analysis_ENVIRONMENTAL ANALYSIS _WATER _Irrigation water productivity</v>
      </c>
      <c r="H91" s="4" t="s">
        <v>1862</v>
      </c>
    </row>
    <row r="92" spans="1:11">
      <c r="A92" s="33" t="s">
        <v>180</v>
      </c>
      <c r="B92" s="41" t="s">
        <v>22</v>
      </c>
      <c r="C92" s="43" t="s">
        <v>158</v>
      </c>
      <c r="D92" s="178"/>
      <c r="E92" s="82">
        <f>'sust. impact KPIs DATS'!E40-'sust. impact KPIs NO DATS'!E40</f>
        <v>0</v>
      </c>
      <c r="F92" s="82">
        <f>E92*100/'sust. impact KPIs NO DATS'!E40</f>
        <v>0</v>
      </c>
      <c r="G92" s="4" t="str">
        <f t="shared" si="5"/>
        <v>analysis_ENVIRONMENTAL ANALYSIS _ELECTRICITY_Electricity consumption</v>
      </c>
      <c r="H92" s="4" t="s">
        <v>1863</v>
      </c>
    </row>
    <row r="93" spans="1:11">
      <c r="A93" s="33" t="s">
        <v>371</v>
      </c>
      <c r="B93" s="41" t="s">
        <v>39</v>
      </c>
      <c r="C93" s="43" t="s">
        <v>173</v>
      </c>
      <c r="D93" s="178"/>
      <c r="E93" s="82">
        <f>'sust. impact KPIs DATS'!E41-'sust. impact KPIs NO DATS'!E41</f>
        <v>0</v>
      </c>
      <c r="F93" s="82">
        <f>E93*100/'sust. impact KPIs NO DATS'!E41</f>
        <v>0</v>
      </c>
      <c r="G93" s="4" t="str">
        <f t="shared" si="5"/>
        <v xml:space="preserve">analysis_ENVIRONMENTAL ANALYSIS _ANIMAL _Ease of movement </v>
      </c>
      <c r="H93" s="4" t="s">
        <v>1864</v>
      </c>
    </row>
    <row r="94" spans="1:11">
      <c r="A94" s="33" t="s">
        <v>371</v>
      </c>
      <c r="B94" s="41" t="s">
        <v>440</v>
      </c>
      <c r="C94" s="43" t="s">
        <v>114</v>
      </c>
      <c r="D94" s="178"/>
      <c r="E94" s="82">
        <f>'sust. impact KPIs DATS'!E42-'sust. impact KPIs NO DATS'!E42</f>
        <v>0</v>
      </c>
      <c r="F94" s="82">
        <f>E94*100/'sust. impact KPIs NO DATS'!E42</f>
        <v>0</v>
      </c>
      <c r="G94" s="4" t="str">
        <f t="shared" si="5"/>
        <v>analysis_ENVIRONMENTAL ANALYSIS _ANIMAL _Mortality rate (livestock)</v>
      </c>
      <c r="H94" s="4" t="s">
        <v>1865</v>
      </c>
    </row>
    <row r="95" spans="1:11">
      <c r="A95" s="33" t="s">
        <v>371</v>
      </c>
      <c r="B95" s="41" t="s">
        <v>441</v>
      </c>
      <c r="C95" s="43" t="s">
        <v>114</v>
      </c>
      <c r="D95" s="178"/>
      <c r="E95" s="82">
        <f>'sust. impact KPIs DATS'!E43-'sust. impact KPIs NO DATS'!E43</f>
        <v>0</v>
      </c>
      <c r="F95" s="82">
        <f>E95*100/'sust. impact KPIs NO DATS'!E43</f>
        <v>0</v>
      </c>
      <c r="G95" s="4" t="str">
        <f t="shared" si="5"/>
        <v>analysis_ENVIRONMENTAL ANALYSIS _ANIMAL _Mortality rate (aquaculture)</v>
      </c>
      <c r="H95" s="4" t="s">
        <v>1866</v>
      </c>
    </row>
    <row r="96" spans="1:11">
      <c r="A96" s="33" t="s">
        <v>371</v>
      </c>
      <c r="B96" s="41" t="s">
        <v>442</v>
      </c>
      <c r="C96" s="43" t="s">
        <v>114</v>
      </c>
      <c r="D96" s="178"/>
      <c r="E96" s="82">
        <f>'sust. impact KPIs DATS'!E44-'sust. impact KPIs NO DATS'!E44</f>
        <v>0</v>
      </c>
      <c r="F96" s="82">
        <f>E96*100/'sust. impact KPIs NO DATS'!E44</f>
        <v>0</v>
      </c>
      <c r="G96" s="4" t="str">
        <f t="shared" si="5"/>
        <v>analysis_ENVIRONMENTAL ANALYSIS _ANIMAL _Mortality rate (apiculture)</v>
      </c>
      <c r="H96" s="4" t="s">
        <v>1867</v>
      </c>
    </row>
    <row r="97" spans="1:8">
      <c r="A97" s="33" t="s">
        <v>371</v>
      </c>
      <c r="B97" s="41" t="s">
        <v>40</v>
      </c>
      <c r="C97" s="43" t="s">
        <v>114</v>
      </c>
      <c r="D97" s="178"/>
      <c r="E97" s="82">
        <f>'sust. impact KPIs DATS'!E45-'sust. impact KPIs NO DATS'!E45</f>
        <v>0</v>
      </c>
      <c r="F97" s="82">
        <f>E97*100/'sust. impact KPIs NO DATS'!E45</f>
        <v>0</v>
      </c>
      <c r="G97" s="4" t="str">
        <f t="shared" si="5"/>
        <v>analysis_ENVIRONMENTAL ANALYSIS _ANIMAL _Mortality rate at birth</v>
      </c>
      <c r="H97" s="4" t="s">
        <v>1868</v>
      </c>
    </row>
    <row r="98" spans="1:8">
      <c r="A98" s="33" t="s">
        <v>371</v>
      </c>
      <c r="B98" s="41" t="s">
        <v>352</v>
      </c>
      <c r="C98" s="43" t="s">
        <v>114</v>
      </c>
      <c r="D98" s="178"/>
      <c r="E98" s="82">
        <f>'sust. impact KPIs DATS'!E46-'sust. impact KPIs NO DATS'!E46</f>
        <v>0</v>
      </c>
      <c r="F98" s="82">
        <f>E98*100/'sust. impact KPIs NO DATS'!E46</f>
        <v>0</v>
      </c>
      <c r="G98" s="4" t="str">
        <f t="shared" si="5"/>
        <v>analysis_ENVIRONMENTAL ANALYSIS _ANIMAL _Cows with high SCC</v>
      </c>
      <c r="H98" s="4" t="s">
        <v>1869</v>
      </c>
    </row>
    <row r="99" spans="1:8">
      <c r="A99" s="33" t="s">
        <v>12</v>
      </c>
      <c r="B99" s="41" t="s">
        <v>303</v>
      </c>
      <c r="C99" s="43" t="s">
        <v>293</v>
      </c>
      <c r="D99" s="178"/>
      <c r="E99" s="82">
        <f>'sust. impact KPIs DATS'!E47-'sust. impact KPIs NO DATS'!E47</f>
        <v>0</v>
      </c>
      <c r="F99" s="82">
        <f>E99*100/'sust. impact KPIs NO DATS'!E47</f>
        <v>0</v>
      </c>
      <c r="G99" s="4" t="str">
        <f t="shared" si="5"/>
        <v xml:space="preserve">analysis_ENVIRONMENTAL ANALYSIS _DRUGS _Drugs use in dairy livestock </v>
      </c>
      <c r="H99" s="4" t="s">
        <v>1870</v>
      </c>
    </row>
    <row r="100" spans="1:8">
      <c r="A100" s="33" t="s">
        <v>12</v>
      </c>
      <c r="B100" s="41" t="s">
        <v>304</v>
      </c>
      <c r="C100" s="43" t="s">
        <v>176</v>
      </c>
      <c r="D100" s="178"/>
      <c r="E100" s="82">
        <f>'sust. impact KPIs DATS'!E48-'sust. impact KPIs NO DATS'!E48</f>
        <v>0</v>
      </c>
      <c r="F100" s="82">
        <f>E100*100/'sust. impact KPIs NO DATS'!E48</f>
        <v>0</v>
      </c>
      <c r="G100" s="4" t="str">
        <f t="shared" si="5"/>
        <v xml:space="preserve">analysis_ENVIRONMENTAL ANALYSIS _DRUGS _Drugs use in meat livestock   </v>
      </c>
      <c r="H100" s="4" t="s">
        <v>1871</v>
      </c>
    </row>
    <row r="101" spans="1:8">
      <c r="A101" s="33" t="s">
        <v>12</v>
      </c>
      <c r="B101" s="41" t="s">
        <v>291</v>
      </c>
      <c r="C101" s="43" t="s">
        <v>176</v>
      </c>
      <c r="D101" s="178"/>
      <c r="E101" s="82" t="e">
        <f>'sust. impact KPIs DATS'!E49-'sust. impact KPIs NO DATS'!E49</f>
        <v>#REF!</v>
      </c>
      <c r="F101" s="82" t="e">
        <f>E101*100/'sust. impact KPIs NO DATS'!E49</f>
        <v>#REF!</v>
      </c>
      <c r="G101" s="4" t="str">
        <f t="shared" si="5"/>
        <v xml:space="preserve">analysis_ENVIRONMENTAL ANALYSIS _DRUGS _Drugs use in aquaculture </v>
      </c>
      <c r="H101" s="4" t="s">
        <v>1872</v>
      </c>
    </row>
    <row r="102" spans="1:8">
      <c r="A102" s="33" t="s">
        <v>12</v>
      </c>
      <c r="B102" s="41" t="s">
        <v>290</v>
      </c>
      <c r="C102" s="43" t="s">
        <v>176</v>
      </c>
      <c r="D102" s="178"/>
      <c r="E102" s="82" t="e">
        <f>'sust. impact KPIs DATS'!E50-'sust. impact KPIs NO DATS'!E50</f>
        <v>#REF!</v>
      </c>
      <c r="F102" s="82" t="e">
        <f>E102*100/'sust. impact KPIs NO DATS'!E50</f>
        <v>#REF!</v>
      </c>
      <c r="G102" s="4" t="str">
        <f t="shared" si="5"/>
        <v xml:space="preserve">analysis_ENVIRONMENTAL ANALYSIS _DRUGS _Drugs use in apiculture </v>
      </c>
      <c r="H102" s="4" t="s">
        <v>1873</v>
      </c>
    </row>
    <row r="103" spans="1:8">
      <c r="A103" s="33" t="s">
        <v>179</v>
      </c>
      <c r="B103" s="41" t="s">
        <v>23</v>
      </c>
      <c r="C103" s="43" t="s">
        <v>159</v>
      </c>
      <c r="D103" s="178"/>
      <c r="E103" s="82">
        <f>'sust. impact KPIs DATS'!E51-'sust. impact KPIs NO DATS'!E51</f>
        <v>0</v>
      </c>
      <c r="F103" s="82">
        <f>E103*100/'sust. impact KPIs NO DATS'!E51</f>
        <v>0</v>
      </c>
      <c r="G103" s="4" t="str">
        <f t="shared" si="5"/>
        <v xml:space="preserve">analysis_ENVIRONMENTAL ANALYSIS _FUEL _Fuel GHG emission </v>
      </c>
      <c r="H103" s="4" t="s">
        <v>1874</v>
      </c>
    </row>
    <row r="104" spans="1:8" ht="31.5">
      <c r="A104" s="33" t="s">
        <v>179</v>
      </c>
      <c r="B104" s="41" t="s">
        <v>326</v>
      </c>
      <c r="C104" s="43" t="s">
        <v>242</v>
      </c>
      <c r="D104" s="178"/>
      <c r="E104" s="82">
        <f>'sust. impact KPIs DATS'!E52-'sust. impact KPIs NO DATS'!E52</f>
        <v>0</v>
      </c>
      <c r="F104" s="82">
        <f>E104*100/'sust. impact KPIs NO DATS'!E52</f>
        <v>0</v>
      </c>
      <c r="G104" s="4" t="str">
        <f t="shared" si="5"/>
        <v xml:space="preserve">analysis_ENVIRONMENTAL ANALYSIS _FUEL _Arable and horticulture fuel consumption </v>
      </c>
      <c r="H104" s="4" t="s">
        <v>1875</v>
      </c>
    </row>
    <row r="105" spans="1:8">
      <c r="A105" s="33" t="s">
        <v>179</v>
      </c>
      <c r="B105" s="41" t="s">
        <v>327</v>
      </c>
      <c r="C105" s="43" t="s">
        <v>363</v>
      </c>
      <c r="D105" s="178"/>
      <c r="E105" s="82">
        <f>'sust. impact KPIs DATS'!E53-'sust. impact KPIs NO DATS'!E53</f>
        <v>0</v>
      </c>
      <c r="F105" s="82">
        <f>E105*100/'sust. impact KPIs NO DATS'!E53</f>
        <v>0</v>
      </c>
      <c r="G105" s="4" t="str">
        <f t="shared" si="5"/>
        <v xml:space="preserve">analysis_ENVIRONMENTAL ANALYSIS _FUEL _Livestock fuel consumption </v>
      </c>
      <c r="H105" s="4" t="s">
        <v>1876</v>
      </c>
    </row>
    <row r="106" spans="1:8">
      <c r="A106" s="33" t="s">
        <v>179</v>
      </c>
      <c r="B106" s="41" t="s">
        <v>328</v>
      </c>
      <c r="C106" s="43" t="s">
        <v>358</v>
      </c>
      <c r="D106" s="178"/>
      <c r="E106" s="82">
        <f>'sust. impact KPIs DATS'!E54-'sust. impact KPIs NO DATS'!E54</f>
        <v>0</v>
      </c>
      <c r="F106" s="82">
        <f>E106*100/'sust. impact KPIs NO DATS'!E54</f>
        <v>0</v>
      </c>
      <c r="G106" s="4" t="str">
        <f t="shared" si="5"/>
        <v xml:space="preserve">analysis_ENVIRONMENTAL ANALYSIS _FUEL _Aquaculture fuel consumption </v>
      </c>
      <c r="H106" s="4" t="s">
        <v>1877</v>
      </c>
    </row>
    <row r="107" spans="1:8">
      <c r="A107" s="33" t="s">
        <v>179</v>
      </c>
      <c r="B107" s="41" t="s">
        <v>329</v>
      </c>
      <c r="C107" s="43" t="s">
        <v>360</v>
      </c>
      <c r="D107" s="178"/>
      <c r="E107" s="82">
        <f>'sust. impact KPIs DATS'!E55-'sust. impact KPIs NO DATS'!E55</f>
        <v>0</v>
      </c>
      <c r="F107" s="82">
        <f>E107*100/'sust. impact KPIs NO DATS'!E55</f>
        <v>0</v>
      </c>
      <c r="G107" s="4" t="str">
        <f t="shared" si="5"/>
        <v xml:space="preserve">analysis_ENVIRONMENTAL ANALYSIS _FUEL _Apiculture fuel consumption </v>
      </c>
      <c r="H107" s="4" t="s">
        <v>1878</v>
      </c>
    </row>
    <row r="108" spans="1:8">
      <c r="A108" s="33" t="s">
        <v>191</v>
      </c>
      <c r="B108" s="41" t="s">
        <v>24</v>
      </c>
      <c r="C108" s="40" t="s">
        <v>159</v>
      </c>
      <c r="D108" s="179"/>
      <c r="E108" s="82">
        <f>'sust. impact KPIs DATS'!E59-'sust. impact KPIs NO DATS'!E59</f>
        <v>0</v>
      </c>
      <c r="F108" s="82">
        <v>68</v>
      </c>
      <c r="G108" s="4" t="str">
        <f t="shared" si="5"/>
        <v xml:space="preserve">analysis_ENVIRONMENTAL ANALYSIS _FERTILISER_N2O GHG emission </v>
      </c>
      <c r="H108" s="4" t="s">
        <v>1879</v>
      </c>
    </row>
    <row r="109" spans="1:8">
      <c r="H109" s="4" t="s">
        <v>1880</v>
      </c>
    </row>
    <row r="110" spans="1:8" ht="16.5" thickBot="1">
      <c r="A110" s="27" t="s">
        <v>243</v>
      </c>
      <c r="H110" s="4" t="s">
        <v>1881</v>
      </c>
    </row>
    <row r="111" spans="1:8">
      <c r="A111" s="47"/>
      <c r="B111" s="47" t="s">
        <v>155</v>
      </c>
      <c r="C111" s="47" t="s">
        <v>150</v>
      </c>
      <c r="D111" s="47"/>
      <c r="E111" s="47" t="s">
        <v>206</v>
      </c>
      <c r="F111" s="47"/>
      <c r="H111" s="4" t="s">
        <v>1882</v>
      </c>
    </row>
    <row r="112" spans="1:8">
      <c r="A112" s="33" t="s">
        <v>243</v>
      </c>
      <c r="B112" s="41" t="s">
        <v>25</v>
      </c>
      <c r="C112" s="43" t="s">
        <v>170</v>
      </c>
      <c r="D112" s="178"/>
      <c r="E112" s="24">
        <f>'sust. impact KPIs DATS'!E64</f>
        <v>1</v>
      </c>
      <c r="F112" s="24"/>
      <c r="G112" s="4" t="str">
        <f>CONCATENATE("analysis","_",$A$110,"_",A112,"_",B112)</f>
        <v>analysis_SOCIAL ANALYSIS _SOCIAL ANALYSIS _Training hours (for the use of DATs)</v>
      </c>
      <c r="H112" s="4" t="s">
        <v>1883</v>
      </c>
    </row>
    <row r="113" spans="1:8">
      <c r="A113" s="33" t="s">
        <v>243</v>
      </c>
      <c r="B113" s="41" t="s">
        <v>26</v>
      </c>
      <c r="C113" s="43" t="s">
        <v>163</v>
      </c>
      <c r="D113" s="178"/>
      <c r="E113" s="24">
        <f>'sust. impact KPIs DATS'!E65-'sust. impact KPIs NO DATS'!E65</f>
        <v>0</v>
      </c>
      <c r="F113" s="24"/>
      <c r="G113" s="4" t="str">
        <f t="shared" ref="G113:G116" si="6">CONCATENATE("analysis","_",$A$110,"_",A113,"_",B113)</f>
        <v>analysis_SOCIAL ANALYSIS _SOCIAL ANALYSIS _Working time</v>
      </c>
      <c r="H113" s="4" t="s">
        <v>1884</v>
      </c>
    </row>
    <row r="114" spans="1:8" ht="31.5">
      <c r="A114" s="33" t="s">
        <v>243</v>
      </c>
      <c r="B114" s="41" t="s">
        <v>27</v>
      </c>
      <c r="C114" s="43" t="s">
        <v>165</v>
      </c>
      <c r="D114" s="178"/>
      <c r="E114" s="24">
        <f>'sust. impact KPIs DATS'!E66-'sust. impact KPIs NO DATS'!E66</f>
        <v>0</v>
      </c>
      <c r="F114" s="24"/>
      <c r="G114" s="4" t="str">
        <f t="shared" si="6"/>
        <v xml:space="preserve">analysis_SOCIAL ANALYSIS _SOCIAL ANALYSIS _Frequency rate of occupational injuries </v>
      </c>
      <c r="H114" s="4" t="s">
        <v>1885</v>
      </c>
    </row>
    <row r="115" spans="1:8">
      <c r="A115" s="33" t="s">
        <v>243</v>
      </c>
      <c r="B115" s="41" t="s">
        <v>28</v>
      </c>
      <c r="C115" s="43" t="s">
        <v>114</v>
      </c>
      <c r="D115" s="178"/>
      <c r="E115" s="24">
        <f>'sust. impact KPIs DATS'!E67-'sust. impact KPIs NO DATS'!E67</f>
        <v>0</v>
      </c>
      <c r="F115" s="24"/>
      <c r="G115" s="4" t="str">
        <f t="shared" si="6"/>
        <v xml:space="preserve">analysis_SOCIAL ANALYSIS _SOCIAL ANALYSIS _Incidence of occupational injuries </v>
      </c>
      <c r="H115" s="4" t="s">
        <v>1886</v>
      </c>
    </row>
    <row r="116" spans="1:8">
      <c r="A116" s="33" t="s">
        <v>243</v>
      </c>
      <c r="B116" s="41" t="s">
        <v>29</v>
      </c>
      <c r="C116" s="43" t="s">
        <v>114</v>
      </c>
      <c r="D116" s="178"/>
      <c r="E116" s="24">
        <f>'sust. impact KPIs DATS'!E68-'sust. impact KPIs NO DATS'!E68</f>
        <v>0</v>
      </c>
      <c r="F116" s="24"/>
      <c r="G116" s="4" t="str">
        <f t="shared" si="6"/>
        <v>analysis_SOCIAL ANALYSIS _SOCIAL ANALYSIS _Contribution to local employment</v>
      </c>
      <c r="H116" s="4" t="s">
        <v>1887</v>
      </c>
    </row>
  </sheetData>
  <mergeCells count="1">
    <mergeCell ref="A1:F1"/>
  </mergeCells>
  <phoneticPr fontId="2" type="noConversion"/>
  <conditionalFormatting sqref="A111:D111">
    <cfRule type="containsText" dxfId="9" priority="16" operator="containsText" text="Without DATs">
      <formula>NOT(ISERROR(SEARCH("Without DATs",A111)))</formula>
    </cfRule>
  </conditionalFormatting>
  <conditionalFormatting sqref="A55:F55">
    <cfRule type="containsText" dxfId="8" priority="14" operator="containsText" text="Without DATs">
      <formula>NOT(ISERROR(SEARCH("Without DATs",A55)))</formula>
    </cfRule>
  </conditionalFormatting>
  <conditionalFormatting sqref="A68:F68">
    <cfRule type="containsText" dxfId="7" priority="4" operator="containsText" text="Without DATs">
      <formula>NOT(ISERROR(SEARCH("Without DATs",A68)))</formula>
    </cfRule>
  </conditionalFormatting>
  <conditionalFormatting sqref="A74:F74">
    <cfRule type="containsText" dxfId="6" priority="3" operator="containsText" text="Without DATs">
      <formula>NOT(ISERROR(SEARCH("Without DATs",A74)))</formula>
    </cfRule>
  </conditionalFormatting>
  <conditionalFormatting sqref="B7:F7 G42 A81:D81 E110:F111 E117:F1048576">
    <cfRule type="containsText" dxfId="5" priority="33" operator="containsText" text="Without DATs">
      <formula>NOT(ISERROR(SEARCH("Without DATs",A7)))</formula>
    </cfRule>
  </conditionalFormatting>
  <conditionalFormatting sqref="E2:F6 B42:D42">
    <cfRule type="containsText" dxfId="4" priority="34" operator="containsText" text="Without DATs">
      <formula>NOT(ISERROR(SEARCH("Without DATs",B2)))</formula>
    </cfRule>
  </conditionalFormatting>
  <conditionalFormatting sqref="E41:F42 E80:E81">
    <cfRule type="containsText" dxfId="3" priority="101" operator="containsText" text="Without DATs">
      <formula>NOT(ISERROR(SEARCH("Without DATs",E41)))</formula>
    </cfRule>
  </conditionalFormatting>
  <conditionalFormatting sqref="F81">
    <cfRule type="containsText" dxfId="2" priority="2" operator="containsText" text="Without DATs">
      <formula>NOT(ISERROR(SEARCH("Without DATs",F81)))</formula>
    </cfRule>
  </conditionalFormatting>
  <conditionalFormatting sqref="K1 K21:K53 K55:K84 K91:K103 K110:K1048576">
    <cfRule type="cellIs" dxfId="1" priority="41" operator="lessThan">
      <formula>0</formula>
    </cfRule>
    <cfRule type="cellIs" dxfId="0" priority="42" operator="greaterThan">
      <formula>0</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80090-A698-4A93-A148-8BAECE9A0C5C}">
  <sheetPr codeName="F____11"/>
  <dimension ref="A1:X18"/>
  <sheetViews>
    <sheetView topLeftCell="M1" zoomScale="85" zoomScaleNormal="85" workbookViewId="0">
      <selection activeCell="AC17" sqref="AC17"/>
    </sheetView>
  </sheetViews>
  <sheetFormatPr defaultColWidth="8.875" defaultRowHeight="15.75"/>
  <cols>
    <col min="1" max="1" width="13.125" bestFit="1" customWidth="1"/>
    <col min="4" max="4" width="11" bestFit="1" customWidth="1"/>
    <col min="5" max="5" width="10" bestFit="1" customWidth="1"/>
    <col min="6" max="6" width="10.625" bestFit="1" customWidth="1"/>
    <col min="7" max="7" width="10.625" customWidth="1"/>
    <col min="10" max="10" width="24.125" style="8" bestFit="1" customWidth="1"/>
    <col min="12" max="12" width="14.375" bestFit="1" customWidth="1"/>
    <col min="15" max="16" width="14.375" bestFit="1" customWidth="1"/>
    <col min="17" max="17" width="16.5" bestFit="1" customWidth="1"/>
    <col min="18" max="18" width="14.375" bestFit="1" customWidth="1"/>
    <col min="20" max="20" width="14.375" bestFit="1" customWidth="1"/>
    <col min="21" max="21" width="8.875" customWidth="1"/>
    <col min="22" max="22" width="14.375" bestFit="1" customWidth="1"/>
    <col min="23" max="23" width="20.625" bestFit="1" customWidth="1"/>
    <col min="24" max="24" width="10.625" customWidth="1"/>
  </cols>
  <sheetData>
    <row r="1" spans="1:24">
      <c r="A1" t="s">
        <v>516</v>
      </c>
      <c r="B1" t="s">
        <v>520</v>
      </c>
      <c r="C1" t="s">
        <v>5</v>
      </c>
      <c r="D1" t="s">
        <v>180</v>
      </c>
      <c r="E1" t="s">
        <v>530</v>
      </c>
      <c r="F1" t="s">
        <v>534</v>
      </c>
      <c r="G1" t="s">
        <v>650</v>
      </c>
      <c r="H1" t="s">
        <v>9</v>
      </c>
      <c r="I1" t="s">
        <v>536</v>
      </c>
      <c r="J1" s="8" t="s">
        <v>578</v>
      </c>
      <c r="K1" t="s">
        <v>577</v>
      </c>
      <c r="L1" t="s">
        <v>578</v>
      </c>
      <c r="M1" s="8" t="s">
        <v>579</v>
      </c>
      <c r="N1" s="8"/>
      <c r="O1" s="8" t="s">
        <v>567</v>
      </c>
      <c r="P1" s="8" t="s">
        <v>616</v>
      </c>
      <c r="R1" s="8" t="s">
        <v>617</v>
      </c>
      <c r="T1" s="8" t="s">
        <v>618</v>
      </c>
      <c r="V1" s="8" t="s">
        <v>578</v>
      </c>
      <c r="W1" s="8" t="s">
        <v>22</v>
      </c>
      <c r="X1" s="8" t="s">
        <v>581</v>
      </c>
    </row>
    <row r="2" spans="1:24" ht="18">
      <c r="A2" t="s">
        <v>508</v>
      </c>
      <c r="B2" t="s">
        <v>500</v>
      </c>
      <c r="C2" t="s">
        <v>242</v>
      </c>
      <c r="D2" t="s">
        <v>158</v>
      </c>
      <c r="E2" t="s">
        <v>157</v>
      </c>
      <c r="F2" t="s">
        <v>157</v>
      </c>
      <c r="G2" t="s">
        <v>652</v>
      </c>
      <c r="H2" t="s">
        <v>531</v>
      </c>
      <c r="I2" t="s">
        <v>537</v>
      </c>
      <c r="J2" s="8" t="s">
        <v>587</v>
      </c>
      <c r="K2" t="s">
        <v>499</v>
      </c>
      <c r="L2" t="s">
        <v>567</v>
      </c>
      <c r="M2" s="8" t="s">
        <v>153</v>
      </c>
      <c r="N2" s="8"/>
      <c r="O2" s="8" t="s">
        <v>599</v>
      </c>
      <c r="P2">
        <v>6.9999999999999999E-4</v>
      </c>
      <c r="Q2" s="8" t="s">
        <v>599</v>
      </c>
      <c r="R2">
        <v>2.2000000000000001E-4</v>
      </c>
      <c r="S2" s="8" t="s">
        <v>599</v>
      </c>
      <c r="T2">
        <v>1.8E-3</v>
      </c>
      <c r="V2" s="8" t="s">
        <v>567</v>
      </c>
      <c r="W2" s="8" t="s">
        <v>158</v>
      </c>
      <c r="X2" s="8" t="s">
        <v>637</v>
      </c>
    </row>
    <row r="3" spans="1:24" ht="18">
      <c r="A3" t="s">
        <v>517</v>
      </c>
      <c r="B3" t="s">
        <v>558</v>
      </c>
      <c r="C3" t="s">
        <v>522</v>
      </c>
      <c r="D3" t="s">
        <v>527</v>
      </c>
      <c r="E3" t="s">
        <v>242</v>
      </c>
      <c r="F3" t="s">
        <v>535</v>
      </c>
      <c r="G3" t="s">
        <v>651</v>
      </c>
      <c r="H3" t="s">
        <v>532</v>
      </c>
      <c r="I3" t="s">
        <v>538</v>
      </c>
      <c r="J3" s="8" t="s">
        <v>640</v>
      </c>
      <c r="K3" t="s">
        <v>558</v>
      </c>
      <c r="L3" t="s">
        <v>569</v>
      </c>
      <c r="M3" s="8" t="s">
        <v>575</v>
      </c>
      <c r="N3" s="8"/>
      <c r="O3" s="8" t="s">
        <v>607</v>
      </c>
      <c r="P3">
        <v>1.66E-3</v>
      </c>
      <c r="Q3" s="8" t="s">
        <v>607</v>
      </c>
      <c r="R3">
        <v>3.6000000000000002E-4</v>
      </c>
      <c r="S3" s="8" t="s">
        <v>607</v>
      </c>
      <c r="T3">
        <v>4.3E-3</v>
      </c>
      <c r="V3" s="8" t="s">
        <v>632</v>
      </c>
      <c r="W3" s="8" t="s">
        <v>526</v>
      </c>
      <c r="X3" s="8" t="s">
        <v>638</v>
      </c>
    </row>
    <row r="4" spans="1:24" ht="18">
      <c r="A4" t="s">
        <v>368</v>
      </c>
      <c r="B4" t="s">
        <v>559</v>
      </c>
      <c r="C4" t="s">
        <v>521</v>
      </c>
      <c r="D4" t="s">
        <v>525</v>
      </c>
      <c r="H4" t="s">
        <v>533</v>
      </c>
      <c r="I4" t="s">
        <v>539</v>
      </c>
      <c r="J4" s="8" t="s">
        <v>641</v>
      </c>
      <c r="K4" t="s">
        <v>559</v>
      </c>
      <c r="L4" t="s">
        <v>568</v>
      </c>
      <c r="M4" s="8" t="s">
        <v>574</v>
      </c>
      <c r="N4" s="8"/>
      <c r="O4" s="8" t="s">
        <v>610</v>
      </c>
      <c r="Q4" s="8" t="s">
        <v>610</v>
      </c>
      <c r="S4" s="8" t="s">
        <v>610</v>
      </c>
      <c r="V4" s="8" t="s">
        <v>569</v>
      </c>
      <c r="W4" s="8" t="s">
        <v>527</v>
      </c>
      <c r="X4" s="8" t="s">
        <v>639</v>
      </c>
    </row>
    <row r="5" spans="1:24" ht="18">
      <c r="A5" t="s">
        <v>518</v>
      </c>
      <c r="B5" t="s">
        <v>499</v>
      </c>
      <c r="C5" t="s">
        <v>523</v>
      </c>
      <c r="D5" t="s">
        <v>526</v>
      </c>
      <c r="I5" t="s">
        <v>540</v>
      </c>
      <c r="J5" s="8" t="s">
        <v>581</v>
      </c>
      <c r="K5" t="s">
        <v>572</v>
      </c>
      <c r="L5" t="s">
        <v>580</v>
      </c>
      <c r="M5" s="8" t="s">
        <v>376</v>
      </c>
      <c r="N5" s="8"/>
      <c r="O5" s="8" t="s">
        <v>604</v>
      </c>
      <c r="P5">
        <v>4.7000000000000002E-3</v>
      </c>
      <c r="Q5" s="8" t="s">
        <v>604</v>
      </c>
      <c r="R5">
        <v>1.1000000000000001E-3</v>
      </c>
      <c r="S5" s="8" t="s">
        <v>604</v>
      </c>
      <c r="T5">
        <v>4.7999999999999996E-3</v>
      </c>
      <c r="V5" s="8" t="s">
        <v>568</v>
      </c>
      <c r="W5" s="8" t="s">
        <v>525</v>
      </c>
    </row>
    <row r="6" spans="1:24" ht="18">
      <c r="B6" t="s">
        <v>358</v>
      </c>
      <c r="C6" t="s">
        <v>501</v>
      </c>
      <c r="D6" t="s">
        <v>528</v>
      </c>
      <c r="I6" t="s">
        <v>541</v>
      </c>
      <c r="J6" s="8" t="s">
        <v>642</v>
      </c>
      <c r="K6" t="s">
        <v>573</v>
      </c>
      <c r="L6" t="s">
        <v>571</v>
      </c>
      <c r="M6" s="8" t="s">
        <v>518</v>
      </c>
      <c r="N6" s="8"/>
      <c r="O6" s="8" t="s">
        <v>605</v>
      </c>
      <c r="P6">
        <v>1.47E-2</v>
      </c>
      <c r="Q6" s="8" t="s">
        <v>605</v>
      </c>
      <c r="R6">
        <v>6.4999999999999997E-3</v>
      </c>
      <c r="S6" s="8" t="s">
        <v>605</v>
      </c>
      <c r="T6">
        <v>4.1999999999999997E-3</v>
      </c>
      <c r="V6" s="8" t="s">
        <v>580</v>
      </c>
      <c r="W6" s="8" t="s">
        <v>529</v>
      </c>
    </row>
    <row r="7" spans="1:24">
      <c r="C7" t="s">
        <v>502</v>
      </c>
      <c r="D7" t="s">
        <v>529</v>
      </c>
      <c r="J7" s="8" t="s">
        <v>643</v>
      </c>
      <c r="L7" t="s">
        <v>570</v>
      </c>
      <c r="M7" s="8" t="s">
        <v>576</v>
      </c>
      <c r="N7" s="8"/>
      <c r="O7" s="8" t="s">
        <v>613</v>
      </c>
      <c r="Q7" s="8" t="s">
        <v>613</v>
      </c>
      <c r="S7" s="8" t="s">
        <v>613</v>
      </c>
      <c r="V7" s="8" t="s">
        <v>571</v>
      </c>
      <c r="W7" s="8" t="s">
        <v>619</v>
      </c>
    </row>
    <row r="8" spans="1:24">
      <c r="J8" s="8" t="s">
        <v>588</v>
      </c>
      <c r="L8" t="s">
        <v>586</v>
      </c>
      <c r="M8" s="8" t="s">
        <v>508</v>
      </c>
      <c r="N8" s="8"/>
      <c r="O8" s="8" t="s">
        <v>611</v>
      </c>
      <c r="Q8" s="8" t="s">
        <v>611</v>
      </c>
      <c r="S8" s="8" t="s">
        <v>611</v>
      </c>
      <c r="V8" s="8" t="s">
        <v>570</v>
      </c>
      <c r="W8" s="8" t="s">
        <v>620</v>
      </c>
    </row>
    <row r="9" spans="1:24">
      <c r="O9" s="8" t="s">
        <v>600</v>
      </c>
      <c r="P9">
        <f>1.32/1000</f>
        <v>1.32E-3</v>
      </c>
      <c r="Q9" s="8" t="s">
        <v>600</v>
      </c>
      <c r="R9">
        <v>2.5000000000000001E-4</v>
      </c>
      <c r="S9" s="8" t="s">
        <v>600</v>
      </c>
      <c r="T9">
        <v>2.2399999999999998E-3</v>
      </c>
      <c r="V9" s="8" t="s">
        <v>586</v>
      </c>
    </row>
    <row r="10" spans="1:24">
      <c r="O10" s="8" t="s">
        <v>601</v>
      </c>
      <c r="P10">
        <v>2.8700000000000002E-3</v>
      </c>
      <c r="Q10" s="8" t="s">
        <v>601</v>
      </c>
      <c r="R10">
        <v>4.8999999999999998E-4</v>
      </c>
      <c r="S10" s="8" t="s">
        <v>601</v>
      </c>
      <c r="T10">
        <v>4.4200000000000003E-3</v>
      </c>
    </row>
    <row r="11" spans="1:24">
      <c r="O11" s="8" t="s">
        <v>612</v>
      </c>
      <c r="Q11" s="8" t="s">
        <v>612</v>
      </c>
      <c r="S11" s="8" t="s">
        <v>612</v>
      </c>
    </row>
    <row r="12" spans="1:24">
      <c r="O12" s="8" t="s">
        <v>603</v>
      </c>
      <c r="P12">
        <f>3.5/1000</f>
        <v>3.5000000000000001E-3</v>
      </c>
      <c r="Q12" s="8" t="s">
        <v>603</v>
      </c>
      <c r="R12">
        <f>1.3/1000</f>
        <v>1.2999999999999999E-3</v>
      </c>
      <c r="S12" s="8" t="s">
        <v>603</v>
      </c>
      <c r="T12">
        <f>5.8/1000</f>
        <v>5.7999999999999996E-3</v>
      </c>
    </row>
    <row r="13" spans="1:24">
      <c r="O13" s="8" t="s">
        <v>615</v>
      </c>
      <c r="Q13" s="8" t="s">
        <v>615</v>
      </c>
      <c r="S13" s="8" t="s">
        <v>615</v>
      </c>
    </row>
    <row r="14" spans="1:24">
      <c r="O14" s="8" t="s">
        <v>614</v>
      </c>
      <c r="Q14" s="8" t="s">
        <v>614</v>
      </c>
      <c r="S14" s="8" t="s">
        <v>614</v>
      </c>
    </row>
    <row r="15" spans="1:24">
      <c r="O15" s="8" t="s">
        <v>606</v>
      </c>
      <c r="P15">
        <v>5.7999999999999996E-3</v>
      </c>
      <c r="Q15" s="8" t="s">
        <v>606</v>
      </c>
      <c r="R15">
        <v>1.1000000000000001E-3</v>
      </c>
      <c r="S15" s="8" t="s">
        <v>606</v>
      </c>
      <c r="T15">
        <v>8.0999999999999996E-3</v>
      </c>
    </row>
    <row r="16" spans="1:24">
      <c r="O16" s="8" t="s">
        <v>602</v>
      </c>
      <c r="P16">
        <v>3.2000000000000002E-3</v>
      </c>
      <c r="Q16" s="8" t="s">
        <v>602</v>
      </c>
      <c r="R16">
        <v>1E-3</v>
      </c>
      <c r="S16" s="8" t="s">
        <v>602</v>
      </c>
      <c r="T16">
        <v>6.7999999999999996E-3</v>
      </c>
    </row>
    <row r="17" spans="15:20">
      <c r="O17" s="8" t="s">
        <v>608</v>
      </c>
      <c r="P17">
        <v>2.0199999999999999E-2</v>
      </c>
      <c r="Q17" s="8" t="s">
        <v>608</v>
      </c>
      <c r="R17">
        <v>8.2000000000000007E-3</v>
      </c>
      <c r="S17" s="8" t="s">
        <v>608</v>
      </c>
      <c r="T17">
        <v>5.1999999999999998E-3</v>
      </c>
    </row>
    <row r="18" spans="15:20">
      <c r="O18" s="8" t="s">
        <v>609</v>
      </c>
      <c r="P18">
        <v>2.0299999999999999E-2</v>
      </c>
      <c r="Q18" s="8" t="s">
        <v>609</v>
      </c>
      <c r="R18">
        <v>8.3999999999999995E-3</v>
      </c>
      <c r="S18" s="8" t="s">
        <v>609</v>
      </c>
      <c r="T18">
        <v>5.1000000000000004E-3</v>
      </c>
    </row>
  </sheetData>
  <pageMargins left="0.7" right="0.7" top="0.75" bottom="0.75" header="0.3" footer="0.3"/>
  <pageSetup paperSize="9" orientation="portrait" horizont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8B388-2111-44E5-953A-13BEA370B95C}">
  <sheetPr codeName="F____12"/>
  <dimension ref="A1:B35"/>
  <sheetViews>
    <sheetView workbookViewId="0">
      <selection activeCell="B33" sqref="B1:B33"/>
    </sheetView>
  </sheetViews>
  <sheetFormatPr defaultColWidth="8.875" defaultRowHeight="15.75"/>
  <sheetData>
    <row r="1" spans="1:2">
      <c r="A1" t="s">
        <v>1734</v>
      </c>
      <c r="B1" t="str">
        <f>CONCATENATE(A1,"+",)</f>
        <v>F3+</v>
      </c>
    </row>
    <row r="2" spans="1:2">
      <c r="A2" t="s">
        <v>1735</v>
      </c>
      <c r="B2" t="str">
        <f t="shared" ref="B2:B35" si="0">CONCATENATE(A2,"+",)</f>
        <v>F4+</v>
      </c>
    </row>
    <row r="3" spans="1:2">
      <c r="A3" t="s">
        <v>1736</v>
      </c>
      <c r="B3" t="str">
        <f t="shared" si="0"/>
        <v>F5+</v>
      </c>
    </row>
    <row r="4" spans="1:2">
      <c r="A4" t="s">
        <v>1737</v>
      </c>
      <c r="B4" t="str">
        <f t="shared" si="0"/>
        <v>F6+</v>
      </c>
    </row>
    <row r="5" spans="1:2">
      <c r="A5" t="s">
        <v>1738</v>
      </c>
      <c r="B5" t="str">
        <f t="shared" si="0"/>
        <v>F7+</v>
      </c>
    </row>
    <row r="6" spans="1:2">
      <c r="A6" t="s">
        <v>1739</v>
      </c>
      <c r="B6" t="str">
        <f t="shared" si="0"/>
        <v>F8+</v>
      </c>
    </row>
    <row r="7" spans="1:2">
      <c r="A7" t="s">
        <v>1740</v>
      </c>
      <c r="B7" t="str">
        <f t="shared" si="0"/>
        <v>F9+</v>
      </c>
    </row>
    <row r="8" spans="1:2">
      <c r="A8" t="s">
        <v>1741</v>
      </c>
      <c r="B8" t="str">
        <f t="shared" si="0"/>
        <v>F10+</v>
      </c>
    </row>
    <row r="9" spans="1:2">
      <c r="A9" t="s">
        <v>1742</v>
      </c>
      <c r="B9" t="str">
        <f t="shared" si="0"/>
        <v>F11+</v>
      </c>
    </row>
    <row r="10" spans="1:2">
      <c r="A10" t="s">
        <v>1743</v>
      </c>
      <c r="B10" t="str">
        <f t="shared" si="0"/>
        <v>F12+</v>
      </c>
    </row>
    <row r="11" spans="1:2">
      <c r="A11" t="s">
        <v>1744</v>
      </c>
      <c r="B11" t="str">
        <f t="shared" si="0"/>
        <v>F13+</v>
      </c>
    </row>
    <row r="12" spans="1:2">
      <c r="A12" t="s">
        <v>1745</v>
      </c>
      <c r="B12" t="str">
        <f t="shared" si="0"/>
        <v>F14+</v>
      </c>
    </row>
    <row r="13" spans="1:2">
      <c r="A13" t="s">
        <v>1746</v>
      </c>
      <c r="B13" t="str">
        <f t="shared" si="0"/>
        <v>F15+</v>
      </c>
    </row>
    <row r="14" spans="1:2">
      <c r="A14" t="s">
        <v>1747</v>
      </c>
      <c r="B14" t="str">
        <f t="shared" si="0"/>
        <v>F16+</v>
      </c>
    </row>
    <row r="15" spans="1:2">
      <c r="A15" t="s">
        <v>1748</v>
      </c>
      <c r="B15" t="str">
        <f t="shared" si="0"/>
        <v>F17+</v>
      </c>
    </row>
    <row r="16" spans="1:2">
      <c r="A16" t="s">
        <v>1749</v>
      </c>
      <c r="B16" t="str">
        <f t="shared" si="0"/>
        <v>F18+</v>
      </c>
    </row>
    <row r="17" spans="1:2">
      <c r="A17" t="s">
        <v>1750</v>
      </c>
      <c r="B17" t="str">
        <f t="shared" si="0"/>
        <v>F19+</v>
      </c>
    </row>
    <row r="18" spans="1:2">
      <c r="A18" t="s">
        <v>1751</v>
      </c>
      <c r="B18" t="str">
        <f t="shared" si="0"/>
        <v>F20+</v>
      </c>
    </row>
    <row r="19" spans="1:2">
      <c r="A19" t="s">
        <v>1752</v>
      </c>
      <c r="B19" t="str">
        <f t="shared" si="0"/>
        <v>F21+</v>
      </c>
    </row>
    <row r="20" spans="1:2">
      <c r="A20" t="s">
        <v>1753</v>
      </c>
      <c r="B20" t="str">
        <f t="shared" si="0"/>
        <v>F22+</v>
      </c>
    </row>
    <row r="21" spans="1:2">
      <c r="A21" t="s">
        <v>1754</v>
      </c>
      <c r="B21" t="str">
        <f t="shared" si="0"/>
        <v>F23+</v>
      </c>
    </row>
    <row r="22" spans="1:2">
      <c r="A22" t="s">
        <v>1755</v>
      </c>
      <c r="B22" t="str">
        <f t="shared" si="0"/>
        <v>F24+</v>
      </c>
    </row>
    <row r="23" spans="1:2">
      <c r="A23" t="s">
        <v>1756</v>
      </c>
      <c r="B23" t="str">
        <f t="shared" si="0"/>
        <v>F25+</v>
      </c>
    </row>
    <row r="24" spans="1:2">
      <c r="A24" t="s">
        <v>1757</v>
      </c>
      <c r="B24" t="str">
        <f t="shared" si="0"/>
        <v>F26+</v>
      </c>
    </row>
    <row r="25" spans="1:2">
      <c r="A25" t="s">
        <v>1758</v>
      </c>
      <c r="B25" t="str">
        <f t="shared" si="0"/>
        <v>F27+</v>
      </c>
    </row>
    <row r="26" spans="1:2">
      <c r="A26" t="s">
        <v>1759</v>
      </c>
      <c r="B26" t="str">
        <f t="shared" si="0"/>
        <v>F28+</v>
      </c>
    </row>
    <row r="27" spans="1:2">
      <c r="A27" t="s">
        <v>1760</v>
      </c>
      <c r="B27" t="str">
        <f t="shared" si="0"/>
        <v>F29+</v>
      </c>
    </row>
    <row r="28" spans="1:2">
      <c r="A28" t="s">
        <v>1761</v>
      </c>
      <c r="B28" t="str">
        <f t="shared" si="0"/>
        <v>F30+</v>
      </c>
    </row>
    <row r="29" spans="1:2">
      <c r="A29" t="s">
        <v>1762</v>
      </c>
      <c r="B29" t="str">
        <f t="shared" si="0"/>
        <v>F31+</v>
      </c>
    </row>
    <row r="30" spans="1:2">
      <c r="A30" t="s">
        <v>1763</v>
      </c>
      <c r="B30" t="str">
        <f t="shared" si="0"/>
        <v>F32+</v>
      </c>
    </row>
    <row r="31" spans="1:2">
      <c r="A31" t="s">
        <v>1764</v>
      </c>
      <c r="B31" t="str">
        <f t="shared" si="0"/>
        <v>F33+</v>
      </c>
    </row>
    <row r="32" spans="1:2">
      <c r="A32" t="s">
        <v>1765</v>
      </c>
      <c r="B32" t="str">
        <f t="shared" si="0"/>
        <v>F34+</v>
      </c>
    </row>
    <row r="33" spans="1:2">
      <c r="A33" t="s">
        <v>1766</v>
      </c>
      <c r="B33" t="str">
        <f t="shared" si="0"/>
        <v>F35+</v>
      </c>
    </row>
    <row r="34" spans="1:2">
      <c r="A34" t="s">
        <v>1767</v>
      </c>
      <c r="B34" t="str">
        <f t="shared" si="0"/>
        <v>F36+</v>
      </c>
    </row>
    <row r="35" spans="1:2">
      <c r="A35" t="s">
        <v>986</v>
      </c>
      <c r="B35" t="str">
        <f t="shared" si="0"/>
        <v>H218+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 </vt:lpstr>
      <vt:lpstr>General Information</vt:lpstr>
      <vt:lpstr>Parcel 1 with DATSs</vt:lpstr>
      <vt:lpstr>Parcel 1 without DATSs</vt:lpstr>
      <vt:lpstr>Cost-revenue DATS</vt:lpstr>
      <vt:lpstr>Cost-revenue NO DATS</vt:lpstr>
      <vt:lpstr>sust. impact KPIs DATS</vt:lpstr>
      <vt:lpstr>sust. impact KPIs NO DATS</vt:lpstr>
      <vt:lpstr>Analysis DATS vs. NO DATS</vt:lpstr>
      <vt:lpstr>Convalide</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 Parigi</dc:creator>
  <cp:lastModifiedBy>Thanasis  Manos</cp:lastModifiedBy>
  <dcterms:created xsi:type="dcterms:W3CDTF">2023-10-26T11:59:27Z</dcterms:created>
  <dcterms:modified xsi:type="dcterms:W3CDTF">2025-03-28T10:55:50Z</dcterms:modified>
</cp:coreProperties>
</file>