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Override PartName="/xl/persons/person.xml" ContentType="application/vnd.ms-excel.person+xml"/>
  <Override PartName="/xl/richData/rdRichValueTypes.xml" ContentType="application/vnd.ms-excel.rdrichvaluetypes+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E:\Dev\PythonProjects\Neuropublic\European\Quantifarm\Parser_V5_Assessment_Tool\Resources\"/>
    </mc:Choice>
  </mc:AlternateContent>
  <xr:revisionPtr revIDLastSave="0" documentId="13_ncr:1_{0A7106F1-FEDE-4C1D-B716-08A3E0703156}" xr6:coauthVersionLast="47" xr6:coauthVersionMax="47" xr10:uidLastSave="{00000000-0000-0000-0000-000000000000}"/>
  <bookViews>
    <workbookView xWindow="-120" yWindow="-120" windowWidth="29040" windowHeight="15840" xr2:uid="{C8CCFE31-AE15-EC44-985A-4BA84CA9B17D}"/>
  </bookViews>
  <sheets>
    <sheet name="Instructions " sheetId="4" r:id="rId1"/>
    <sheet name="General Information" sheetId="3" r:id="rId2"/>
    <sheet name="Parcel 1 with DATSs" sheetId="1" r:id="rId3"/>
    <sheet name="Parcel 1 without DATSs" sheetId="6" r:id="rId4"/>
    <sheet name="Cost-revenue DATS" sheetId="5" r:id="rId5"/>
    <sheet name="Cost-revenue NO DATS" sheetId="10" r:id="rId6"/>
    <sheet name="sust. impact KPIs DATS" sheetId="12" r:id="rId7"/>
    <sheet name="sust. impact KPIs NO DATS" sheetId="11" r:id="rId8"/>
    <sheet name="Analysis DATS vs. NO DATS" sheetId="9" r:id="rId9"/>
    <sheet name="Icons" sheetId="16" r:id="rId10"/>
    <sheet name="Validations" sheetId="14" r:id="rId11"/>
  </sheets>
  <definedNames>
    <definedName name="_xlnm._FilterDatabase" localSheetId="1" hidden="1">'General Information'!$B$19:$D$28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54" i="9" l="1"/>
  <c r="D55" i="9"/>
  <c r="D53" i="9"/>
  <c r="D52" i="9"/>
  <c r="D4" i="9"/>
  <c r="E42" i="10"/>
  <c r="E42" i="5"/>
  <c r="E43" i="10" l="1"/>
  <c r="D43" i="10"/>
  <c r="D42" i="10"/>
  <c r="E43" i="5"/>
  <c r="D96" i="9" l="1"/>
  <c r="D94" i="9"/>
  <c r="D90" i="9"/>
  <c r="D88" i="9"/>
  <c r="D85" i="9"/>
  <c r="D86" i="9"/>
  <c r="D87" i="9"/>
  <c r="D84" i="9"/>
  <c r="D77" i="9"/>
  <c r="D74" i="9"/>
  <c r="E4" i="9"/>
  <c r="D20" i="9"/>
  <c r="D21" i="9"/>
  <c r="D22" i="9"/>
  <c r="D23" i="9"/>
  <c r="D24" i="9"/>
  <c r="D25" i="9"/>
  <c r="D26" i="9"/>
  <c r="D27" i="9"/>
  <c r="D28" i="9"/>
  <c r="D29" i="9"/>
  <c r="D30" i="9"/>
  <c r="D19" i="9"/>
  <c r="D58" i="12"/>
  <c r="D58" i="11"/>
  <c r="D53" i="11"/>
  <c r="D53" i="12"/>
  <c r="E51" i="11"/>
  <c r="E51" i="12"/>
  <c r="D51" i="11"/>
  <c r="D51" i="12"/>
  <c r="E48" i="11"/>
  <c r="E47" i="11"/>
  <c r="E48" i="12"/>
  <c r="E47" i="12"/>
  <c r="E37" i="12"/>
  <c r="E37" i="11"/>
  <c r="D48" i="11"/>
  <c r="D47" i="11"/>
  <c r="D48" i="12"/>
  <c r="D47" i="12"/>
  <c r="D37" i="12"/>
  <c r="D40" i="11"/>
  <c r="D37" i="11"/>
  <c r="E11" i="11"/>
  <c r="E11" i="12"/>
  <c r="E10" i="11"/>
  <c r="E10" i="12"/>
  <c r="E44" i="10"/>
  <c r="D47" i="5"/>
  <c r="D43" i="5"/>
  <c r="D42" i="5"/>
  <c r="D51" i="9"/>
  <c r="Q100" i="9"/>
  <c r="Q101" i="9"/>
  <c r="Q102" i="9"/>
  <c r="Q103" i="9"/>
  <c r="Q104" i="9"/>
  <c r="Q105" i="9"/>
  <c r="T6" i="9" l="1"/>
  <c r="U6" i="9" s="1"/>
  <c r="G97" i="9"/>
  <c r="G98" i="9"/>
  <c r="G99" i="9"/>
  <c r="G93" i="9"/>
  <c r="G64" i="9"/>
  <c r="G65" i="9"/>
  <c r="G62" i="11"/>
  <c r="E36" i="5" l="1"/>
  <c r="U12" i="14"/>
  <c r="S12" i="14"/>
  <c r="Q12" i="14"/>
  <c r="Q9" i="14"/>
  <c r="E62" i="11" l="1" a="1"/>
  <c r="E62" i="11" s="1"/>
  <c r="E62" i="12" a="1"/>
  <c r="E62" i="12" s="1"/>
  <c r="E67" i="12" a="1"/>
  <c r="E67" i="12" s="1"/>
  <c r="E63" i="12" l="1"/>
  <c r="D62" i="11"/>
  <c r="D62" i="12"/>
  <c r="I57" i="11" l="1"/>
  <c r="I57" i="12"/>
  <c r="E36" i="11"/>
  <c r="E36" i="12"/>
  <c r="E34" i="11"/>
  <c r="E32" i="11"/>
  <c r="E30" i="11"/>
  <c r="E34" i="12"/>
  <c r="E32" i="12"/>
  <c r="E30" i="12"/>
  <c r="E10" i="5"/>
  <c r="E7" i="10"/>
  <c r="E7" i="5"/>
  <c r="E6" i="10"/>
  <c r="E6" i="5"/>
  <c r="E116" i="6"/>
  <c r="E109" i="6"/>
  <c r="E102" i="6"/>
  <c r="E95" i="6"/>
  <c r="E92" i="6"/>
  <c r="E89" i="6"/>
  <c r="E86" i="6"/>
  <c r="E83" i="6"/>
  <c r="E80" i="6"/>
  <c r="E77" i="6"/>
  <c r="E74" i="6"/>
  <c r="E71" i="6"/>
  <c r="E68" i="6"/>
  <c r="E95" i="1"/>
  <c r="E92" i="1"/>
  <c r="E89" i="1"/>
  <c r="E8" i="9" l="1"/>
  <c r="Q8" i="9" s="1"/>
  <c r="E86" i="1"/>
  <c r="E83" i="1"/>
  <c r="E80" i="1"/>
  <c r="E77" i="1"/>
  <c r="E26" i="11" l="1"/>
  <c r="E25" i="11"/>
  <c r="D225" i="6" l="1"/>
  <c r="E65" i="11"/>
  <c r="E64" i="11"/>
  <c r="E63" i="11"/>
  <c r="I58" i="12"/>
  <c r="E55" i="11"/>
  <c r="E54" i="11"/>
  <c r="E53" i="11"/>
  <c r="E52" i="11"/>
  <c r="E50" i="11"/>
  <c r="E49" i="11"/>
  <c r="E50" i="12"/>
  <c r="E49" i="12"/>
  <c r="E46" i="11"/>
  <c r="E45" i="11"/>
  <c r="E44" i="11"/>
  <c r="E43" i="11"/>
  <c r="E41" i="11"/>
  <c r="E42" i="11"/>
  <c r="E40" i="11"/>
  <c r="E40" i="12"/>
  <c r="E39" i="11"/>
  <c r="E39" i="12"/>
  <c r="A100" i="11"/>
  <c r="A99" i="11"/>
  <c r="A98" i="11"/>
  <c r="C98" i="11"/>
  <c r="G57" i="11"/>
  <c r="E24" i="11"/>
  <c r="E17" i="11"/>
  <c r="G57" i="12"/>
  <c r="E19" i="11"/>
  <c r="E18" i="11"/>
  <c r="E13" i="11"/>
  <c r="E12" i="11"/>
  <c r="E9" i="11"/>
  <c r="E8" i="11"/>
  <c r="E7" i="11"/>
  <c r="E6" i="11"/>
  <c r="E5" i="11"/>
  <c r="E4" i="11"/>
  <c r="E9" i="12"/>
  <c r="E3" i="11"/>
  <c r="D225" i="1"/>
  <c r="E47" i="10"/>
  <c r="E46" i="10"/>
  <c r="E45" i="10"/>
  <c r="E41" i="10"/>
  <c r="D47" i="10"/>
  <c r="E34" i="10"/>
  <c r="E33" i="10"/>
  <c r="E32" i="10"/>
  <c r="E31" i="10"/>
  <c r="E30" i="10"/>
  <c r="E29" i="10"/>
  <c r="E28" i="10"/>
  <c r="E27" i="10"/>
  <c r="E26" i="10"/>
  <c r="E25" i="10"/>
  <c r="E24" i="10"/>
  <c r="E23" i="10"/>
  <c r="E22" i="10"/>
  <c r="E21" i="10"/>
  <c r="E20" i="10"/>
  <c r="E46" i="5"/>
  <c r="E45" i="5"/>
  <c r="E44" i="5"/>
  <c r="E37" i="5"/>
  <c r="D37" i="5"/>
  <c r="D36" i="5"/>
  <c r="D38" i="9" s="1"/>
  <c r="D45" i="9" s="1"/>
  <c r="D46" i="9" s="1"/>
  <c r="D48" i="9" s="1"/>
  <c r="D49" i="9" s="1"/>
  <c r="E34" i="5"/>
  <c r="E33" i="5"/>
  <c r="E32" i="5"/>
  <c r="E29" i="5"/>
  <c r="E19" i="10"/>
  <c r="E18" i="10"/>
  <c r="E17" i="10"/>
  <c r="E18" i="5"/>
  <c r="E16" i="10"/>
  <c r="E15" i="10"/>
  <c r="E14" i="10"/>
  <c r="E13" i="10"/>
  <c r="E12" i="10"/>
  <c r="E11" i="10"/>
  <c r="E15" i="5"/>
  <c r="E10" i="10"/>
  <c r="E9" i="10"/>
  <c r="E9" i="5"/>
  <c r="E8" i="10"/>
  <c r="E5" i="10"/>
  <c r="E4" i="10"/>
  <c r="E3" i="10"/>
  <c r="E8" i="5"/>
  <c r="E5" i="5"/>
  <c r="E4" i="5"/>
  <c r="E3" i="5"/>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4" i="10"/>
  <c r="D3" i="10"/>
  <c r="E55" i="12"/>
  <c r="E54" i="12"/>
  <c r="E53" i="12"/>
  <c r="E52" i="12"/>
  <c r="E44" i="12"/>
  <c r="E43" i="12"/>
  <c r="E42" i="12"/>
  <c r="H42" i="12"/>
  <c r="D40" i="12"/>
  <c r="A100" i="12"/>
  <c r="A99" i="12"/>
  <c r="A98" i="12"/>
  <c r="C98" i="12"/>
  <c r="C100" i="11"/>
  <c r="C99" i="11"/>
  <c r="E5" i="12"/>
  <c r="E4" i="12"/>
  <c r="E44" i="9" l="1"/>
  <c r="F44" i="9"/>
  <c r="G44" i="9" s="1"/>
  <c r="Q44" i="9"/>
  <c r="E35" i="10"/>
  <c r="C99" i="12"/>
  <c r="C100" i="12"/>
  <c r="E33" i="11"/>
  <c r="E31" i="11"/>
  <c r="K57" i="11"/>
  <c r="K57" i="12"/>
  <c r="E35" i="11"/>
  <c r="E31" i="12"/>
  <c r="E31" i="5"/>
  <c r="E30" i="5"/>
  <c r="E28" i="5"/>
  <c r="E27" i="5"/>
  <c r="E26" i="5"/>
  <c r="E25" i="5"/>
  <c r="E24" i="5"/>
  <c r="E23" i="5"/>
  <c r="E22" i="5"/>
  <c r="E21" i="5"/>
  <c r="E20" i="5"/>
  <c r="E19" i="5"/>
  <c r="E17"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 i="5"/>
  <c r="E116" i="1"/>
  <c r="E109" i="1"/>
  <c r="E102" i="1"/>
  <c r="E74" i="1"/>
  <c r="E71" i="1"/>
  <c r="E68" i="1"/>
  <c r="D41" i="9" l="1"/>
  <c r="D43" i="9"/>
  <c r="D44" i="9"/>
  <c r="D40" i="9"/>
  <c r="D39" i="9"/>
  <c r="D42" i="9"/>
  <c r="D6" i="9"/>
  <c r="D14" i="9"/>
  <c r="D34" i="9"/>
  <c r="D13" i="9"/>
  <c r="D7" i="9"/>
  <c r="D15" i="9"/>
  <c r="D8" i="9"/>
  <c r="D16" i="9"/>
  <c r="D9" i="9"/>
  <c r="D17" i="9"/>
  <c r="D10" i="9"/>
  <c r="D18" i="9"/>
  <c r="D36" i="9"/>
  <c r="D11" i="9"/>
  <c r="D5" i="9"/>
  <c r="D35" i="9"/>
  <c r="D12" i="9"/>
  <c r="E68" i="9"/>
  <c r="D37" i="9"/>
  <c r="D3" i="9"/>
  <c r="E16" i="5"/>
  <c r="E14" i="5"/>
  <c r="E13" i="5"/>
  <c r="E12" i="5"/>
  <c r="E3" i="9"/>
  <c r="E67" i="9"/>
  <c r="E6" i="12"/>
  <c r="F8" i="9"/>
  <c r="G8" i="9" s="1"/>
  <c r="E63" i="9"/>
  <c r="H51" i="11"/>
  <c r="E81" i="9"/>
  <c r="E25" i="12"/>
  <c r="E65" i="9" s="1"/>
  <c r="Q65" i="9" s="1"/>
  <c r="E26" i="12"/>
  <c r="E66" i="9" s="1"/>
  <c r="Q66" i="9" s="1"/>
  <c r="E24" i="12"/>
  <c r="E65" i="12"/>
  <c r="E64" i="12"/>
  <c r="E19" i="12"/>
  <c r="E18" i="12"/>
  <c r="E17" i="12"/>
  <c r="E46" i="12"/>
  <c r="E13" i="12"/>
  <c r="E12" i="12"/>
  <c r="E47" i="5"/>
  <c r="E87" i="9"/>
  <c r="C90" i="12"/>
  <c r="C90" i="11"/>
  <c r="E61" i="12"/>
  <c r="E95" i="9" s="1"/>
  <c r="E45" i="12"/>
  <c r="E41" i="12"/>
  <c r="E79" i="9"/>
  <c r="F95" i="9" l="1"/>
  <c r="G95" i="9" s="1"/>
  <c r="Q95" i="9"/>
  <c r="F87" i="9"/>
  <c r="G87" i="9" s="1"/>
  <c r="Q87" i="9"/>
  <c r="F79" i="9"/>
  <c r="G79" i="9" s="1"/>
  <c r="Q79" i="9"/>
  <c r="F81" i="9"/>
  <c r="G81" i="9" s="1"/>
  <c r="Q81" i="9"/>
  <c r="F63" i="9"/>
  <c r="G63" i="9" s="1"/>
  <c r="Q63" i="9"/>
  <c r="F67" i="9"/>
  <c r="G67" i="9" s="1"/>
  <c r="Q67" i="9"/>
  <c r="G68" i="9"/>
  <c r="Q68" i="9"/>
  <c r="E57" i="9"/>
  <c r="E62" i="9"/>
  <c r="E82" i="9"/>
  <c r="E97" i="9"/>
  <c r="Q97" i="9" s="1"/>
  <c r="E96" i="9"/>
  <c r="E58" i="9"/>
  <c r="E80" i="9"/>
  <c r="E88" i="9"/>
  <c r="E69" i="9"/>
  <c r="E98" i="9"/>
  <c r="Q98" i="9" s="1"/>
  <c r="E74" i="9"/>
  <c r="F66" i="9"/>
  <c r="G66" i="9" s="1"/>
  <c r="E75" i="9"/>
  <c r="E30" i="9"/>
  <c r="E84" i="9"/>
  <c r="E77" i="9"/>
  <c r="E85" i="9"/>
  <c r="E86" i="9"/>
  <c r="E60" i="9"/>
  <c r="E22" i="9"/>
  <c r="E53" i="9"/>
  <c r="E57" i="11"/>
  <c r="E91" i="9"/>
  <c r="E7" i="12"/>
  <c r="E11" i="5"/>
  <c r="E35" i="5" s="1"/>
  <c r="E8" i="12"/>
  <c r="E55" i="9" s="1"/>
  <c r="E36" i="9"/>
  <c r="E78" i="9"/>
  <c r="E89" i="9"/>
  <c r="E71" i="9"/>
  <c r="E56" i="9"/>
  <c r="E83" i="9"/>
  <c r="E92" i="9"/>
  <c r="E90" i="9"/>
  <c r="E61" i="9"/>
  <c r="E59" i="9"/>
  <c r="E99" i="9"/>
  <c r="Q99" i="9" s="1"/>
  <c r="E73" i="9"/>
  <c r="E64" i="9"/>
  <c r="Q64" i="9" s="1"/>
  <c r="E33" i="12"/>
  <c r="E70" i="9" s="1"/>
  <c r="E35" i="12"/>
  <c r="E72" i="9" s="1"/>
  <c r="E57" i="12"/>
  <c r="E58" i="12" s="1"/>
  <c r="E3" i="12"/>
  <c r="E41" i="5"/>
  <c r="E39" i="9" s="1"/>
  <c r="Q39" i="9" s="1"/>
  <c r="E16" i="9"/>
  <c r="E9" i="9"/>
  <c r="E19" i="9"/>
  <c r="E33" i="9"/>
  <c r="E28" i="9"/>
  <c r="E20" i="9"/>
  <c r="E31" i="9"/>
  <c r="E14" i="9"/>
  <c r="E25" i="9"/>
  <c r="E34" i="9"/>
  <c r="E29" i="9"/>
  <c r="E26" i="9"/>
  <c r="E32" i="9"/>
  <c r="E15" i="9"/>
  <c r="E23" i="9"/>
  <c r="E12" i="9"/>
  <c r="Q12" i="9" s="1"/>
  <c r="E40" i="9"/>
  <c r="E21" i="9"/>
  <c r="E11" i="9"/>
  <c r="E18" i="9"/>
  <c r="E43" i="9"/>
  <c r="E35" i="9"/>
  <c r="E24" i="9"/>
  <c r="E27" i="9"/>
  <c r="E42" i="9"/>
  <c r="E7" i="9"/>
  <c r="E41" i="9"/>
  <c r="E5" i="9"/>
  <c r="Q5" i="9" s="1"/>
  <c r="E17" i="9"/>
  <c r="E10" i="9"/>
  <c r="E6" i="9"/>
  <c r="Q6" i="9" s="1"/>
  <c r="Q43" i="9" l="1"/>
  <c r="F43" i="9"/>
  <c r="G43" i="9" s="1"/>
  <c r="Q42" i="9"/>
  <c r="F42" i="9"/>
  <c r="G42" i="9" s="1"/>
  <c r="Q41" i="9"/>
  <c r="F41" i="9"/>
  <c r="G41" i="9" s="1"/>
  <c r="Q40" i="9"/>
  <c r="F40" i="9"/>
  <c r="G40" i="9" s="1"/>
  <c r="F15" i="9"/>
  <c r="G15" i="9" s="1"/>
  <c r="Q15" i="9"/>
  <c r="F90" i="9"/>
  <c r="G90" i="9" s="1"/>
  <c r="Q90" i="9"/>
  <c r="F92" i="9"/>
  <c r="G92" i="9" s="1"/>
  <c r="Q92" i="9"/>
  <c r="F69" i="9"/>
  <c r="G69" i="9" s="1"/>
  <c r="Q69" i="9"/>
  <c r="G70" i="9"/>
  <c r="Q70" i="9"/>
  <c r="F77" i="9"/>
  <c r="G77" i="9" s="1"/>
  <c r="Q77" i="9"/>
  <c r="F11" i="9"/>
  <c r="G11" i="9" s="1"/>
  <c r="Q11" i="9"/>
  <c r="F56" i="9"/>
  <c r="G56" i="9" s="1"/>
  <c r="Q56" i="9"/>
  <c r="F80" i="9"/>
  <c r="G80" i="9" s="1"/>
  <c r="Q80" i="9"/>
  <c r="F10" i="9"/>
  <c r="G10" i="9" s="1"/>
  <c r="Q10" i="9"/>
  <c r="F55" i="9"/>
  <c r="G55" i="9" s="1"/>
  <c r="Q55" i="9"/>
  <c r="F32" i="9"/>
  <c r="G32" i="9" s="1"/>
  <c r="Q32" i="9"/>
  <c r="F33" i="9"/>
  <c r="G33" i="9" s="1"/>
  <c r="Q33" i="9"/>
  <c r="F83" i="9"/>
  <c r="G83" i="9" s="1"/>
  <c r="Q83" i="9"/>
  <c r="F88" i="9"/>
  <c r="G88" i="9" s="1"/>
  <c r="T9" i="9" s="1"/>
  <c r="U9" i="9" s="1"/>
  <c r="Q88" i="9"/>
  <c r="F84" i="9"/>
  <c r="G84" i="9" s="1"/>
  <c r="Q84" i="9"/>
  <c r="F34" i="9"/>
  <c r="G34" i="9" s="1"/>
  <c r="Q34" i="9"/>
  <c r="F73" i="9"/>
  <c r="G73" i="9" s="1"/>
  <c r="Q73" i="9"/>
  <c r="F30" i="9"/>
  <c r="G30" i="9" s="1"/>
  <c r="Q30" i="9"/>
  <c r="F25" i="9"/>
  <c r="G25" i="9" s="1"/>
  <c r="Q25" i="9"/>
  <c r="F16" i="9"/>
  <c r="G16" i="9" s="1"/>
  <c r="Q16" i="9"/>
  <c r="F89" i="9"/>
  <c r="G89" i="9" s="1"/>
  <c r="Q89" i="9"/>
  <c r="F53" i="9"/>
  <c r="G53" i="9" s="1"/>
  <c r="Q53" i="9"/>
  <c r="F75" i="9"/>
  <c r="G75" i="9" s="1"/>
  <c r="Q75" i="9"/>
  <c r="F96" i="9"/>
  <c r="G96" i="9" s="1"/>
  <c r="Q96" i="9"/>
  <c r="F35" i="9"/>
  <c r="G35" i="9" s="1"/>
  <c r="Q35" i="9"/>
  <c r="F86" i="9"/>
  <c r="G86" i="9" s="1"/>
  <c r="Q86" i="9"/>
  <c r="F62" i="9"/>
  <c r="G62" i="9" s="1"/>
  <c r="Q62" i="9"/>
  <c r="F17" i="9"/>
  <c r="G17" i="9" s="1"/>
  <c r="Q17" i="9"/>
  <c r="F28" i="9"/>
  <c r="G28" i="9" s="1"/>
  <c r="Q28" i="9"/>
  <c r="F26" i="9"/>
  <c r="G26" i="9" s="1"/>
  <c r="Q26" i="9"/>
  <c r="F19" i="9"/>
  <c r="G19" i="9" s="1"/>
  <c r="Q19" i="9"/>
  <c r="F7" i="9"/>
  <c r="G7" i="9" s="1"/>
  <c r="Q7" i="9"/>
  <c r="F78" i="9"/>
  <c r="G78" i="9" s="1"/>
  <c r="Q78" i="9"/>
  <c r="F20" i="9"/>
  <c r="G20" i="9" s="1"/>
  <c r="Q20" i="9"/>
  <c r="G72" i="9"/>
  <c r="Q72" i="9"/>
  <c r="F85" i="9"/>
  <c r="G85" i="9" s="1"/>
  <c r="Q85" i="9"/>
  <c r="F57" i="9"/>
  <c r="G57" i="9" s="1"/>
  <c r="Q57" i="9"/>
  <c r="F18" i="9"/>
  <c r="G18" i="9" s="1"/>
  <c r="Q18" i="9"/>
  <c r="F29" i="9"/>
  <c r="G29" i="9" s="1"/>
  <c r="Q29" i="9"/>
  <c r="F91" i="9"/>
  <c r="G91" i="9" s="1"/>
  <c r="Q91" i="9"/>
  <c r="F21" i="9"/>
  <c r="G21" i="9" s="1"/>
  <c r="Q21" i="9"/>
  <c r="F9" i="9"/>
  <c r="G9" i="9" s="1"/>
  <c r="Q9" i="9"/>
  <c r="F71" i="9"/>
  <c r="G71" i="9" s="1"/>
  <c r="Q71" i="9"/>
  <c r="F58" i="9"/>
  <c r="G58" i="9" s="1"/>
  <c r="Q58" i="9"/>
  <c r="F27" i="9"/>
  <c r="G27" i="9" s="1"/>
  <c r="Q27" i="9"/>
  <c r="F14" i="9"/>
  <c r="G14" i="9" s="1"/>
  <c r="Q14" i="9"/>
  <c r="F59" i="9"/>
  <c r="G59" i="9" s="1"/>
  <c r="Q59" i="9"/>
  <c r="F22" i="9"/>
  <c r="G22" i="9" s="1"/>
  <c r="Q22" i="9"/>
  <c r="F24" i="9"/>
  <c r="G24" i="9" s="1"/>
  <c r="Q24" i="9"/>
  <c r="F23" i="9"/>
  <c r="G23" i="9" s="1"/>
  <c r="Q23" i="9"/>
  <c r="F31" i="9"/>
  <c r="G31" i="9" s="1"/>
  <c r="Q31" i="9"/>
  <c r="F61" i="9"/>
  <c r="G61" i="9" s="1"/>
  <c r="Q61" i="9"/>
  <c r="F36" i="9"/>
  <c r="G36" i="9" s="1"/>
  <c r="Q36" i="9"/>
  <c r="F60" i="9"/>
  <c r="G60" i="9" s="1"/>
  <c r="Q60" i="9"/>
  <c r="F74" i="9"/>
  <c r="G74" i="9" s="1"/>
  <c r="T5" i="9" s="1"/>
  <c r="U5" i="9" s="1"/>
  <c r="Q74" i="9"/>
  <c r="F82" i="9"/>
  <c r="G82" i="9" s="1"/>
  <c r="Q82" i="9"/>
  <c r="T7" i="9"/>
  <c r="U7" i="9" s="1"/>
  <c r="F39" i="9"/>
  <c r="G39" i="9" s="1"/>
  <c r="F12" i="9"/>
  <c r="G12" i="9" s="1"/>
  <c r="E37" i="9"/>
  <c r="F5" i="9"/>
  <c r="G5" i="9" s="1"/>
  <c r="E38" i="9"/>
  <c r="Q38" i="9" s="1"/>
  <c r="F6" i="9"/>
  <c r="G6" i="9" s="1"/>
  <c r="E58" i="11"/>
  <c r="E94" i="9" s="1"/>
  <c r="E50" i="9"/>
  <c r="E93" i="9"/>
  <c r="Q93" i="9" s="1"/>
  <c r="E52" i="9"/>
  <c r="E76" i="9"/>
  <c r="E13" i="9"/>
  <c r="E54" i="9"/>
  <c r="E51" i="9"/>
  <c r="T8" i="9" l="1"/>
  <c r="U8" i="9" s="1"/>
  <c r="F52" i="9"/>
  <c r="G52" i="9" s="1"/>
  <c r="Q52" i="9"/>
  <c r="F50" i="9"/>
  <c r="G50" i="9" s="1"/>
  <c r="Q50" i="9"/>
  <c r="F94" i="9"/>
  <c r="G94" i="9" s="1"/>
  <c r="Q94" i="9"/>
  <c r="F54" i="9"/>
  <c r="G54" i="9" s="1"/>
  <c r="Q54" i="9"/>
  <c r="F13" i="9"/>
  <c r="G13" i="9" s="1"/>
  <c r="Q13" i="9"/>
  <c r="F51" i="9"/>
  <c r="G51" i="9" s="1"/>
  <c r="Q51" i="9"/>
  <c r="F76" i="9"/>
  <c r="G76" i="9" s="1"/>
  <c r="Q76" i="9"/>
  <c r="F37" i="9"/>
  <c r="G37" i="9" s="1"/>
  <c r="Q37" i="9"/>
  <c r="T4" i="9"/>
  <c r="U4" i="9" s="1"/>
  <c r="F38" i="9"/>
  <c r="E45" i="9"/>
  <c r="E46" i="9" l="1"/>
  <c r="Q45" i="9"/>
  <c r="G38" i="9"/>
  <c r="T3" i="9" s="1"/>
  <c r="U3" i="9" s="1"/>
  <c r="Q46" i="9" l="1"/>
  <c r="E47" i="9"/>
  <c r="W3" i="9"/>
  <c r="W6" i="9"/>
  <c r="W7" i="9"/>
  <c r="W4" i="9"/>
  <c r="W9" i="9"/>
  <c r="Z6" i="9" l="1"/>
  <c r="W5" i="9"/>
  <c r="Z8" i="9"/>
  <c r="W8" i="9"/>
  <c r="Z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Francesco Parigi</author>
  </authors>
  <commentList>
    <comment ref="D9" authorId="0" shapeId="0" xr:uid="{7255FF68-9B86-4A1A-A053-169B2D68B930}">
      <text>
        <r>
          <rPr>
            <b/>
            <sz val="10"/>
            <color rgb="FF000000"/>
            <rFont val="Tahoma"/>
            <family val="2"/>
          </rPr>
          <t>Francesco Parigi:</t>
        </r>
        <r>
          <rPr>
            <sz val="10"/>
            <color rgb="FF000000"/>
            <rFont val="Tahoma"/>
            <family val="2"/>
          </rPr>
          <t xml:space="preserve">
</t>
        </r>
        <r>
          <rPr>
            <sz val="10"/>
            <color rgb="FF000000"/>
            <rFont val="Tahoma"/>
            <family val="2"/>
          </rPr>
          <t>Format dd/mm/yyyy</t>
        </r>
      </text>
    </comment>
    <comment ref="D10" authorId="0" shapeId="0" xr:uid="{6CA97FEE-920A-45CE-82A7-1B64AE7DBA4D}">
      <text>
        <r>
          <rPr>
            <b/>
            <sz val="10"/>
            <color rgb="FF000000"/>
            <rFont val="Tahoma"/>
            <family val="2"/>
          </rPr>
          <t>Francesco Parigi:</t>
        </r>
        <r>
          <rPr>
            <sz val="10"/>
            <color rgb="FF000000"/>
            <rFont val="Tahoma"/>
            <family val="2"/>
          </rPr>
          <t xml:space="preserve">
</t>
        </r>
        <r>
          <rPr>
            <sz val="10"/>
            <color rgb="FF000000"/>
            <rFont val="Tahoma"/>
            <family val="2"/>
          </rPr>
          <t>Format dd/mm/yyyy</t>
        </r>
      </text>
    </comment>
    <comment ref="D11" authorId="0" shapeId="0" xr:uid="{9CC25A7C-DDA2-4B52-9940-FEAAE5DDBE6C}">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D12" authorId="0" shapeId="0" xr:uid="{00C3CC33-4D4D-4DF8-B860-2A41B3B376C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13" authorId="0" shapeId="0" xr:uid="{2FD1295E-9D51-4FED-A440-676BC0B00576}">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D14" authorId="0" shapeId="0" xr:uid="{6026CE8C-7791-45B5-BF97-3E21A0D0A8C3}">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D15" authorId="0" shapeId="0" xr:uid="{EFF616FB-331B-4A33-A838-A839746EB09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D16" authorId="0" shapeId="0" xr:uid="{FAC68CE3-D826-48FE-A906-EE2D3095C3F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D20" authorId="0" shapeId="0" xr:uid="{301FAB30-1D1C-4497-9AF4-E5D572688A6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 authorId="0" shapeId="0" xr:uid="{D9142840-1A30-45DA-8CC7-D01266720FE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L20" authorId="0" shapeId="0" xr:uid="{F0DA8DB6-0D4C-4BAA-8CBE-0A02D615813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21" authorId="0" shapeId="0" xr:uid="{FF826D53-A5F8-4BC1-884B-CDEAB33AA56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1" authorId="0" shapeId="0" xr:uid="{DD261E6F-34D9-4F21-B56B-80EC36F4C67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L21" authorId="0" shapeId="0" xr:uid="{51C88BB3-9A85-451F-B0A6-DE7093401CC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D22" authorId="0" shapeId="0" xr:uid="{8C2340E9-2C97-49FA-A4C1-429555CD56AD}">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2" authorId="0" shapeId="0" xr:uid="{EFF8B873-53B4-4654-BA3F-D6A25C773DB7}">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L22" authorId="0" shapeId="0" xr:uid="{14131A35-0746-489B-A7EB-6E5347F8703D}">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D23" authorId="0" shapeId="0" xr:uid="{9B3A4496-F014-4D5A-827F-CB24F067A8C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3" authorId="0" shapeId="0" xr:uid="{B6296623-2A3B-44A0-B187-943CAFB66F5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L23" authorId="0" shapeId="0" xr:uid="{F69E98B0-EA3B-4EDD-84E5-DBEFEAAC65C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24" authorId="0" shapeId="0" xr:uid="{762E8668-DE89-4AEE-98F7-68D7907CC42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4" authorId="0" shapeId="0" xr:uid="{F92F9EE2-17BC-4CC9-8E7B-1AC5F82ADAF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L24" authorId="0" shapeId="0" xr:uid="{3A8040E1-1A27-4862-816F-BFAA25230DB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25" authorId="0" shapeId="0" xr:uid="{01924315-384C-4987-BC51-5F2FA18EC9DA}">
      <text>
        <r>
          <rPr>
            <b/>
            <sz val="10"/>
            <color rgb="FF000000"/>
            <rFont val="Tahoma"/>
            <family val="2"/>
          </rPr>
          <t>Francesco Parigi:</t>
        </r>
        <r>
          <rPr>
            <sz val="10"/>
            <color rgb="FF000000"/>
            <rFont val="Tahoma"/>
            <family val="2"/>
          </rPr>
          <t xml:space="preserve">
</t>
        </r>
        <r>
          <rPr>
            <sz val="10"/>
            <color rgb="FF000000"/>
            <rFont val="Tahoma"/>
            <family val="2"/>
          </rPr>
          <t>Decimal number</t>
        </r>
      </text>
    </comment>
    <comment ref="H25" authorId="0" shapeId="0" xr:uid="{96B43859-6BC9-4731-92C7-53E1F6947A03}">
      <text>
        <r>
          <rPr>
            <b/>
            <sz val="10"/>
            <color rgb="FF000000"/>
            <rFont val="Tahoma"/>
            <family val="2"/>
          </rPr>
          <t>Francesco Parigi:</t>
        </r>
        <r>
          <rPr>
            <sz val="10"/>
            <color rgb="FF000000"/>
            <rFont val="Tahoma"/>
            <family val="2"/>
          </rPr>
          <t xml:space="preserve">
</t>
        </r>
        <r>
          <rPr>
            <sz val="10"/>
            <color rgb="FF000000"/>
            <rFont val="Tahoma"/>
            <family val="2"/>
          </rPr>
          <t>Decimal number</t>
        </r>
      </text>
    </comment>
    <comment ref="L25" authorId="0" shapeId="0" xr:uid="{9147DBCC-00B9-45C0-AE26-6695DF354328}">
      <text>
        <r>
          <rPr>
            <b/>
            <sz val="10"/>
            <color rgb="FF000000"/>
            <rFont val="Tahoma"/>
            <family val="2"/>
          </rPr>
          <t>Francesco Parigi:</t>
        </r>
        <r>
          <rPr>
            <sz val="10"/>
            <color rgb="FF000000"/>
            <rFont val="Tahoma"/>
            <family val="2"/>
          </rPr>
          <t xml:space="preserve">
</t>
        </r>
        <r>
          <rPr>
            <sz val="10"/>
            <color rgb="FF000000"/>
            <rFont val="Tahoma"/>
            <family val="2"/>
          </rPr>
          <t>Decimal number</t>
        </r>
      </text>
    </comment>
    <comment ref="D26" authorId="0" shapeId="0" xr:uid="{2E4CD195-CA9B-4F67-8261-1B4CC4D43614}">
      <text>
        <r>
          <rPr>
            <b/>
            <sz val="10"/>
            <color rgb="FF000000"/>
            <rFont val="Tahoma"/>
            <family val="2"/>
          </rPr>
          <t>Francesco Parigi:</t>
        </r>
        <r>
          <rPr>
            <sz val="10"/>
            <color rgb="FF000000"/>
            <rFont val="Tahoma"/>
            <family val="2"/>
          </rPr>
          <t xml:space="preserve">
</t>
        </r>
        <r>
          <rPr>
            <sz val="10"/>
            <color rgb="FF000000"/>
            <rFont val="Tahoma"/>
            <family val="2"/>
          </rPr>
          <t xml:space="preserve"> Number </t>
        </r>
      </text>
    </comment>
    <comment ref="H26" authorId="0" shapeId="0" xr:uid="{EA7CD744-5479-46A0-B25C-0E3ACEF4E82F}">
      <text>
        <r>
          <rPr>
            <b/>
            <sz val="10"/>
            <color rgb="FF000000"/>
            <rFont val="Tahoma"/>
            <family val="2"/>
          </rPr>
          <t>Francesco Parigi:</t>
        </r>
        <r>
          <rPr>
            <sz val="10"/>
            <color rgb="FF000000"/>
            <rFont val="Tahoma"/>
            <family val="2"/>
          </rPr>
          <t xml:space="preserve">
</t>
        </r>
        <r>
          <rPr>
            <sz val="10"/>
            <color rgb="FF000000"/>
            <rFont val="Tahoma"/>
            <family val="2"/>
          </rPr>
          <t xml:space="preserve"> Number </t>
        </r>
      </text>
    </comment>
    <comment ref="L26" authorId="0" shapeId="0" xr:uid="{A5BFD599-E435-4094-BA71-1CB3C04B5DAA}">
      <text>
        <r>
          <rPr>
            <b/>
            <sz val="10"/>
            <color rgb="FF000000"/>
            <rFont val="Tahoma"/>
            <family val="2"/>
          </rPr>
          <t>Francesco Parigi:</t>
        </r>
        <r>
          <rPr>
            <sz val="10"/>
            <color rgb="FF000000"/>
            <rFont val="Tahoma"/>
            <family val="2"/>
          </rPr>
          <t xml:space="preserve">
</t>
        </r>
        <r>
          <rPr>
            <sz val="10"/>
            <color rgb="FF000000"/>
            <rFont val="Tahoma"/>
            <family val="2"/>
          </rPr>
          <t xml:space="preserve"> Number </t>
        </r>
      </text>
    </comment>
    <comment ref="D27" authorId="0" shapeId="0" xr:uid="{E1A2EB1B-E156-4651-AFA7-C04320E90E95}">
      <text>
        <r>
          <rPr>
            <b/>
            <sz val="10"/>
            <color rgb="FF000000"/>
            <rFont val="Tahoma"/>
            <family val="2"/>
          </rPr>
          <t>Francesco Parigi:</t>
        </r>
        <r>
          <rPr>
            <sz val="10"/>
            <color rgb="FF000000"/>
            <rFont val="Tahoma"/>
            <family val="2"/>
          </rPr>
          <t xml:space="preserve">
</t>
        </r>
        <r>
          <rPr>
            <sz val="10"/>
            <color rgb="FF000000"/>
            <rFont val="Tahoma"/>
            <family val="2"/>
          </rPr>
          <t>Decimal number</t>
        </r>
      </text>
    </comment>
    <comment ref="H27" authorId="0" shapeId="0" xr:uid="{99A41B73-842B-4306-B491-E063EDD32637}">
      <text>
        <r>
          <rPr>
            <b/>
            <sz val="10"/>
            <color rgb="FF000000"/>
            <rFont val="Tahoma"/>
            <family val="2"/>
          </rPr>
          <t>Francesco Parigi:</t>
        </r>
        <r>
          <rPr>
            <sz val="10"/>
            <color rgb="FF000000"/>
            <rFont val="Tahoma"/>
            <family val="2"/>
          </rPr>
          <t xml:space="preserve">
</t>
        </r>
        <r>
          <rPr>
            <sz val="10"/>
            <color rgb="FF000000"/>
            <rFont val="Tahoma"/>
            <family val="2"/>
          </rPr>
          <t>Decimal number</t>
        </r>
      </text>
    </comment>
    <comment ref="L27" authorId="0" shapeId="0" xr:uid="{CFAC9C6E-F56D-4D97-BE6B-82FB3496C496}">
      <text>
        <r>
          <rPr>
            <b/>
            <sz val="10"/>
            <color rgb="FF000000"/>
            <rFont val="Tahoma"/>
            <family val="2"/>
          </rPr>
          <t>Francesco Parigi:</t>
        </r>
        <r>
          <rPr>
            <sz val="10"/>
            <color rgb="FF000000"/>
            <rFont val="Tahoma"/>
            <family val="2"/>
          </rPr>
          <t xml:space="preserve">
</t>
        </r>
        <r>
          <rPr>
            <sz val="10"/>
            <color rgb="FF000000"/>
            <rFont val="Tahoma"/>
            <family val="2"/>
          </rPr>
          <t>Decimal number</t>
        </r>
      </text>
    </comment>
    <comment ref="D28" authorId="0" shapeId="0" xr:uid="{08CA27DB-80F3-4B42-94D2-E67C1C27B3A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8" authorId="0" shapeId="0" xr:uid="{F029D5EA-D5F3-42C3-BD2A-CE26F3E5A88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L28" authorId="0" shapeId="0" xr:uid="{7E356E59-E20E-4C99-8562-7EEC4B82C7C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D32" authorId="0" shapeId="0" xr:uid="{40F0290C-36AF-49AA-A303-C09E82F96C3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2" authorId="0" shapeId="0" xr:uid="{0142707A-8500-42A9-AFB3-630D2E8FBD8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33" authorId="0" shapeId="0" xr:uid="{AE57A5B9-0BFB-4FD1-8F7D-11AC299E9F1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3" authorId="0" shapeId="0" xr:uid="{D2BFEE7C-62DF-4983-A439-7A952374273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34" authorId="0" shapeId="0" xr:uid="{33953FF2-632F-457B-8275-F918C767088E}">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34" authorId="0" shapeId="0" xr:uid="{645D69C2-9B52-49F7-B9B1-E0214B0D80E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D35" authorId="0" shapeId="0" xr:uid="{EB343EA0-32DE-4161-8DCC-49F2A0F320B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5" authorId="0" shapeId="0" xr:uid="{E81057BD-5C1D-4D81-9B23-277A041E307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36" authorId="0" shapeId="0" xr:uid="{63E50C77-4A08-4EF9-B92C-F2E937A5E2C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6" authorId="0" shapeId="0" xr:uid="{4526CCBD-7BA9-44D8-873B-AF685F7A8D2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37" authorId="0" shapeId="0" xr:uid="{999AF7C8-FB17-42EF-A329-6C0739E5F29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7" authorId="0" shapeId="0" xr:uid="{1076B2FB-DDE8-4944-8BAD-6499E1DD1E8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38" authorId="0" shapeId="0" xr:uid="{22987A73-5B9C-48CD-9A2D-6251C7B18EC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8" authorId="0" shapeId="0" xr:uid="{2CD4FD32-B22B-416A-9892-F011038E7E5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39" authorId="0" shapeId="0" xr:uid="{71DDFFEE-EFC9-4A68-A5EE-94D0E3506DF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9" authorId="0" shapeId="0" xr:uid="{67F8B8FF-189E-477D-8660-EEFE7FD8DCB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40" authorId="0" shapeId="0" xr:uid="{9C9B5298-BA58-43B9-AE22-D3EE83433B8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0" authorId="0" shapeId="0" xr:uid="{4A404F0B-FE23-40AB-957F-B415CABE03F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41" authorId="0" shapeId="0" xr:uid="{4940D75C-7A2B-4A5C-97DE-5BEAC0A1FB8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1" authorId="0" shapeId="0" xr:uid="{8D0776B5-DBB2-4F35-86A3-352580BBEF6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42" authorId="0" shapeId="0" xr:uid="{956871FE-1608-4011-991F-72E61368F434}">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H42" authorId="0" shapeId="0" xr:uid="{A790DD1D-5627-4A20-91D4-7FFFF87B9704}">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H43" authorId="0" shapeId="0" xr:uid="{8D69DCFC-376B-4072-A023-A1EE3032409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44" authorId="0" shapeId="0" xr:uid="{8D894D3B-2C0F-4E0F-867D-B6775F5A16E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4" authorId="0" shapeId="0" xr:uid="{251163F3-D1C8-4AAA-9668-704A9471BF2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5" authorId="0" shapeId="0" xr:uid="{692A39F9-7AF6-42CD-9DA2-26235064B40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6" authorId="0" shapeId="0" xr:uid="{86EBBC72-698E-4654-98C4-5877AD323DA3}">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47" authorId="0" shapeId="0" xr:uid="{A6FACBD3-CB01-40F2-A434-409547F9123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49" authorId="0" shapeId="0" xr:uid="{100E1ABC-76E1-4C2E-ACDF-D296C866C9A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9" authorId="0" shapeId="0" xr:uid="{F23A5FC3-A76E-40B6-9C1A-B2B6C6A5A88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53" authorId="0" shapeId="0" xr:uid="{AEB2F0BA-9859-466D-B2DA-5E6430C42D03}">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H53" authorId="0" shapeId="0" xr:uid="{4B67F45D-6AAA-4A64-9D6B-6C377901FEE2}">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D54" authorId="0" shapeId="0" xr:uid="{CAB4E614-E114-466E-9A69-E327CC47EB4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4" authorId="0" shapeId="0" xr:uid="{A90924A8-0425-447B-BDEE-90C2CEEBE0C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55" authorId="0" shapeId="0" xr:uid="{3DF8178C-52E7-4D59-89DE-8805140B161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5" authorId="0" shapeId="0" xr:uid="{22440C0C-6441-4D37-8746-D3E0C4016EC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56" authorId="0" shapeId="0" xr:uid="{3E95C885-BC3B-4294-B1D3-477144D0DF9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6" authorId="0" shapeId="0" xr:uid="{E8EF2E58-46B4-425F-9ECE-6E0EA4A407C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59" authorId="0" shapeId="0" xr:uid="{6CF01167-F78F-44C6-B43B-067B7167DD0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9" authorId="0" shapeId="0" xr:uid="{7D6F4D9B-A3C3-4827-B7E3-0CD1D15B472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64" authorId="0" shapeId="0" xr:uid="{E298344F-BE67-4F1E-BD30-D4D52FDB9F1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4" authorId="0" shapeId="0" xr:uid="{4E8FD988-ACC6-4E96-87F2-4CC0E9810F25}">
      <text>
        <r>
          <rPr>
            <b/>
            <sz val="10"/>
            <color rgb="FF000000"/>
            <rFont val="Tahoma"/>
            <family val="2"/>
          </rPr>
          <t>Francesco Parigi:</t>
        </r>
        <r>
          <rPr>
            <sz val="10"/>
            <color rgb="FF000000"/>
            <rFont val="Tahoma"/>
            <family val="2"/>
          </rPr>
          <t xml:space="preserve">
</t>
        </r>
        <r>
          <rPr>
            <sz val="10"/>
            <color rgb="FF000000"/>
            <rFont val="Tahoma"/>
            <family val="2"/>
          </rPr>
          <t xml:space="preserve"> Decimal number  </t>
        </r>
      </text>
    </comment>
    <comment ref="D65" authorId="0" shapeId="0" xr:uid="{A9AFE834-FB45-482A-9552-0956E2DEA7A5}">
      <text>
        <r>
          <rPr>
            <b/>
            <sz val="10"/>
            <color rgb="FF000000"/>
            <rFont val="Tahoma"/>
            <family val="2"/>
          </rPr>
          <t>Francesco Parigi:</t>
        </r>
        <r>
          <rPr>
            <sz val="10"/>
            <color rgb="FF000000"/>
            <rFont val="Tahoma"/>
            <family val="2"/>
          </rPr>
          <t xml:space="preserve">
</t>
        </r>
        <r>
          <rPr>
            <sz val="10"/>
            <color rgb="FF000000"/>
            <rFont val="Tahoma"/>
            <family val="2"/>
          </rPr>
          <t xml:space="preserve"> Decimal number  </t>
        </r>
      </text>
    </comment>
    <comment ref="H65" authorId="0" shapeId="0" xr:uid="{BB27DF7B-3F2C-43D9-B290-8A211D5AA2F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66" authorId="0" shapeId="0" xr:uid="{5A92528D-CDF4-4828-B6AA-74785487FFC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6" authorId="0" shapeId="0" xr:uid="{2C5D9057-8106-4805-8E57-80A54EC0E13A}">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D69" authorId="0" shapeId="0" xr:uid="{CC9D26EC-6CE5-4D79-AA9E-FCD779820728}">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H69" authorId="0" shapeId="0" xr:uid="{FF78D16D-405B-49C5-A620-EFA77F5E148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70" authorId="0" shapeId="0" xr:uid="{276E13BB-4A4F-4FD1-A2D1-52B9CE8823D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0" authorId="0" shapeId="0" xr:uid="{B2F7D2D5-FDBC-49FD-BB11-DE57FDB9388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71" authorId="0" shapeId="0" xr:uid="{86DD9671-8690-4060-800B-4E860BCCBB9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1" authorId="0" shapeId="0" xr:uid="{129EC92F-1265-4C2B-9B47-AB3BCE928C2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72" authorId="0" shapeId="0" xr:uid="{CA83D503-E40E-41B7-809E-C9B29A31BB3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2" authorId="0" shapeId="0" xr:uid="{396AAB68-4D86-C04E-9319-81DEC7AF523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73" authorId="0" shapeId="0" xr:uid="{1932B720-9638-C44A-ABDD-8A7D5E86F69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3" authorId="0" shapeId="0" xr:uid="{70E4101D-DE33-CA47-A4CF-5EF5728498C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Francesco Parigi</author>
  </authors>
  <commentList>
    <comment ref="E10" authorId="0" shapeId="0" xr:uid="{0A1D9294-A66B-4FE7-9A6A-B1EE7FE5A5D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10" authorId="0" shapeId="0" xr:uid="{4E426B0D-6BDB-2F4A-B8DC-7D62C035A58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1" authorId="0" shapeId="0" xr:uid="{9658A692-EEAB-4D30-92AD-D38012BC1C58}">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G11" authorId="0" shapeId="0" xr:uid="{2EE4539C-A1F1-0D47-9570-03698C7B0AB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2" authorId="0" shapeId="0" xr:uid="{81C0ED03-57B8-4285-A993-9ED1DE09556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2" authorId="0" shapeId="0" xr:uid="{E383C217-F880-2340-9035-AB8AB5429EA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3" authorId="0" shapeId="0" xr:uid="{8A56055B-27A1-41B3-B1CA-9E122046BEE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 authorId="0" shapeId="0" xr:uid="{334DE578-2ED3-FF4D-A861-77669F84ADB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4" authorId="0" shapeId="0" xr:uid="{FCA722D7-9FA7-4C6C-A1FF-1D91F5581DE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4" authorId="0" shapeId="0" xr:uid="{0F17EAD5-95F5-104B-B872-BBF4877206E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5" authorId="0" shapeId="0" xr:uid="{8AC01A5B-803C-4225-9E94-E243FE8CE4F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5" authorId="0" shapeId="0" xr:uid="{1AFAFD44-6C43-2E4E-9D78-46807FFE145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6" authorId="0" shapeId="0" xr:uid="{60464373-86C4-4A36-8CDA-528C606517F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6" authorId="0" shapeId="0" xr:uid="{05B927ED-8548-1743-81CD-8DB2F208415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7" authorId="0" shapeId="0" xr:uid="{29426511-D865-4F2F-93DC-951E74A26C0A}">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17" authorId="0" shapeId="0" xr:uid="{83AB906C-AC67-AF4E-B3FB-0E2DFAAB12A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8" authorId="0" shapeId="0" xr:uid="{64CF699C-F300-4C14-A719-421FCADC912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8" authorId="0" shapeId="0" xr:uid="{149DDF10-5079-A84E-97D1-7D2B20EBF2D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9" authorId="0" shapeId="0" xr:uid="{51576C11-D42B-4D20-9FCB-447408909CE7}">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19" authorId="0" shapeId="0" xr:uid="{8F46BA97-D381-594A-BE85-76F4192069A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20" authorId="0" shapeId="0" xr:uid="{EE963194-2B8B-4180-9CE2-548A56DC10A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20" authorId="0" shapeId="0" xr:uid="{B4C6E035-AB5C-D342-BF92-D8CA9108B2D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 authorId="0" shapeId="0" xr:uid="{DA474C43-E677-4123-93F6-0E6C957C061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4" authorId="0" shapeId="0" xr:uid="{094C8BA8-78EA-134C-809C-32F1FFFED4A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4" authorId="0" shapeId="0" xr:uid="{CAE6221D-635A-9B40-B8EA-2410F43F398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4" authorId="0" shapeId="0" xr:uid="{C4E9EC22-E45D-7748-A419-7B440662581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4" authorId="0" shapeId="0" xr:uid="{35DBECD4-DD36-B844-9B17-97238805EBC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4" authorId="0" shapeId="0" xr:uid="{63F4840D-C974-6745-897A-F08381C70A4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 authorId="0" shapeId="0" xr:uid="{BA1E5135-56B9-413B-AD2E-DFBB0AC16CF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 authorId="0" shapeId="0" xr:uid="{C1392A29-E28C-5544-BE07-1ABAE451E09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 authorId="0" shapeId="0" xr:uid="{2EEBC221-6B53-7844-85D4-FC1C7D64FE0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5" authorId="0" shapeId="0" xr:uid="{8104A208-278E-8349-95EB-013ACDEB933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 authorId="0" shapeId="0" xr:uid="{55880D34-597B-014E-9B95-88E024BA094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5" authorId="0" shapeId="0" xr:uid="{24C39C19-D8D9-954B-8117-D25D2426666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6" authorId="0" shapeId="0" xr:uid="{4E189A41-E061-4D93-BD5A-0E56B306710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6" authorId="0" shapeId="0" xr:uid="{7A9C224C-66C6-B840-899E-E8EA0E44899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6" authorId="0" shapeId="0" xr:uid="{E719E4D7-51F6-764A-BE00-AC1891542F2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6" authorId="0" shapeId="0" xr:uid="{D31BE7E7-B0A0-0C45-91A3-2A86E96328D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6" authorId="0" shapeId="0" xr:uid="{DF4323F6-CA7A-E349-B03D-764D51C681A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6" authorId="0" shapeId="0" xr:uid="{0F7CAE9F-8387-D94B-9A25-C6B3DC73E29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7" authorId="0" shapeId="0" xr:uid="{46F176E5-0BBF-42B4-9494-6F54A0D9B8D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7" authorId="0" shapeId="0" xr:uid="{8136E2EE-0DC9-0448-92C1-762027E37F5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7" authorId="0" shapeId="0" xr:uid="{B89BEE98-D2B4-2245-AB91-79252ACF411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7" authorId="0" shapeId="0" xr:uid="{8B5E8024-74BD-2843-8AC1-37D319C2E78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7" authorId="0" shapeId="0" xr:uid="{9145F546-B683-FE47-A384-28912653B97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7" authorId="0" shapeId="0" xr:uid="{9FA566FD-3B74-AB4C-B366-DEF7315E396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8" authorId="0" shapeId="0" xr:uid="{B1819EA0-556C-49B4-AE95-2843B081ACB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8" authorId="0" shapeId="0" xr:uid="{BFC90202-4B26-ED47-B594-1C519233B5F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8" authorId="0" shapeId="0" xr:uid="{0E55CC9E-ECDB-4244-A6FE-7CCCC997749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8" authorId="0" shapeId="0" xr:uid="{816EF189-69D7-BB4D-B976-251FE0E0FE7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8" authorId="0" shapeId="0" xr:uid="{017BF9A6-D14D-7D49-9855-BD508CF45CC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8" authorId="0" shapeId="0" xr:uid="{E73029EA-FEC5-FA4D-AF48-683886069DC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9" authorId="0" shapeId="0" xr:uid="{883A6C12-9038-4569-A7AE-DFEC54EFFB7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9" authorId="0" shapeId="0" xr:uid="{B5856DF2-0B27-C14D-B061-72B5BE07FD3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9" authorId="0" shapeId="0" xr:uid="{C09939A2-3E87-4143-BACE-431380F487D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9" authorId="0" shapeId="0" xr:uid="{D58E9E60-0CD5-ED4C-803B-0D34C0D75DA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9" authorId="0" shapeId="0" xr:uid="{B1A1674A-83F9-664B-B6B3-B01377A6FCC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9" authorId="0" shapeId="0" xr:uid="{E9E5B017-786B-0E4E-80F7-5F8598B30A8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3" authorId="0" shapeId="0" xr:uid="{69392723-2EE1-4BA2-9480-C0A22F76D48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3" authorId="0" shapeId="0" xr:uid="{966FBE2F-ED32-8144-B43E-7192679A0CD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33" authorId="0" shapeId="0" xr:uid="{D782F49A-DE3A-D643-96DE-AFEF94D41E9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33" authorId="0" shapeId="0" xr:uid="{5F2480F1-E25D-074F-9F65-5CD6A4C3E66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33" authorId="0" shapeId="0" xr:uid="{0EC15531-B597-5C48-904B-4A1107D5869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33" authorId="0" shapeId="0" xr:uid="{72EDB1CE-610A-2D48-948E-803EB343612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4" authorId="0" shapeId="0" xr:uid="{619B0605-9DD6-4C35-B003-7939653E57A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4" authorId="0" shapeId="0" xr:uid="{4A73D022-807C-5A42-8557-E134FACC638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34" authorId="0" shapeId="0" xr:uid="{3F44C72B-5D12-B743-A117-C073D49B046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34" authorId="0" shapeId="0" xr:uid="{A7A65AC6-0D39-E54E-88B7-276AB95CD68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34" authorId="0" shapeId="0" xr:uid="{4372A993-12BD-BE43-B68A-8FE03F18FED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34" authorId="0" shapeId="0" xr:uid="{113F9420-BC8A-354B-BBE7-ECCB2D5E47E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5" authorId="0" shapeId="0" xr:uid="{D4708086-A182-4AAC-90BD-897787A40E7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5" authorId="0" shapeId="0" xr:uid="{42447B8C-3485-D946-BB82-12907CBCEDB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35" authorId="0" shapeId="0" xr:uid="{E4B1AD40-E4FF-2D4C-9435-3201416245E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35" authorId="0" shapeId="0" xr:uid="{40A62AEC-1297-B74A-9C86-75B6F77408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35" authorId="0" shapeId="0" xr:uid="{9502D2E6-4E6E-594D-A169-C2279609570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35" authorId="0" shapeId="0" xr:uid="{A4ADA5C2-6E91-8D49-BEFA-ED8F3DF3953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6" authorId="0" shapeId="0" xr:uid="{D3F170DD-98F2-496E-A61D-9DA23C63F6D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6" authorId="0" shapeId="0" xr:uid="{DF40D4F3-3AB9-4A4A-A0E5-389AFF3EAA3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36" authorId="0" shapeId="0" xr:uid="{5A46DA53-6D9D-4144-8B50-DADE4DEF1C4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36" authorId="0" shapeId="0" xr:uid="{4ADDA1B6-CF9F-A144-A74F-334939E3C52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36" authorId="0" shapeId="0" xr:uid="{A439169D-98D2-924F-A0CE-317F8DB5D32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36" authorId="0" shapeId="0" xr:uid="{8CFC9685-1077-6347-9064-FF9217BBD21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7" authorId="0" shapeId="0" xr:uid="{5BD92837-9140-423B-B258-4203DFA54A4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7" authorId="0" shapeId="0" xr:uid="{2C40A876-0743-E143-B4C8-9D4DF4C8C18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37" authorId="0" shapeId="0" xr:uid="{B96D59A6-826F-974F-B362-CBBF489F6BF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37" authorId="0" shapeId="0" xr:uid="{9016DCC6-29C8-DC4B-8C52-6E888B9BDF9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37" authorId="0" shapeId="0" xr:uid="{8637B7CF-75BE-864C-864E-EB48646A92B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37" authorId="0" shapeId="0" xr:uid="{BD1D33E7-E8CF-3948-9EAD-6E75742F13E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8" authorId="0" shapeId="0" xr:uid="{A78089FA-BEA8-4F30-A2E9-9AF35685606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8" authorId="0" shapeId="0" xr:uid="{366179AF-B65F-8741-A833-F5B8BC12032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38" authorId="0" shapeId="0" xr:uid="{FD505846-C89B-194B-9F29-0C8234BB648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38" authorId="0" shapeId="0" xr:uid="{E48806EB-7632-CF44-8E59-B0FAC6D99F4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38" authorId="0" shapeId="0" xr:uid="{7F48E834-2873-AD43-97F3-CEA538B906A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38" authorId="0" shapeId="0" xr:uid="{3464C82A-3837-084C-B568-F3FC8323796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9" authorId="0" shapeId="0" xr:uid="{38322E38-C241-4A34-8DBA-CA0891FFAA1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9" authorId="0" shapeId="0" xr:uid="{9874D52B-7034-3B44-907E-57D84E8D7FE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39" authorId="0" shapeId="0" xr:uid="{5916F8AB-7EAB-7E47-9AF9-1F89919CFB2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39" authorId="0" shapeId="0" xr:uid="{A84926E2-D54B-9046-A79F-9709C67FAC9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39" authorId="0" shapeId="0" xr:uid="{C2782F0F-E2F5-3041-8124-DFA1CD11E10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39" authorId="0" shapeId="0" xr:uid="{75D03331-6DF5-534A-8B93-C6D25590800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0" authorId="0" shapeId="0" xr:uid="{7C31F889-8841-49C9-98AA-5FB68158158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0" authorId="0" shapeId="0" xr:uid="{9B9B74F9-7D9A-C647-9626-FBB7856876B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40" authorId="0" shapeId="0" xr:uid="{CD391B39-4131-A145-8F20-C19B8EE9704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40" authorId="0" shapeId="0" xr:uid="{CDA9F839-CEF2-4D4D-9680-AA060905370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40" authorId="0" shapeId="0" xr:uid="{C9062B81-F786-F246-9974-CDC4F55DF8F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40" authorId="0" shapeId="0" xr:uid="{F0AE5E13-940A-904E-B850-FDF04007738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1" authorId="0" shapeId="0" xr:uid="{85441BE4-E290-4865-908B-CA8BD543A88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1" authorId="0" shapeId="0" xr:uid="{F235A21D-5E70-4445-9BD1-86B9D247016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41" authorId="0" shapeId="0" xr:uid="{6840DCA5-FE63-E049-AF88-A536328595E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41" authorId="0" shapeId="0" xr:uid="{11F269E5-9446-8747-9E5D-0397775D3BF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41" authorId="0" shapeId="0" xr:uid="{EE07E04E-5372-D34F-A32F-9DF49215E9F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41" authorId="0" shapeId="0" xr:uid="{1E7B1685-AA45-274B-8B1F-102DD05732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2" authorId="0" shapeId="0" xr:uid="{310A59A0-7151-4720-B35A-C24E927FD4E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2" authorId="0" shapeId="0" xr:uid="{D34A7A3E-816D-E644-B78F-37F080D9FCB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42" authorId="0" shapeId="0" xr:uid="{1BE92CAE-7552-2D45-A7CB-16D0B385683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42" authorId="0" shapeId="0" xr:uid="{6AD5D6FE-01F6-FE45-A5AA-BD893A009C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42" authorId="0" shapeId="0" xr:uid="{38D0537B-9ECD-1A46-8A06-62CE4D5B86C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42" authorId="0" shapeId="0" xr:uid="{5CE13E1E-C1D9-0B4B-B0B1-407E9FBC8DA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3" authorId="0" shapeId="0" xr:uid="{064B2A1F-D30C-4142-B195-56D7693355B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3" authorId="0" shapeId="0" xr:uid="{55D22D9B-6C9A-7240-BEE9-11AB07AB6FE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43" authorId="0" shapeId="0" xr:uid="{72E31885-30A0-3A40-BC36-8DA9AE6BDF9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43" authorId="0" shapeId="0" xr:uid="{C905DCF9-87A7-5C40-B2DB-FCE8CA1A970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43" authorId="0" shapeId="0" xr:uid="{95DE8BA0-ED32-DC48-A3E0-F4F335621CA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43" authorId="0" shapeId="0" xr:uid="{1EA25BAA-F8C8-0B45-9B15-2EBBA2A1D8C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7" authorId="0" shapeId="0" xr:uid="{E3F62B45-3175-7044-AEBA-13AB409361EB}">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47" authorId="0" shapeId="0" xr:uid="{1603E91F-B833-0546-878D-98F3709035B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47" authorId="0" shapeId="0" xr:uid="{E7C27912-B2C6-7649-B7C7-447E707D056A}">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47" authorId="0" shapeId="0" xr:uid="{DA565CC2-1D6B-0C4F-9D95-BD54E204FFE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47" authorId="0" shapeId="0" xr:uid="{6DDD839A-A89F-6841-A8EF-FE8330CB61E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47" authorId="0" shapeId="0" xr:uid="{25A48A68-0830-4245-A5D9-772B5BE52CF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8" authorId="0" shapeId="0" xr:uid="{F54E6DB3-71BA-6743-93F5-13E2B33F0E1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8" authorId="0" shapeId="0" xr:uid="{91EEBF23-C7D2-224C-A2B6-4BD3C9728C9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48" authorId="0" shapeId="0" xr:uid="{1ADDB692-F59B-9840-94A6-5441A17EBCA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48" authorId="0" shapeId="0" xr:uid="{5D99E304-997D-604F-966D-0DE46B26A50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48" authorId="0" shapeId="0" xr:uid="{F6E95D4E-6750-2C41-9CB1-1B2020DA140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48" authorId="0" shapeId="0" xr:uid="{ACBC6EDC-1612-A042-8979-C0D0794D8F4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9" authorId="0" shapeId="0" xr:uid="{639A5C36-3936-C544-84A7-1DFF4DED42A0}">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49" authorId="0" shapeId="0" xr:uid="{BE78577C-7899-634A-8D88-1AC379A512C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49" authorId="0" shapeId="0" xr:uid="{D8EC1760-DB99-4A43-A5FE-6E707AEEA7E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49" authorId="0" shapeId="0" xr:uid="{86A6843F-8068-5344-8D22-4123B2D49FE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49" authorId="0" shapeId="0" xr:uid="{810A9381-0869-EE4B-942C-6DBB1630BB3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49" authorId="0" shapeId="0" xr:uid="{D93E8466-15C6-FD4C-ABA4-95234E65C8F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0" authorId="0" shapeId="0" xr:uid="{BCCD62CC-2A1B-2D4D-A117-127FE1413D1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0" authorId="0" shapeId="0" xr:uid="{2CB64ECF-DBCE-8C47-BBCA-21ADAF8AB4F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50" authorId="0" shapeId="0" xr:uid="{21EA5D28-69EC-3A40-A5E6-95D5321F6CB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50" authorId="0" shapeId="0" xr:uid="{367DBEA8-8481-A749-9315-43164D61969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50" authorId="0" shapeId="0" xr:uid="{7EC64A60-5ECA-7F42-9D2B-718A5820E42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50" authorId="0" shapeId="0" xr:uid="{11D529D5-C9F2-8F4E-B549-7469E4ADFBB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1" authorId="0" shapeId="0" xr:uid="{1EA57820-9C8E-FC4F-BC08-BDC74DD1AAB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51" authorId="0" shapeId="0" xr:uid="{DEDA6FC3-D84D-444B-8465-41A0A57CC9B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51" authorId="0" shapeId="0" xr:uid="{BDC05ECB-5C8F-FC41-8B3B-3F5B0BD097ED}">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51" authorId="0" shapeId="0" xr:uid="{E4B83DC8-AC2C-414A-96FD-89923D98F7C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51" authorId="0" shapeId="0" xr:uid="{37E30B4B-0A97-6244-A474-5CF2D63FA15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51" authorId="0" shapeId="0" xr:uid="{0E765D8C-F3CE-E846-AF0B-307E8DC2A02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2" authorId="0" shapeId="0" xr:uid="{8D11BE52-5C99-7A49-A05D-3080148F016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2" authorId="0" shapeId="0" xr:uid="{0BE8C185-E307-EF4E-9CB1-6CCC06CF9F3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52" authorId="0" shapeId="0" xr:uid="{4FA5275C-7A0C-3443-AA27-B5378E07BB2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52" authorId="0" shapeId="0" xr:uid="{CE189160-93B8-9B42-B74B-317EB81C8A9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52" authorId="0" shapeId="0" xr:uid="{7C5C1354-8F5B-E245-83A3-FBC0A477AB6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52" authorId="0" shapeId="0" xr:uid="{42BFC70D-9CA3-5549-A405-D7D6E3B50D5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6" authorId="0" shapeId="0" xr:uid="{625B0E8D-96EE-401C-98C1-009F1763B4C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6" authorId="0" shapeId="0" xr:uid="{590FC7E6-0B5E-6C46-B569-0A4419EB06F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56" authorId="0" shapeId="0" xr:uid="{6BEB188B-DB4C-5D49-8079-44ACD84CE2B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56" authorId="0" shapeId="0" xr:uid="{E1CF25B7-19D2-FA44-B1C6-B507413BA3C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56" authorId="0" shapeId="0" xr:uid="{7EAE8DF8-04D4-7644-BB54-F96D995F635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56" authorId="0" shapeId="0" xr:uid="{374DAC6D-249F-9144-926A-AB4E4AEA6AD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7" authorId="0" shapeId="0" xr:uid="{8B5CD256-2CB6-431A-AC95-C71B083E35F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7" authorId="0" shapeId="0" xr:uid="{D284444D-70E1-B449-BE41-EE73A29E19F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57" authorId="0" shapeId="0" xr:uid="{BDA12D98-5E50-5D4C-8D39-85FBDE9AB39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57" authorId="0" shapeId="0" xr:uid="{3F69D9C6-D9C9-1B45-AC3C-457B5F3BFFD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57" authorId="0" shapeId="0" xr:uid="{6222C619-50F3-3D47-8DF3-DD178C941AE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57" authorId="0" shapeId="0" xr:uid="{62333733-F65C-514B-AF32-FEE64CF5778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8" authorId="0" shapeId="0" xr:uid="{0B8953B9-73C7-49AC-8AAD-9D4221DE52A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8" authorId="0" shapeId="0" xr:uid="{7C370E6B-7A3A-2447-9E2F-A41B5669516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58" authorId="0" shapeId="0" xr:uid="{34647EB6-23C7-444D-BC13-421E0E23FC4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58" authorId="0" shapeId="0" xr:uid="{3D1A4EA4-6088-2548-B864-8942873FC26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58" authorId="0" shapeId="0" xr:uid="{E36DC950-5CAC-E64D-B052-B63FE0B340F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58" authorId="0" shapeId="0" xr:uid="{9D94F8F3-72E8-9B47-9E76-F67D5D9883E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9" authorId="0" shapeId="0" xr:uid="{1D58F734-09D4-4C02-90B3-183D92DC4BA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9" authorId="0" shapeId="0" xr:uid="{976C7C93-87AF-9348-A3D9-23A8DBCAAA6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59" authorId="0" shapeId="0" xr:uid="{FBE139FC-9EEE-594B-B98F-C3480E9422C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59" authorId="0" shapeId="0" xr:uid="{D1521A35-1481-844A-ADE3-AB9D860058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59" authorId="0" shapeId="0" xr:uid="{1FD65889-E9AF-654B-9991-D78A9CEC510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59" authorId="0" shapeId="0" xr:uid="{57FAA0AE-9D41-164F-AFDD-466F1340577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0" authorId="0" shapeId="0" xr:uid="{4AEE0C1F-8E42-4801-805F-8BB175E368B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0" authorId="0" shapeId="0" xr:uid="{544FC0F5-3BA5-A64B-967F-02BD3FE8F58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60" authorId="0" shapeId="0" xr:uid="{04CB42D4-E3CF-FC4E-8A0D-B0121FCFF02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60" authorId="0" shapeId="0" xr:uid="{4634403E-4B95-1C49-8A93-6DFA512E4AA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60" authorId="0" shapeId="0" xr:uid="{4D78C934-E5B2-CE47-B93D-B0DEEF3A926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60" authorId="0" shapeId="0" xr:uid="{1BAFA7EF-0E56-374C-A2AD-FAEC9481CA0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1" authorId="0" shapeId="0" xr:uid="{8513BB88-8992-47E4-83A3-43D1B768D92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1" authorId="0" shapeId="0" xr:uid="{F2C5F881-3653-664F-BB1C-C95B25EC0CC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61" authorId="0" shapeId="0" xr:uid="{A97FB56D-E702-7246-8F62-AB906225EF0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61" authorId="0" shapeId="0" xr:uid="{1BB3DDC7-1803-AB47-A0F7-EA7437A987B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61" authorId="0" shapeId="0" xr:uid="{E334C2F1-27F6-1C46-AC7F-D91DE344214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61" authorId="0" shapeId="0" xr:uid="{CD217E9A-49E9-6843-A205-D15A74D0BA7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2" authorId="0" shapeId="0" xr:uid="{F812FD87-00A2-4AF9-A0AD-BBE2E249DE4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2" authorId="0" shapeId="0" xr:uid="{B3A99640-09F6-AD44-BFA9-BA75B9AC369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62" authorId="0" shapeId="0" xr:uid="{454E05A3-A823-C341-97AF-10178956123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62" authorId="0" shapeId="0" xr:uid="{EFC74B68-D727-3242-9599-6F9EB098E6E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62" authorId="0" shapeId="0" xr:uid="{5DEEA024-BEB3-7444-AFF9-4C7D6F106C0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62" authorId="0" shapeId="0" xr:uid="{B2384AAC-86FC-9F49-BB21-70A924FFE71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6" authorId="0" shapeId="0" xr:uid="{2518F146-34B1-4CE2-8C6B-7FAFAE65DB2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66" authorId="0" shapeId="0" xr:uid="{DA2BC130-4974-BF48-8875-30C4B5BCBEE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66" authorId="0" shapeId="0" xr:uid="{86FAD61D-926C-7C4C-908F-9839331CB27D}">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66" authorId="0" shapeId="0" xr:uid="{4CE5B5C6-97D8-6F41-8DAD-4FB2946A106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66" authorId="0" shapeId="0" xr:uid="{84ADDD05-59DB-A14C-8D37-F5C079ABAE8E}">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66" authorId="0" shapeId="0" xr:uid="{BF47A5E9-C217-E54C-89AE-097D419932A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7" authorId="0" shapeId="0" xr:uid="{24B0DE1C-B466-4F5B-A6AC-0231BC6266E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67" authorId="0" shapeId="0" xr:uid="{E7A68466-476D-0846-934B-95B67A1D34F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67" authorId="0" shapeId="0" xr:uid="{FDB9B498-CA01-C046-BCB0-31F880BA6D8C}">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67" authorId="0" shapeId="0" xr:uid="{670102F3-313F-C74A-8ECA-87FC1960DCB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67" authorId="0" shapeId="0" xr:uid="{AEE9736A-35E5-F041-8616-3B645D865359}">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67" authorId="0" shapeId="0" xr:uid="{53D05649-FA6C-1649-876E-AD7CCC3D85A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8" authorId="0" shapeId="0" xr:uid="{4EDCE83C-2780-4DA5-9B00-ABE32095DA3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8" authorId="0" shapeId="0" xr:uid="{04EC1869-1E9B-D447-9075-8C1F930069D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68" authorId="0" shapeId="0" xr:uid="{783FAB66-F7AE-AC47-A706-F368F4C9786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68" authorId="0" shapeId="0" xr:uid="{C5BDF9E7-B51C-144D-BB43-C7F631F1E4A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68" authorId="0" shapeId="0" xr:uid="{95B92D23-6BD5-654B-94A5-E93AA33F933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68" authorId="0" shapeId="0" xr:uid="{97FAD679-D112-AD4D-B9D0-D8B408D68CB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9" authorId="0" shapeId="0" xr:uid="{20FFD42F-BAB2-4311-9C3E-EA75044AB595}">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69" authorId="0" shapeId="0" xr:uid="{82AF67A3-24BC-8D4B-B06F-19BCDE94BA5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69" authorId="0" shapeId="0" xr:uid="{A2DE0477-280E-5B40-8735-FE6D06E74CA3}">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69" authorId="0" shapeId="0" xr:uid="{8026C768-79BE-3448-BD9F-AE75C6E5F95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69" authorId="0" shapeId="0" xr:uid="{B75C8DC6-5C00-9B47-BAFA-896EC9352EFA}">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69" authorId="0" shapeId="0" xr:uid="{FCD2BBE6-0829-3843-BB5E-F0F339872D1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0" authorId="0" shapeId="0" xr:uid="{4B0F507D-00A9-4868-B0B4-8AEF2DA8E24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70" authorId="0" shapeId="0" xr:uid="{F40E3653-031F-2C40-BC5F-297CBC7DEA1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70" authorId="0" shapeId="0" xr:uid="{6A9FBCA9-4183-2D47-97FB-DDBCD719D44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70" authorId="0" shapeId="0" xr:uid="{D36507D1-7D58-8A46-906E-CF5EE5528A9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70" authorId="0" shapeId="0" xr:uid="{7C946AC5-8C39-8D49-AEEF-EE4B0C64234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70" authorId="0" shapeId="0" xr:uid="{FBFACC31-D8DE-7049-8FB9-4DE0E5D473E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1" authorId="0" shapeId="0" xr:uid="{5C0941C3-B0DF-4C3F-AC60-D67F022ED45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1" authorId="0" shapeId="0" xr:uid="{79DEF8DC-8CB7-BA41-8392-C7B2AE80BD4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71" authorId="0" shapeId="0" xr:uid="{1F0A0F31-9060-034D-BE6B-6FADBBBC563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71" authorId="0" shapeId="0" xr:uid="{63ED8CFC-C750-904C-ABBF-76FCFE981AC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71" authorId="0" shapeId="0" xr:uid="{0C8644A1-CC46-DE4F-A82A-0945239DB2A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71" authorId="0" shapeId="0" xr:uid="{BB7B83F4-27C7-204D-B48D-82DB015C7CE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2" authorId="0" shapeId="0" xr:uid="{E8C9EA1C-E666-4286-A638-6E0B7B64499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72" authorId="0" shapeId="0" xr:uid="{A7F18F18-8B1E-3744-8385-9219E728B8D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72" authorId="0" shapeId="0" xr:uid="{B4D36807-6065-0449-9238-03D353B026B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72" authorId="0" shapeId="0" xr:uid="{EC55B69E-9509-1940-816B-E410E72C244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72" authorId="0" shapeId="0" xr:uid="{2BDE23A2-1B00-3D42-9764-5C3DB58D3FD2}">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72" authorId="0" shapeId="0" xr:uid="{4FF8AD9D-89B7-A445-8367-F626230D434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3" authorId="0" shapeId="0" xr:uid="{D2DD79A1-7DDC-4D9F-8508-D9A96004AA9E}">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73" authorId="0" shapeId="0" xr:uid="{7D3B3726-9826-AA4B-974F-7C5EA6D5AC7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73" authorId="0" shapeId="0" xr:uid="{0EBB4074-ED8D-FC42-BB3E-65F9D59B4C8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73" authorId="0" shapeId="0" xr:uid="{43DB2188-8914-C24D-8FEA-70D61AA58C3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73" authorId="0" shapeId="0" xr:uid="{1027E03B-C348-574E-A42A-DBAAE906554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73" authorId="0" shapeId="0" xr:uid="{DD27CDAA-A902-4449-96F2-A47F2A468AD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4" authorId="0" shapeId="0" xr:uid="{9D9403D7-6F6B-4A4C-8550-790346AD6E5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4" authorId="0" shapeId="0" xr:uid="{B7F70AB4-534C-5F48-BF20-1CCF25068CE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74" authorId="0" shapeId="0" xr:uid="{96A6AE85-6564-164C-AE2E-4DB96758AAF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74" authorId="0" shapeId="0" xr:uid="{29A7B20F-20F0-EB4F-8CB3-10B79E831E5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74" authorId="0" shapeId="0" xr:uid="{2A2E90EC-5AA0-9445-A25D-4744776D6F2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74" authorId="0" shapeId="0" xr:uid="{68826040-0D93-654C-BC93-842A5D9FCFB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84" authorId="0" shapeId="0" xr:uid="{C0FBA3C1-9C50-4401-AE6C-9316653BB603}">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G85" authorId="0" shapeId="0" xr:uid="{F64368B9-D7D3-4948-890C-CCE4DC5A974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86" authorId="0" shapeId="0" xr:uid="{C2B4A0DA-CA5D-412F-A295-613E664612D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87" authorId="0" shapeId="0" xr:uid="{D193E6DE-B932-443F-9842-AE5612B5837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G88" authorId="0" shapeId="0" xr:uid="{5A7920D3-5EFC-4CC0-B8D6-84D8C4E82F6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89" authorId="0" shapeId="0" xr:uid="{7FAF0857-326B-4E4A-92CF-C8F5B57B7D8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90" authorId="0" shapeId="0" xr:uid="{0D1F291C-C521-4E0E-9591-2CAAFDC78A0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G91" authorId="0" shapeId="0" xr:uid="{9A9DD125-43D5-45C4-9676-716A1DBBB47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92" authorId="0" shapeId="0" xr:uid="{8834337C-B5D8-4A9E-92BC-51D4289DB36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93" authorId="0" shapeId="0" xr:uid="{453BC18E-B29D-4B87-A0A2-6BC5F4D2B6AE}">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G94" authorId="0" shapeId="0" xr:uid="{53D5F710-BB49-4A20-B29C-428D6E1FE4F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95" authorId="0" shapeId="0" xr:uid="{69D3A8BB-25F4-4416-BE8E-FD586EB6998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99" authorId="0" shapeId="0" xr:uid="{D6AB8E80-8354-4282-925A-58A4B48A4A1D}">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99" authorId="0" shapeId="0" xr:uid="{175C80A9-6EEB-8A42-8185-FCA40A30B24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99" authorId="0" shapeId="0" xr:uid="{488EC81A-5C3C-5E43-8B44-3C564DA3A29A}">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99" authorId="0" shapeId="0" xr:uid="{EEC27670-9B8F-E84C-AD45-259B9D49688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99" authorId="0" shapeId="0" xr:uid="{78B1BC1A-8B86-CA40-A17C-B46F646C640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99" authorId="0" shapeId="0" xr:uid="{7DC8FF7A-99AF-C546-B476-7FDB487EBBD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00" authorId="0" shapeId="0" xr:uid="{AA7F49CC-0D8F-9646-9C4C-90D41403730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00" authorId="0" shapeId="0" xr:uid="{60A3D910-A990-934D-86F8-0A996B4DE4B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N100" authorId="0" shapeId="0" xr:uid="{6E7E239D-7B5F-8547-B041-BA05B6C6D1C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1" authorId="0" shapeId="0" xr:uid="{BEA32F00-9B83-4D64-B8FE-5B009A45BC6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101" authorId="0" shapeId="0" xr:uid="{55D791DF-3DBD-094E-8D78-54690B5197B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1" authorId="0" shapeId="0" xr:uid="{2EF92247-5D15-D64C-AC17-77F8F1CC2FD6}">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101" authorId="0" shapeId="0" xr:uid="{A77CC175-2BB5-9845-AFA8-6715F056F15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1" authorId="0" shapeId="0" xr:uid="{42A7BBCF-29BA-7241-ADAE-510D11EE917C}">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101" authorId="0" shapeId="0" xr:uid="{3A700907-31E8-F64D-9670-EC22AC8CA05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2" authorId="0" shapeId="0" xr:uid="{07173F09-7924-4F8E-88DE-064AD3728DB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2" authorId="0" shapeId="0" xr:uid="{58152A72-78BD-1B46-B964-9C352DD5EFC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2" authorId="0" shapeId="0" xr:uid="{37D55225-C7B9-4A4C-9BDE-0C2E1A580D1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02" authorId="0" shapeId="0" xr:uid="{3837276B-76AB-964B-A455-29FA80C8C13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2" authorId="0" shapeId="0" xr:uid="{0A100FD7-35AC-9B41-B41A-189A41EFCDB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02" authorId="0" shapeId="0" xr:uid="{D753B664-FB56-2E4D-87BB-AF3C390A53B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3" authorId="0" shapeId="0" xr:uid="{0D4B6643-18FF-49F6-AE7D-D45EFCAD8F5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3" authorId="0" shapeId="0" xr:uid="{0F269E3E-3DD3-7E4C-A7C8-37C1AFBDF54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3" authorId="0" shapeId="0" xr:uid="{7013F321-2611-8648-A774-F94230EF26D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03" authorId="0" shapeId="0" xr:uid="{34F13FE7-796E-3B49-90A9-AC77029D5B5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3" authorId="0" shapeId="0" xr:uid="{C7BE0142-A41C-8045-B889-48959DEBD68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03" authorId="0" shapeId="0" xr:uid="{31AA7417-DC8B-184B-B942-D7AD9D0410B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4" authorId="0" shapeId="0" xr:uid="{3E04625B-D99C-4CDB-80EB-3892058FE9A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4" authorId="0" shapeId="0" xr:uid="{70EEF2BA-2193-6143-B5C5-EA56E26396A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4" authorId="0" shapeId="0" xr:uid="{13402FD9-8E55-4C44-B653-3FD3CAAD43F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04" authorId="0" shapeId="0" xr:uid="{77DD1FAC-DCF0-E945-A980-BD99A786BF7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4" authorId="0" shapeId="0" xr:uid="{522C7BFE-9592-2E4F-B79F-1686F1FA70C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04" authorId="0" shapeId="0" xr:uid="{50CB1EF1-1F14-8B44-9127-FF35521B296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5" authorId="0" shapeId="0" xr:uid="{7FC7C349-8B10-43ED-96C0-B20437E832F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5" authorId="0" shapeId="0" xr:uid="{1773835C-19EB-CF4A-B785-0B645EB58EA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5" authorId="0" shapeId="0" xr:uid="{01D851BC-B6C8-2C4F-A916-77920757120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05" authorId="0" shapeId="0" xr:uid="{BD75CDB4-6CE8-EB45-9AED-3834EED0A49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5" authorId="0" shapeId="0" xr:uid="{797DCAA1-2C0B-A740-A593-452AC73C0E6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05" authorId="0" shapeId="0" xr:uid="{B9CECA80-5D91-A94A-B5D1-45FC59014C3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6" authorId="0" shapeId="0" xr:uid="{8AF1F319-4A14-435B-8581-3609538FF4FE}">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06" authorId="0" shapeId="0" xr:uid="{EBC48379-E628-5143-AB7C-A7B81CE8C9B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6" authorId="0" shapeId="0" xr:uid="{00DC2D29-5874-A047-B127-28949E39EA2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06" authorId="0" shapeId="0" xr:uid="{0078866A-83B8-0F41-9E7E-8102A3991F7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6" authorId="0" shapeId="0" xr:uid="{6D87A976-3FEC-DD4C-9D01-C4B44D6C6A5B}">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06" authorId="0" shapeId="0" xr:uid="{56DE4496-88EB-E140-B17A-3A639A31D16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07" authorId="0" shapeId="0" xr:uid="{527615B7-2369-D541-A8F9-C63567EDA1C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07" authorId="0" shapeId="0" xr:uid="{FB5DA221-62AB-E74E-8EBF-15706F5E569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N107" authorId="0" shapeId="0" xr:uid="{55749C06-5C54-474D-874F-2DA001C2B1A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8" authorId="0" shapeId="0" xr:uid="{D98A1C0F-F299-42CF-BF72-3A6330671BF3}">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108" authorId="0" shapeId="0" xr:uid="{E990086C-4EBF-0F42-A5A4-6E3D137F3F7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8" authorId="0" shapeId="0" xr:uid="{119FFF99-2DBF-C741-BCED-AE9786C74EE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108" authorId="0" shapeId="0" xr:uid="{ACDA0B12-80A2-8944-9350-DAB4CB6A8DD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8" authorId="0" shapeId="0" xr:uid="{5DCA270A-99E2-6646-B2AF-31082BE088C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108" authorId="0" shapeId="0" xr:uid="{763C2CE4-228C-5849-865D-EE08E18E280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9" authorId="0" shapeId="0" xr:uid="{A5013057-48C0-4731-B0A5-0C127CA53D1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9" authorId="0" shapeId="0" xr:uid="{2B516691-FC9F-C049-9B4C-17518916D8E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9" authorId="0" shapeId="0" xr:uid="{2F5F0435-9593-504A-9E55-8874D29B4A5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09" authorId="0" shapeId="0" xr:uid="{1B1DA9E5-C3F8-CA4B-880C-EE797BFDC2D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9" authorId="0" shapeId="0" xr:uid="{F95065F1-5A0F-9C4D-B96E-E0BA7AAE04D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09" authorId="0" shapeId="0" xr:uid="{2FBDB3DE-847F-C544-9BA2-B7409A4525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0" authorId="0" shapeId="0" xr:uid="{FECFFFFC-A792-4F58-9BCB-BA1717B862F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0" authorId="0" shapeId="0" xr:uid="{812F582D-5314-784C-A372-094D3CC9A8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0" authorId="0" shapeId="0" xr:uid="{058301EB-DC80-FE4F-AC54-44A3377FD79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10" authorId="0" shapeId="0" xr:uid="{BE91E0DB-BFF6-C042-ACB4-C991D14A4EC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0" authorId="0" shapeId="0" xr:uid="{2491A567-2670-A044-839F-341EF4E5B66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10" authorId="0" shapeId="0" xr:uid="{A1058E4B-3022-0B48-9B8A-647B6E55A5B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1" authorId="0" shapeId="0" xr:uid="{2D77E8A6-032C-46C1-BA76-4AFD05958EF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1" authorId="0" shapeId="0" xr:uid="{DAE2D6D8-B50D-F045-A93A-B7B20C41C0D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1" authorId="0" shapeId="0" xr:uid="{3997B255-CD1B-CA48-85B5-E4CD0306505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11" authorId="0" shapeId="0" xr:uid="{EA0C2EA7-8ABC-3D49-8974-5E941EFCAE6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1" authorId="0" shapeId="0" xr:uid="{D35C53BC-A78C-504B-BBD7-C174A37B80B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11" authorId="0" shapeId="0" xr:uid="{2D91D403-CACD-A14C-AE54-AB68E2493D6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2" authorId="0" shapeId="0" xr:uid="{6ED0E078-F0DE-4B63-960F-6A2CF9BEDCD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2" authorId="0" shapeId="0" xr:uid="{C8278A89-079D-5645-BB6D-2689904B0B5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2" authorId="0" shapeId="0" xr:uid="{8B8928E9-FA01-8443-A432-D9773843A45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12" authorId="0" shapeId="0" xr:uid="{3ADB8477-DE13-EA47-BDEA-175E0FBA293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2" authorId="0" shapeId="0" xr:uid="{6FFDFB4C-6B3F-C844-901A-7A71792C82B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12" authorId="0" shapeId="0" xr:uid="{2E8E1744-3CD9-2245-9357-732F3013F10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3" authorId="0" shapeId="0" xr:uid="{768B2EBE-534A-0642-A7DB-F392F803A75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3" authorId="0" shapeId="0" xr:uid="{F84E403B-2078-7B48-8483-82458BE4DBFC}">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13" authorId="0" shapeId="0" xr:uid="{33B15BE3-3369-6C4E-BFD8-290514750C0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3" authorId="0" shapeId="0" xr:uid="{EF6AD9E6-FA11-A94F-BE05-2A9E1C6EA190}">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13" authorId="0" shapeId="0" xr:uid="{7B7D73A9-3C74-1143-BAB0-759DFC24C52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4" authorId="0" shapeId="0" xr:uid="{D46B2834-2B90-C648-AA1C-D40059EB121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14" authorId="0" shapeId="0" xr:uid="{BB4CEFF7-74BD-3643-9431-786E2DB9879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N114" authorId="0" shapeId="0" xr:uid="{F1C1FFFF-66EC-494E-AB3A-EEC09339DF5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5" authorId="0" shapeId="0" xr:uid="{70192DB0-9AAE-0F41-841B-0FDBE6A0F8A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5" authorId="0" shapeId="0" xr:uid="{1BF0717D-31F1-B542-BE00-CAA3A43CCF96}">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115" authorId="0" shapeId="0" xr:uid="{575C9E6F-C899-4E4D-B8B5-6485E5C005A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5" authorId="0" shapeId="0" xr:uid="{F2699A76-7B60-2240-89D2-7081CDD36617}">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115" authorId="0" shapeId="0" xr:uid="{19BA3926-313C-FC4F-831A-F7F15B45B95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6" authorId="0" shapeId="0" xr:uid="{01ACEB0E-3178-ED4D-8533-F12237D39D9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6" authorId="0" shapeId="0" xr:uid="{BFF964A0-0849-304D-8607-A2F330BE34A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16" authorId="0" shapeId="0" xr:uid="{2A45F721-50D7-BB44-89CD-C21381D7A3D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6" authorId="0" shapeId="0" xr:uid="{A34BED5E-509C-CD4F-BABA-78F67A98FDF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16" authorId="0" shapeId="0" xr:uid="{7A55EC44-12B6-8046-BBC9-9255EFD3FB2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7" authorId="0" shapeId="0" xr:uid="{285A49FA-B481-824E-AF2D-FA751125D48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7" authorId="0" shapeId="0" xr:uid="{B3098795-BA1F-C047-8ACD-790FC2D1A50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17" authorId="0" shapeId="0" xr:uid="{9DB920A9-600E-B143-A234-5F627D96EF9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7" authorId="0" shapeId="0" xr:uid="{2D2A6DDB-24E1-DE4B-9B5B-18DD8AB1D18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17" authorId="0" shapeId="0" xr:uid="{C6A1887D-5C6B-884E-A220-949512FD74C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8" authorId="0" shapeId="0" xr:uid="{036009CE-47E4-6F4E-BD7E-51236BAA113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8" authorId="0" shapeId="0" xr:uid="{BBFDC106-4F9D-1045-8C48-CC9D6CBC7D4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18" authorId="0" shapeId="0" xr:uid="{E8A0028A-0922-454B-B465-7AA5F203B20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8" authorId="0" shapeId="0" xr:uid="{13AC5B48-A452-5747-AC0E-84F25AA4ABA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18" authorId="0" shapeId="0" xr:uid="{BC04C79D-D482-5245-8557-8CBB8D22E8F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9" authorId="0" shapeId="0" xr:uid="{BBF58566-639A-B248-AAE4-9340C4CB63E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9" authorId="0" shapeId="0" xr:uid="{47241E7C-B2B1-6B4C-9C33-0637862D111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19" authorId="0" shapeId="0" xr:uid="{03055198-F319-0D4A-85C7-29CE74F1A6A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9" authorId="0" shapeId="0" xr:uid="{6FB1D7D2-9D03-1A4D-94D5-9EAB345E875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19" authorId="0" shapeId="0" xr:uid="{FBE0C89C-5E01-424C-980C-FC2992F4D85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27" authorId="0" shapeId="0" xr:uid="{26D94CE5-79D0-4931-A1E6-7D11B1DA2DED}">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G129" authorId="0" shapeId="0" xr:uid="{72251F1C-2E39-423D-BC66-82228E41F17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130" authorId="0" shapeId="0" xr:uid="{B6AB3387-69D6-45F1-9810-DA153D26D19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1" authorId="0" shapeId="0" xr:uid="{A4DE0B3C-490E-4EEE-8FC5-92EEBF81C6E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2" authorId="0" shapeId="0" xr:uid="{BAC8F59C-65D3-4005-9278-D604DE4ED48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3" authorId="0" shapeId="0" xr:uid="{75BFEB00-0B96-4D6F-8D44-DD9B076A0BF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4" authorId="0" shapeId="0" xr:uid="{4C389072-2DD5-472F-9009-86ADC7EF035A}">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G137" authorId="0" shapeId="0" xr:uid="{FC1C22D4-AEF5-407C-A212-1A5680A992E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8" authorId="0" shapeId="0" xr:uid="{57542F41-8393-4D63-B057-A81AA8D99F7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9" authorId="0" shapeId="0" xr:uid="{567AAECD-1AD3-4902-855F-1C1FDE5BC78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40" authorId="0" shapeId="0" xr:uid="{F666DF31-CB5D-4DB1-814B-C205A825E54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72" authorId="0" shapeId="0" xr:uid="{20034DF2-3D4B-8646-B687-627BC335A993}">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72" authorId="0" shapeId="0" xr:uid="{6C7E403C-F808-0C42-8960-6D921CD897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72" authorId="0" shapeId="0" xr:uid="{DCEFABA9-343F-F343-8AA2-3A8B8652030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72" authorId="0" shapeId="0" xr:uid="{2983A396-B346-4F43-8EA6-63A5BBB1BFB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72" authorId="0" shapeId="0" xr:uid="{C267F1EB-C00B-A94C-98E3-C6B184AA6E5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72" authorId="0" shapeId="0" xr:uid="{8925CE10-209D-4A42-B88A-9FFBA4C8083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3" authorId="0" shapeId="0" xr:uid="{FB928A62-0BE3-4B46-B0C0-FDF0C162A31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3" authorId="0" shapeId="0" xr:uid="{2884AA05-FFE9-F545-9D53-27A99F146C2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73" authorId="0" shapeId="0" xr:uid="{5D6A2A56-6E31-0B43-BF3E-10956A014C4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73" authorId="0" shapeId="0" xr:uid="{09833CBF-9CDF-5D44-81A6-1B8397AED17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73" authorId="0" shapeId="0" xr:uid="{33805B7C-19DA-C14B-BC32-643899B4FC9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73" authorId="0" shapeId="0" xr:uid="{47CACB3C-09FA-1145-8540-4718EB4C7C1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4" authorId="0" shapeId="0" xr:uid="{4D88E99F-3911-604F-9CFF-F49AE3772C5A}">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74" authorId="0" shapeId="0" xr:uid="{9F18187B-FDD2-FD4A-8E07-5C65BEFD2BD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74" authorId="0" shapeId="0" xr:uid="{B6C4F61E-32DC-C54F-BF36-73AA9DB7C64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74" authorId="0" shapeId="0" xr:uid="{CD365C86-035C-EF4C-9A70-354791769F5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74" authorId="0" shapeId="0" xr:uid="{C1C23730-69D7-E647-A043-4690A0ED129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74" authorId="0" shapeId="0" xr:uid="{94274231-1BBE-3841-8F37-F8C409F6A1F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5" authorId="0" shapeId="0" xr:uid="{9A33DC73-21BB-1843-A3E1-8F2436ED49F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5" authorId="0" shapeId="0" xr:uid="{4C256BAF-40A6-6748-AF8F-4F3CA589F87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75" authorId="0" shapeId="0" xr:uid="{C00B04F6-644E-9D4D-98BC-68C9BB55D47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75" authorId="0" shapeId="0" xr:uid="{399A35FA-C27A-1646-81F6-F74A3118ADE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75" authorId="0" shapeId="0" xr:uid="{C28BFE0B-09E9-3749-8B3F-0FF3C231208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75" authorId="0" shapeId="0" xr:uid="{7618887F-7003-0F49-9B1B-4BBB61DF4AD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6" authorId="0" shapeId="0" xr:uid="{E6934CFB-015C-1448-806F-4F79EEFED39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76" authorId="0" shapeId="0" xr:uid="{2271A629-864F-C04C-BF93-CD2793B839A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76" authorId="0" shapeId="0" xr:uid="{F7AB7D9F-1B92-C545-BA3C-311D2BD9471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76" authorId="0" shapeId="0" xr:uid="{ED719616-369F-9E4A-9774-D42CE7E7FE1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76" authorId="0" shapeId="0" xr:uid="{C7BF60E7-C2B7-BC49-BA84-CA0EE04212B3}">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76" authorId="0" shapeId="0" xr:uid="{F13C7341-14F5-784D-B719-E51E77A963F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7" authorId="0" shapeId="0" xr:uid="{55A2D1FC-4EC4-C343-BBC2-54BD5E4DBCF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7" authorId="0" shapeId="0" xr:uid="{1E1F2205-ECB4-2A42-97FF-8721C6D7039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77" authorId="0" shapeId="0" xr:uid="{D748F808-16FC-0F41-B7E5-EFEC220960E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77" authorId="0" shapeId="0" xr:uid="{94F7431F-D46F-CD4C-AF66-C16E366AC09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77" authorId="0" shapeId="0" xr:uid="{D58C0CED-9F4F-3D4D-9389-9DC9C8D210C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77" authorId="0" shapeId="0" xr:uid="{7B847C5C-CB2B-5E4B-96E1-C1D2088C0B1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5" authorId="0" shapeId="0" xr:uid="{44C9D849-C42D-624D-961C-5D4961740E8E}">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85" authorId="0" shapeId="0" xr:uid="{1A1A18F7-B107-3949-BF48-3BB126F7D92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85" authorId="0" shapeId="0" xr:uid="{539A7751-E2C7-0C46-8ACA-B2125C1CB16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85" authorId="0" shapeId="0" xr:uid="{2264A582-318A-9448-8DFD-CD088CD10E9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85" authorId="0" shapeId="0" xr:uid="{7EE07094-8B1B-CA4F-A7FC-4BBF445CDB3E}">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85" authorId="0" shapeId="0" xr:uid="{DAE89DF6-799B-A348-BEDB-CF3D48D3D3D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6" authorId="0" shapeId="0" xr:uid="{B74A1A43-24FA-C04D-B39C-6DB516644B5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86" authorId="0" shapeId="0" xr:uid="{B5615621-5373-604E-8C76-95057AB9340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86" authorId="0" shapeId="0" xr:uid="{68D1AC94-21A5-AD4D-B253-33DD242EF8C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86" authorId="0" shapeId="0" xr:uid="{3A3538DE-6554-4C4C-93EE-279942DA4AD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86" authorId="0" shapeId="0" xr:uid="{5E26E9F4-7602-9A44-82EA-465949E9222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86" authorId="0" shapeId="0" xr:uid="{64E049B5-4EC7-4349-AB13-079B7C0D732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7" authorId="0" shapeId="0" xr:uid="{551DB136-1494-43EA-97F1-0F8D3FCB9BA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87" authorId="0" shapeId="0" xr:uid="{C890ED85-BF12-4232-93F9-F911893D7BD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87" authorId="0" shapeId="0" xr:uid="{8FF83EC2-B6A8-4661-B529-6E7E6DAEB649}">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87" authorId="0" shapeId="0" xr:uid="{FE6EB140-5B7D-4D45-8D04-7E18219C6DE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87" authorId="0" shapeId="0" xr:uid="{6D07C59D-27C5-4B98-A7D0-E17C0BE46F09}">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87" authorId="0" shapeId="0" xr:uid="{A2A8036E-738B-4AA8-A38C-0E966236D02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8" authorId="0" shapeId="0" xr:uid="{E67DB094-C6C7-4EDD-9AB1-16B80107470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88" authorId="0" shapeId="0" xr:uid="{3CE15515-5802-4CCE-891C-6FC2D51AC48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88" authorId="0" shapeId="0" xr:uid="{3C709E98-9561-4530-9620-B292EBDE1DD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88" authorId="0" shapeId="0" xr:uid="{8737D51D-DFEB-4CA9-9213-24FD406AA5E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88" authorId="0" shapeId="0" xr:uid="{D6DF3FDB-95A3-4DD3-B1FE-BA3B0C9C525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88" authorId="0" shapeId="0" xr:uid="{B0281702-1D55-49DE-B825-604FD309A26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9" authorId="0" shapeId="0" xr:uid="{37D6C4B5-246D-4127-A1DF-B6B5F10BC23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89" authorId="0" shapeId="0" xr:uid="{4E393455-A21E-432F-80DF-6B57998314D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89" authorId="0" shapeId="0" xr:uid="{6542C5FA-423B-47AD-8665-F7DACDF8B04B}">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89" authorId="0" shapeId="0" xr:uid="{B30E31FA-05CF-4E5C-9639-D7D6976D30E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89" authorId="0" shapeId="0" xr:uid="{ED6FBC2D-1159-456A-A380-0E95698A010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89" authorId="0" shapeId="0" xr:uid="{E129542B-3E11-456C-A03F-509CF55D662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0" authorId="0" shapeId="0" xr:uid="{56AF8052-979E-4C3B-BB3F-9D32A191F65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0" authorId="0" shapeId="0" xr:uid="{88A8F135-BF96-406C-B559-B697DA907A9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90" authorId="0" shapeId="0" xr:uid="{D9DFA84F-7164-4C03-8F37-0E532DCD6AC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90" authorId="0" shapeId="0" xr:uid="{9CCB49E3-602F-485C-AB2E-A161CAF9244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90" authorId="0" shapeId="0" xr:uid="{BC12BDB3-C1A1-413F-A505-6E423B9EB6C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90" authorId="0" shapeId="0" xr:uid="{94BFCD77-6017-413E-A690-F2E32124757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4" authorId="0" shapeId="0" xr:uid="{DA0AFD3E-E9A1-4DB6-BE35-F2734C75488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4" authorId="0" shapeId="0" xr:uid="{5F85E83D-D62F-E349-93EE-7CF1643931A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94" authorId="0" shapeId="0" xr:uid="{1C63EAF4-04E2-0C4D-AF1A-1B3D5D81146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94" authorId="0" shapeId="0" xr:uid="{E4F81731-0005-1649-83FE-4691E1209CC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94" authorId="0" shapeId="0" xr:uid="{18256514-CCAF-A04D-B2E9-B3EF2ED4D48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94" authorId="0" shapeId="0" xr:uid="{084B2052-27BE-3443-950E-4717C534B14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5" authorId="0" shapeId="0" xr:uid="{BC04476E-925A-417B-B2DE-CABB4FAFBE2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5" authorId="0" shapeId="0" xr:uid="{5BCC42B2-684B-FB42-AB8E-46A55326E0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95" authorId="0" shapeId="0" xr:uid="{B5CC57BF-59CF-1C44-A1E4-D5F51AA9860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95" authorId="0" shapeId="0" xr:uid="{F27C9AE7-1A5E-EA4C-B29F-AAA15B6578C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95" authorId="0" shapeId="0" xr:uid="{8302EE6E-6547-9446-A434-E77BA784CDD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95" authorId="0" shapeId="0" xr:uid="{3ECB6C95-05BF-E041-BA9F-C03EA0DC9F8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6" authorId="0" shapeId="0" xr:uid="{5A4A375C-33F0-423A-B61B-E159F2C1D21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6" authorId="0" shapeId="0" xr:uid="{DEE4A524-1CB2-C64F-94FA-529CEBC60CB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96" authorId="0" shapeId="0" xr:uid="{CC5E93C7-837F-AE44-AC03-6D8850FE3F9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96" authorId="0" shapeId="0" xr:uid="{FA20C972-01F7-9A4D-B3D8-80F19352112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96" authorId="0" shapeId="0" xr:uid="{0A6882A8-C1A0-884C-AC6D-FC9E2AB7AFE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96" authorId="0" shapeId="0" xr:uid="{6B853E73-F8A0-7B42-B8EC-2305929C89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7" authorId="0" shapeId="0" xr:uid="{3BAFD57B-62A4-4B5B-96C2-5DF363BB266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7" authorId="0" shapeId="0" xr:uid="{B72EDF88-1B15-644D-B5F0-84EDD40E73E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97" authorId="0" shapeId="0" xr:uid="{F6D6092D-60C0-D647-9796-1DA1E7ACBE1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97" authorId="0" shapeId="0" xr:uid="{4D6B728E-FEB9-C54D-990A-E79A8487CDA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97" authorId="0" shapeId="0" xr:uid="{4D580629-2D8B-F94E-90BA-E819106787E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97" authorId="0" shapeId="0" xr:uid="{B92CFF7B-38FE-9849-8474-5D1FDCC1904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8" authorId="0" shapeId="0" xr:uid="{94B14A17-22D0-4A12-8DB6-7705939D80B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8" authorId="0" shapeId="0" xr:uid="{8F1440F2-B244-6043-8899-A646C289009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98" authorId="0" shapeId="0" xr:uid="{860AACEA-E353-5446-8174-5A03019B998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98" authorId="0" shapeId="0" xr:uid="{17659210-6255-FD48-B034-74174EB06B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98" authorId="0" shapeId="0" xr:uid="{A0035552-9526-4546-A973-94D9B503827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98" authorId="0" shapeId="0" xr:uid="{7F056C10-3C72-A349-A049-A1BF45487EC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9" authorId="0" shapeId="0" xr:uid="{FAC975E2-48D0-468E-B923-737C242868C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9" authorId="0" shapeId="0" xr:uid="{3F461B98-C98D-FE47-97D2-A36C514BD71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99" authorId="0" shapeId="0" xr:uid="{26E04000-A414-F046-B978-DA32E7EADFB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99" authorId="0" shapeId="0" xr:uid="{2F57E068-18A0-7F4A-8228-D6A650B50F4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99" authorId="0" shapeId="0" xr:uid="{E0527201-E39A-A048-AE56-4531404FC11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99" authorId="0" shapeId="0" xr:uid="{61579596-E354-144F-BAAA-CF6E554CB00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C200" authorId="0" shapeId="0" xr:uid="{80234BFE-AE23-CF42-88B6-1AF2DE5A14D3}">
      <text>
        <r>
          <rPr>
            <b/>
            <sz val="10"/>
            <color rgb="FF000000"/>
            <rFont val="Tahoma"/>
            <family val="2"/>
          </rPr>
          <t>Francesco Parigi:</t>
        </r>
        <r>
          <rPr>
            <sz val="10"/>
            <color rgb="FF000000"/>
            <rFont val="Tahoma"/>
            <family val="2"/>
          </rPr>
          <t xml:space="preserve">
</t>
        </r>
        <r>
          <rPr>
            <sz val="10"/>
            <color rgb="FF000000"/>
            <rFont val="Calibri"/>
            <family val="2"/>
          </rPr>
          <t xml:space="preserve">e.g. Soil and Substrate Preparation, Temperature and Humidity Control, Greenhouse Maintenance
</t>
        </r>
      </text>
    </comment>
    <comment ref="G200" authorId="0" shapeId="0" xr:uid="{D1EE427C-501B-4DAC-BCCA-4A8DC04338C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0" authorId="0" shapeId="0" xr:uid="{C954E18A-0014-4643-8B1D-68D61D82AC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0" authorId="0" shapeId="0" xr:uid="{64C323C7-6001-8F4D-A72A-27F8ED015FD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0" authorId="0" shapeId="0" xr:uid="{B5D813A6-B5F5-3348-972C-F1585534F87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0" authorId="0" shapeId="0" xr:uid="{BA2D38B6-94D0-5A4B-8CEC-BCCA8505F87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0" authorId="0" shapeId="0" xr:uid="{233876D1-7E93-2849-AB08-95F6A88F45E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1" authorId="0" shapeId="0" xr:uid="{045E6193-A2DD-4731-BFA5-F495F57165A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1" authorId="0" shapeId="0" xr:uid="{2655573C-F442-474A-B4D0-47F1C28E279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1" authorId="0" shapeId="0" xr:uid="{F1EE9984-4273-FC48-B956-61B9F123AD0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1" authorId="0" shapeId="0" xr:uid="{9FE5F99F-E59A-F44A-BAE7-AD0D1C00AE0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1" authorId="0" shapeId="0" xr:uid="{DAD5632D-8781-404D-9898-47FAD54EC2D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1" authorId="0" shapeId="0" xr:uid="{1BFD1F13-6D6B-9944-8D68-6ABBC4375EB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2" authorId="0" shapeId="0" xr:uid="{C595C446-585E-4BB1-AB87-FB916BD3137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2" authorId="0" shapeId="0" xr:uid="{9E9069B1-9E14-B744-B8FA-7A03D8F8C91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2" authorId="0" shapeId="0" xr:uid="{AAC118A8-A47F-FF46-A40D-9D685C031CA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2" authorId="0" shapeId="0" xr:uid="{BED537CB-EFBC-384E-A5B3-E94FD63F7B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2" authorId="0" shapeId="0" xr:uid="{505D8C2D-62F3-2548-8151-F063A4BC51D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2" authorId="0" shapeId="0" xr:uid="{668F3F6E-207B-174D-B90F-D5593591D3B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3" authorId="0" shapeId="0" xr:uid="{4EC87859-A1B6-454B-A817-A797B48EE09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3" authorId="0" shapeId="0" xr:uid="{14D06D35-ADEF-6D45-8832-C2B3CC86425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3" authorId="0" shapeId="0" xr:uid="{00748D43-3CD8-A64A-B802-9586B2B6ABE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3" authorId="0" shapeId="0" xr:uid="{1995799D-8F22-CE4B-B923-EF1AD110637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3" authorId="0" shapeId="0" xr:uid="{BE4F7642-BC2A-2D42-B2D6-950FFA92EFD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3" authorId="0" shapeId="0" xr:uid="{3ACEC5BC-419D-B84B-89E5-AFEC789C055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4" authorId="0" shapeId="0" xr:uid="{4869650F-256C-47C2-BCE1-D9DC32DE23F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4" authorId="0" shapeId="0" xr:uid="{8F90CC2D-B840-CC44-AEB8-F5331AD642B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4" authorId="0" shapeId="0" xr:uid="{A3CFC5DC-DBD5-B04B-A1D7-0F27184561D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4" authorId="0" shapeId="0" xr:uid="{169A0B79-0556-0344-B63B-9D3964F786A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4" authorId="0" shapeId="0" xr:uid="{B0010D6E-A8E0-BB47-A8A2-8F643DE5395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4" authorId="0" shapeId="0" xr:uid="{E62AD844-D1D5-3047-879C-61CA5DBDCCD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5" authorId="0" shapeId="0" xr:uid="{C79FD16A-BE8F-4C11-A87D-3679E599744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5" authorId="0" shapeId="0" xr:uid="{30BF7B65-2F95-4640-9688-D75301FEB17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5" authorId="0" shapeId="0" xr:uid="{718E5B19-108C-6946-8880-6B24C1F8607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5" authorId="0" shapeId="0" xr:uid="{C6C5B169-DC8D-744C-A106-84574EC9329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5" authorId="0" shapeId="0" xr:uid="{01A37C6E-2C0D-1B47-85C6-E4E5608625B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5" authorId="0" shapeId="0" xr:uid="{05AE98C3-A33A-744F-8145-B758DFD4280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6" authorId="0" shapeId="0" xr:uid="{C9F5E28E-FEEF-4B10-96EB-7E0C7E1A383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6" authorId="0" shapeId="0" xr:uid="{B1A797D4-F7A6-2F44-BDC2-AF49C7B0C2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6" authorId="0" shapeId="0" xr:uid="{DAFE0C65-2744-674E-BC23-E5AB3E3C980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6" authorId="0" shapeId="0" xr:uid="{C42C36B2-FB2A-BA4F-AFB0-0189C0716C4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6" authorId="0" shapeId="0" xr:uid="{B5E036F1-4128-9244-A18A-E0245DFB43E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6" authorId="0" shapeId="0" xr:uid="{0B4402BB-DE0E-F849-995B-EFBCE64E956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7" authorId="0" shapeId="0" xr:uid="{559D6FB9-3FF6-4A7E-B0EC-EA2A5D1D7A2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7" authorId="0" shapeId="0" xr:uid="{E5E56697-DABF-B346-B03C-947864C3259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7" authorId="0" shapeId="0" xr:uid="{F1CAF436-53E9-294D-B52A-1032032B546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7" authorId="0" shapeId="0" xr:uid="{F9AF05D4-5411-F649-9B72-AA208F2D048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7" authorId="0" shapeId="0" xr:uid="{34A12DC5-665A-E84F-88CE-636450A88A1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7" authorId="0" shapeId="0" xr:uid="{EBF73315-C71F-B843-ADCD-0AB7ED70493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8" authorId="0" shapeId="0" xr:uid="{7301D282-D417-4643-9379-793D3AFAEF5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8" authorId="0" shapeId="0" xr:uid="{93747EE6-931B-A248-BE2E-68D48F38D26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8" authorId="0" shapeId="0" xr:uid="{9F5B6FF0-C890-5241-83B3-D8E885D19EF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8" authorId="0" shapeId="0" xr:uid="{41A2C6F4-6719-9E4B-B23D-086521EA7E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8" authorId="0" shapeId="0" xr:uid="{2C43F126-472B-D840-89C1-F59C6555356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8" authorId="0" shapeId="0" xr:uid="{8EA3EEB3-3353-614E-8BB7-6E4145DEE9F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9" authorId="0" shapeId="0" xr:uid="{FF3341BB-9B58-4E1F-BAA0-1D76C63D00F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9" authorId="0" shapeId="0" xr:uid="{6F7C8D54-2D48-0344-9EDA-3CC93BC00CB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9" authorId="0" shapeId="0" xr:uid="{A91D3C83-8D39-094D-B5E0-15197A25BF9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9" authorId="0" shapeId="0" xr:uid="{F999DAF2-DFD5-3B4E-B352-106A9C192BD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9" authorId="0" shapeId="0" xr:uid="{D813A6F2-B498-AE40-8D90-58BE3C32370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9" authorId="0" shapeId="0" xr:uid="{53FDE243-A9D6-0847-8E41-BE2039D4DBD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0" authorId="0" shapeId="0" xr:uid="{47AFDB65-CAB5-40BB-8A41-2FFE6253CE0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0" authorId="0" shapeId="0" xr:uid="{634EB6F3-5526-394F-B69A-858FC75C5B7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0" authorId="0" shapeId="0" xr:uid="{69681141-2260-6443-8EEB-77D3557E254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0" authorId="0" shapeId="0" xr:uid="{AED7C985-463C-4645-975E-166963075D2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0" authorId="0" shapeId="0" xr:uid="{69B45290-E8FF-0A4B-B8D6-93AB0F3923C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0" authorId="0" shapeId="0" xr:uid="{73ADE7BE-1CA6-B446-87BD-DDB62AE187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1" authorId="0" shapeId="0" xr:uid="{0A899B33-2DE2-4506-B339-090EB366D45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1" authorId="0" shapeId="0" xr:uid="{A0CB6816-A43B-AD4C-8CA8-8CCF22C6F80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1" authorId="0" shapeId="0" xr:uid="{D0F71EAF-BEF5-DB49-B3F4-23DCAA4BCC0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1" authorId="0" shapeId="0" xr:uid="{6756D122-99EE-B148-AA00-734B075066A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1" authorId="0" shapeId="0" xr:uid="{3E973EC0-C620-4148-B42E-07EAF9C5FD2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1" authorId="0" shapeId="0" xr:uid="{0786661C-8992-8946-9469-DEDF7E5C431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2" authorId="0" shapeId="0" xr:uid="{8567E6B5-7941-43A8-94D4-B3E979F5C7F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2" authorId="0" shapeId="0" xr:uid="{17712217-E8E6-4D48-94B3-C52B968EA92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2" authorId="0" shapeId="0" xr:uid="{865501BC-6DD9-1247-8F72-40BCF0FC5CA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2" authorId="0" shapeId="0" xr:uid="{47A205F5-11F6-7344-951B-049DC1798BD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2" authorId="0" shapeId="0" xr:uid="{8FC07A32-1F34-0E4C-A73A-689F8FCF783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2" authorId="0" shapeId="0" xr:uid="{900FBED1-F0F3-8C48-BC39-026FA792DD2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3" authorId="0" shapeId="0" xr:uid="{65B6AECF-39A7-484D-A7DE-B9EA1E79176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3" authorId="0" shapeId="0" xr:uid="{4255C466-82DF-B84B-8165-2C219294326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3" authorId="0" shapeId="0" xr:uid="{9C8AD8D4-3F92-F04D-AC38-DCEA75FF7A5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3" authorId="0" shapeId="0" xr:uid="{06FC18B4-0EFE-2741-9F2C-CC18FDC6C5B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3" authorId="0" shapeId="0" xr:uid="{04EAFA22-D3AA-EA44-AE81-D8797C21E1F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3" authorId="0" shapeId="0" xr:uid="{1210D922-C76A-FC47-944E-DCECE7E3A0A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4" authorId="0" shapeId="0" xr:uid="{B56F9DDA-290E-4D06-A7C9-0A0E21BB3CF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4" authorId="0" shapeId="0" xr:uid="{2318F628-C4BB-9241-B1E7-754EDF9E9ED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4" authorId="0" shapeId="0" xr:uid="{3B0DB912-BDCA-9247-ABBF-5A7D9EA8F25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4" authorId="0" shapeId="0" xr:uid="{E158B2FC-68C7-4443-9669-C691E35258E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4" authorId="0" shapeId="0" xr:uid="{1CE2C71B-D237-0848-8FE2-2E3BC821DC0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4" authorId="0" shapeId="0" xr:uid="{288568D9-E133-F347-9374-8C3272A5ABE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5" authorId="0" shapeId="0" xr:uid="{666CA860-3C6A-49DB-B1B6-10AA2A563A7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5" authorId="0" shapeId="0" xr:uid="{3EE3335F-2600-2B47-828F-77E0B55195D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5" authorId="0" shapeId="0" xr:uid="{17EC500D-DB76-A741-9453-5DE3B984051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5" authorId="0" shapeId="0" xr:uid="{358343B2-6062-3E49-A4B9-B5797ACF39D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5" authorId="0" shapeId="0" xr:uid="{4CFEFEBE-43C9-4844-8222-126F0BBE2AF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5" authorId="0" shapeId="0" xr:uid="{00D21ECB-0D58-9C4B-85ED-FB23924EC0F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6" authorId="0" shapeId="0" xr:uid="{C1239013-1680-475F-85B2-377D7D61A30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6" authorId="0" shapeId="0" xr:uid="{F78202A1-6187-5D46-8A0E-51ACE70144C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6" authorId="0" shapeId="0" xr:uid="{A713BBE4-436D-F94B-8880-24801EE7F26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6" authorId="0" shapeId="0" xr:uid="{00B476CC-EB74-8344-A9AF-763F4008D97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6" authorId="0" shapeId="0" xr:uid="{05EC93C1-4AAF-1D4C-ADB6-ADE19120125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6" authorId="0" shapeId="0" xr:uid="{665B205F-C108-264D-9911-3897464B9F9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7" authorId="0" shapeId="0" xr:uid="{9CF858A1-D88E-4142-A9A3-C1103DF78C0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7" authorId="0" shapeId="0" xr:uid="{48BD798E-9A0C-7E46-9ECB-8F11E299300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7" authorId="0" shapeId="0" xr:uid="{10A9C400-D7D0-D44F-A1F2-50E5BDF7618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7" authorId="0" shapeId="0" xr:uid="{1A733DF4-A6FC-D547-A24B-051DAB06009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7" authorId="0" shapeId="0" xr:uid="{9C5D1AAF-8344-A04C-B222-B06F5F0C434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7" authorId="0" shapeId="0" xr:uid="{82946060-B746-074F-A115-F499EEDB87D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8" authorId="0" shapeId="0" xr:uid="{E884071D-8756-41BD-8B6B-9C7AF6CAC0C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8" authorId="0" shapeId="0" xr:uid="{C3D30778-31AD-A84F-BB80-1093E5466B7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8" authorId="0" shapeId="0" xr:uid="{4B7B5E91-76C0-D74A-B985-BEFDF692029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8" authorId="0" shapeId="0" xr:uid="{762BE6C6-CC42-1D46-8135-EA9BDF700C0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8" authorId="0" shapeId="0" xr:uid="{2B661DC0-505B-5046-B295-7121EEEC4E1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8" authorId="0" shapeId="0" xr:uid="{41B58470-CF1B-074B-9455-13F3FD551B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B220" authorId="0" shapeId="0" xr:uid="{75918C94-75C6-9C4E-8AE1-E90CE3DCE062}">
      <text>
        <r>
          <rPr>
            <b/>
            <sz val="10"/>
            <color rgb="FF000000"/>
            <rFont val="Tahoma"/>
            <family val="2"/>
          </rPr>
          <t>Francesco Parigi:</t>
        </r>
        <r>
          <rPr>
            <sz val="10"/>
            <color rgb="FF000000"/>
            <rFont val="Tahoma"/>
            <family val="2"/>
          </rPr>
          <t xml:space="preserve">
</t>
        </r>
        <r>
          <rPr>
            <sz val="10"/>
            <color rgb="FF000000"/>
            <rFont val="Tahoma"/>
            <family val="2"/>
          </rPr>
          <t>necessary to calculate economic KPIs</t>
        </r>
      </text>
    </comment>
    <comment ref="G222" authorId="0" shapeId="0" xr:uid="{28FD0514-9C96-4725-A9A8-9685979A843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22" authorId="0" shapeId="0" xr:uid="{85976922-CE66-0044-8312-72F7184D22F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22" authorId="0" shapeId="0" xr:uid="{9C579092-2C2F-5543-AA5B-561BA8810B64}">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22" authorId="0" shapeId="0" xr:uid="{87A43BD4-E565-A248-8FA0-0556402EB46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22" authorId="0" shapeId="0" xr:uid="{78274AA7-97B9-2147-9BC9-358BBE1AFEBD}">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22" authorId="0" shapeId="0" xr:uid="{D0C8B3D3-D61E-6043-A8DD-D800D38D5F9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3" authorId="0" shapeId="0" xr:uid="{E084BC57-39ED-413B-8ECB-ECFEE6B203CA}">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23" authorId="0" shapeId="0" xr:uid="{85614BCD-0476-EF4A-B698-02203C635C6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23" authorId="0" shapeId="0" xr:uid="{BF764FE1-246E-7E48-B79D-C3AAE6D9808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23" authorId="0" shapeId="0" xr:uid="{035DE5DF-2181-5849-938A-F9E7CC6D27F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23" authorId="0" shapeId="0" xr:uid="{3EB49E53-A877-B34A-B402-B89CEFDC0534}">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23" authorId="0" shapeId="0" xr:uid="{AE12671E-2218-3F4F-801C-8E3D7E75FB4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4" authorId="0" shapeId="0" xr:uid="{F3987856-0740-4F95-B29E-9AC2A5CFB41D}">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H224" authorId="0" shapeId="0" xr:uid="{49A64215-A915-0549-8EBE-FA43C350ACA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24" authorId="0" shapeId="0" xr:uid="{D28894A2-1C76-BF42-BB82-17E1421FE81A}">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K224" authorId="0" shapeId="0" xr:uid="{4A29C34E-6FE6-3448-B118-457424DBC3F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24" authorId="0" shapeId="0" xr:uid="{9B50807D-149C-2240-B596-DF1263A0DD72}">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N224" authorId="0" shapeId="0" xr:uid="{ACBCBF88-113D-374B-81D7-1D679B20F00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5" authorId="0" shapeId="0" xr:uid="{84A8A573-1929-4F3A-A01E-F5FB258C18D6}">
      <text>
        <r>
          <rPr>
            <b/>
            <sz val="10"/>
            <color rgb="FF000000"/>
            <rFont val="Tahoma"/>
            <family val="2"/>
          </rPr>
          <t xml:space="preserve">Francesco Parigi:
</t>
        </r>
        <r>
          <rPr>
            <sz val="10"/>
            <color rgb="FF000000"/>
            <rFont val="Tahoma"/>
            <family val="2"/>
          </rPr>
          <t xml:space="preserve">Decimal number 
</t>
        </r>
      </text>
    </comment>
    <comment ref="H225" authorId="0" shapeId="0" xr:uid="{45EDDF26-BD86-9C4B-B4B0-B0758740F6E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25" authorId="0" shapeId="0" xr:uid="{3CE74008-7789-5045-83AB-19A4DA49BC06}">
      <text>
        <r>
          <rPr>
            <b/>
            <sz val="10"/>
            <color rgb="FF000000"/>
            <rFont val="Tahoma"/>
            <family val="2"/>
          </rPr>
          <t xml:space="preserve">Francesco Parigi:
</t>
        </r>
        <r>
          <rPr>
            <sz val="10"/>
            <color rgb="FF000000"/>
            <rFont val="Tahoma"/>
            <family val="2"/>
          </rPr>
          <t xml:space="preserve">Decimal number 
</t>
        </r>
      </text>
    </comment>
    <comment ref="K225" authorId="0" shapeId="0" xr:uid="{07BF838E-C2CF-9D47-89A5-BD16BF07E14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25" authorId="0" shapeId="0" xr:uid="{4B582D7D-1287-FE42-9661-5278AD3BB496}">
      <text>
        <r>
          <rPr>
            <b/>
            <sz val="10"/>
            <color rgb="FF000000"/>
            <rFont val="Tahoma"/>
            <family val="2"/>
          </rPr>
          <t xml:space="preserve">Francesco Parigi:
</t>
        </r>
        <r>
          <rPr>
            <sz val="10"/>
            <color rgb="FF000000"/>
            <rFont val="Tahoma"/>
            <family val="2"/>
          </rPr>
          <t xml:space="preserve">Decimal number 
</t>
        </r>
      </text>
    </comment>
    <comment ref="N225" authorId="0" shapeId="0" xr:uid="{34433055-1137-C042-B143-E678AEC2D05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6" authorId="0" shapeId="0" xr:uid="{18010AD5-F93E-4D6C-B726-A08521DB2D8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26" authorId="0" shapeId="0" xr:uid="{9EBABC74-8EE6-FD41-A05B-D760BF7B5B2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26" authorId="0" shapeId="0" xr:uid="{DC32918B-CE66-894A-9700-5257D725501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26" authorId="0" shapeId="0" xr:uid="{3804B10F-9D1F-934D-AA9B-25CCB222662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26" authorId="0" shapeId="0" xr:uid="{49162A46-1C0D-6B4A-816E-AFD3C26A6C9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26" authorId="0" shapeId="0" xr:uid="{EF397832-A6A3-9342-AAEB-25A4AA6851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7" authorId="0" shapeId="0" xr:uid="{36992120-2138-4D40-A446-DB8A72F001E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27" authorId="0" shapeId="0" xr:uid="{690FAB5D-3C67-E040-BE09-38521CA10DD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27" authorId="0" shapeId="0" xr:uid="{7E1E8898-914A-564E-8A99-D3885C2E173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27" authorId="0" shapeId="0" xr:uid="{C99311C7-A667-1843-9440-A3333EA10C1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27" authorId="0" shapeId="0" xr:uid="{D7CA9BB9-25B0-094D-9E64-EF8B4A1E781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27" authorId="0" shapeId="0" xr:uid="{CF0F82D5-EC04-BE46-9B1F-B6C1E39F5D9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8" authorId="0" shapeId="0" xr:uid="{81C7221B-CD5F-4CB0-BE8A-2E2BE207AFF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28" authorId="0" shapeId="0" xr:uid="{FFA849B8-D655-8443-A1C9-AF7A2FF4C83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28" authorId="0" shapeId="0" xr:uid="{AD3FA85E-D04D-5B41-905C-A944BC0B534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28" authorId="0" shapeId="0" xr:uid="{817E1CCC-8739-084F-B82F-5750065D510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28" authorId="0" shapeId="0" xr:uid="{469D1605-B225-C24A-8504-98FE2A20CDD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28" authorId="0" shapeId="0" xr:uid="{D6A0A410-D423-E142-AB66-A72A649FB5D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B230" authorId="0" shapeId="0" xr:uid="{520E04ED-07B2-4640-A1F7-F440908D70A5}">
      <text>
        <r>
          <rPr>
            <b/>
            <sz val="10"/>
            <color rgb="FF000000"/>
            <rFont val="Tahoma"/>
            <family val="2"/>
          </rPr>
          <t>Francesco Parigi:</t>
        </r>
        <r>
          <rPr>
            <sz val="10"/>
            <color rgb="FF000000"/>
            <rFont val="Tahoma"/>
            <family val="2"/>
          </rPr>
          <t xml:space="preserve">
</t>
        </r>
        <r>
          <rPr>
            <sz val="10"/>
            <color rgb="FF000000"/>
            <rFont val="Tahoma"/>
            <family val="2"/>
          </rPr>
          <t>necessary to calculate environmental KPIs</t>
        </r>
      </text>
    </comment>
    <comment ref="G232" authorId="0" shapeId="0" xr:uid="{6D21F339-AFB8-6448-BB8B-888AC37C1EE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32" authorId="0" shapeId="0" xr:uid="{3DFFCD61-4037-E242-8C79-CEAB1467F7B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32" authorId="0" shapeId="0" xr:uid="{38C6D821-48DE-DB48-B990-4176037811C3}">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32" authorId="0" shapeId="0" xr:uid="{3BF18A39-6F0C-9248-BC14-171FDE600A5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32" authorId="0" shapeId="0" xr:uid="{D89C2498-1994-E048-BFD3-02A3F04DC7E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32" authorId="0" shapeId="0" xr:uid="{ACFC714B-DCD2-3B4E-BD60-1CD70E439AB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3" authorId="0" shapeId="0" xr:uid="{8E6939BF-FA6C-2142-B4A3-5500609E3A3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33" authorId="0" shapeId="0" xr:uid="{570FA0F2-93CD-BB49-BB2C-01CCB231773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33" authorId="0" shapeId="0" xr:uid="{CE0FBD4B-2891-C446-B47A-D9FE190D5A4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33" authorId="0" shapeId="0" xr:uid="{427A8E48-64A8-574C-8AB0-8031D7432AA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33" authorId="0" shapeId="0" xr:uid="{32FE30C9-714F-9A4A-B3A2-6285827500B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33" authorId="0" shapeId="0" xr:uid="{C6BC5B40-9FB8-7D4D-B791-F64C8BE3E61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4" authorId="0" shapeId="0" xr:uid="{F1ECE794-7880-5241-A5DB-1F008E45894D}">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H234" authorId="0" shapeId="0" xr:uid="{DAB33543-A5E7-044E-838A-821EA62CA90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34" authorId="0" shapeId="0" xr:uid="{07DEF716-D5E3-B342-BD10-DE4970702F35}">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K234" authorId="0" shapeId="0" xr:uid="{75DF17E9-4675-814E-808A-D8963D1D443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34" authorId="0" shapeId="0" xr:uid="{50A8B9DA-5AC3-0A4D-9567-5344B40FD1CA}">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N234" authorId="0" shapeId="0" xr:uid="{F1AD28E9-C686-2749-B08B-668E969F820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5" authorId="0" shapeId="0" xr:uid="{98B59A51-6451-9947-960E-963D1E32D9B4}">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H235" authorId="0" shapeId="0" xr:uid="{80576766-265F-E04E-B664-CC239FAF9EA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35" authorId="0" shapeId="0" xr:uid="{5A7B737C-9CCC-EF4A-949F-C5E73B17F624}">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K235" authorId="0" shapeId="0" xr:uid="{494EA135-CFB3-9D40-931A-D38C72B87C6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35" authorId="0" shapeId="0" xr:uid="{3EBE5A90-21D3-E54F-AD1D-828877FBF611}">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N235" authorId="0" shapeId="0" xr:uid="{650664F1-86D8-F549-ACD5-460120393D8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6" authorId="0" shapeId="0" xr:uid="{75D8017D-3C3D-3F4B-B5AD-8E14247DAEA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36" authorId="0" shapeId="0" xr:uid="{54D1C2FD-539B-654E-8C60-F18D96CDE86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36" authorId="0" shapeId="0" xr:uid="{D7BCCEED-1075-3340-83F2-CBE940ADFC9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36" authorId="0" shapeId="0" xr:uid="{736B7072-1929-4840-838E-AB2074FCA46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36" authorId="0" shapeId="0" xr:uid="{3CA186C0-F6CA-4A41-82A4-5EACF7F90B9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36" authorId="0" shapeId="0" xr:uid="{06621DB9-7AB6-1944-9030-875FABBE545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7" authorId="0" shapeId="0" xr:uid="{13419855-ADB2-E446-9A5A-78718A32E166}">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37" authorId="0" shapeId="0" xr:uid="{CAB0B518-C1BC-9844-8DBF-44F47541EB2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37" authorId="0" shapeId="0" xr:uid="{FC9222FF-DEDA-F849-902F-23E5ADC4B30B}">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37" authorId="0" shapeId="0" xr:uid="{01DFF6DE-DB85-9C4E-97CD-70112CE320D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37" authorId="0" shapeId="0" xr:uid="{BFCD0800-196C-7841-AACF-A8EDBD9FF78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37" authorId="0" shapeId="0" xr:uid="{7DAA8160-7E8E-2743-A868-01CFFF9DD5B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B239" authorId="0" shapeId="0" xr:uid="{E932B84C-D419-5F43-8885-2E179A1A6522}">
      <text>
        <r>
          <rPr>
            <b/>
            <sz val="10"/>
            <color rgb="FF000000"/>
            <rFont val="Tahoma"/>
            <family val="2"/>
          </rPr>
          <t>Francesco Parigi:</t>
        </r>
        <r>
          <rPr>
            <sz val="10"/>
            <color rgb="FF000000"/>
            <rFont val="Tahoma"/>
            <family val="2"/>
          </rPr>
          <t xml:space="preserve">
</t>
        </r>
        <r>
          <rPr>
            <sz val="10"/>
            <color rgb="FF000000"/>
            <rFont val="Tahoma"/>
            <family val="2"/>
          </rPr>
          <t>Necessary to calculate social KPIs</t>
        </r>
      </text>
    </comment>
    <comment ref="G241" authorId="0" shapeId="0" xr:uid="{C8E8FA45-06F8-489E-A4E5-1A3D560FFC9A}">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1" authorId="0" shapeId="0" xr:uid="{63A29083-8A06-BF4B-AFDB-A1C1152BC0E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41" authorId="0" shapeId="0" xr:uid="{E27CAB2D-8DB1-114E-8D01-3388272BCFF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41" authorId="0" shapeId="0" xr:uid="{C2866951-F5D9-9240-96FA-B6495964FF9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41" authorId="0" shapeId="0" xr:uid="{DC7531F6-057C-8141-BB69-3128A9D8C5E9}">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41" authorId="0" shapeId="0" xr:uid="{5BA80763-F149-014A-96D8-7BEB5412DFC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2" authorId="0" shapeId="0" xr:uid="{7817EA7F-C785-44DE-9E93-3D9D3A5CBED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2" authorId="0" shapeId="0" xr:uid="{9642B7F6-D830-194F-BDCA-4D23B3FA1C0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42" authorId="0" shapeId="0" xr:uid="{B3E0937A-52B2-234A-9F0D-C32311999076}">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42" authorId="0" shapeId="0" xr:uid="{7D25D43B-8A74-6C4E-ACA3-78299BD259F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42" authorId="0" shapeId="0" xr:uid="{FA2B56AF-58DA-1B41-8F97-FCC7A6E775F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42" authorId="0" shapeId="0" xr:uid="{CD04D27C-FF35-B244-9088-4A9EA7CC0B9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3" authorId="0" shapeId="0" xr:uid="{64909109-8235-4B5D-9AF0-90B5056A5A9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43" authorId="0" shapeId="0" xr:uid="{BB5ECAF9-DE11-594A-846E-EE1F5E01E77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43" authorId="0" shapeId="0" xr:uid="{59507E4A-59AF-0543-9DAA-AA5B82D3AC1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43" authorId="0" shapeId="0" xr:uid="{BFA96917-30F8-7840-B7BC-CBB5F025A98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43" authorId="0" shapeId="0" xr:uid="{10262750-67BB-464D-9A51-F2D11728126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43" authorId="0" shapeId="0" xr:uid="{A00AA161-ADB1-BD4A-AC30-6B4F756D27C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4" authorId="0" shapeId="0" xr:uid="{39F051EE-6F33-4D4F-B7B7-AD2A7EA5E24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4" authorId="0" shapeId="0" xr:uid="{37F96103-14AC-FF45-B1B9-9A6971C2301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44" authorId="0" shapeId="0" xr:uid="{2DCE63D9-0FCD-2041-8547-B08FC304794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44" authorId="0" shapeId="0" xr:uid="{B9930598-F75B-0E41-922E-6023A2B9D5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44" authorId="0" shapeId="0" xr:uid="{70747DC9-7384-C545-9765-2033AA12620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44" authorId="0" shapeId="0" xr:uid="{B8B85014-1751-5340-AA1D-EC2A156C952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5" authorId="0" shapeId="0" xr:uid="{DA7B1BC9-1842-4BEE-A601-27659929CC7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5" authorId="0" shapeId="0" xr:uid="{A2383462-854A-C044-947F-41D12B9003D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45" authorId="0" shapeId="0" xr:uid="{1E1CD4E3-CEB3-964A-99DE-E42C585AB134}">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45" authorId="0" shapeId="0" xr:uid="{D1346E59-09BE-F448-A991-87E1BD9A7F2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45" authorId="0" shapeId="0" xr:uid="{E6B1C3D9-880B-DA41-A7C4-C5AFE6BBA6DE}">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45" authorId="0" shapeId="0" xr:uid="{DE568824-045E-1A4A-A171-1604B63088E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6" authorId="0" shapeId="0" xr:uid="{0DF3509A-C75A-406B-AF62-3630B2861A9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6" authorId="0" shapeId="0" xr:uid="{625D52CE-A8DA-3448-9B0B-4A4B481729B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46" authorId="0" shapeId="0" xr:uid="{BD133E0A-550D-904D-9ACD-888556762054}">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46" authorId="0" shapeId="0" xr:uid="{D7923462-5D36-1446-A747-D6FF0601B62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46" authorId="0" shapeId="0" xr:uid="{702C5AEB-F418-1E47-94A5-093ED235FE1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46" authorId="0" shapeId="0" xr:uid="{EE7D808D-85EA-0341-9E77-1FFD966C37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0" authorId="0" shapeId="0" xr:uid="{42E6B0DE-8FC0-41DA-94E5-EFD8C061A35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0" authorId="0" shapeId="0" xr:uid="{BD9783E6-6AB1-A047-986B-6C8C276E3B5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0" authorId="0" shapeId="0" xr:uid="{7BD24B82-4F3C-7E41-99A8-560426DB376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50" authorId="0" shapeId="0" xr:uid="{CF683813-2FEC-F741-A39C-DCE1D988511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0" authorId="0" shapeId="0" xr:uid="{099B593D-F4FC-D742-8CC7-B63058AB48C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50" authorId="0" shapeId="0" xr:uid="{DE8ACDA4-DD71-6542-B286-C02EF79AE1B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1" authorId="0" shapeId="0" xr:uid="{1D0390F8-6A0D-3A4A-8AB8-9BAD3EA60B3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1" authorId="0" shapeId="0" xr:uid="{E1519560-AB58-1E49-B347-6CB6255B240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1" authorId="0" shapeId="0" xr:uid="{0404BC09-8E13-3844-9330-A96A7119D26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51" authorId="0" shapeId="0" xr:uid="{A859F2E7-CDB4-2142-9230-F6D49536109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1" authorId="0" shapeId="0" xr:uid="{792DE266-6838-F241-A211-3A23263B37D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51" authorId="0" shapeId="0" xr:uid="{49C07B2A-FD08-F549-8FFF-187AC96AED3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2" authorId="0" shapeId="0" xr:uid="{D4AA88D7-FA36-BB44-9460-012566B4D88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2" authorId="0" shapeId="0" xr:uid="{CB8920BB-DB79-704C-94EC-57E64B67CBA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2" authorId="0" shapeId="0" xr:uid="{DCB03E32-030D-3241-A1B8-11A7965FC8E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52" authorId="0" shapeId="0" xr:uid="{14F25633-1B75-4D46-B5D7-04AF277A002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2" authorId="0" shapeId="0" xr:uid="{995E75BB-C10E-1D47-BD77-825D18058D8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52" authorId="0" shapeId="0" xr:uid="{3F7CEEC7-9A13-7946-8D51-DDF14995E58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3" authorId="0" shapeId="0" xr:uid="{737A18C0-3FA1-5A47-9246-F124323431CA}">
      <text>
        <r>
          <rPr>
            <b/>
            <sz val="10"/>
            <color rgb="FF000000"/>
            <rFont val="Tahoma"/>
            <family val="2"/>
          </rPr>
          <t>Francesco Parigi:</t>
        </r>
        <r>
          <rPr>
            <sz val="10"/>
            <color rgb="FF000000"/>
            <rFont val="Tahoma"/>
            <family val="2"/>
          </rPr>
          <t xml:space="preserve">
</t>
        </r>
        <r>
          <rPr>
            <sz val="10"/>
            <color rgb="FF000000"/>
            <rFont val="Tahoma"/>
            <family val="2"/>
          </rPr>
          <t xml:space="preserve">Number
</t>
        </r>
        <r>
          <rPr>
            <sz val="10"/>
            <color rgb="FF000000"/>
            <rFont val="Tahoma"/>
            <family val="2"/>
          </rPr>
          <t xml:space="preserve">
</t>
        </r>
        <r>
          <rPr>
            <sz val="10"/>
            <color rgb="FF000000"/>
            <rFont val="Tahoma"/>
            <family val="2"/>
          </rPr>
          <t xml:space="preserve"> 
</t>
        </r>
      </text>
    </comment>
    <comment ref="H253" authorId="0" shapeId="0" xr:uid="{3B1A3088-E4DE-884F-854D-1257CD4996E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3" authorId="0" shapeId="0" xr:uid="{29147F0F-2EEB-D24B-8B34-693D823141E2}">
      <text>
        <r>
          <rPr>
            <b/>
            <sz val="10"/>
            <color rgb="FF000000"/>
            <rFont val="Tahoma"/>
            <family val="2"/>
          </rPr>
          <t>Francesco Parigi:</t>
        </r>
        <r>
          <rPr>
            <sz val="10"/>
            <color rgb="FF000000"/>
            <rFont val="Tahoma"/>
            <family val="2"/>
          </rPr>
          <t xml:space="preserve">
</t>
        </r>
        <r>
          <rPr>
            <sz val="10"/>
            <color rgb="FF000000"/>
            <rFont val="Tahoma"/>
            <family val="2"/>
          </rPr>
          <t xml:space="preserve">Number
</t>
        </r>
        <r>
          <rPr>
            <sz val="10"/>
            <color rgb="FF000000"/>
            <rFont val="Tahoma"/>
            <family val="2"/>
          </rPr>
          <t xml:space="preserve">
</t>
        </r>
        <r>
          <rPr>
            <sz val="10"/>
            <color rgb="FF000000"/>
            <rFont val="Tahoma"/>
            <family val="2"/>
          </rPr>
          <t xml:space="preserve"> 
</t>
        </r>
      </text>
    </comment>
    <comment ref="K253" authorId="0" shapeId="0" xr:uid="{7D1DD681-CC39-374F-8630-55E21C60116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3" authorId="0" shapeId="0" xr:uid="{DCFB6900-01F0-5740-9779-FFD84E922277}">
      <text>
        <r>
          <rPr>
            <b/>
            <sz val="10"/>
            <color rgb="FF000000"/>
            <rFont val="Tahoma"/>
            <family val="2"/>
          </rPr>
          <t>Francesco Parigi:</t>
        </r>
        <r>
          <rPr>
            <sz val="10"/>
            <color rgb="FF000000"/>
            <rFont val="Tahoma"/>
            <family val="2"/>
          </rPr>
          <t xml:space="preserve">
</t>
        </r>
        <r>
          <rPr>
            <sz val="10"/>
            <color rgb="FF000000"/>
            <rFont val="Tahoma"/>
            <family val="2"/>
          </rPr>
          <t xml:space="preserve">Number
</t>
        </r>
        <r>
          <rPr>
            <sz val="10"/>
            <color rgb="FF000000"/>
            <rFont val="Tahoma"/>
            <family val="2"/>
          </rPr>
          <t xml:space="preserve">
</t>
        </r>
        <r>
          <rPr>
            <sz val="10"/>
            <color rgb="FF000000"/>
            <rFont val="Tahoma"/>
            <family val="2"/>
          </rPr>
          <t xml:space="preserve"> 
</t>
        </r>
      </text>
    </comment>
    <comment ref="N253" authorId="0" shapeId="0" xr:uid="{1AA3D3F0-9AD7-4B45-B957-9DFEF3A94CF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4" authorId="0" shapeId="0" xr:uid="{23C61F45-BC1F-4044-A41B-265D984D632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4" authorId="0" shapeId="0" xr:uid="{0C8EFD0B-0B23-FA43-93B9-A072D0D63B3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4" authorId="0" shapeId="0" xr:uid="{93FDCC0B-D738-5F4B-9AFE-56EED2E5846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54" authorId="0" shapeId="0" xr:uid="{D415176C-84F6-4040-9E66-2FE7B551401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4" authorId="0" shapeId="0" xr:uid="{6E74C691-F205-8B48-8E53-0977F4FE4E9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54" authorId="0" shapeId="0" xr:uid="{81D6764D-4F9C-2B4B-8A2E-D2BC521F4C5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5" authorId="0" shapeId="0" xr:uid="{20B17807-EB43-5446-B7DD-04C760D9F54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5" authorId="0" shapeId="0" xr:uid="{E90051AC-5483-EC4B-8593-556F5CD4609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5" authorId="0" shapeId="0" xr:uid="{B8719285-3D9C-9A49-B5B8-BB117A25333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55" authorId="0" shapeId="0" xr:uid="{10B4AF12-D97B-7A42-AD9C-EFE9C3536F9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5" authorId="0" shapeId="0" xr:uid="{00E3C10D-0283-F847-9081-19A46ADD43C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55" authorId="0" shapeId="0" xr:uid="{47464C6F-23E1-F74A-8017-F9C234F7780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6" authorId="0" shapeId="0" xr:uid="{B2B611FD-1C4B-224F-B0C9-630F6212C7C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6" authorId="0" shapeId="0" xr:uid="{A37189AF-05BB-4F4C-A669-FFC3EFB482D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6" authorId="0" shapeId="0" xr:uid="{443BC351-EF67-EB48-924E-9E707F0F117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56" authorId="0" shapeId="0" xr:uid="{EFFAC47E-DC10-E843-BABB-A5BED5DB4CF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6" authorId="0" shapeId="0" xr:uid="{3B403958-DA38-A641-9433-249B5B36F5E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56" authorId="0" shapeId="0" xr:uid="{8200E761-DED8-8440-9E6B-9A4A3A031B5C}">
      <text>
        <r>
          <rPr>
            <b/>
            <sz val="10"/>
            <color rgb="FF000000"/>
            <rFont val="Tahoma"/>
            <family val="2"/>
          </rPr>
          <t>Francesco Parigi:</t>
        </r>
        <r>
          <rPr>
            <sz val="10"/>
            <color rgb="FF000000"/>
            <rFont val="Tahoma"/>
            <family val="2"/>
          </rPr>
          <t xml:space="preserve">
</t>
        </r>
        <r>
          <rPr>
            <sz val="10"/>
            <color rgb="FF000000"/>
            <rFont val="Tahoma"/>
            <family val="2"/>
          </rPr>
          <t>Text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Francesco Parigi</author>
  </authors>
  <commentList>
    <comment ref="E10" authorId="0" shapeId="0" xr:uid="{BB29DBC9-AD6E-4437-8FE6-CED2FF63010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10" authorId="0" shapeId="0" xr:uid="{3FE0B4E9-25FE-5A4A-B391-A6699C5D369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1" authorId="0" shapeId="0" xr:uid="{44359082-329B-4016-B0BD-0C9F243F6B9F}">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G11" authorId="0" shapeId="0" xr:uid="{B9A385A4-0671-BB4D-B374-6D181F24362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2" authorId="0" shapeId="0" xr:uid="{F69D0556-A961-4D47-AB68-807C942E19B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2" authorId="0" shapeId="0" xr:uid="{0F20F857-53C7-8944-AF27-1B9A14F45AE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3" authorId="0" shapeId="0" xr:uid="{CAC6021E-B4FB-4196-8FE0-3A6840807AD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 authorId="0" shapeId="0" xr:uid="{4F4CBA21-E6A8-0141-B984-103508BBB7B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4" authorId="0" shapeId="0" xr:uid="{636A122D-2BB5-4E12-B84D-29136E24CD1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4" authorId="0" shapeId="0" xr:uid="{03947491-0CCF-7241-9E93-0AF5FB0CF41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5" authorId="0" shapeId="0" xr:uid="{53F7F2EA-2EB5-4B73-8C03-00279D419B0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5" authorId="0" shapeId="0" xr:uid="{6D6A4202-50EB-8C42-9C2C-CF88BFCAE48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6" authorId="0" shapeId="0" xr:uid="{3FB86D58-8339-4057-8F13-0E0DE6BE30D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6" authorId="0" shapeId="0" xr:uid="{CC21AD6C-0938-BA49-AB63-764C8D22E27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7" authorId="0" shapeId="0" xr:uid="{1DCCDEBF-DF58-4602-88F6-7A80BF573CE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17" authorId="0" shapeId="0" xr:uid="{7AAF0CA0-3C57-4F49-BC86-8B9F30B4912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8" authorId="0" shapeId="0" xr:uid="{2571623C-1368-4745-9E1E-D1EF9CA010B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8" authorId="0" shapeId="0" xr:uid="{CB987C5E-41CB-1F4E-B994-163027621CD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9" authorId="0" shapeId="0" xr:uid="{8C92A2AA-0702-4D0C-8A7D-48607B052F4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19" authorId="0" shapeId="0" xr:uid="{75CD7EDD-DB19-2A4B-A8B9-8D1894BDD3B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20" authorId="0" shapeId="0" xr:uid="{ECF7C430-06FF-4428-AAFF-6D99DF7BC2E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20" authorId="0" shapeId="0" xr:uid="{0689151C-AD22-BC40-B1CA-771690F3F79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 authorId="0" shapeId="0" xr:uid="{7344DF9D-6CB1-46A6-B54B-ADF24116EED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4" authorId="0" shapeId="0" xr:uid="{227C3320-7EB0-C24C-A6A3-E191E807758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4" authorId="0" shapeId="0" xr:uid="{AA910B73-6F80-D147-A2C4-9DA94D64E93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4" authorId="0" shapeId="0" xr:uid="{ACC8B048-F8DD-2243-87F2-09CCEA8C98E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4" authorId="0" shapeId="0" xr:uid="{FA752026-69BB-B44E-8635-1BE7C9D7D37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4" authorId="0" shapeId="0" xr:uid="{2C2FA9DA-374F-6E45-8E0D-EA1E656A196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 authorId="0" shapeId="0" xr:uid="{B529D6CC-FFE5-4B6C-8883-78A1B6A84E5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 authorId="0" shapeId="0" xr:uid="{9F297F8C-82D6-B141-B65C-79512A1F665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 authorId="0" shapeId="0" xr:uid="{33492B11-1325-AE4C-8EBA-3CBD3E66601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5" authorId="0" shapeId="0" xr:uid="{7D4057E7-7ED7-8D4B-AD21-8D14871856D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 authorId="0" shapeId="0" xr:uid="{D3BD2C6C-F005-D34F-9A8F-F57D818CFA6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5" authorId="0" shapeId="0" xr:uid="{C6EEADF6-F9CB-3346-8930-AC685FF350C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6" authorId="0" shapeId="0" xr:uid="{06153FBC-C441-4019-AE22-07388E97487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6" authorId="0" shapeId="0" xr:uid="{07E78EBD-C8C5-ED45-9DED-ECC9CA5EF61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6" authorId="0" shapeId="0" xr:uid="{E17BABD5-150C-1D43-94D9-32F546DDD0E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6" authorId="0" shapeId="0" xr:uid="{4F36AA6E-4903-6C4C-90F8-58F5F115A96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6" authorId="0" shapeId="0" xr:uid="{FAE7AD56-7F0A-9B48-8DB8-B668D4E514D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6" authorId="0" shapeId="0" xr:uid="{563BA39C-E8FE-C04A-9918-108FD40E88B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7" authorId="0" shapeId="0" xr:uid="{9F4992A8-DDFB-44C9-BCA4-30F8A115163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7" authorId="0" shapeId="0" xr:uid="{C3A15E4F-57FD-5A46-8D24-91BA24C2EAB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7" authorId="0" shapeId="0" xr:uid="{E6A068D8-86B0-E640-BA42-93528E3C472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7" authorId="0" shapeId="0" xr:uid="{68F48026-8BE9-0746-A9B9-72FD2A0F059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7" authorId="0" shapeId="0" xr:uid="{DBD7C1C7-6E7A-6E40-80FF-B3624128BB1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7" authorId="0" shapeId="0" xr:uid="{7D493E4F-8C3F-844C-994B-4A5BDC92E6B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8" authorId="0" shapeId="0" xr:uid="{F6A253B7-6080-4D79-9E3A-AEB1F881917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8" authorId="0" shapeId="0" xr:uid="{EB6E37D3-EAE4-CB42-AC66-2C772FA3C14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8" authorId="0" shapeId="0" xr:uid="{191681CD-DD71-184D-9238-70934FE0464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8" authorId="0" shapeId="0" xr:uid="{8A074C1B-95AA-5E44-B889-893CD4013D5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8" authorId="0" shapeId="0" xr:uid="{9F424F70-53A6-ED44-AE8C-344A79D51EF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8" authorId="0" shapeId="0" xr:uid="{3CF69093-8402-AF46-B43D-9D20A61B56D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9" authorId="0" shapeId="0" xr:uid="{E54174B4-23E2-49BD-9550-8124E526878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9" authorId="0" shapeId="0" xr:uid="{EC86C377-DA53-C34A-B388-2D5BBE8E5A0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9" authorId="0" shapeId="0" xr:uid="{D72F01FE-03FD-3049-A83C-A4C489CAF69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9" authorId="0" shapeId="0" xr:uid="{AF28B548-A086-E54B-A4D2-727188A4FFF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9" authorId="0" shapeId="0" xr:uid="{6DBAAFF3-6A1D-8348-AEA2-380E29280CF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9" authorId="0" shapeId="0" xr:uid="{4A5ACF75-E95F-2348-AAEE-8501451350D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3" authorId="0" shapeId="0" xr:uid="{DAF34286-46B3-4B17-A6B1-9C4ADF69C54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3" authorId="0" shapeId="0" xr:uid="{156D4B1D-10E3-C247-A5A1-6800448E82A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33" authorId="0" shapeId="0" xr:uid="{6C29B483-18E3-144A-B0A1-030F260BBA1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33" authorId="0" shapeId="0" xr:uid="{89B564E5-E4CA-8B42-92F4-203F76C3C24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33" authorId="0" shapeId="0" xr:uid="{4D9EC9D4-83EE-B84A-A201-607BF62CECD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33" authorId="0" shapeId="0" xr:uid="{19583EA1-28F9-CE45-9856-FF89356EB4C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4" authorId="0" shapeId="0" xr:uid="{40369F9A-0C05-4CA4-864F-92EA896D1AA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4" authorId="0" shapeId="0" xr:uid="{CCD7AECB-1AFA-4046-A3FE-80A12FB6B9F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34" authorId="0" shapeId="0" xr:uid="{F4D4E7EB-BF2C-F94D-BAF0-866E0616D64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34" authorId="0" shapeId="0" xr:uid="{9D9F5B93-02D5-284B-BE29-DE0C88B8C0D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34" authorId="0" shapeId="0" xr:uid="{AB466665-AC05-A64E-A691-DF3611A3CA3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34" authorId="0" shapeId="0" xr:uid="{F18830B1-8E26-9E46-B50C-3FE46C986BA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5" authorId="0" shapeId="0" xr:uid="{E4253169-6834-4F92-B929-71675FEBD8F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5" authorId="0" shapeId="0" xr:uid="{215C34BF-807D-9046-B52A-AAD4D23EC12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35" authorId="0" shapeId="0" xr:uid="{01ABAB09-10EC-6645-8DE3-F818CD750AC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35" authorId="0" shapeId="0" xr:uid="{F8AFCD3C-3971-534C-AA30-C6CB04894C9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35" authorId="0" shapeId="0" xr:uid="{E8646057-AD3E-ED4F-B856-96B2577AE46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35" authorId="0" shapeId="0" xr:uid="{84D88E12-2D14-3E4D-8181-AD142E56704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6" authorId="0" shapeId="0" xr:uid="{66307622-EA34-4B75-917B-607F4516C37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6" authorId="0" shapeId="0" xr:uid="{B7251A26-F946-6B46-864B-0DDCD999C81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36" authorId="0" shapeId="0" xr:uid="{37D9A963-68EB-E44F-9858-638DCEED3FA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36" authorId="0" shapeId="0" xr:uid="{EC79DB35-6937-9E4A-876C-CB5BC3F1794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36" authorId="0" shapeId="0" xr:uid="{0E0291FA-0B0C-8C41-9299-AF95E482F75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36" authorId="0" shapeId="0" xr:uid="{5076EC6E-E437-7546-BBA5-EDC82501EE3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7" authorId="0" shapeId="0" xr:uid="{6FABE178-4820-4DC7-B524-37F1015D05B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7" authorId="0" shapeId="0" xr:uid="{0FEFFE95-EE3A-8D4F-8BD3-F023AA95693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37" authorId="0" shapeId="0" xr:uid="{C71BEFAB-F9A9-4346-B0FD-974D4A776AD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37" authorId="0" shapeId="0" xr:uid="{3FC277F4-6CC1-C249-B777-01BC7CA2548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37" authorId="0" shapeId="0" xr:uid="{DEE03BA3-D9A3-3048-9211-5781110B3BD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37" authorId="0" shapeId="0" xr:uid="{0C4A6E34-7CB7-E94C-B0CC-6B24651F5F1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8" authorId="0" shapeId="0" xr:uid="{65A76596-1A3D-4AC0-8DAE-D89987B3338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8" authorId="0" shapeId="0" xr:uid="{73020E6E-8AB1-CB47-A8B4-38B76D8ED30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38" authorId="0" shapeId="0" xr:uid="{FD72477A-7CE4-D948-8B57-77E4500238C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38" authorId="0" shapeId="0" xr:uid="{708D5E2D-84BD-C14A-945C-C2AF8A98216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38" authorId="0" shapeId="0" xr:uid="{7F8C0FFE-6F41-9748-A328-E9697F9B39C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38" authorId="0" shapeId="0" xr:uid="{0082C485-9B57-1547-8F57-B5998F9A3A3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9" authorId="0" shapeId="0" xr:uid="{3B5077B2-5802-4DFF-9DE1-34FF7681568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9" authorId="0" shapeId="0" xr:uid="{EE528D53-A8C7-934F-99E8-714256EF1FC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39" authorId="0" shapeId="0" xr:uid="{F0138D2B-8690-1447-9758-CBDA2A43F1B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39" authorId="0" shapeId="0" xr:uid="{B3D8F98C-18D3-DA48-8E51-CC12C1558B4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39" authorId="0" shapeId="0" xr:uid="{CC0DA97E-F3C4-6142-B3DE-CCF762765A5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39" authorId="0" shapeId="0" xr:uid="{6DEDAD6A-FCD3-004A-9B55-A72D9AD475F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0" authorId="0" shapeId="0" xr:uid="{06A41B1F-6CBF-49F1-BDA3-F3FDD8C63B1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0" authorId="0" shapeId="0" xr:uid="{78E88E73-BB56-5F40-9092-DAEF36DD5F0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40" authorId="0" shapeId="0" xr:uid="{68478AA5-3C48-FE42-BF04-8B6B6EE9956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40" authorId="0" shapeId="0" xr:uid="{65BB766C-DCE5-EE41-9E82-346E26E23F7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40" authorId="0" shapeId="0" xr:uid="{0E942C40-9A8E-8A46-98AD-5CEE26079EF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40" authorId="0" shapeId="0" xr:uid="{BBE18BD4-D67F-DF46-9B9B-3C52E81144F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1" authorId="0" shapeId="0" xr:uid="{76B1407B-AED0-4DB3-978E-BA8B2EE42F1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1" authorId="0" shapeId="0" xr:uid="{EC9AAE3D-7323-5B4D-A584-DC92A2302F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41" authorId="0" shapeId="0" xr:uid="{CF7A7E3D-6F49-344A-9DB9-F5B1148C24F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41" authorId="0" shapeId="0" xr:uid="{6B92F404-FA28-6B44-9789-2760A76F453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41" authorId="0" shapeId="0" xr:uid="{82C6843A-B263-8C4B-9005-935271E5E07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41" authorId="0" shapeId="0" xr:uid="{D5AF2475-575A-9142-9F30-803138C7D41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2" authorId="0" shapeId="0" xr:uid="{1E6B52D9-8186-432F-B460-CF5E2622194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2" authorId="0" shapeId="0" xr:uid="{C2BBEECD-3A90-AD48-9D93-94F3D22F647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42" authorId="0" shapeId="0" xr:uid="{62C7CAB5-7FDF-A94E-9959-7DF5F21A3E9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42" authorId="0" shapeId="0" xr:uid="{F7757FB1-B2CE-E447-932D-84D1AFF11BD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42" authorId="0" shapeId="0" xr:uid="{18AB4EF6-D9C1-494B-BF62-8587EAE00A2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42" authorId="0" shapeId="0" xr:uid="{E1A9164B-5873-CD4E-A66D-8BDD944A0D3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3" authorId="0" shapeId="0" xr:uid="{146D011B-C921-4F90-AC09-036EC1DD559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3" authorId="0" shapeId="0" xr:uid="{F1AFA9A8-36D5-2A4D-8651-48194FA0CFD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43" authorId="0" shapeId="0" xr:uid="{4A45AD53-1680-5D44-A67F-2BA2901E35A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43" authorId="0" shapeId="0" xr:uid="{1B7952FA-3574-A146-BA98-9AE284FC969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43" authorId="0" shapeId="0" xr:uid="{B976CD91-206D-8948-9512-2E083651756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43" authorId="0" shapeId="0" xr:uid="{D1FABCEA-F642-1C44-A58E-3D5F4054305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7" authorId="0" shapeId="0" xr:uid="{0DF21845-2865-40BD-A1FA-7B2B4EBECD1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47" authorId="0" shapeId="0" xr:uid="{0F1FE692-568C-EA4B-AAF9-13B2AD76AC7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47" authorId="0" shapeId="0" xr:uid="{6E94DB95-21AD-A440-8390-8DB0FA5C0BEA}">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47" authorId="0" shapeId="0" xr:uid="{FDD6BBF1-0B5B-5848-AD22-267DF7D97F3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47" authorId="0" shapeId="0" xr:uid="{EC2E1168-F7F6-944B-BD6B-178F345F5F80}">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47" authorId="0" shapeId="0" xr:uid="{189B549E-631A-4945-BAF2-827D68C88A8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8" authorId="0" shapeId="0" xr:uid="{1BB01772-6C46-4624-9669-C3AB88776A4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8" authorId="0" shapeId="0" xr:uid="{AFB9F2B1-0673-4B4B-A5D4-40B82A3EA3B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48" authorId="0" shapeId="0" xr:uid="{A7310DA4-4AEF-354F-84A7-1A38D6E5F36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48" authorId="0" shapeId="0" xr:uid="{0FBC53A9-00AF-D942-A5C9-EC382D215D4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48" authorId="0" shapeId="0" xr:uid="{8448204E-515D-F14D-BE15-DF5306825DA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48" authorId="0" shapeId="0" xr:uid="{89EBC739-3704-A84A-B136-EC190C9C0DA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9" authorId="0" shapeId="0" xr:uid="{F78C846C-C66E-46F2-ABDD-7B2CF7E619C2}">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49" authorId="0" shapeId="0" xr:uid="{E86A2669-A0AD-6546-B3F8-FECC4E1467A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49" authorId="0" shapeId="0" xr:uid="{E791B3F6-1A11-424A-B95C-CF43ECB15D8D}">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49" authorId="0" shapeId="0" xr:uid="{D1C982F1-3909-424A-8B6E-D6C4C619F3B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49" authorId="0" shapeId="0" xr:uid="{48C2AC5B-514C-9C48-BBF5-87617A3A704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49" authorId="0" shapeId="0" xr:uid="{3311A1DD-FCAB-764C-A23A-1E373419D02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0" authorId="0" shapeId="0" xr:uid="{4D85C11A-575E-4624-8DA0-4FD8D5731A2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0" authorId="0" shapeId="0" xr:uid="{819A1ADB-E47E-BD40-A2F7-215888C19C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50" authorId="0" shapeId="0" xr:uid="{7C0E06EA-0225-0742-A162-B7D7E7785EC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50" authorId="0" shapeId="0" xr:uid="{53C771A8-0D36-8240-B08D-31E3B329915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50" authorId="0" shapeId="0" xr:uid="{5D96DBDD-7393-9D45-8C0B-083F6DBA5C0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50" authorId="0" shapeId="0" xr:uid="{3C18F2CD-1C11-7942-9149-C9397D97B47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1" authorId="0" shapeId="0" xr:uid="{F7F65BF5-E3CD-4ED8-8BA2-644ABE561EF4}">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51" authorId="0" shapeId="0" xr:uid="{1B7CECF9-2C97-4A4D-9591-5246736DBE1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51" authorId="0" shapeId="0" xr:uid="{C56F756C-89DA-FF44-989A-21DAC5241FDE}">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51" authorId="0" shapeId="0" xr:uid="{533618B1-A77D-7045-B140-07F63084910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51" authorId="0" shapeId="0" xr:uid="{3D2418E1-239C-7F45-8A3C-3FD63911C62D}">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51" authorId="0" shapeId="0" xr:uid="{DE060E80-BBFD-B74C-9BCF-78FEEFA60B4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2" authorId="0" shapeId="0" xr:uid="{543E4000-C040-4727-804E-94BF8E9FA64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2" authorId="0" shapeId="0" xr:uid="{4322933C-B335-3E48-9254-5B485E64605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52" authorId="0" shapeId="0" xr:uid="{3C961C8C-433D-144C-9342-DDC64992DEC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52" authorId="0" shapeId="0" xr:uid="{83A66909-0D50-3F42-AACC-F72834F2F8D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52" authorId="0" shapeId="0" xr:uid="{00962E3E-67D9-8544-9475-FF22979BF70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52" authorId="0" shapeId="0" xr:uid="{40BA5680-0570-2743-B8E1-75BBAA936A0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6" authorId="0" shapeId="0" xr:uid="{98033C73-CE85-45DD-9BBF-54E24100B9B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6" authorId="0" shapeId="0" xr:uid="{C2316EC3-6709-1A4D-8F71-43564A63968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56" authorId="0" shapeId="0" xr:uid="{E9D4BF70-4C65-AE42-95E0-CE4B7AC8225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56" authorId="0" shapeId="0" xr:uid="{9B539759-E99A-BD4F-92FB-434F8AE88E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56" authorId="0" shapeId="0" xr:uid="{5E990A10-B28B-9948-B76F-089BD37FACD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56" authorId="0" shapeId="0" xr:uid="{ACBF97BE-C081-7A4C-992A-7D406ED8F63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7" authorId="0" shapeId="0" xr:uid="{E269FC3B-3A9E-458A-A132-693D67D2AE5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7" authorId="0" shapeId="0" xr:uid="{D313F46D-FF5D-6A45-8DDB-FFC012B1AD0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57" authorId="0" shapeId="0" xr:uid="{4A463646-C9F0-5F4E-A24F-0CFDA23DEF9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57" authorId="0" shapeId="0" xr:uid="{C28E003D-5E66-8E4B-9412-D1B696D281A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57" authorId="0" shapeId="0" xr:uid="{4C613EFC-EBAF-9048-BCD8-C7AD0509BF2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57" authorId="0" shapeId="0" xr:uid="{215F59C9-5D0F-9A4C-B7C4-9B3ADBCFE38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8" authorId="0" shapeId="0" xr:uid="{09E0D1E5-9CAE-45B7-992D-CBAAE9AD2E6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8" authorId="0" shapeId="0" xr:uid="{4B252C74-7250-C547-86F2-B5F1EFEAB64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58" authorId="0" shapeId="0" xr:uid="{B7513AC2-6D66-4D4A-8E5E-8F692BBA934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58" authorId="0" shapeId="0" xr:uid="{1FEDF795-2B27-9643-AA81-A3BFDF7B11F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58" authorId="0" shapeId="0" xr:uid="{354B71E3-F8AD-FF4F-BE0D-B5147583ABA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58" authorId="0" shapeId="0" xr:uid="{015FF06A-8F44-4E4C-914C-99E16FB069B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9" authorId="0" shapeId="0" xr:uid="{C671AEAD-ED26-49A1-A000-9F012831B1F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9" authorId="0" shapeId="0" xr:uid="{40614713-E42D-DF4C-825A-8DB2C4D55C7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59" authorId="0" shapeId="0" xr:uid="{D1C7DAC3-B025-0D48-9D03-6017D9C42A8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59" authorId="0" shapeId="0" xr:uid="{0AD3EA72-143E-E444-8591-C93D60B9629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59" authorId="0" shapeId="0" xr:uid="{202214E8-1541-644F-80A9-334A59C50E8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59" authorId="0" shapeId="0" xr:uid="{2549FFD8-CC7E-7E46-BF1B-0E241D5CBE5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0" authorId="0" shapeId="0" xr:uid="{5CB15862-B063-4995-ADC2-63FF35DFDCF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0" authorId="0" shapeId="0" xr:uid="{A34C8B08-60FA-5247-A2F2-94A750F3D08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60" authorId="0" shapeId="0" xr:uid="{8BBDDD24-20FC-7245-B946-1A75F993B21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60" authorId="0" shapeId="0" xr:uid="{E6283159-FCA0-0A44-9982-88F6B40F0B9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60" authorId="0" shapeId="0" xr:uid="{5731AA56-4657-FA49-8115-CA7A1479718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60" authorId="0" shapeId="0" xr:uid="{95470722-492A-7642-94F5-C5D92EF4CC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1" authorId="0" shapeId="0" xr:uid="{A0454BE7-3DD1-4845-A287-680FC039B4B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1" authorId="0" shapeId="0" xr:uid="{1F50AEEA-D9F4-FA42-98E0-A6484C1A6F4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61" authorId="0" shapeId="0" xr:uid="{EE7079F5-0D19-BF4A-982F-C86B49A94FD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61" authorId="0" shapeId="0" xr:uid="{7F5B684F-BD5E-9E40-A31B-D6B5FA4EF07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61" authorId="0" shapeId="0" xr:uid="{73BB15E4-20D9-FF4A-9BFD-10C2DDF9678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61" authorId="0" shapeId="0" xr:uid="{83A211B5-18C3-6C46-89D9-256BFC79BBC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2" authorId="0" shapeId="0" xr:uid="{D12A2008-8684-4ADA-9775-4264A1B9195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2" authorId="0" shapeId="0" xr:uid="{28C004A9-671F-3542-AD44-DE7DF06BD97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62" authorId="0" shapeId="0" xr:uid="{287262C1-4A72-034D-A1B7-DE7074898A0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62" authorId="0" shapeId="0" xr:uid="{BD57B554-03DE-0246-BC74-211E0F5C1AC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62" authorId="0" shapeId="0" xr:uid="{711A6322-A80D-5448-B61B-A3BF8132EB7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62" authorId="0" shapeId="0" xr:uid="{F2E51C49-51AE-FF4F-8528-C2BCA658487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6" authorId="0" shapeId="0" xr:uid="{9EBC31E0-AE58-4282-A7D7-1B364839D12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66" authorId="0" shapeId="0" xr:uid="{64CD16FD-E9D3-D14F-B5F4-E952FD0E464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66" authorId="0" shapeId="0" xr:uid="{90415726-8276-8648-959A-0DF89BDA3B3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66" authorId="0" shapeId="0" xr:uid="{9D6BEDC6-40F5-3A4C-978A-E1ABB580EC6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66" authorId="0" shapeId="0" xr:uid="{F4593B9C-0AC6-A54F-B6FD-03E70414B533}">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66" authorId="0" shapeId="0" xr:uid="{67E9B719-49C8-824D-B4E4-130DB843F72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7" authorId="0" shapeId="0" xr:uid="{50E6BE00-BEEE-4A8C-BCF5-A0C8E4BB58C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67" authorId="0" shapeId="0" xr:uid="{CD3AAB21-DF3D-724C-B0C3-15680D5C88D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67" authorId="0" shapeId="0" xr:uid="{435D4B72-45EF-4340-AAFC-A228876860E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67" authorId="0" shapeId="0" xr:uid="{E23630F1-AED0-C941-978D-508627BF6AF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67" authorId="0" shapeId="0" xr:uid="{90BB4B47-739E-0040-A209-7308DFE47F3D}">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67" authorId="0" shapeId="0" xr:uid="{6386A3A6-C8C8-F542-81B9-43DEEDC6A49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8" authorId="0" shapeId="0" xr:uid="{B7233F3B-C980-4329-A50C-9B57723CA30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8" authorId="0" shapeId="0" xr:uid="{211DC2DA-4560-AA4A-A8B5-BB0C5F466A2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68" authorId="0" shapeId="0" xr:uid="{B9E46031-C0F7-E243-9B95-1F4547671EA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68" authorId="0" shapeId="0" xr:uid="{4A4C6AFE-E4E4-4A48-8C07-9CB9877FE58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68" authorId="0" shapeId="0" xr:uid="{2E8F983D-3E58-2D46-A57D-EB98D6DEE03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68" authorId="0" shapeId="0" xr:uid="{861C67A8-6170-524E-AB51-1933F02731C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9" authorId="0" shapeId="0" xr:uid="{28851734-EF66-4F73-8E6E-3BC8AB9DEA4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69" authorId="0" shapeId="0" xr:uid="{C27401C1-403C-E341-A0E5-584047558CB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69" authorId="0" shapeId="0" xr:uid="{5CE6F9F7-DE0A-E744-9B85-5A66F8EFB013}">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69" authorId="0" shapeId="0" xr:uid="{2201B81A-D33F-0443-A19F-D3033B31C88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69" authorId="0" shapeId="0" xr:uid="{25BFC254-1C69-7B42-8735-1023CEE20B6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69" authorId="0" shapeId="0" xr:uid="{2C24E004-035B-D54C-8C38-B85A1856A52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0" authorId="0" shapeId="0" xr:uid="{75691F32-D765-4CB9-99D9-A4E6E801F6D9}">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70" authorId="0" shapeId="0" xr:uid="{2DE724DD-6F14-2349-B2CC-5D7A57B974B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70" authorId="0" shapeId="0" xr:uid="{2AF9159F-3B22-C741-83FE-BD987D5B63F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70" authorId="0" shapeId="0" xr:uid="{65F2440B-1C98-074C-B52F-ED6D3F5E7D2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70" authorId="0" shapeId="0" xr:uid="{BD725D46-5198-D84F-85F7-9254310CC1CB}">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70" authorId="0" shapeId="0" xr:uid="{5F7488D5-550F-1F43-AC67-32993C4E459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1" authorId="0" shapeId="0" xr:uid="{09CFF6C5-5805-48AE-A500-17DE0BD972C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1" authorId="0" shapeId="0" xr:uid="{7CC10F38-F3A3-624D-9E44-37BD0F2C51C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71" authorId="0" shapeId="0" xr:uid="{BAEE0977-3D9A-DB45-861C-415214DBC94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71" authorId="0" shapeId="0" xr:uid="{9D743A1B-FBCA-E048-9ECE-05D4ED3FBCA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71" authorId="0" shapeId="0" xr:uid="{1CEE2226-222D-B944-BA64-993A1D6782D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71" authorId="0" shapeId="0" xr:uid="{B29B04FD-7CF6-5143-8110-1C032721EE1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2" authorId="0" shapeId="0" xr:uid="{A6E53075-2E05-4A9F-9546-D425C1DAAE4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72" authorId="0" shapeId="0" xr:uid="{5812311D-D3E5-9B4F-A4F7-E24F2E0720B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72" authorId="0" shapeId="0" xr:uid="{A040C888-2FEC-E245-A995-488434DA7A3D}">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72" authorId="0" shapeId="0" xr:uid="{11569DCD-7367-614F-9936-43C11031E5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72" authorId="0" shapeId="0" xr:uid="{A0E333EF-FAA7-974D-B31E-5BE89C7A4E0E}">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72" authorId="0" shapeId="0" xr:uid="{6D295B2E-8D8E-D041-B0CD-4296AC3A035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3" authorId="0" shapeId="0" xr:uid="{B2EDBC33-4A0C-454E-925C-D6DEBFACED9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73" authorId="0" shapeId="0" xr:uid="{83B41646-98DA-8449-9C86-8AA6299DB61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73" authorId="0" shapeId="0" xr:uid="{A9F1B39C-F0F1-8C48-B351-E9175462A63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73" authorId="0" shapeId="0" xr:uid="{F7E7AD19-ECBE-8447-8A1C-2560D450F05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73" authorId="0" shapeId="0" xr:uid="{FA3668EC-37A4-1B4E-A61C-E2EE63E77059}">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73" authorId="0" shapeId="0" xr:uid="{E41AD2C1-80AE-294A-A5B8-CD9A7F9A4C9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4" authorId="0" shapeId="0" xr:uid="{E82A34D7-5BF5-4B98-BEE0-A6E116E31A0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4" authorId="0" shapeId="0" xr:uid="{970781F9-F463-384F-9C92-75584341ECB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74" authorId="0" shapeId="0" xr:uid="{D0AD7099-37AB-9E4F-B6F9-52FD780931D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74" authorId="0" shapeId="0" xr:uid="{2D40210F-FC08-FD42-A800-7E1EDB2309A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74" authorId="0" shapeId="0" xr:uid="{78720872-8AD8-274C-951B-54F2450C043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74" authorId="0" shapeId="0" xr:uid="{FE0EFDBF-ADC2-F345-8FE0-74820E1FD08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82" authorId="0" shapeId="0" xr:uid="{03749C38-2537-4DFE-89DB-0D6DC2265B5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83" authorId="0" shapeId="0" xr:uid="{5FBFB162-5A62-4979-A37D-A96482C259D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99" authorId="0" shapeId="0" xr:uid="{7C600135-FA17-47A0-A7D6-E0E3D5A4BB4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99" authorId="0" shapeId="0" xr:uid="{9D40387B-86ED-9043-AE6F-40BDEC7A05B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99" authorId="0" shapeId="0" xr:uid="{AB5E84C3-4A81-7C4A-B667-2087EBED4CDE}">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99" authorId="0" shapeId="0" xr:uid="{DE795752-BB42-7B42-ACDA-612A4B6D473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99" authorId="0" shapeId="0" xr:uid="{1C79B4B9-8141-E747-8B2E-DE0F5F7B64D5}">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99" authorId="0" shapeId="0" xr:uid="{75CC1B1F-1BFC-8744-9573-E96295B9605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00" authorId="0" shapeId="0" xr:uid="{5E63E95E-8D22-544D-8C66-E2D5D308FCB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00" authorId="0" shapeId="0" xr:uid="{374F86A7-D41A-4149-BECD-57038929D14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N100" authorId="0" shapeId="0" xr:uid="{939B7189-8F36-1449-AF3F-294F1EDB714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1" authorId="0" shapeId="0" xr:uid="{25DE8BD4-5E25-4AE7-8365-8285B2C5EF1B}">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101" authorId="0" shapeId="0" xr:uid="{9C74370F-4F0E-3C4A-8DA9-B70C0F58D84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1" authorId="0" shapeId="0" xr:uid="{422ACD01-53E3-9D4E-B7E2-995B18B4B823}">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101" authorId="0" shapeId="0" xr:uid="{8C3FD779-195A-B745-8765-52F35A8694F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1" authorId="0" shapeId="0" xr:uid="{A080544D-7BDD-4348-AF15-3753756051F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101" authorId="0" shapeId="0" xr:uid="{0A3E3102-A67E-E243-82A9-A8431ED9C48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2" authorId="0" shapeId="0" xr:uid="{4ED82112-3FC6-4E1B-9810-9621A8C3BD7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2" authorId="0" shapeId="0" xr:uid="{D6C07592-D04E-CF4F-AAE1-A2A0AB77B50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2" authorId="0" shapeId="0" xr:uid="{A2EA3DB2-B9C3-9040-B448-F48A9ABDEC7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02" authorId="0" shapeId="0" xr:uid="{7E910F73-D17C-8747-BB0C-56B0BADB6F0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2" authorId="0" shapeId="0" xr:uid="{6F7290CA-B680-DF4C-893D-91827829E38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02" authorId="0" shapeId="0" xr:uid="{B8EA7BA2-F65F-0843-B107-81AA87E27E3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3" authorId="0" shapeId="0" xr:uid="{C5E84BD3-D24B-49BD-98AC-4035ED13DAA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3" authorId="0" shapeId="0" xr:uid="{64B45A1A-8B09-614C-A16B-90B306BF34F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3" authorId="0" shapeId="0" xr:uid="{6116B3EC-F02B-1C4F-9ABB-573DF9D88E3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03" authorId="0" shapeId="0" xr:uid="{671363A0-F4FC-F442-AF7D-86EB228E90B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3" authorId="0" shapeId="0" xr:uid="{2727C9EE-D704-6B45-ACB1-C71B0E7F048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03" authorId="0" shapeId="0" xr:uid="{F4050477-2D85-8741-B113-544FBF5732F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4" authorId="0" shapeId="0" xr:uid="{AA55B03E-0406-4D6A-96BC-A6A2E517EED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4" authorId="0" shapeId="0" xr:uid="{A11B20E9-2F0A-374B-9C6F-C4EB3C7F5E6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4" authorId="0" shapeId="0" xr:uid="{5FA42FFC-17F5-CA49-ABA8-4A34825B89F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04" authorId="0" shapeId="0" xr:uid="{E1A88CB7-6D9C-DA4B-AB95-BAF18477723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4" authorId="0" shapeId="0" xr:uid="{A6B2A558-22B8-3349-8D9A-C48B546CB15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04" authorId="0" shapeId="0" xr:uid="{8EA1FD01-F2D2-914F-B5F8-0DAAD0AD5EC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5" authorId="0" shapeId="0" xr:uid="{1EA5E046-717D-4E34-86C0-146F868AB97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5" authorId="0" shapeId="0" xr:uid="{146E053A-08AE-A248-A1FA-C12DA86E5B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5" authorId="0" shapeId="0" xr:uid="{03266B3F-3453-0C42-A489-737BE1103E7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05" authorId="0" shapeId="0" xr:uid="{ED613CFA-5C70-C245-83BD-52E51DCABFA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5" authorId="0" shapeId="0" xr:uid="{3D4B1E91-46BD-B741-9578-76CF2CA6F24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05" authorId="0" shapeId="0" xr:uid="{AD440CFF-203F-0A48-BE69-D5603F4473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6" authorId="0" shapeId="0" xr:uid="{08FC1A5B-1E1D-4986-934C-91F7FB8EBE64}">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06" authorId="0" shapeId="0" xr:uid="{E13DFF12-E0A9-DF46-8FC7-4A300AC5097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6" authorId="0" shapeId="0" xr:uid="{5EBDA4D6-9C7F-CD44-B067-FF30D55D3C72}">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06" authorId="0" shapeId="0" xr:uid="{ED191B79-9977-AC48-9433-DD80A30A8C2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6" authorId="0" shapeId="0" xr:uid="{D6875F3E-796B-8047-ABB1-685CAE991630}">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06" authorId="0" shapeId="0" xr:uid="{A5326DFF-44F6-714B-9676-C3EC79C1970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07" authorId="0" shapeId="0" xr:uid="{1D748873-8603-F04A-AD57-6D7042F14BF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07" authorId="0" shapeId="0" xr:uid="{6358985F-38AF-D04F-B361-7FF87A64F43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N107" authorId="0" shapeId="0" xr:uid="{C9182836-7FAF-C242-A251-B3183C740D0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8" authorId="0" shapeId="0" xr:uid="{60C71340-B7CB-48DA-9BD9-4851228A83F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108" authorId="0" shapeId="0" xr:uid="{A9C1C040-DBF6-AC42-9775-EDFDB61862C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8" authorId="0" shapeId="0" xr:uid="{BB8CE910-603D-2546-B60B-2FCB8BE5C6C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108" authorId="0" shapeId="0" xr:uid="{ADBA5126-C5B7-DD49-B21F-3D42129DC36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8" authorId="0" shapeId="0" xr:uid="{6FD7C9D5-EB75-B74E-A3CA-E17ED2CB32E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108" authorId="0" shapeId="0" xr:uid="{1BA503FF-AF25-6346-8D3B-A9DA2BCFD1B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9" authorId="0" shapeId="0" xr:uid="{049FB951-D8A8-427B-9EE1-478270F28CC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9" authorId="0" shapeId="0" xr:uid="{35EEF6A0-ED8D-2F49-9DC4-EE1AD700168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09" authorId="0" shapeId="0" xr:uid="{21B56D57-6849-5C4A-8132-CFF8ED78D3A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09" authorId="0" shapeId="0" xr:uid="{CCA9ECB5-BE2E-6D4D-8207-C12E8A9FC10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09" authorId="0" shapeId="0" xr:uid="{CEDEA0CB-CE23-A94D-B9B2-5FC00FEBC69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09" authorId="0" shapeId="0" xr:uid="{C83A11A4-49A7-FA44-B77A-ECA06979A98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0" authorId="0" shapeId="0" xr:uid="{A8300881-F649-449E-BD78-82B1120EAF3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0" authorId="0" shapeId="0" xr:uid="{91B76071-C65D-DB4B-AD22-05E3B9ECAB4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0" authorId="0" shapeId="0" xr:uid="{F587EFB8-32F9-8844-AB23-FB24761F89A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10" authorId="0" shapeId="0" xr:uid="{272BF00B-08F4-354B-91D2-CFF7AD03126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0" authorId="0" shapeId="0" xr:uid="{22C78446-1D32-094A-898B-5EC3F890E31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10" authorId="0" shapeId="0" xr:uid="{887B590B-D568-6541-A641-B27A0E30A0A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1" authorId="0" shapeId="0" xr:uid="{FC7A022D-10AB-4D78-852D-0BFA06A8010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1" authorId="0" shapeId="0" xr:uid="{987C191E-8467-734B-962F-A43C8F65E8C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1" authorId="0" shapeId="0" xr:uid="{329D6E54-2B99-294C-935C-6FFF967E36E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11" authorId="0" shapeId="0" xr:uid="{FFE8D2A6-5EBD-B546-B994-F9CDCEB2A3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1" authorId="0" shapeId="0" xr:uid="{A2549390-B493-F54C-9658-5AE0AE8F4AE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11" authorId="0" shapeId="0" xr:uid="{7C9BFFCE-894A-B245-8BB0-B485BEF19F4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2" authorId="0" shapeId="0" xr:uid="{281A683C-2164-44FC-83C1-11DD26A512E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2" authorId="0" shapeId="0" xr:uid="{BE17FA01-E3A2-9F41-B2E4-86B8EBBDCD2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2" authorId="0" shapeId="0" xr:uid="{E58D2B08-1441-524A-A18F-6DE1F8476B2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12" authorId="0" shapeId="0" xr:uid="{D56713DA-0D79-8A4A-9F7F-0FB714E8E7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2" authorId="0" shapeId="0" xr:uid="{2D32B509-E533-374A-9EB1-6244D7277EA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12" authorId="0" shapeId="0" xr:uid="{30087DBC-9A6B-D142-896F-E9EF371FEB3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3" authorId="0" shapeId="0" xr:uid="{3CF70C1B-088C-EA4A-9FFD-A20C022DFD1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3" authorId="0" shapeId="0" xr:uid="{F60F21F0-7C7B-6F4F-93D7-FBA81CBBCB4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13" authorId="0" shapeId="0" xr:uid="{6778C5A7-77BA-8F4A-8BA2-95F5776B78D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3" authorId="0" shapeId="0" xr:uid="{A361A8F2-0F23-0148-9361-52A9146CC4D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13" authorId="0" shapeId="0" xr:uid="{D0C40633-35AE-0344-8046-000FC8B1FD1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4" authorId="0" shapeId="0" xr:uid="{CD20D737-F101-DD40-A859-3C9BCCA6995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14" authorId="0" shapeId="0" xr:uid="{8BAD9641-821A-354D-A522-3CB6AC3B07F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N114" authorId="0" shapeId="0" xr:uid="{F0E0EF9F-FCC6-7545-8BF3-42A8D7CD621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5" authorId="0" shapeId="0" xr:uid="{838EE3A2-5A5B-BF45-A13D-ED0DD24BF7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5" authorId="0" shapeId="0" xr:uid="{F5114E9A-0E4A-5943-BC0B-7E904A853DE4}">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115" authorId="0" shapeId="0" xr:uid="{3938400A-6AFF-1041-88C0-F4E414A0269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5" authorId="0" shapeId="0" xr:uid="{CC53D84C-1832-EA4E-A71A-C7C9689FF01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115" authorId="0" shapeId="0" xr:uid="{5A43EC33-E512-994C-8F35-03232F8B88A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6" authorId="0" shapeId="0" xr:uid="{6197D4DC-6522-4235-86FD-9B3D2FB7928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6" authorId="0" shapeId="0" xr:uid="{9BB44B67-939A-E141-A438-5BEBD0161EF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16" authorId="0" shapeId="0" xr:uid="{453DC42F-4E8F-9F45-BD9F-AB41612B672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6" authorId="0" shapeId="0" xr:uid="{804285FE-F441-9741-8329-5E48ED505F8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16" authorId="0" shapeId="0" xr:uid="{D3E7318A-1EB5-0244-9E65-84CDAA08057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7" authorId="0" shapeId="0" xr:uid="{DE92CA16-973F-C44E-B5FD-9795C3C0B0A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7" authorId="0" shapeId="0" xr:uid="{1CD5664D-553E-4B40-B59D-AF3352FD2C0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17" authorId="0" shapeId="0" xr:uid="{74D9EB4E-A8FE-B44F-8FAD-6CD83FCE05A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7" authorId="0" shapeId="0" xr:uid="{E1805000-F46E-6A4F-89D1-7A7A2661EE1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17" authorId="0" shapeId="0" xr:uid="{C42F2287-4A4A-4F42-B0A6-99DC9120764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8" authorId="0" shapeId="0" xr:uid="{A565A979-B563-3E4B-ADCF-EDA8F0AB38C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8" authorId="0" shapeId="0" xr:uid="{5BB713E8-79C7-2B41-9092-5C3CB76286C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18" authorId="0" shapeId="0" xr:uid="{6D05D6DF-7055-5D4F-9A5B-231F462F872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8" authorId="0" shapeId="0" xr:uid="{823FC25A-563E-604B-9452-5A32B9A617F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18" authorId="0" shapeId="0" xr:uid="{236D649B-7770-4740-B3CF-BE771A92039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9" authorId="0" shapeId="0" xr:uid="{36CB1122-F649-9A41-BE71-DF8A214660D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19" authorId="0" shapeId="0" xr:uid="{DD6A7352-5053-024E-83B5-1FB51089C54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19" authorId="0" shapeId="0" xr:uid="{BE34533D-3B12-864D-A098-B5D462AEC8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19" authorId="0" shapeId="0" xr:uid="{B36E9DE2-9548-C146-9C5D-D335415CD87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19" authorId="0" shapeId="0" xr:uid="{063848C6-AA6E-554E-AB01-B618D59C3D8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20" authorId="0" shapeId="0" xr:uid="{395E0C14-28E0-4BFB-BFB8-357FD703671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21" authorId="0" shapeId="0" xr:uid="{CD580E54-3097-4BB6-8143-9CD479DC26F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22" authorId="0" shapeId="0" xr:uid="{ED3C556C-D579-48FA-B264-23A1D3F3F83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23" authorId="0" shapeId="0" xr:uid="{ED49F129-C4E8-49EA-A7FE-23AF7A99BD9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24" authorId="0" shapeId="0" xr:uid="{8D708C1D-9BD1-4ECD-99A1-F75238EBB20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25" authorId="0" shapeId="0" xr:uid="{5654F76C-34FE-4DD0-9752-5E57AB6D3CB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26" authorId="0" shapeId="0" xr:uid="{894E43F0-081D-420B-9901-C555E16C18A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27" authorId="0" shapeId="0" xr:uid="{6DFAF99C-09C2-4B95-9460-6C7F0EA87D4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27" authorId="0" shapeId="0" xr:uid="{D7E22201-00D6-43F3-89AE-8CD6CA33CDD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28" authorId="0" shapeId="0" xr:uid="{29DC1092-5BB0-4A2E-A6BE-63EEDDD3767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29" authorId="0" shapeId="0" xr:uid="{557279ED-44E0-4BA5-B0E1-80CAD303038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129" authorId="0" shapeId="0" xr:uid="{24211751-C564-489A-AF26-3E063357549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30" authorId="0" shapeId="0" xr:uid="{F4BD5E3B-9EC0-4295-BE6D-F4EBADB3E4E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30" authorId="0" shapeId="0" xr:uid="{F1EB67CE-36FD-4DDC-9FBF-EA16CF4552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31" authorId="0" shapeId="0" xr:uid="{95812747-635F-44B2-A017-A1651B9DF79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31" authorId="0" shapeId="0" xr:uid="{BA3CBC1E-388E-4E68-8686-24D95198BFA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32" authorId="0" shapeId="0" xr:uid="{4C2EC610-D985-4F45-BF55-1572F75063F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32" authorId="0" shapeId="0" xr:uid="{7FB94D78-4F57-46B3-90BC-8D128E1993E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33" authorId="0" shapeId="0" xr:uid="{8463540E-E574-446F-83D8-4F281F044DE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33" authorId="0" shapeId="0" xr:uid="{417665E2-6738-48C1-B41C-F3D19ED9568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37" authorId="0" shapeId="0" xr:uid="{9E7F4738-490F-4B8E-B4D5-8C0706482E9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8" authorId="0" shapeId="0" xr:uid="{6238E7B3-B359-4389-9B96-8AE497006F0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9" authorId="0" shapeId="0" xr:uid="{D89B6637-52B9-46C9-BA29-07ADB336FE5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40" authorId="0" shapeId="0" xr:uid="{BD8E6F23-24D0-4685-8CDD-95653FD848A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72" authorId="0" shapeId="0" xr:uid="{3D433C53-9B1D-4F47-9CDF-7DAD825EC08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72" authorId="0" shapeId="0" xr:uid="{FD871C70-D8FC-BC48-B265-688E334A288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72" authorId="0" shapeId="0" xr:uid="{BF5C5768-D40E-B046-A243-36E810881CD2}">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72" authorId="0" shapeId="0" xr:uid="{D7E149D0-AD6B-8E47-86B6-FD04B8FBB41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72" authorId="0" shapeId="0" xr:uid="{980BB51C-C92C-4E44-9D40-0EA3356B14F0}">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72" authorId="0" shapeId="0" xr:uid="{C27DFECD-B0DD-BF47-84B4-B57AE361C2E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3" authorId="0" shapeId="0" xr:uid="{3507B52D-EBA1-3344-BD52-E59F432D07A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3" authorId="0" shapeId="0" xr:uid="{012BA942-230E-1D4A-8242-05113DEF9E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73" authorId="0" shapeId="0" xr:uid="{0E80C113-FB66-794F-91DE-4E9CF36BF6E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73" authorId="0" shapeId="0" xr:uid="{62F9C209-EBD0-764C-BDC2-B19BBA61A8F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73" authorId="0" shapeId="0" xr:uid="{ABFC8B6A-4B45-4243-82D4-7043523074A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73" authorId="0" shapeId="0" xr:uid="{0B7F3D0B-11C4-1442-9180-2950E6804FD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4" authorId="0" shapeId="0" xr:uid="{4631C57F-CDCE-2B4D-B70A-79CF9FC001E5}">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74" authorId="0" shapeId="0" xr:uid="{F569A2CC-5AE7-4F4A-83C3-D1CFC0096E4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74" authorId="0" shapeId="0" xr:uid="{8CD73592-4E61-B842-8F88-1D3E65063F9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74" authorId="0" shapeId="0" xr:uid="{AB6735D9-8849-854A-9EB4-1D9D82A3E17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74" authorId="0" shapeId="0" xr:uid="{B5834C67-730F-D146-A521-8F718B70E54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74" authorId="0" shapeId="0" xr:uid="{9764446A-FB05-D44D-AFAF-F4D7038AD32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5" authorId="0" shapeId="0" xr:uid="{93D0A209-1003-5140-B7BD-E3783E363A5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5" authorId="0" shapeId="0" xr:uid="{A690C2B2-8770-D741-9CE4-00F32A7AAD9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75" authorId="0" shapeId="0" xr:uid="{C24366DB-C901-A24E-87DA-F0239C648C0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75" authorId="0" shapeId="0" xr:uid="{822B7BDD-BD84-844F-97FD-E2A3D9D4C39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75" authorId="0" shapeId="0" xr:uid="{E1E6C24E-D317-AF49-A9BB-579CAE8CD47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75" authorId="0" shapeId="0" xr:uid="{CD7EB0CA-6D6E-B24A-BBE5-FB77C4B564C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6" authorId="0" shapeId="0" xr:uid="{D6785440-AA4C-AB49-94BB-44406C9F82E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76" authorId="0" shapeId="0" xr:uid="{6793CD2C-14B8-C542-8BF8-3C6D3175735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76" authorId="0" shapeId="0" xr:uid="{A17987DE-6F2B-244F-9201-1EA951952A3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76" authorId="0" shapeId="0" xr:uid="{2949766E-8EBE-304C-B0E6-53296466FF4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76" authorId="0" shapeId="0" xr:uid="{45AF27BC-724F-BD44-8315-BDB834B0A67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76" authorId="0" shapeId="0" xr:uid="{C596FC10-66D5-CD4C-B181-01428FD665F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7" authorId="0" shapeId="0" xr:uid="{4FACF7CF-5D81-8344-80A1-CCBEA047EAD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7" authorId="0" shapeId="0" xr:uid="{92C9550F-3744-0348-A863-5DDA1966AA4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77" authorId="0" shapeId="0" xr:uid="{3BEDE4FE-22B0-EA46-9515-0CA89BB55E5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77" authorId="0" shapeId="0" xr:uid="{B1624406-DA47-0B46-8D59-8CAC1821EB1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77" authorId="0" shapeId="0" xr:uid="{2F39181A-53B4-0E4B-9EF9-516218C5C7E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77" authorId="0" shapeId="0" xr:uid="{BC0B5B81-E2E4-2143-A22A-7901BF9F88D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8" authorId="0" shapeId="0" xr:uid="{41EFCD00-6490-4135-8278-DA488F3317DE}">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78" authorId="0" shapeId="0" xr:uid="{95ED583B-6EE8-4997-AA3D-89E1ABE286E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9" authorId="0" shapeId="0" xr:uid="{F2D9A3A6-6094-425E-B009-F5A0AEE4667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9" authorId="0" shapeId="0" xr:uid="{296D50AE-1DC9-47A2-B97C-C83B127DD46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0" authorId="0" shapeId="0" xr:uid="{243EAE72-C7F9-4BBF-A720-A93CCEC2289C}">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80" authorId="0" shapeId="0" xr:uid="{160E75B6-C68F-4577-B381-25DC0021599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1" authorId="0" shapeId="0" xr:uid="{E534B4BB-68CB-45E7-A899-2F6DC1935C8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81" authorId="0" shapeId="0" xr:uid="{D5CE4367-B3BB-4CB8-B76F-212F7E08D68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5" authorId="0" shapeId="0" xr:uid="{AD1B3F45-00F7-B441-8E80-0BF6C9943824}">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85" authorId="0" shapeId="0" xr:uid="{78B0A924-4450-204E-AAC2-AAA4BF122AD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85" authorId="0" shapeId="0" xr:uid="{D4A84C8B-06AE-6B43-85D4-76AA7A12B26A}">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85" authorId="0" shapeId="0" xr:uid="{25491C97-FBC1-FC4F-ADC7-5EAFDEA7049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85" authorId="0" shapeId="0" xr:uid="{A118E1BA-F182-DF44-9BE1-C345CC9AED0A}">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85" authorId="0" shapeId="0" xr:uid="{BFE889AB-F89B-274A-9C4B-B0533C8FA24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6" authorId="0" shapeId="0" xr:uid="{F22C6A29-56E1-AC44-8469-80183CDD1A7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86" authorId="0" shapeId="0" xr:uid="{85C0A30D-7B0B-F64A-A639-9A7AA1B6B3D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86" authorId="0" shapeId="0" xr:uid="{0E1BD474-D714-A940-A94D-DE2901E6BAE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86" authorId="0" shapeId="0" xr:uid="{AD6A3395-10A4-5647-94B6-ED03227158B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86" authorId="0" shapeId="0" xr:uid="{ED54D619-2AB0-C14C-AC32-F016E0B01C4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86" authorId="0" shapeId="0" xr:uid="{BFA80E5D-8FE4-FB48-9813-3E7751BB0FC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7" authorId="0" shapeId="0" xr:uid="{E56EAE65-D8DE-4DC6-AB9A-74BF132E3EAC}">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87" authorId="0" shapeId="0" xr:uid="{164D2245-A8B4-4B39-A314-D69EC843B11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87" authorId="0" shapeId="0" xr:uid="{6E92E5B1-6ED4-4525-8834-80BAE0F8A852}">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87" authorId="0" shapeId="0" xr:uid="{2C7AFB2E-1EDC-4C73-88D8-E9F0807ADFF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87" authorId="0" shapeId="0" xr:uid="{1FCC0C10-70A2-48FD-AA7F-05EF0AFE269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87" authorId="0" shapeId="0" xr:uid="{58AD5C98-A459-464F-B29E-FD46A792DE6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8" authorId="0" shapeId="0" xr:uid="{08B3867F-8CB2-4D02-85E2-AD8A0EF9682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88" authorId="0" shapeId="0" xr:uid="{31CF94DB-217F-4B4B-9F7C-896768689C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88" authorId="0" shapeId="0" xr:uid="{BA2617E7-41A2-45B2-BD91-B872142A29A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88" authorId="0" shapeId="0" xr:uid="{B166E315-A85E-44B1-B99B-F53903EB74D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88" authorId="0" shapeId="0" xr:uid="{EFAD5225-F227-441D-AD25-D57AA956408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88" authorId="0" shapeId="0" xr:uid="{F8687783-FFF3-4F5B-88D2-705481CDA2D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9" authorId="0" shapeId="0" xr:uid="{82734694-001D-4704-9FE3-EBB0AAE6972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89" authorId="0" shapeId="0" xr:uid="{9C0F386D-AE0C-4826-A184-9F504F76769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89" authorId="0" shapeId="0" xr:uid="{5D109798-8D54-42B8-96E9-44AC137367D0}">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K189" authorId="0" shapeId="0" xr:uid="{164F92CE-E215-41FE-9226-E620A3F0850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89" authorId="0" shapeId="0" xr:uid="{3BDCCF04-9CDD-4E59-9C66-A2DB8A62F165}">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N189" authorId="0" shapeId="0" xr:uid="{7F261FC3-6976-4FAB-BF8B-9C7ED0A6C32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0" authorId="0" shapeId="0" xr:uid="{894E221B-09D0-4494-88E8-B3CBE0F1257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0" authorId="0" shapeId="0" xr:uid="{9B283626-507C-415B-B791-769444A3C51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90" authorId="0" shapeId="0" xr:uid="{BD2DD865-24B4-43D3-813F-F96067E1E7D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90" authorId="0" shapeId="0" xr:uid="{3D9DA280-8E84-4667-A77A-4B3EB4ECA97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90" authorId="0" shapeId="0" xr:uid="{B7EBCE8D-4671-4EDA-9E37-46134E0D1E2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90" authorId="0" shapeId="0" xr:uid="{8383E9E5-85A3-460C-AD06-67CBA675D5F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4" authorId="0" shapeId="0" xr:uid="{9F01E33C-A456-4C8E-AB2B-56FC42961EC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4" authorId="0" shapeId="0" xr:uid="{4E70CE44-D434-1241-A686-499444F715C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94" authorId="0" shapeId="0" xr:uid="{6B68E4F8-5E1F-6644-8244-1A0A361C8E9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94" authorId="0" shapeId="0" xr:uid="{214C125C-4BD0-3F4F-8F35-D7F1A5E9F7A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94" authorId="0" shapeId="0" xr:uid="{6CD0BBAE-CD2C-5940-919C-1E824F7E3AA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94" authorId="0" shapeId="0" xr:uid="{A84644E9-46F9-B648-8511-B8E9A194470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5" authorId="0" shapeId="0" xr:uid="{757490F7-DC47-4555-ACC8-BC4CDB7D0C9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5" authorId="0" shapeId="0" xr:uid="{E407E1C2-D4F5-E043-A4C9-E085062F10A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95" authorId="0" shapeId="0" xr:uid="{89CE9B51-76A9-D44E-AF80-E44B7E94C9C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95" authorId="0" shapeId="0" xr:uid="{00E51A2F-B984-D742-83E6-A189D5113FF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95" authorId="0" shapeId="0" xr:uid="{58723129-2939-E440-873A-530A0BA6BD4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95" authorId="0" shapeId="0" xr:uid="{7BBA15A8-D848-B242-B2AF-2F06119B4B4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6" authorId="0" shapeId="0" xr:uid="{FA985C86-A203-477D-9579-9C520AF0AEB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6" authorId="0" shapeId="0" xr:uid="{05225858-4D02-F449-89CB-D3C6502BE4C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96" authorId="0" shapeId="0" xr:uid="{98CC42B8-73A1-AC4A-8384-AA9B41CE671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96" authorId="0" shapeId="0" xr:uid="{3FD7DE90-C3BA-1146-AC5D-D9B7973ABC8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96" authorId="0" shapeId="0" xr:uid="{9B1F10BA-45CA-0E43-A970-1743A3D4129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96" authorId="0" shapeId="0" xr:uid="{2F720CF8-EAA0-C94C-96F3-3AB1B384804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7" authorId="0" shapeId="0" xr:uid="{94087831-FAC4-4EA4-A6CF-75893747063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7" authorId="0" shapeId="0" xr:uid="{B12E904B-F1A8-B649-976F-F71593F310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97" authorId="0" shapeId="0" xr:uid="{E206BCF7-3C66-9F41-B981-2E7E5E2C52B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97" authorId="0" shapeId="0" xr:uid="{B642E44B-4EBF-0449-8207-1E001BE3CB3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97" authorId="0" shapeId="0" xr:uid="{B4AD738C-B076-D64C-93C1-3884DC51740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97" authorId="0" shapeId="0" xr:uid="{1A8845EE-80EC-AD48-A7A9-3D0456BA20C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8" authorId="0" shapeId="0" xr:uid="{9878A6DD-4A71-4E40-93F1-CE12CB3744B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8" authorId="0" shapeId="0" xr:uid="{C75A0DA2-43C5-754C-A21B-448DEEB4200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98" authorId="0" shapeId="0" xr:uid="{6825F622-C362-D142-8AFD-258E74A5CF2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98" authorId="0" shapeId="0" xr:uid="{5DEE7B06-741E-724B-81E1-A14F5A31580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98" authorId="0" shapeId="0" xr:uid="{7CC4EA5D-81F3-5246-9D63-DCE1F871F6F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98" authorId="0" shapeId="0" xr:uid="{B0CAEA17-3123-8A45-816A-EA8F01EDED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9" authorId="0" shapeId="0" xr:uid="{F835631A-8267-40CD-97F0-AFA1D6DCA62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9" authorId="0" shapeId="0" xr:uid="{6D883316-C99A-C34E-8B9E-9EAB8C22909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199" authorId="0" shapeId="0" xr:uid="{E2264563-4872-CB49-9F8B-2FFE45CB54C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199" authorId="0" shapeId="0" xr:uid="{3D82F895-49E5-054F-88BE-993636872EC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199" authorId="0" shapeId="0" xr:uid="{F6099D21-E071-F94E-9BA4-4787CF56405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199" authorId="0" shapeId="0" xr:uid="{1D2A209B-36FD-5E47-93B8-32128C77425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C200" authorId="0" shapeId="0" xr:uid="{590A9B73-2F44-5645-B246-7CBD1C78367B}">
      <text>
        <r>
          <rPr>
            <b/>
            <sz val="10"/>
            <color rgb="FF000000"/>
            <rFont val="Tahoma"/>
            <family val="2"/>
          </rPr>
          <t>Francesco Parigi:</t>
        </r>
        <r>
          <rPr>
            <sz val="10"/>
            <color rgb="FF000000"/>
            <rFont val="Tahoma"/>
            <family val="2"/>
          </rPr>
          <t xml:space="preserve">
</t>
        </r>
        <r>
          <rPr>
            <sz val="10"/>
            <color rgb="FF000000"/>
            <rFont val="Calibri"/>
            <family val="2"/>
          </rPr>
          <t xml:space="preserve">e.g. Soil and Substrate Preparation, Temperature and Humidity Control, Greenhouse Maintenance
</t>
        </r>
      </text>
    </comment>
    <comment ref="G200" authorId="0" shapeId="0" xr:uid="{6AB81863-D4F3-4CDC-8EBD-6DE772FCED6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0" authorId="0" shapeId="0" xr:uid="{A47B2362-32E0-004A-8590-600C93DDAAE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0" authorId="0" shapeId="0" xr:uid="{B8267536-213C-B246-9EF6-7DF56830079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0" authorId="0" shapeId="0" xr:uid="{E49C11A5-BCD5-F743-A5D7-207A8F8D361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0" authorId="0" shapeId="0" xr:uid="{2CD26813-F29A-9246-8F51-29016D70AFB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0" authorId="0" shapeId="0" xr:uid="{306D3B9B-B323-6B40-B447-34836ADC8CF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1" authorId="0" shapeId="0" xr:uid="{6E8FCEF6-9DF8-46A6-8F7B-3BAF932A558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1" authorId="0" shapeId="0" xr:uid="{0EFC09F5-29F8-5346-B9D1-E5447B7BDDD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1" authorId="0" shapeId="0" xr:uid="{2E74D61D-6A92-F945-88EC-A05300D969D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1" authorId="0" shapeId="0" xr:uid="{AF3B5C8D-CB75-1B43-B452-272D333D384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1" authorId="0" shapeId="0" xr:uid="{BD611920-52EB-D247-A214-903AD798B72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1" authorId="0" shapeId="0" xr:uid="{199E499E-4E46-E543-B62F-4F2D253EBEC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2" authorId="0" shapeId="0" xr:uid="{F4BF8DC6-B63B-48FF-A35E-0FAE73DB08D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2" authorId="0" shapeId="0" xr:uid="{8F868B04-7996-624E-8FED-C2F73A1333D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2" authorId="0" shapeId="0" xr:uid="{310A634B-DE11-074F-BA78-13C45AF5FA5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2" authorId="0" shapeId="0" xr:uid="{FAF4A5DF-E018-724E-8D28-B5A34CC9F1B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2" authorId="0" shapeId="0" xr:uid="{463AB5D2-2CE8-B846-BA45-90D40811535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2" authorId="0" shapeId="0" xr:uid="{BC7EFE48-8C0C-AF40-9250-00C2E9CEC97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3" authorId="0" shapeId="0" xr:uid="{90A68ACF-BB04-46CE-8881-83E76726FCB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3" authorId="0" shapeId="0" xr:uid="{27017F8F-D7BA-E047-B087-410341AAA14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3" authorId="0" shapeId="0" xr:uid="{D51B0677-01CA-234B-86F2-854F0D3159F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3" authorId="0" shapeId="0" xr:uid="{0E50488A-EE71-5C49-BCD5-A3FBBF1A469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3" authorId="0" shapeId="0" xr:uid="{CDE608C1-1A49-604F-8AB5-2CF9E48FAA0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3" authorId="0" shapeId="0" xr:uid="{D5AF2D4D-A86D-C04E-A61F-1E1B38C582C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4" authorId="0" shapeId="0" xr:uid="{B3F59002-61EA-4177-B9E8-4ED467A477D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4" authorId="0" shapeId="0" xr:uid="{4C88C332-3828-7848-8F94-88CBEDE4D98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4" authorId="0" shapeId="0" xr:uid="{FB3D860D-E894-504F-B07F-EC08F8B65E6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4" authorId="0" shapeId="0" xr:uid="{E63A8D53-480A-1F45-BDFC-68C77CBFB5F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4" authorId="0" shapeId="0" xr:uid="{771058BB-341D-A247-981A-93F83B2F9C2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4" authorId="0" shapeId="0" xr:uid="{A807B6ED-AE67-9444-B09B-5A6C43D8296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5" authorId="0" shapeId="0" xr:uid="{7084D2EC-B5D0-4043-90A4-62EA0CA9511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5" authorId="0" shapeId="0" xr:uid="{78A2C1BC-4EDC-5C49-9016-8099980F66B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5" authorId="0" shapeId="0" xr:uid="{807421C7-C9A2-3F49-BB67-8495D9B7AA5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5" authorId="0" shapeId="0" xr:uid="{8D95C33F-A92D-8C4D-A3FA-4A1F202B2B9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5" authorId="0" shapeId="0" xr:uid="{6ED20FAE-DF57-D44C-AB62-CCA888883F6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5" authorId="0" shapeId="0" xr:uid="{1FF03EFC-BD5A-C44E-889E-D6A7055B524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6" authorId="0" shapeId="0" xr:uid="{490C77BA-6B66-4C78-8A70-B118593A48F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6" authorId="0" shapeId="0" xr:uid="{11E30DEF-8490-A040-8391-4762394D512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6" authorId="0" shapeId="0" xr:uid="{1797ADB2-3527-0540-8B0B-45FBAA9AD95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6" authorId="0" shapeId="0" xr:uid="{085089CE-2651-6E45-8467-F97DBDFA93A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6" authorId="0" shapeId="0" xr:uid="{CFE56756-6DA5-B645-912A-6683767060C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6" authorId="0" shapeId="0" xr:uid="{B7072FFA-F28B-814A-8253-73B3EBD78D6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7" authorId="0" shapeId="0" xr:uid="{6DB53C1D-9543-4D70-BBD5-F9995CC3BD1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7" authorId="0" shapeId="0" xr:uid="{184B4367-863E-F94F-99AF-EF12A4AC1A1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7" authorId="0" shapeId="0" xr:uid="{B686E98A-1200-3E4E-B438-7CD4D913926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7" authorId="0" shapeId="0" xr:uid="{D6206D10-327D-364F-9729-9996D0E8D29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7" authorId="0" shapeId="0" xr:uid="{B4AE4766-EE71-1F40-9C20-65C25ED6475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7" authorId="0" shapeId="0" xr:uid="{8C6754F8-F290-E746-8C06-9D2FBDF8EB0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8" authorId="0" shapeId="0" xr:uid="{5F3A7249-C90F-41D7-932A-7DF63034638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8" authorId="0" shapeId="0" xr:uid="{D0510CCF-CE3E-6A44-9E13-4E4899126BC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8" authorId="0" shapeId="0" xr:uid="{F7BE477B-B865-A44C-9FB5-B0D7CD2542C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8" authorId="0" shapeId="0" xr:uid="{A3C25D9B-18B9-F34D-A0E5-88F7AF2B02A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8" authorId="0" shapeId="0" xr:uid="{737F958E-EE19-554D-B81A-046F4EE275F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8" authorId="0" shapeId="0" xr:uid="{420CC896-A775-444D-A4DC-79566B55613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9" authorId="0" shapeId="0" xr:uid="{10160BFB-0026-4F52-8813-FF67A98B418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9" authorId="0" shapeId="0" xr:uid="{B7DC4D42-BCE9-C545-B3CD-AC3DF8EE7C3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09" authorId="0" shapeId="0" xr:uid="{A5364148-A263-E749-ABE3-A8C76CAAC34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09" authorId="0" shapeId="0" xr:uid="{7F7794FA-8025-284C-AE28-9937BD37640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09" authorId="0" shapeId="0" xr:uid="{FC02294B-D131-0246-96D1-6A5923F789C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09" authorId="0" shapeId="0" xr:uid="{0020CCD5-A9C8-FE4E-9D68-DA583ADE368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0" authorId="0" shapeId="0" xr:uid="{C9CDFC7C-93D8-4259-BC18-6450017EC5C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0" authorId="0" shapeId="0" xr:uid="{9EB72E04-D6EB-574C-9ED1-7227308CCF8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0" authorId="0" shapeId="0" xr:uid="{BD4B7C29-9843-1841-8A7E-200CEBF8B4C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0" authorId="0" shapeId="0" xr:uid="{D6C28F66-A34F-CB45-AE48-339328DBC58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0" authorId="0" shapeId="0" xr:uid="{33B8E54D-F3BB-F647-A5FC-31EDA2DEC6C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0" authorId="0" shapeId="0" xr:uid="{EFF0E6FD-513F-E948-AA1A-ECD70F3B904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1" authorId="0" shapeId="0" xr:uid="{80361614-B2D9-42A4-9C70-9BC65988A13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1" authorId="0" shapeId="0" xr:uid="{A429DFE3-1B79-D640-B654-D648F8A513B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1" authorId="0" shapeId="0" xr:uid="{9E4039EF-1558-114C-9A0D-5F0D1119D15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1" authorId="0" shapeId="0" xr:uid="{62A822D0-6D3D-0545-B48A-A477C5CFC22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1" authorId="0" shapeId="0" xr:uid="{B5E6EEC1-0EFB-A34F-ABFC-D12735F8B81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1" authorId="0" shapeId="0" xr:uid="{531B7434-6A37-3941-A9EE-98F772F3185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2" authorId="0" shapeId="0" xr:uid="{45651D75-0D96-4000-BA8F-E91E9290596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2" authorId="0" shapeId="0" xr:uid="{6371F627-95CC-4448-9F58-2912E83414D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2" authorId="0" shapeId="0" xr:uid="{CE36BFA9-D582-824A-9475-9C67A2D2892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2" authorId="0" shapeId="0" xr:uid="{5EF0CC10-BD43-424E-9E1B-9BB9D690370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2" authorId="0" shapeId="0" xr:uid="{FE17B0C4-644B-4649-AB27-E3267991F3F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2" authorId="0" shapeId="0" xr:uid="{897A2183-26E7-7545-B9C1-91F4C01FEA0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3" authorId="0" shapeId="0" xr:uid="{E576F717-3D94-4B53-A259-199052A329B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3" authorId="0" shapeId="0" xr:uid="{241AF93E-81F5-B349-9735-966DA78D048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3" authorId="0" shapeId="0" xr:uid="{1CB9D808-7EFD-A741-AE60-DDE2093FCB9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3" authorId="0" shapeId="0" xr:uid="{9DF36735-BFA7-7949-B568-42851C3C184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3" authorId="0" shapeId="0" xr:uid="{058E6E33-2082-A441-9F02-6EF2E64B904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3" authorId="0" shapeId="0" xr:uid="{88BB7036-80F5-AE4B-805C-F4B94F3344C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4" authorId="0" shapeId="0" xr:uid="{108BB0BD-C311-4D2A-9407-6D88A7C4F88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4" authorId="0" shapeId="0" xr:uid="{935F17E4-6200-1A4B-A925-E6CA6EA1502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4" authorId="0" shapeId="0" xr:uid="{C9A6AF00-3825-0341-8326-92EA2E60092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4" authorId="0" shapeId="0" xr:uid="{62412EA0-D169-9044-B9D4-13A72BC0BE2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4" authorId="0" shapeId="0" xr:uid="{A06DB6F7-1893-9B42-93A8-C74CFB6A361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4" authorId="0" shapeId="0" xr:uid="{879B69BD-968D-8C4A-9C84-A6295BD2AB0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5" authorId="0" shapeId="0" xr:uid="{B59CE297-9AAB-4EEA-9318-CDEA4EA9EF5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5" authorId="0" shapeId="0" xr:uid="{597976FA-C921-2D46-AB25-A68EE7B7336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5" authorId="0" shapeId="0" xr:uid="{72427E72-F9BE-034F-BC31-714CEC7171F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5" authorId="0" shapeId="0" xr:uid="{F23196EE-6C8C-E545-B38A-B645D8FDF13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5" authorId="0" shapeId="0" xr:uid="{E9AF99BA-2533-F241-B478-944A539805F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5" authorId="0" shapeId="0" xr:uid="{2825B51B-D095-124B-A9A1-34C07C02933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6" authorId="0" shapeId="0" xr:uid="{821EA7F7-99A9-4CF3-AAB1-0428145FB4A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6" authorId="0" shapeId="0" xr:uid="{808DBCC6-FD5B-5645-815D-E5E2D7888D4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6" authorId="0" shapeId="0" xr:uid="{B5366D14-1CF3-534D-A125-916869C4B8D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6" authorId="0" shapeId="0" xr:uid="{FB516C6A-F389-8943-A718-B22AD915BB5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6" authorId="0" shapeId="0" xr:uid="{D50AA5E4-C1D5-5549-915B-2284BBC05A6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6" authorId="0" shapeId="0" xr:uid="{810F9321-D171-4F4C-B6BF-B4FAEE4E86B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7" authorId="0" shapeId="0" xr:uid="{1833D43D-717C-4167-8F15-642B4F103AC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7" authorId="0" shapeId="0" xr:uid="{3C480CCF-7B98-A24E-A4F1-6CFE3F270BD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7" authorId="0" shapeId="0" xr:uid="{C020675F-5A82-1B4F-A754-84E3317DA88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7" authorId="0" shapeId="0" xr:uid="{8CD4D10E-0ADD-6646-BC0D-E67D3EEF514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7" authorId="0" shapeId="0" xr:uid="{DFC752CE-7F14-594B-B74D-E400DA54F9D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7" authorId="0" shapeId="0" xr:uid="{9F508EB4-1D52-5B43-9C90-C3ECD871647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8" authorId="0" shapeId="0" xr:uid="{219BC148-4C58-4158-893F-F2F5FB5949B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8" authorId="0" shapeId="0" xr:uid="{2E805A84-2E42-A848-8EE9-579A9964894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18" authorId="0" shapeId="0" xr:uid="{C28DC83A-FCD5-294B-8147-6FDF8D865F1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18" authorId="0" shapeId="0" xr:uid="{1E3017A1-0636-1340-B989-C67C9E99783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18" authorId="0" shapeId="0" xr:uid="{9338CBAF-2F90-CC48-8794-D25F8B31192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18" authorId="0" shapeId="0" xr:uid="{396DA9BB-E1C0-4246-9D6E-4B2698AA08E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B220" authorId="0" shapeId="0" xr:uid="{C0593E05-CE44-324E-9E0F-D5842CA221B1}">
      <text>
        <r>
          <rPr>
            <b/>
            <sz val="10"/>
            <color rgb="FF000000"/>
            <rFont val="Tahoma"/>
            <family val="2"/>
          </rPr>
          <t>Francesco Parigi:</t>
        </r>
        <r>
          <rPr>
            <sz val="10"/>
            <color rgb="FF000000"/>
            <rFont val="Tahoma"/>
            <family val="2"/>
          </rPr>
          <t xml:space="preserve">
</t>
        </r>
        <r>
          <rPr>
            <sz val="10"/>
            <color rgb="FF000000"/>
            <rFont val="Tahoma"/>
            <family val="2"/>
          </rPr>
          <t>necessary to calculate economic KPIs</t>
        </r>
      </text>
    </comment>
    <comment ref="G222" authorId="0" shapeId="0" xr:uid="{10EFFB92-5000-49DB-97D8-303C109248D4}">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22" authorId="0" shapeId="0" xr:uid="{A5B5E515-D249-D742-964A-F14612B2839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22" authorId="0" shapeId="0" xr:uid="{1D7C5255-4773-B64E-AD7B-C8A5EDCA0E2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22" authorId="0" shapeId="0" xr:uid="{82C1A0EF-6B88-C04B-A1F6-BC2BEE5A522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22" authorId="0" shapeId="0" xr:uid="{67BADF65-E1BD-854F-B0BC-D03A700A335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22" authorId="0" shapeId="0" xr:uid="{E74C00D2-4009-4644-9560-DBF943D5A9C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3" authorId="0" shapeId="0" xr:uid="{FFDAE40F-8E8A-4D74-9841-AB88D04DD8B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23" authorId="0" shapeId="0" xr:uid="{A8B407F1-86F8-7842-AD1E-2E3AF7F59C9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23" authorId="0" shapeId="0" xr:uid="{3139E821-3D21-104B-A703-4EDF0CE0EB09}">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23" authorId="0" shapeId="0" xr:uid="{36D6BC64-12D9-4C43-B908-7A66549361E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23" authorId="0" shapeId="0" xr:uid="{A15CF361-3945-C147-84DB-9B559D5C279D}">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23" authorId="0" shapeId="0" xr:uid="{85389854-69C2-1E49-9667-CEE7E8B845F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4" authorId="0" shapeId="0" xr:uid="{482E34AD-C3C6-4380-856E-6E9B59281D50}">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H224" authorId="0" shapeId="0" xr:uid="{368F7A92-185A-314A-8000-FC1EF45EAC1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24" authorId="0" shapeId="0" xr:uid="{1C0028E8-0848-BF49-806D-EEC4125DE415}">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K224" authorId="0" shapeId="0" xr:uid="{C8DFE0CE-9E9C-3346-ACC3-BF77485CAB1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24" authorId="0" shapeId="0" xr:uid="{180E9AE8-3CD4-0A43-BA32-383B8E9B1D97}">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N224" authorId="0" shapeId="0" xr:uid="{D8DA0E3C-43F6-9646-AA87-1A5D74C3D31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5" authorId="0" shapeId="0" xr:uid="{0489D9C7-BBB2-499D-BB73-F27ACF83C480}">
      <text>
        <r>
          <rPr>
            <b/>
            <sz val="10"/>
            <color rgb="FF000000"/>
            <rFont val="Tahoma"/>
            <family val="2"/>
          </rPr>
          <t xml:space="preserve">Francesco Parigi:
</t>
        </r>
        <r>
          <rPr>
            <sz val="10"/>
            <color rgb="FF000000"/>
            <rFont val="Tahoma"/>
            <family val="2"/>
          </rPr>
          <t xml:space="preserve">Decimal number 
</t>
        </r>
      </text>
    </comment>
    <comment ref="H225" authorId="0" shapeId="0" xr:uid="{657DB7A3-153C-7D46-A14D-8D52EC0A933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25" authorId="0" shapeId="0" xr:uid="{AA600F39-9967-134E-995F-B603556857EE}">
      <text>
        <r>
          <rPr>
            <b/>
            <sz val="10"/>
            <color rgb="FF000000"/>
            <rFont val="Tahoma"/>
            <family val="2"/>
          </rPr>
          <t xml:space="preserve">Francesco Parigi:
</t>
        </r>
        <r>
          <rPr>
            <sz val="10"/>
            <color rgb="FF000000"/>
            <rFont val="Tahoma"/>
            <family val="2"/>
          </rPr>
          <t xml:space="preserve">Decimal number 
</t>
        </r>
      </text>
    </comment>
    <comment ref="K225" authorId="0" shapeId="0" xr:uid="{502F2DFC-348A-2B42-BF6F-1D98AE639F2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25" authorId="0" shapeId="0" xr:uid="{3F7CE107-85EF-0146-9E07-358CBBCCC9F2}">
      <text>
        <r>
          <rPr>
            <b/>
            <sz val="10"/>
            <color rgb="FF000000"/>
            <rFont val="Tahoma"/>
            <family val="2"/>
          </rPr>
          <t xml:space="preserve">Francesco Parigi:
</t>
        </r>
        <r>
          <rPr>
            <sz val="10"/>
            <color rgb="FF000000"/>
            <rFont val="Tahoma"/>
            <family val="2"/>
          </rPr>
          <t xml:space="preserve">Decimal number 
</t>
        </r>
      </text>
    </comment>
    <comment ref="N225" authorId="0" shapeId="0" xr:uid="{B04232B5-1D7B-774A-8B2A-3A73B19BE58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6" authorId="0" shapeId="0" xr:uid="{382201B9-1C78-46F0-93CC-592E187C588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26" authorId="0" shapeId="0" xr:uid="{22DE7EE0-106D-A041-8F93-37908C50CFD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26" authorId="0" shapeId="0" xr:uid="{451C5764-B743-264A-8CE4-4C18DC24D08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26" authorId="0" shapeId="0" xr:uid="{8F491DC4-659E-7C4A-B014-310EEA2E6C0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26" authorId="0" shapeId="0" xr:uid="{7BBE2037-E0D9-6C46-9754-5616AF02B52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26" authorId="0" shapeId="0" xr:uid="{A2AF9877-6B5E-2541-81B6-AF8D082AF02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7" authorId="0" shapeId="0" xr:uid="{AB4F2B23-4DCD-4647-9401-1969A15DED2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27" authorId="0" shapeId="0" xr:uid="{FADBB22A-11DD-E347-8968-953F086F37E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27" authorId="0" shapeId="0" xr:uid="{9ED3BC0C-10E6-ED44-A0E2-94DE2103999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27" authorId="0" shapeId="0" xr:uid="{677E17C5-488C-224A-9CD6-06834FD7FBE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27" authorId="0" shapeId="0" xr:uid="{B1334D0B-864F-434D-A3C2-A82DD4AD6AA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27" authorId="0" shapeId="0" xr:uid="{117E8D51-6390-8143-AD18-E4568D6AD43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8" authorId="0" shapeId="0" xr:uid="{BB529694-54D8-4F1D-BCB5-60320C8D571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28" authorId="0" shapeId="0" xr:uid="{43C920FB-AE2E-E845-B504-0B735A41CDF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28" authorId="0" shapeId="0" xr:uid="{A72E5D2C-8202-7F40-9C41-97DB8C4EC96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28" authorId="0" shapeId="0" xr:uid="{6D6EA726-664B-F84D-AC49-8F4D305B72E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28" authorId="0" shapeId="0" xr:uid="{C1664101-5992-0348-8761-F5E0A73660F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28" authorId="0" shapeId="0" xr:uid="{7083BA88-F921-D641-AA1B-DA7FFB93A5F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B230" authorId="0" shapeId="0" xr:uid="{1898B63A-C3EE-FF4C-ABBE-2A8BBB04D857}">
      <text>
        <r>
          <rPr>
            <b/>
            <sz val="10"/>
            <color rgb="FF000000"/>
            <rFont val="Tahoma"/>
            <family val="2"/>
          </rPr>
          <t>Francesco Parigi:</t>
        </r>
        <r>
          <rPr>
            <sz val="10"/>
            <color rgb="FF000000"/>
            <rFont val="Tahoma"/>
            <family val="2"/>
          </rPr>
          <t xml:space="preserve">
</t>
        </r>
        <r>
          <rPr>
            <sz val="10"/>
            <color rgb="FF000000"/>
            <rFont val="Tahoma"/>
            <family val="2"/>
          </rPr>
          <t>necessary to calculate environmental KPIs</t>
        </r>
      </text>
    </comment>
    <comment ref="G232" authorId="0" shapeId="0" xr:uid="{8FFA8C26-66AD-B44B-9746-A70D86BAB76E}">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32" authorId="0" shapeId="0" xr:uid="{610724AD-BC3C-8445-9557-81C884ACCD8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32" authorId="0" shapeId="0" xr:uid="{274F8F89-24B8-7545-9D78-3C4F20D20F24}">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32" authorId="0" shapeId="0" xr:uid="{E963C0EC-BB2D-AA49-B2ED-1A20A81CD47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32" authorId="0" shapeId="0" xr:uid="{3FE1D118-BD04-5848-8BBC-50E1F210720D}">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32" authorId="0" shapeId="0" xr:uid="{FC05BAA9-CC53-F14E-A022-822170C2BCD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3" authorId="0" shapeId="0" xr:uid="{52CEB887-B923-824A-9563-287096C6897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33" authorId="0" shapeId="0" xr:uid="{FC82539F-E22A-314D-856D-F433288969F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33" authorId="0" shapeId="0" xr:uid="{0C18C50C-2BE0-964B-8C6F-DFE0985BF75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33" authorId="0" shapeId="0" xr:uid="{02A0EDA5-FADB-184D-A472-33C9ECA154C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33" authorId="0" shapeId="0" xr:uid="{C84C9872-76F8-DC43-B176-931E30059DA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33" authorId="0" shapeId="0" xr:uid="{D58724A2-9458-2044-B158-4638738BBDA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4" authorId="0" shapeId="0" xr:uid="{66D58F2D-DD02-7B4C-9AD7-288B4B26F1FC}">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H234" authorId="0" shapeId="0" xr:uid="{60CDC51F-44C7-5E44-92FD-29492BDF78B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34" authorId="0" shapeId="0" xr:uid="{99280E5A-9103-1847-BB00-DB2F2B195ECA}">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K234" authorId="0" shapeId="0" xr:uid="{F857F361-F204-614C-BF7E-7FB308ECBCE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34" authorId="0" shapeId="0" xr:uid="{41560029-93FD-0849-BD3A-C6B0C2F056E6}">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N234" authorId="0" shapeId="0" xr:uid="{A965C670-59A9-EC46-95E4-99C18B86E09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5" authorId="0" shapeId="0" xr:uid="{20BC2BED-975D-ED4D-8227-13C25AB54975}">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H235" authorId="0" shapeId="0" xr:uid="{9E044D6F-9A0B-9A44-B47D-18D87D0F795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35" authorId="0" shapeId="0" xr:uid="{10D7E3C4-6499-A84A-A7A0-BD56C0794F16}">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K235" authorId="0" shapeId="0" xr:uid="{82A401D1-7BA1-E44B-8601-C4F717363B4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35" authorId="0" shapeId="0" xr:uid="{8F4B1681-7488-284D-9824-F1A73F04317D}">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N235" authorId="0" shapeId="0" xr:uid="{3E5412A1-FC2A-7148-B7B8-7EE9614E9DB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6" authorId="0" shapeId="0" xr:uid="{0DED5210-5191-7F46-AC3B-FEAE8B52C6E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36" authorId="0" shapeId="0" xr:uid="{A5D829BB-3A97-4C4B-B302-E272E70C179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36" authorId="0" shapeId="0" xr:uid="{F9CCE704-0F43-504F-B9B9-A4028058583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36" authorId="0" shapeId="0" xr:uid="{58A8E26E-8EE2-5B45-A27A-EF5CD43F2D3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36" authorId="0" shapeId="0" xr:uid="{88FE28A6-322F-E542-B1E9-1F66DB65ACC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36" authorId="0" shapeId="0" xr:uid="{E2EFD9B2-D1E5-3A4F-BE9E-545314E882A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7" authorId="0" shapeId="0" xr:uid="{3333A093-81EE-E945-8D10-E781D18D4BEB}">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37" authorId="0" shapeId="0" xr:uid="{96BEE78B-07C7-2544-BE29-C06385D687E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37" authorId="0" shapeId="0" xr:uid="{A1C65920-C984-C74D-BBAC-D2BE85C44243}">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37" authorId="0" shapeId="0" xr:uid="{5AC8F820-857C-274C-A614-78789CB1A10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37" authorId="0" shapeId="0" xr:uid="{9A06FC06-667C-8946-B539-D1953179D05B}">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37" authorId="0" shapeId="0" xr:uid="{468FC9D5-9FDA-F24C-B16F-2B7CA928E04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B239" authorId="0" shapeId="0" xr:uid="{CEBA2151-2542-444D-8FD2-7C3809F44332}">
      <text>
        <r>
          <rPr>
            <b/>
            <sz val="10"/>
            <color rgb="FF000000"/>
            <rFont val="Tahoma"/>
            <family val="2"/>
          </rPr>
          <t>Francesco Parigi:</t>
        </r>
        <r>
          <rPr>
            <sz val="10"/>
            <color rgb="FF000000"/>
            <rFont val="Tahoma"/>
            <family val="2"/>
          </rPr>
          <t xml:space="preserve">
</t>
        </r>
        <r>
          <rPr>
            <sz val="10"/>
            <color rgb="FF000000"/>
            <rFont val="Tahoma"/>
            <family val="2"/>
          </rPr>
          <t>Necessary to calculate social KPIs</t>
        </r>
      </text>
    </comment>
    <comment ref="G241" authorId="0" shapeId="0" xr:uid="{934C1D85-5D9F-4780-AFB1-A07BC4B9678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1" authorId="0" shapeId="0" xr:uid="{55068EC9-51E1-2C42-ADEB-DE9FF044096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41" authorId="0" shapeId="0" xr:uid="{CE0639B9-D826-B44A-ABDD-3E054AEEE36A}">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41" authorId="0" shapeId="0" xr:uid="{69D1E765-1753-614A-AA1D-C6600314AA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41" authorId="0" shapeId="0" xr:uid="{28109435-1671-594A-B156-B41282C2E02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41" authorId="0" shapeId="0" xr:uid="{7368AAF4-657F-174A-9653-26F1BD936A8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2" authorId="0" shapeId="0" xr:uid="{FA6DECD5-F355-454E-B162-C4D62BF4911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2" authorId="0" shapeId="0" xr:uid="{15FDF8EC-F9F2-7443-95E4-542EC992BEB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42" authorId="0" shapeId="0" xr:uid="{4406C3E0-8FD7-244E-B222-3B0C27CF5B76}">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42" authorId="0" shapeId="0" xr:uid="{EDD53388-F1C3-1743-A739-EE8EF57228E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42" authorId="0" shapeId="0" xr:uid="{4E1C8E9C-0057-744D-9637-77A96298FCAA}">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42" authorId="0" shapeId="0" xr:uid="{1863021B-2F4D-D041-8C10-5F29F3323ED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3" authorId="0" shapeId="0" xr:uid="{1B72A235-187D-4EE9-B924-2FFE9721468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3" authorId="0" shapeId="0" xr:uid="{1BB355DE-B3C2-604F-B511-D03DDD853D7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43" authorId="0" shapeId="0" xr:uid="{EB3B46CA-D79B-AB44-9CD3-F703D373A26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43" authorId="0" shapeId="0" xr:uid="{807470BA-9CF2-1249-BE30-0F83BF9684A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43" authorId="0" shapeId="0" xr:uid="{4FAEACE5-DE52-004F-BA36-C7AFFE50B1E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43" authorId="0" shapeId="0" xr:uid="{FD0B00A3-C183-D94C-94EA-569D35EC9DD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4" authorId="0" shapeId="0" xr:uid="{26FAB8BE-F940-46BE-9579-5A68EA4F0E66}">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4" authorId="0" shapeId="0" xr:uid="{1769DD2B-7DBF-3848-801F-351D33826A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44" authorId="0" shapeId="0" xr:uid="{ECA972B7-4569-494B-92F7-6BDF39BF31E6}">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44" authorId="0" shapeId="0" xr:uid="{F6B098B0-EE87-9848-B2B0-40D915F0563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44" authorId="0" shapeId="0" xr:uid="{2B41E187-A4CD-6641-B225-93F471FC6DB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44" authorId="0" shapeId="0" xr:uid="{62C5CCCF-9782-5148-8CCF-B9B54997FD8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5" authorId="0" shapeId="0" xr:uid="{21B6714A-299F-45AA-A26E-9DE525061F5D}">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5" authorId="0" shapeId="0" xr:uid="{7442A9C6-5AA0-7640-964B-DD5660CBDAA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45" authorId="0" shapeId="0" xr:uid="{2D38E83E-0FAF-D842-BB21-85A27905A35C}">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45" authorId="0" shapeId="0" xr:uid="{336EF8AE-2359-6C43-9B93-7AC7C0C0A26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45" authorId="0" shapeId="0" xr:uid="{65E48179-4CD6-CC4B-8454-F24BD8F74B8E}">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45" authorId="0" shapeId="0" xr:uid="{D70110A7-93F3-3240-8122-39A42E3FF70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6" authorId="0" shapeId="0" xr:uid="{EB08BC06-D157-46FC-A8A6-1539E72B1B39}">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6" authorId="0" shapeId="0" xr:uid="{9CE85EFD-B1D1-2C47-B486-31C712C5A27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46" authorId="0" shapeId="0" xr:uid="{E9F7E6DE-FF7A-3549-9E19-B63F138D186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K246" authorId="0" shapeId="0" xr:uid="{8CEBF170-FB07-044C-A5FA-EA0D2DB2E92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46" authorId="0" shapeId="0" xr:uid="{60ED601D-8464-824E-A511-FEFE0C8FF8F9}">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N246" authorId="0" shapeId="0" xr:uid="{77A673BD-EE69-C142-BECC-72A0F07A49F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0" authorId="0" shapeId="0" xr:uid="{25BA6767-88CE-4C30-ADF0-65E072699FD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0" authorId="0" shapeId="0" xr:uid="{21DDB90E-6BCB-2B4F-AB4F-7237CC715B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0" authorId="0" shapeId="0" xr:uid="{17AF4EF1-C242-DB40-9D32-0475038ED5C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50" authorId="0" shapeId="0" xr:uid="{58B4BB07-AFD6-A740-8716-1A7B7ACCC48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0" authorId="0" shapeId="0" xr:uid="{33412134-665A-BB49-807A-13B64F738DD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50" authorId="0" shapeId="0" xr:uid="{F2D0376A-6FBB-BB43-BCAC-B473050C806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1" authorId="0" shapeId="0" xr:uid="{014ECC5E-A864-8E48-9B5D-A9FEAF4EE15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1" authorId="0" shapeId="0" xr:uid="{722D2302-DD84-9546-A2E3-030C53236AC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1" authorId="0" shapeId="0" xr:uid="{FF262A22-1730-2942-A7F1-CF1492F4997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51" authorId="0" shapeId="0" xr:uid="{0817E06A-5FC9-F245-B005-F15F9744CFD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1" authorId="0" shapeId="0" xr:uid="{75AAEF42-1683-6448-9BEA-F53C87A5D95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51" authorId="0" shapeId="0" xr:uid="{20546887-6C71-EF4A-B13B-8795478C2E7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2" authorId="0" shapeId="0" xr:uid="{7F0E0B8F-7861-6141-BED7-21640176328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2" authorId="0" shapeId="0" xr:uid="{CC4A294A-77C0-B94D-BAB6-75D529B0278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2" authorId="0" shapeId="0" xr:uid="{A7EFCE4B-7A55-E440-92F6-08208842CBA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52" authorId="0" shapeId="0" xr:uid="{2A985FB2-BD18-064C-93E4-F92F9527373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2" authorId="0" shapeId="0" xr:uid="{E2777B0C-BD26-DB44-ACF1-442685E8145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52" authorId="0" shapeId="0" xr:uid="{369CC5CA-53D2-C843-82D0-761CD311F6B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3" authorId="0" shapeId="0" xr:uid="{1F224885-B0D5-8440-9250-9980A7374D33}">
      <text>
        <r>
          <rPr>
            <b/>
            <sz val="10"/>
            <color rgb="FF000000"/>
            <rFont val="Tahoma"/>
            <family val="2"/>
          </rPr>
          <t>Francesco Parigi:</t>
        </r>
        <r>
          <rPr>
            <sz val="10"/>
            <color rgb="FF000000"/>
            <rFont val="Tahoma"/>
            <family val="2"/>
          </rPr>
          <t xml:space="preserve">
</t>
        </r>
        <r>
          <rPr>
            <sz val="10"/>
            <color rgb="FF000000"/>
            <rFont val="Tahoma"/>
            <family val="2"/>
          </rPr>
          <t xml:space="preserve">Number
</t>
        </r>
        <r>
          <rPr>
            <sz val="10"/>
            <color rgb="FF000000"/>
            <rFont val="Tahoma"/>
            <family val="2"/>
          </rPr>
          <t xml:space="preserve">
</t>
        </r>
        <r>
          <rPr>
            <sz val="10"/>
            <color rgb="FF000000"/>
            <rFont val="Tahoma"/>
            <family val="2"/>
          </rPr>
          <t xml:space="preserve"> 
</t>
        </r>
      </text>
    </comment>
    <comment ref="H253" authorId="0" shapeId="0" xr:uid="{D008B937-7006-A04B-ABEB-123E1021BEB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3" authorId="0" shapeId="0" xr:uid="{FB483693-263A-544C-BF5B-DF2FF6DD51D2}">
      <text>
        <r>
          <rPr>
            <b/>
            <sz val="10"/>
            <color rgb="FF000000"/>
            <rFont val="Tahoma"/>
            <family val="2"/>
          </rPr>
          <t>Francesco Parigi:</t>
        </r>
        <r>
          <rPr>
            <sz val="10"/>
            <color rgb="FF000000"/>
            <rFont val="Tahoma"/>
            <family val="2"/>
          </rPr>
          <t xml:space="preserve">
</t>
        </r>
        <r>
          <rPr>
            <sz val="10"/>
            <color rgb="FF000000"/>
            <rFont val="Tahoma"/>
            <family val="2"/>
          </rPr>
          <t xml:space="preserve">Number
</t>
        </r>
        <r>
          <rPr>
            <sz val="10"/>
            <color rgb="FF000000"/>
            <rFont val="Tahoma"/>
            <family val="2"/>
          </rPr>
          <t xml:space="preserve">
</t>
        </r>
        <r>
          <rPr>
            <sz val="10"/>
            <color rgb="FF000000"/>
            <rFont val="Tahoma"/>
            <family val="2"/>
          </rPr>
          <t xml:space="preserve"> 
</t>
        </r>
      </text>
    </comment>
    <comment ref="K253" authorId="0" shapeId="0" xr:uid="{B2824680-97F8-F34D-826E-0AE37FD7C30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3" authorId="0" shapeId="0" xr:uid="{BC1F00BC-168E-624B-8D02-FA17B438671A}">
      <text>
        <r>
          <rPr>
            <b/>
            <sz val="10"/>
            <color rgb="FF000000"/>
            <rFont val="Tahoma"/>
            <family val="2"/>
          </rPr>
          <t>Francesco Parigi:</t>
        </r>
        <r>
          <rPr>
            <sz val="10"/>
            <color rgb="FF000000"/>
            <rFont val="Tahoma"/>
            <family val="2"/>
          </rPr>
          <t xml:space="preserve">
</t>
        </r>
        <r>
          <rPr>
            <sz val="10"/>
            <color rgb="FF000000"/>
            <rFont val="Tahoma"/>
            <family val="2"/>
          </rPr>
          <t xml:space="preserve">Number
</t>
        </r>
        <r>
          <rPr>
            <sz val="10"/>
            <color rgb="FF000000"/>
            <rFont val="Tahoma"/>
            <family val="2"/>
          </rPr>
          <t xml:space="preserve">
</t>
        </r>
        <r>
          <rPr>
            <sz val="10"/>
            <color rgb="FF000000"/>
            <rFont val="Tahoma"/>
            <family val="2"/>
          </rPr>
          <t xml:space="preserve"> 
</t>
        </r>
      </text>
    </comment>
    <comment ref="N253" authorId="0" shapeId="0" xr:uid="{1ED51834-DB5A-5F44-9950-1496428D9A2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4" authorId="0" shapeId="0" xr:uid="{D0BEE8B7-91A5-8F45-AEEA-FDD757B9DF8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4" authorId="0" shapeId="0" xr:uid="{1DA89F08-98DA-074E-A751-13AA8D7F5C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4" authorId="0" shapeId="0" xr:uid="{70DB4720-0DFD-B640-B995-81EE1821BC3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54" authorId="0" shapeId="0" xr:uid="{0905E022-2AE3-BA4A-8F1E-7CF94D0C876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4" authorId="0" shapeId="0" xr:uid="{EAEBCC22-D813-8041-9698-E5E007FB86C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54" authorId="0" shapeId="0" xr:uid="{2A955DD5-3239-EF45-8365-726C4FD2B3A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5" authorId="0" shapeId="0" xr:uid="{11FF616C-9392-1D41-9B35-76A2AD00963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5" authorId="0" shapeId="0" xr:uid="{705E6117-A486-604F-9F9E-75AFCAAEA15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5" authorId="0" shapeId="0" xr:uid="{A43BFB99-893F-C74D-BB21-A0DB899364A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55" authorId="0" shapeId="0" xr:uid="{BFA7C1DC-1721-0941-9CA4-0E9F62F40E6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5" authorId="0" shapeId="0" xr:uid="{8D433A73-D1BE-564D-8A0C-5F4F1434A61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55" authorId="0" shapeId="0" xr:uid="{0BF48A5D-EFA4-8344-92FD-0D871CF2CE7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6" authorId="0" shapeId="0" xr:uid="{A3AAAA58-CC6D-7B40-8CF7-57F9C685015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6" authorId="0" shapeId="0" xr:uid="{181F0B71-28E5-9C49-A583-642790C0CB9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J256" authorId="0" shapeId="0" xr:uid="{8689B0B1-69F7-1641-8D2F-5475602973C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K256" authorId="0" shapeId="0" xr:uid="{57C4C38D-7232-1748-B150-050394D6717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56" authorId="0" shapeId="0" xr:uid="{21DFF2E4-BBC0-264C-B909-18925235C80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N256" authorId="0" shapeId="0" xr:uid="{1E8996C7-085D-1C47-A6F1-30F2EB1A6EB6}">
      <text>
        <r>
          <rPr>
            <b/>
            <sz val="10"/>
            <color rgb="FF000000"/>
            <rFont val="Tahoma"/>
            <family val="2"/>
          </rPr>
          <t>Francesco Parigi:</t>
        </r>
        <r>
          <rPr>
            <sz val="10"/>
            <color rgb="FF000000"/>
            <rFont val="Tahoma"/>
            <family val="2"/>
          </rPr>
          <t xml:space="preserve">
</t>
        </r>
        <r>
          <rPr>
            <sz val="10"/>
            <color rgb="FF000000"/>
            <rFont val="Tahoma"/>
            <family val="2"/>
          </rPr>
          <t>Text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chiara corbo</author>
  </authors>
  <commentList>
    <comment ref="B10" authorId="0" shapeId="0" xr:uid="{FC31F11A-442D-ED4F-9640-783178D8EBB1}">
      <text>
        <r>
          <rPr>
            <b/>
            <sz val="10"/>
            <color rgb="FF000000"/>
            <rFont val="Tahoma"/>
            <family val="2"/>
          </rPr>
          <t>chiara corbo:</t>
        </r>
        <r>
          <rPr>
            <sz val="10"/>
            <color rgb="FF000000"/>
            <rFont val="Tahoma"/>
            <family val="2"/>
          </rPr>
          <t xml:space="preserve">
</t>
        </r>
        <r>
          <rPr>
            <sz val="10"/>
            <color rgb="FF000000"/>
            <rFont val="Tahoma"/>
            <family val="2"/>
          </rPr>
          <t xml:space="preserve">cost of labour diventa singola voce, che si calcola o sommando le voci singole sulle attività oppure come complessivo come per input acqua ecc.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chiara corbo</author>
  </authors>
  <commentList>
    <comment ref="D76" authorId="0" shapeId="0" xr:uid="{3AC906AC-0694-B348-8427-4CA6BAE984F4}">
      <text>
        <r>
          <rPr>
            <b/>
            <sz val="10"/>
            <color rgb="FF000000"/>
            <rFont val="Tahoma"/>
            <family val="2"/>
          </rPr>
          <t>chiara corbo:</t>
        </r>
        <r>
          <rPr>
            <sz val="10"/>
            <color rgb="FF000000"/>
            <rFont val="Tahoma"/>
            <family val="2"/>
          </rPr>
          <t xml:space="preserve">
</t>
        </r>
        <r>
          <rPr>
            <sz val="10"/>
            <color rgb="FF000000"/>
            <rFont val="Tahoma"/>
            <family val="2"/>
          </rPr>
          <t>serve tenere tutto questo??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tc={5CABB8A1-27E3-4CCD-8C29-336106BFBE26}</author>
    <author>tc={F2A9B87B-9258-4ECA-8B00-DCD3EFB7E510}</author>
    <author>tc={24F6536B-4FD9-4FB3-B328-CD753519AD77}</author>
    <author>tc={A7C8F337-41E4-4713-99B5-9B279ED58791}</author>
    <author>tc={9F8E3BB3-D55C-42EA-83B9-022F9F604EF3}</author>
    <author>tc={75050D1E-618C-4FD8-BFC9-725302ECF610}</author>
    <author>tc={F37966A8-31DE-410A-9C9D-3F1996E32E50}</author>
    <author>tc={7C699CE0-B76B-4B4A-BF07-FB0115D00DBB}</author>
    <author>tc={F721C37E-BD6B-4E79-87FE-5AC67F217008}</author>
    <author>tc={2489065C-AEA7-463C-94CB-D00D17B1DE14}</author>
    <author>tc={98808325-C713-43D4-8DE6-A87C480C8D1E}</author>
    <author>tc={06EEA1BD-3D0C-4BFD-8D54-586BA8E036EE}</author>
    <author>tc={FBB86499-2158-477E-B0F8-28A1C735181B}</author>
  </authors>
  <commentList>
    <comment ref="G2" authorId="0" shapeId="0" xr:uid="{5CABB8A1-27E3-4CCD-8C29-336106BFBE26}">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 this column the % variation of each KPI is adjusted in order to have positive values for positive impacts and negative values for negative impacts</t>
        </r>
      </text>
    </comment>
    <comment ref="H2" authorId="1" shapeId="0" xr:uid="{F2A9B87B-9258-4ECA-8B00-DCD3EFB7E510}">
      <text>
        <r>
          <rPr>
            <sz val="12"/>
            <color theme="1"/>
            <rFont val="Calibri"/>
            <family val="2"/>
            <scheme val="minor"/>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column is used to assign 1 to KPIs where an increase represents something positive, and 0 where an increase represents something negative </t>
        </r>
      </text>
    </comment>
    <comment ref="M2" authorId="2" shapeId="0" xr:uid="{24F6536B-4FD9-4FB3-B328-CD753519AD77}">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field must be filled manually, based on our TC reports</t>
        </r>
      </text>
    </comment>
    <comment ref="N2" authorId="3" shapeId="0" xr:uid="{A7C8F337-41E4-4713-99B5-9B279ED58791}">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field must be filled manually, based on our TC reports</t>
        </r>
      </text>
    </comment>
    <comment ref="O2" authorId="4" shapeId="0" xr:uid="{9F8E3BB3-D55C-42EA-83B9-022F9F604EF3}">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field must be filled manually, based on our TC reports</t>
        </r>
      </text>
    </comment>
    <comment ref="P2" authorId="5" shapeId="0" xr:uid="{75050D1E-618C-4FD8-BFC9-725302ECF610}">
      <text>
        <r>
          <rPr>
            <sz val="12"/>
            <color theme="1"/>
            <rFont val="Calibri"/>
            <family val="2"/>
            <scheme val="minor"/>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field must be filled manually
</t>
        </r>
      </text>
    </comment>
    <comment ref="S2" authorId="6" shapeId="0" xr:uid="{F37966A8-31DE-410A-9C9D-3F1996E32E50}">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The 7 categories used to aggregate the KPIs in the spider chart: always shown and displayed</t>
        </r>
      </text>
    </comment>
    <comment ref="U2" authorId="7" shapeId="0" xr:uid="{7C699CE0-B76B-4B4A-BF07-FB0115D00DBB}">
      <text>
        <r>
          <rPr>
            <sz val="12"/>
            <color theme="1"/>
            <rFont val="Calibri"/>
            <family val="2"/>
            <scheme val="minor"/>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 some cases, the variation between the two scenarios, with DATSs and NO DATSs, exceeds 100%. This makes it difficult to standardize the visualization of the results, and such a large difference is not always justifiable solely based on the adoption of DATSs. For this reason, I have set a maximum range for these values so that they can be better visualized in the charts. </t>
        </r>
      </text>
    </comment>
    <comment ref="E47" authorId="8" shapeId="0" xr:uid="{F721C37E-BD6B-4E79-87FE-5AC67F217008}">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to be completed</t>
        </r>
      </text>
    </comment>
    <comment ref="D48" authorId="9" shapeId="0" xr:uid="{2489065C-AEA7-463C-94CB-D00D17B1DE14}">
      <text>
        <r>
          <rPr>
            <sz val="12"/>
            <color theme="1"/>
            <rFont val="Calibri"/>
            <family val="2"/>
            <scheme val="minor"/>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to be calculated next year
</t>
        </r>
      </text>
    </comment>
    <comment ref="E48" authorId="10" shapeId="0" xr:uid="{98808325-C713-43D4-8DE6-A87C480C8D1E}">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to be completed</t>
        </r>
      </text>
    </comment>
    <comment ref="D49" authorId="11" shapeId="0" xr:uid="{06EEA1BD-3D0C-4BFD-8D54-586BA8E036EE}">
      <text>
        <r>
          <rPr>
            <sz val="12"/>
            <color theme="1"/>
            <rFont val="Calibri"/>
            <family val="2"/>
            <scheme val="minor"/>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to be calculated next year
</t>
        </r>
      </text>
    </comment>
    <comment ref="E49" authorId="12" shapeId="0" xr:uid="{FBB86499-2158-477E-B0F8-28A1C735181B}">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to be completed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tc={63F3B7A5-78F5-445A-8E26-6E073F21DF63}</author>
  </authors>
  <commentList>
    <comment ref="B1" authorId="0" shapeId="0" xr:uid="{63F3B7A5-78F5-445A-8E26-6E073F21DF63}">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All the icons for the KPIs impacted by the DATs for this calculator are here. This list will be completed with the icons for the other KPIs</t>
        </r>
      </text>
    </comment>
  </commentList>
</comment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13">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futureMetadata>
  <cellMetadata count="1">
    <bk>
      <rc t="1" v="0"/>
    </bk>
  </cellMetadata>
  <valueMetadata count="13">
    <bk>
      <rc t="2" v="0"/>
    </bk>
    <bk>
      <rc t="2" v="1"/>
    </bk>
    <bk>
      <rc t="2" v="2"/>
    </bk>
    <bk>
      <rc t="2" v="3"/>
    </bk>
    <bk>
      <rc t="2" v="4"/>
    </bk>
    <bk>
      <rc t="2" v="5"/>
    </bk>
    <bk>
      <rc t="2" v="6"/>
    </bk>
    <bk>
      <rc t="2" v="7"/>
    </bk>
    <bk>
      <rc t="2" v="8"/>
    </bk>
    <bk>
      <rc t="2" v="9"/>
    </bk>
    <bk>
      <rc t="2" v="10"/>
    </bk>
    <bk>
      <rc t="2" v="11"/>
    </bk>
    <bk>
      <rc t="2" v="12"/>
    </bk>
  </valueMetadata>
</metadata>
</file>

<file path=xl/sharedStrings.xml><?xml version="1.0" encoding="utf-8"?>
<sst xmlns="http://schemas.openxmlformats.org/spreadsheetml/2006/main" count="3168" uniqueCount="816">
  <si>
    <t xml:space="preserve">WATER </t>
  </si>
  <si>
    <t>Irrigation</t>
  </si>
  <si>
    <t>Fertigation</t>
  </si>
  <si>
    <t xml:space="preserve">Cleaning </t>
  </si>
  <si>
    <t>Fertilisation</t>
  </si>
  <si>
    <t>FUEL</t>
  </si>
  <si>
    <t xml:space="preserve">LABOUR </t>
  </si>
  <si>
    <t xml:space="preserve">N. of treatements </t>
  </si>
  <si>
    <t xml:space="preserve">FERTILISER </t>
  </si>
  <si>
    <t>FEED</t>
  </si>
  <si>
    <t>Product 1</t>
  </si>
  <si>
    <t>Product 2</t>
  </si>
  <si>
    <t xml:space="preserve">DRUGS </t>
  </si>
  <si>
    <t xml:space="preserve">ELECTRICITY </t>
  </si>
  <si>
    <t xml:space="preserve">Irrigation </t>
  </si>
  <si>
    <t xml:space="preserve">Milking </t>
  </si>
  <si>
    <t xml:space="preserve">Pesticides </t>
  </si>
  <si>
    <t>Nitrogen applied</t>
  </si>
  <si>
    <t>Nitrogen use efficiency</t>
  </si>
  <si>
    <t>Phosphorus applied</t>
  </si>
  <si>
    <t>Phosphorus use efficiency</t>
  </si>
  <si>
    <t>Irrigation water productivity</t>
  </si>
  <si>
    <t>Electricity consumption</t>
  </si>
  <si>
    <t xml:space="preserve">Fuel GHG emission </t>
  </si>
  <si>
    <t xml:space="preserve">N2O GHG emission </t>
  </si>
  <si>
    <t>Training hours (for the use of DATs)</t>
  </si>
  <si>
    <t>Working time</t>
  </si>
  <si>
    <t xml:space="preserve">Frequency rate of occupational injuries </t>
  </si>
  <si>
    <t xml:space="preserve">Incidence of occupational injuries </t>
  </si>
  <si>
    <t>Contribution to local employment</t>
  </si>
  <si>
    <t xml:space="preserve">Pest dilution </t>
  </si>
  <si>
    <t xml:space="preserve">Pruning </t>
  </si>
  <si>
    <t>Temperature and Humidity Control</t>
  </si>
  <si>
    <t xml:space="preserve">Heat detection </t>
  </si>
  <si>
    <t xml:space="preserve">Calving detection </t>
  </si>
  <si>
    <t xml:space="preserve">Ease of movement </t>
  </si>
  <si>
    <t>Mortality rate at birth</t>
  </si>
  <si>
    <t xml:space="preserve">Beehives visits </t>
  </si>
  <si>
    <t xml:space="preserve">Transporting oysters to the laboratory  </t>
  </si>
  <si>
    <t xml:space="preserve">Feeding </t>
  </si>
  <si>
    <t>Question</t>
  </si>
  <si>
    <t>TC Number</t>
  </si>
  <si>
    <t>TC Leader</t>
  </si>
  <si>
    <t>Biogeographical region</t>
  </si>
  <si>
    <t xml:space="preserve">Value </t>
  </si>
  <si>
    <t>€</t>
  </si>
  <si>
    <t>y</t>
  </si>
  <si>
    <t>DATs maintenance costs</t>
  </si>
  <si>
    <t>€/y</t>
  </si>
  <si>
    <t xml:space="preserve">Instructions to be followed to complete the Data Collection Template </t>
  </si>
  <si>
    <t>Table of abbreviations</t>
  </si>
  <si>
    <t>-</t>
  </si>
  <si>
    <t>number (1, 2, 3, …)</t>
  </si>
  <si>
    <t>euro</t>
  </si>
  <si>
    <r>
      <rPr>
        <sz val="12"/>
        <color theme="1"/>
        <rFont val="Calibri"/>
        <family val="2"/>
        <scheme val="minor"/>
      </rPr>
      <t>cm</t>
    </r>
    <r>
      <rPr>
        <vertAlign val="superscript"/>
        <sz val="12"/>
        <color theme="1"/>
        <rFont val="Calibri"/>
        <family val="2"/>
        <scheme val="minor"/>
      </rPr>
      <t>3</t>
    </r>
  </si>
  <si>
    <t>cubic centimetre</t>
  </si>
  <si>
    <r>
      <t>dm</t>
    </r>
    <r>
      <rPr>
        <vertAlign val="superscript"/>
        <sz val="12"/>
        <color theme="1"/>
        <rFont val="Calibri"/>
        <family val="2"/>
        <scheme val="minor"/>
      </rPr>
      <t>3</t>
    </r>
  </si>
  <si>
    <t>cubic decimetre</t>
  </si>
  <si>
    <t>g</t>
  </si>
  <si>
    <t xml:space="preserve">grams </t>
  </si>
  <si>
    <t>h</t>
  </si>
  <si>
    <t>hour</t>
  </si>
  <si>
    <t>ha</t>
  </si>
  <si>
    <t>hectare</t>
  </si>
  <si>
    <t>K</t>
  </si>
  <si>
    <t>potassium</t>
  </si>
  <si>
    <t>k€</t>
  </si>
  <si>
    <t>kiloeuro (€ 1,000)</t>
  </si>
  <si>
    <t>kg</t>
  </si>
  <si>
    <t>kilograms</t>
  </si>
  <si>
    <t>kWh</t>
  </si>
  <si>
    <t>kilowatt-hour</t>
  </si>
  <si>
    <t>l</t>
  </si>
  <si>
    <t>litre</t>
  </si>
  <si>
    <t>mg</t>
  </si>
  <si>
    <t>micrograms</t>
  </si>
  <si>
    <t>mo</t>
  </si>
  <si>
    <t>month</t>
  </si>
  <si>
    <r>
      <t>m</t>
    </r>
    <r>
      <rPr>
        <vertAlign val="superscript"/>
        <sz val="12"/>
        <rFont val="Calibri"/>
        <family val="2"/>
        <scheme val="minor"/>
      </rPr>
      <t>2</t>
    </r>
  </si>
  <si>
    <t xml:space="preserve">square metre </t>
  </si>
  <si>
    <r>
      <t>m</t>
    </r>
    <r>
      <rPr>
        <vertAlign val="superscript"/>
        <sz val="12"/>
        <color theme="1"/>
        <rFont val="Cambria"/>
        <family val="1"/>
      </rPr>
      <t>3</t>
    </r>
  </si>
  <si>
    <t>cubic metre</t>
  </si>
  <si>
    <t>N</t>
  </si>
  <si>
    <t>nitrogen</t>
  </si>
  <si>
    <t>P</t>
  </si>
  <si>
    <t>phosphorus</t>
  </si>
  <si>
    <t>ppm</t>
  </si>
  <si>
    <t>parts per million</t>
  </si>
  <si>
    <t>t</t>
  </si>
  <si>
    <t>tonnes</t>
  </si>
  <si>
    <t>w</t>
  </si>
  <si>
    <t>week</t>
  </si>
  <si>
    <t>year</t>
  </si>
  <si>
    <t>Identification</t>
  </si>
  <si>
    <t>Parcel Name</t>
  </si>
  <si>
    <t xml:space="preserve"> </t>
  </si>
  <si>
    <t>yes</t>
  </si>
  <si>
    <t>no</t>
  </si>
  <si>
    <t xml:space="preserve">u.m. </t>
  </si>
  <si>
    <t>value</t>
  </si>
  <si>
    <t>Notes</t>
  </si>
  <si>
    <t>Parcel dimension</t>
  </si>
  <si>
    <t>Number of animals</t>
  </si>
  <si>
    <t>Livestock units per hectare</t>
  </si>
  <si>
    <t>LSU/ha</t>
  </si>
  <si>
    <t>%</t>
  </si>
  <si>
    <t>Soil Organic Carbon</t>
  </si>
  <si>
    <t>Year 1</t>
  </si>
  <si>
    <t>Year 2</t>
  </si>
  <si>
    <t>Year 3</t>
  </si>
  <si>
    <t>data</t>
  </si>
  <si>
    <t xml:space="preserve">Drinking </t>
  </si>
  <si>
    <t>#</t>
  </si>
  <si>
    <t>n</t>
  </si>
  <si>
    <t>Calves died in the first 24h</t>
  </si>
  <si>
    <t>Total number of lost working hours due to occupational injuries</t>
  </si>
  <si>
    <t>OUTPUT</t>
  </si>
  <si>
    <t xml:space="preserve">Milk </t>
  </si>
  <si>
    <t xml:space="preserve">Meat </t>
  </si>
  <si>
    <t xml:space="preserve">Oyster </t>
  </si>
  <si>
    <t xml:space="preserve">Honey </t>
  </si>
  <si>
    <t>Water price</t>
  </si>
  <si>
    <t>Fuel price</t>
  </si>
  <si>
    <t>Electricity price</t>
  </si>
  <si>
    <t>Tot. number  of calves born</t>
  </si>
  <si>
    <t>Unit of measure</t>
  </si>
  <si>
    <t>Number of beehives</t>
  </si>
  <si>
    <t>Sowing / Planting</t>
  </si>
  <si>
    <t xml:space="preserve">or Total water used </t>
  </si>
  <si>
    <t>number of days per year with access to pasture and outdoor loafing area</t>
  </si>
  <si>
    <t>Outdoor loafing area</t>
  </si>
  <si>
    <t xml:space="preserve">Number of days per year with access to pasture </t>
  </si>
  <si>
    <t>New injury cases</t>
  </si>
  <si>
    <t>Working hours</t>
  </si>
  <si>
    <t>Number of new local employees hired</t>
  </si>
  <si>
    <t>Number of new employees hired</t>
  </si>
  <si>
    <t xml:space="preserve">or Total fuel used </t>
  </si>
  <si>
    <t xml:space="preserve">or Total electricity used </t>
  </si>
  <si>
    <t xml:space="preserve">INDICATOR </t>
  </si>
  <si>
    <t>SCENARIO</t>
  </si>
  <si>
    <t>UoM</t>
  </si>
  <si>
    <t>Cost of water</t>
  </si>
  <si>
    <t>Without DATs</t>
  </si>
  <si>
    <t>€/ha</t>
  </si>
  <si>
    <t>Cost of  fuel</t>
  </si>
  <si>
    <t>INDICATOR</t>
  </si>
  <si>
    <t>Formula</t>
  </si>
  <si>
    <t>kg/ha</t>
  </si>
  <si>
    <t>kWh/ha</t>
  </si>
  <si>
    <t>kg Co2e/ha</t>
  </si>
  <si>
    <t>direct + indirect N2O emissions</t>
  </si>
  <si>
    <t>direct</t>
  </si>
  <si>
    <t>indirect volatilisation</t>
  </si>
  <si>
    <t>n./hours</t>
  </si>
  <si>
    <t xml:space="preserve">Number of new injury cases/Total number of working hours </t>
  </si>
  <si>
    <t xml:space="preserve">Total number of lost working hours due to occupational injuries/Total number of working hours </t>
  </si>
  <si>
    <t xml:space="preserve">Number of new local employees/Total new employees hired </t>
  </si>
  <si>
    <t>With DATs</t>
  </si>
  <si>
    <t>h/employee</t>
  </si>
  <si>
    <t>Time spent for training hours for all the employee/number of employees</t>
  </si>
  <si>
    <t>Without DAT</t>
  </si>
  <si>
    <t>Cost of electricity</t>
  </si>
  <si>
    <t>d/y</t>
  </si>
  <si>
    <t>(Number of deaths in a year/Average herd size)</t>
  </si>
  <si>
    <t>(Calves died in the first 24 h / Total number of calves born)</t>
  </si>
  <si>
    <t>FARM DATA</t>
  </si>
  <si>
    <t>INPUT</t>
  </si>
  <si>
    <t xml:space="preserve">FUEL </t>
  </si>
  <si>
    <t>ELECTRICITY</t>
  </si>
  <si>
    <t>Cost of labour for fertilisation</t>
  </si>
  <si>
    <t>Name product 2</t>
  </si>
  <si>
    <t>u.m.</t>
  </si>
  <si>
    <t>Cost of labour for irrigation</t>
  </si>
  <si>
    <t>Cost of labour for pesticide</t>
  </si>
  <si>
    <t xml:space="preserve">Cost of labour for sowing_planting </t>
  </si>
  <si>
    <t>Cost of labour for pruning</t>
  </si>
  <si>
    <t xml:space="preserve">Cost of labour for field visits </t>
  </si>
  <si>
    <t xml:space="preserve">PESTICIDE </t>
  </si>
  <si>
    <t xml:space="preserve">Cost for pesticide </t>
  </si>
  <si>
    <t>FERTILISER</t>
  </si>
  <si>
    <t xml:space="preserve">Cost of fertiliser </t>
  </si>
  <si>
    <t>COST ANALYSIS</t>
  </si>
  <si>
    <t>REVENUES ANALYSIS</t>
  </si>
  <si>
    <t xml:space="preserve">Yield*Product market price </t>
  </si>
  <si>
    <t>(yield *Average N content (%))/(Amount of N fertilizer used /total area)*100</t>
  </si>
  <si>
    <t>Amount of N fertilizer used/total area</t>
  </si>
  <si>
    <t>Amount of P fertilizer used/total area</t>
  </si>
  <si>
    <t>(yield*Average P content (%))/(Amount of P fertilizer used/total area)*100</t>
  </si>
  <si>
    <t>Amount of water used/total area</t>
  </si>
  <si>
    <t>Yield/Amount of water used for irrigation</t>
  </si>
  <si>
    <t>Tot. amount of electricity used/tot area</t>
  </si>
  <si>
    <t>Tot. amount of fuel used *Lower heating value*Emission factor</t>
  </si>
  <si>
    <t>tot</t>
  </si>
  <si>
    <t>LABOUR</t>
  </si>
  <si>
    <t xml:space="preserve">FORMULAS </t>
  </si>
  <si>
    <t xml:space="preserve">TOTAL </t>
  </si>
  <si>
    <t>Cost of labour for greenhouse maintenance</t>
  </si>
  <si>
    <t xml:space="preserve">Cost of labour for tracking the quantity of grain available in the silo </t>
  </si>
  <si>
    <t>Cost of labour for controlling purchase and sale prices and quantities</t>
  </si>
  <si>
    <t xml:space="preserve">Cost of labour for organise logistics </t>
  </si>
  <si>
    <t>Cost of labour for cleaning</t>
  </si>
  <si>
    <t xml:space="preserve">Cost of labour for stable visits </t>
  </si>
  <si>
    <t xml:space="preserve">Cost of labour for heat detection </t>
  </si>
  <si>
    <t xml:space="preserve">Cost of labour for calving detection </t>
  </si>
  <si>
    <t xml:space="preserve">Cost of labour for pigsty management </t>
  </si>
  <si>
    <t>Cost of labour for (milk) quality assessment</t>
  </si>
  <si>
    <t xml:space="preserve">Cost of labour for feeding </t>
  </si>
  <si>
    <t xml:space="preserve">Cost of labour for beehives visits </t>
  </si>
  <si>
    <t xml:space="preserve">Cost of labour for sampling of oysters </t>
  </si>
  <si>
    <t xml:space="preserve">Cost of labour for transporting oysters to the laboratory  </t>
  </si>
  <si>
    <t xml:space="preserve">Pesticide 1 price </t>
  </si>
  <si>
    <t xml:space="preserve">Pesticide 2 price </t>
  </si>
  <si>
    <t>Fertiliser 1 price</t>
  </si>
  <si>
    <t>Fertiliser 2 price</t>
  </si>
  <si>
    <t>Feed 1 price</t>
  </si>
  <si>
    <t>Feed 2 price</t>
  </si>
  <si>
    <t>Drug 1 price</t>
  </si>
  <si>
    <t>Drug 2 price</t>
  </si>
  <si>
    <t>Cost of feed</t>
  </si>
  <si>
    <t xml:space="preserve"> Cost of drugs</t>
  </si>
  <si>
    <t xml:space="preserve">Milk *Product market price </t>
  </si>
  <si>
    <t xml:space="preserve">Meat*Product market price </t>
  </si>
  <si>
    <t xml:space="preserve">Oyster*Product market price </t>
  </si>
  <si>
    <t xml:space="preserve">Honey*Product market price </t>
  </si>
  <si>
    <t xml:space="preserve">ENVIRONMENTAL ANALYSIS </t>
  </si>
  <si>
    <t xml:space="preserve">INPUT </t>
  </si>
  <si>
    <t>l/ha</t>
  </si>
  <si>
    <t xml:space="preserve">SOCIAL ANALYSIS </t>
  </si>
  <si>
    <t>IPCC 2006 methodology (2019 refinement) - Tier 1</t>
  </si>
  <si>
    <t xml:space="preserve">N2O EMISSIONS </t>
  </si>
  <si>
    <t>description</t>
  </si>
  <si>
    <t>direct emissions</t>
  </si>
  <si>
    <t>EF1</t>
  </si>
  <si>
    <t>(Kg N2O-N)/(kg N input)</t>
  </si>
  <si>
    <t>Emission Factor default value for direct emissions</t>
  </si>
  <si>
    <t>EF1 SW</t>
  </si>
  <si>
    <t>Emission Factor for Synthetic fertilizers in Wet climates (optional)</t>
  </si>
  <si>
    <t>EF1 OW</t>
  </si>
  <si>
    <t>Other N inputs in Wet climates (optional)</t>
  </si>
  <si>
    <t>EF1 AD</t>
  </si>
  <si>
    <t>All N inputs in Dry climates (optional)</t>
  </si>
  <si>
    <t>indirect emissions</t>
  </si>
  <si>
    <t>EF4</t>
  </si>
  <si>
    <t>(Kg N2O-N)/(kg N volatilised)</t>
  </si>
  <si>
    <t>Emission Factor default value for volatilization of N</t>
  </si>
  <si>
    <t>EF4 W</t>
  </si>
  <si>
    <t>Emission Factor default value for volatilization of N in wet cliamtes</t>
  </si>
  <si>
    <t>EF4 D</t>
  </si>
  <si>
    <t>Emission Factor default value for volatilization of N in dry climates</t>
  </si>
  <si>
    <t>Frac GASF</t>
  </si>
  <si>
    <t>(kg N volatilised)/(Kg of N input)</t>
  </si>
  <si>
    <t>Fraction of synthetic fertiliser N that volatilises</t>
  </si>
  <si>
    <t>Frac GASM</t>
  </si>
  <si>
    <t>Fraction of organic fertiliser N that volatilies</t>
  </si>
  <si>
    <t>FracLEACH</t>
  </si>
  <si>
    <t>(kg Nleaching&amp;runoff)/(Kg N input)</t>
  </si>
  <si>
    <t>For all N inputs</t>
  </si>
  <si>
    <t>FracLEACH D</t>
  </si>
  <si>
    <t>0 if leaching &amp; runoff process assumed to be absent or in dry climates</t>
  </si>
  <si>
    <t>EF5</t>
  </si>
  <si>
    <t>(kg N2O–N)/(kg N leached and runoff)</t>
  </si>
  <si>
    <t>Emission factor for N2O emissions from N leaching and runoff</t>
  </si>
  <si>
    <t>CF1</t>
  </si>
  <si>
    <t>Kg/kg</t>
  </si>
  <si>
    <t>Coversion factor from N to N2O</t>
  </si>
  <si>
    <t>GWP-N2O</t>
  </si>
  <si>
    <t>CO2 EMISSIONS FUEL</t>
  </si>
  <si>
    <t>Lower Heating Value Diesel</t>
  </si>
  <si>
    <t>MJ/l</t>
  </si>
  <si>
    <t>Castoldi &amp; Bechini, 2006</t>
  </si>
  <si>
    <t>EF diesel agri</t>
  </si>
  <si>
    <t>kg Co2e/Mj</t>
  </si>
  <si>
    <t xml:space="preserve"> IPCC 2006</t>
  </si>
  <si>
    <t xml:space="preserve">Number of employees </t>
  </si>
  <si>
    <t xml:space="preserve">Drugs use in apiculture </t>
  </si>
  <si>
    <t xml:space="preserve">Drugs use in aquaculture </t>
  </si>
  <si>
    <t>Amount of drugs used/ output</t>
  </si>
  <si>
    <t>Number of working weeks in a year</t>
  </si>
  <si>
    <t>OTHER DATA</t>
  </si>
  <si>
    <t>OTHER LABOUR DATA</t>
  </si>
  <si>
    <t xml:space="preserve">Cost of labour for organising logistics </t>
  </si>
  <si>
    <t xml:space="preserve">Additional revenues </t>
  </si>
  <si>
    <t xml:space="preserve">PRODUCTIVITY </t>
  </si>
  <si>
    <t xml:space="preserve">Drugs use in dairy livestock </t>
  </si>
  <si>
    <t xml:space="preserve">Drugs use in meat livestock   </t>
  </si>
  <si>
    <t>Amount of water used/production</t>
  </si>
  <si>
    <t xml:space="preserve"> Potassium applied</t>
  </si>
  <si>
    <t>Potassium use efficiency</t>
  </si>
  <si>
    <t>Amount of K fertilizer used/total area</t>
  </si>
  <si>
    <t>(yield*Average K content (%))/(Amount of K fertilizer used/total area)*100</t>
  </si>
  <si>
    <t xml:space="preserve">Cost of labour for greenhouse management </t>
  </si>
  <si>
    <t xml:space="preserve">Number of full-time employees </t>
  </si>
  <si>
    <t xml:space="preserve">Number of seasonal employees </t>
  </si>
  <si>
    <t>Area under aquaculture</t>
  </si>
  <si>
    <r>
      <t>m</t>
    </r>
    <r>
      <rPr>
        <vertAlign val="superscript"/>
        <sz val="12"/>
        <color theme="1"/>
        <rFont val="Calibri"/>
        <family val="2"/>
        <scheme val="minor"/>
      </rPr>
      <t>2</t>
    </r>
  </si>
  <si>
    <t>(Fixed values)</t>
  </si>
  <si>
    <t>DAT</t>
  </si>
  <si>
    <t>Cost of DAT</t>
  </si>
  <si>
    <t>Potassium applied</t>
  </si>
  <si>
    <t>pesticides, herbicides and fungicides use</t>
  </si>
  <si>
    <t>Amount of pesticides, herbicides and fungicide used/total area</t>
  </si>
  <si>
    <t>Amount of pesticides, herbicides and fungicides used/total area</t>
  </si>
  <si>
    <t xml:space="preserve">Arable and horticulture fuel consumption </t>
  </si>
  <si>
    <t xml:space="preserve">Livestock fuel consumption </t>
  </si>
  <si>
    <t xml:space="preserve">Aquaculture fuel consumption </t>
  </si>
  <si>
    <t xml:space="preserve">Apiculture fuel consumption </t>
  </si>
  <si>
    <t>t/m2</t>
  </si>
  <si>
    <t>Land Productivity</t>
  </si>
  <si>
    <t>total production / hours of labour employed</t>
  </si>
  <si>
    <t>Milk productivity</t>
  </si>
  <si>
    <t>total milk production / total number of cows</t>
  </si>
  <si>
    <t>Bees productivity</t>
  </si>
  <si>
    <t>Oyster productivity</t>
  </si>
  <si>
    <t>production / area used</t>
  </si>
  <si>
    <t xml:space="preserve">Meat productivity </t>
  </si>
  <si>
    <t>t / h</t>
  </si>
  <si>
    <t>t / ha</t>
  </si>
  <si>
    <t xml:space="preserve">EFFICIENCY </t>
  </si>
  <si>
    <t>Rate of time for quality analysis</t>
  </si>
  <si>
    <t>(hours spent for quality analysis / total number of working hours) *100</t>
  </si>
  <si>
    <t>Rate of on-time fulfilled orders</t>
  </si>
  <si>
    <t>(number of on-time fulfilled orders / number of orders received) * 100</t>
  </si>
  <si>
    <t>Number of wrong orders</t>
  </si>
  <si>
    <t xml:space="preserve">PRODUCT QUALITY  </t>
  </si>
  <si>
    <t xml:space="preserve">Intrinsic product quality </t>
  </si>
  <si>
    <t>Cows with high SCC</t>
  </si>
  <si>
    <t>number of cows producing high SCC milk / Total number of cows * 100</t>
  </si>
  <si>
    <t>Number of cows producing high SCC milk</t>
  </si>
  <si>
    <t>Tot. amount of fuel used/tot area</t>
  </si>
  <si>
    <t>Tot. amount of fuel used/LSU</t>
  </si>
  <si>
    <t xml:space="preserve">Tot. amount of fuel used/ area under aquaculture </t>
  </si>
  <si>
    <t>l/m2</t>
  </si>
  <si>
    <t xml:space="preserve">kg/beehives </t>
  </si>
  <si>
    <t>Tot. amount of fuel used/Number of beehives</t>
  </si>
  <si>
    <t xml:space="preserve">Tot. amount of fuel used/number of animals </t>
  </si>
  <si>
    <t>(hours assessing grain quality / total number of working hours) *100</t>
  </si>
  <si>
    <t>OTHER ECONOMIC DATA</t>
  </si>
  <si>
    <t xml:space="preserve">Economic - PRODUCTIVITY </t>
  </si>
  <si>
    <t xml:space="preserve">Economic - EFFICIENCY </t>
  </si>
  <si>
    <t>ENVIRONMENTAL KPIs</t>
  </si>
  <si>
    <t>SOCIAL KPIs</t>
  </si>
  <si>
    <t>€/l</t>
  </si>
  <si>
    <t>€/kWh</t>
  </si>
  <si>
    <t>€/h</t>
  </si>
  <si>
    <t xml:space="preserve">ANIMAL </t>
  </si>
  <si>
    <t xml:space="preserve">Number of people involved in the training </t>
  </si>
  <si>
    <t xml:space="preserve">Cost of labour for storage </t>
  </si>
  <si>
    <t>€/animal</t>
  </si>
  <si>
    <t xml:space="preserve">€/beehive </t>
  </si>
  <si>
    <t xml:space="preserve">€/piece </t>
  </si>
  <si>
    <t>number of hours for tracking the quantity of grain available in the silo *Average salary</t>
  </si>
  <si>
    <t>number of hours for assessing grain quality *Average salary</t>
  </si>
  <si>
    <t>number of hours for controlling purchase and sale prices and quantities *Average salary</t>
  </si>
  <si>
    <t>number of hours for  organise logistics *Average salary</t>
  </si>
  <si>
    <t xml:space="preserve">Cost of Training </t>
  </si>
  <si>
    <t>pieces</t>
  </si>
  <si>
    <t>Name fertiliser 3</t>
  </si>
  <si>
    <t>ADDITIONAL REVENUES</t>
  </si>
  <si>
    <t>CATEGORY</t>
  </si>
  <si>
    <t>Number of on-time fulfilled orders in a year</t>
  </si>
  <si>
    <t xml:space="preserve">Number of orders received in a year </t>
  </si>
  <si>
    <t xml:space="preserve">Number of wrong orders in a year </t>
  </si>
  <si>
    <t>Protein % DRY MATTER</t>
  </si>
  <si>
    <t>Humidity</t>
  </si>
  <si>
    <t xml:space="preserve">Test Weight </t>
  </si>
  <si>
    <t>kg/hl</t>
  </si>
  <si>
    <t>number of hours for pesticide activities *Average salary /Parcel dimension</t>
  </si>
  <si>
    <t>number of hours for field visits activities * Average professional salary /Parcel dimension</t>
  </si>
  <si>
    <t>(Amount of feed 1 * Feed 1 price) + (Amount of feed 2 * Feed 2 price) + … /animal</t>
  </si>
  <si>
    <t>number of hours for irrigation activities*Average salary /Parcel dimension</t>
  </si>
  <si>
    <t>number of hours for fertilisation activities * Average salary /Parcel dimension</t>
  </si>
  <si>
    <t>number of hours for sowing_planting activities * Average salary /Parcel dimension</t>
  </si>
  <si>
    <t>number of hours for pruning activities *Average salary /Parcel dimension</t>
  </si>
  <si>
    <t>number of hours for greenhouse management *Average salary /Parcel dimension</t>
  </si>
  <si>
    <t>number of hours for cleaning *Average salary /animal</t>
  </si>
  <si>
    <t>number of hours for stable visits*Average professional salary /animal</t>
  </si>
  <si>
    <t>number of hours for heat detection *Average salary /animal</t>
  </si>
  <si>
    <t>number of hours for calving detection *Average salary /animal</t>
  </si>
  <si>
    <t>number of hours for  pigsty management*Average salary /animal</t>
  </si>
  <si>
    <t>number of hours for (milk) quality assessment*Average salary /animal</t>
  </si>
  <si>
    <t>number of hours for feeding *Average salary /animal</t>
  </si>
  <si>
    <t>number of hours for beehives visits *Average salary / beehive</t>
  </si>
  <si>
    <t xml:space="preserve">number of hours for sampling of oysters* Average salary /piece </t>
  </si>
  <si>
    <t xml:space="preserve">number of hours for transporting oysters to the laboratory*Average salary /piece </t>
  </si>
  <si>
    <t xml:space="preserve">number of hours for harvesting oyster*Average salary /piece </t>
  </si>
  <si>
    <t xml:space="preserve">number of hours for storage *Average salary /piece </t>
  </si>
  <si>
    <t xml:space="preserve">(Amount of drugs 1 * Feed 1 price) + (Amount of drugs 2 * Feed 2 price) + … /animal or beehives  or pieces </t>
  </si>
  <si>
    <t xml:space="preserve">number of hours foradministrative activities *Average salary /parcel dimension or animal or beehives  or pieces </t>
  </si>
  <si>
    <t xml:space="preserve">Sum(Cost of labour for irrigation + Cost of labour for fertilisation + … /parcel dimension or animal or beehives  or pieces </t>
  </si>
  <si>
    <t xml:space="preserve">DAT maintenance + (Training hours*salary) /parcel dimension or animal or beehives  or pieces  </t>
  </si>
  <si>
    <t xml:space="preserve">Costs of external persons being paid to train employees on the use of DAT /parcel dimension or animal or beehives  or pieces </t>
  </si>
  <si>
    <t xml:space="preserve">kg / beehives </t>
  </si>
  <si>
    <t xml:space="preserve">total production / beehives </t>
  </si>
  <si>
    <t xml:space="preserve">total production / animals </t>
  </si>
  <si>
    <t>kg / animals / day</t>
  </si>
  <si>
    <t xml:space="preserve">total production / parcel area </t>
  </si>
  <si>
    <t>Pesticides, herbicides and fungicides use</t>
  </si>
  <si>
    <t xml:space="preserve">Aquaculture water productivity </t>
  </si>
  <si>
    <t xml:space="preserve">l/pieces </t>
  </si>
  <si>
    <t>Labour productivity (arable and horticulture)</t>
  </si>
  <si>
    <t>Labour productivity (dairy livestock)</t>
  </si>
  <si>
    <t>Labour productivity  (meat livestock)</t>
  </si>
  <si>
    <t>Labour productivity  (aquaculture)</t>
  </si>
  <si>
    <t>Labour productivity  (apiculture)</t>
  </si>
  <si>
    <t>l/h</t>
  </si>
  <si>
    <t>kg/h</t>
  </si>
  <si>
    <t xml:space="preserve">Tot. amount of electricity used/tot area or m2 or animal  </t>
  </si>
  <si>
    <t>Mortality rate (livestock)</t>
  </si>
  <si>
    <t>Mortality rate (aquaculture)</t>
  </si>
  <si>
    <t>Mortality rate (apiculture)</t>
  </si>
  <si>
    <t>(Number of deaths in a year/total animals)</t>
  </si>
  <si>
    <t xml:space="preserve">Mortality rate (livestock) </t>
  </si>
  <si>
    <t>indirect leaching/runoff</t>
  </si>
  <si>
    <t>Amount of N fertilizer used (kg-N) * fraction of leaching or runoff * emission factor 5</t>
  </si>
  <si>
    <t>[(Amount of synthetic N fertilizer used (kg-N) * fraction volatilized) + (Amount of organic N fertilizer used (kg-N) *fraction volatilized)] * Emission factor 4</t>
  </si>
  <si>
    <t>Amount of N fertilizer used (kg-N) * Emission factor 1</t>
  </si>
  <si>
    <t>Global Warming Potential of N2O compared to CO2 (IPCC AR6)</t>
  </si>
  <si>
    <t>Crop production</t>
  </si>
  <si>
    <t xml:space="preserve">Cost of milking </t>
  </si>
  <si>
    <t>number of hours for milking *Average salary /animal</t>
  </si>
  <si>
    <t>[(N. of treatements of pesticide 1*Amount of pesticide 1*pesticide 1 price)+(N. of treatements of pesticide 2 *Amount of pesticide 2 used *pesticide 2 price) + (N. of treatements of pesticide 3 *Amount of pesticide 3 used *pesticide 3 price (€/kg)]</t>
  </si>
  <si>
    <t>((Amount of fertilisers 1 used *Number of fertilizer 1 applications *Fertilisers 1 price) + (Amount of fertilisers 2 used *Number of fertilizer 2 applications *Fertilisers 2 price) + (Amount of fertilisers 3 used *Number of fertilizer 3 applications *Fertilisers 3 price)</t>
  </si>
  <si>
    <t>Cost of labour for harvesting</t>
  </si>
  <si>
    <t xml:space="preserve">Cost of labour for harvesting </t>
  </si>
  <si>
    <t>Average N content</t>
  </si>
  <si>
    <t>Average P content</t>
  </si>
  <si>
    <t>Average K content</t>
  </si>
  <si>
    <t>kg/m3</t>
  </si>
  <si>
    <t>IF(Total water used&gt;0; (Total water used * water price)/Parcel dimension; Sum(water Irrigation+ water Fertigation + water Pest dilution + …) * water price)</t>
  </si>
  <si>
    <t>IF(Total fuel used&gt;0; (Total fuel used*fuel price)/Parcel dimension; sum(Fertilisation+Pesticides +Irrigation+Sowing_Planting+Pruning+…) * fuel price)</t>
  </si>
  <si>
    <t>IF(Total electricity used &gt; 0; (Total electricity used* electricity price)/Parcel dimension; Sum(irrigation,…) *electricity price)</t>
  </si>
  <si>
    <t xml:space="preserve">TOT Cost </t>
  </si>
  <si>
    <t>Average nutrient content kg/kg</t>
  </si>
  <si>
    <t>BENEFIT</t>
  </si>
  <si>
    <t>Sum of costs</t>
  </si>
  <si>
    <t>COSTS</t>
  </si>
  <si>
    <t>NET BENEFIT</t>
  </si>
  <si>
    <t>PAYBACK PERIOD</t>
  </si>
  <si>
    <t>NPV</t>
  </si>
  <si>
    <t>ROI</t>
  </si>
  <si>
    <t xml:space="preserve">Total farm size </t>
  </si>
  <si>
    <t>DATS annual fees</t>
  </si>
  <si>
    <t>Cost of training service by external people (advisor, DATS providers, ...)</t>
  </si>
  <si>
    <t>Average professional salary (agronomist, veterinary, ...)</t>
  </si>
  <si>
    <t xml:space="preserve">Sold product market price </t>
  </si>
  <si>
    <t>Number of pesticide used (herbicides, fungicides, insecticides)</t>
  </si>
  <si>
    <t xml:space="preserve">Number of fertilizers used </t>
  </si>
  <si>
    <t>Number of feed used</t>
  </si>
  <si>
    <t>Number of drugs used</t>
  </si>
  <si>
    <t>Average salary (farmer and emloyees)</t>
  </si>
  <si>
    <t>Information about the TC</t>
  </si>
  <si>
    <t>Number of plants/trees</t>
  </si>
  <si>
    <r>
      <t>€/m</t>
    </r>
    <r>
      <rPr>
        <vertAlign val="superscript"/>
        <sz val="12"/>
        <color rgb="FF000000"/>
        <rFont val="Calibri"/>
        <family val="2"/>
        <scheme val="minor"/>
      </rPr>
      <t>3</t>
    </r>
  </si>
  <si>
    <r>
      <t>m</t>
    </r>
    <r>
      <rPr>
        <vertAlign val="superscript"/>
        <sz val="12"/>
        <color theme="1"/>
        <rFont val="Calibri"/>
        <family val="2"/>
        <scheme val="minor"/>
      </rPr>
      <t>3</t>
    </r>
    <r>
      <rPr>
        <sz val="12"/>
        <color theme="1"/>
        <rFont val="Calibri"/>
        <family val="2"/>
        <scheme val="minor"/>
      </rPr>
      <t>/ha</t>
    </r>
  </si>
  <si>
    <r>
      <t>m</t>
    </r>
    <r>
      <rPr>
        <vertAlign val="superscript"/>
        <sz val="12"/>
        <color theme="1"/>
        <rFont val="Calibri"/>
        <family val="2"/>
        <scheme val="minor"/>
      </rPr>
      <t>3</t>
    </r>
    <r>
      <rPr>
        <sz val="12"/>
        <color theme="1"/>
        <rFont val="Calibri"/>
        <family val="2"/>
        <scheme val="minor"/>
      </rPr>
      <t>/animal</t>
    </r>
  </si>
  <si>
    <t>l/beehive</t>
  </si>
  <si>
    <t>l/piece</t>
  </si>
  <si>
    <t>PESTICIDES (HERBICIDES, FUNGICIDES, INSECTICIDES)</t>
  </si>
  <si>
    <t>Average quantity per application</t>
  </si>
  <si>
    <t xml:space="preserve">N concentration </t>
  </si>
  <si>
    <t xml:space="preserve">P concentration </t>
  </si>
  <si>
    <t xml:space="preserve">K concentration </t>
  </si>
  <si>
    <t>€/t</t>
  </si>
  <si>
    <t>€/g</t>
  </si>
  <si>
    <t>Fuel 1</t>
  </si>
  <si>
    <t>Fuel 2</t>
  </si>
  <si>
    <t>Fuel n</t>
  </si>
  <si>
    <t>Name fuel 1</t>
  </si>
  <si>
    <t>Name fuel 2</t>
  </si>
  <si>
    <t>Quantity</t>
  </si>
  <si>
    <t>MARKET DATA</t>
  </si>
  <si>
    <t>€/kg</t>
  </si>
  <si>
    <t>€/piece</t>
  </si>
  <si>
    <r>
      <t>g/cm</t>
    </r>
    <r>
      <rPr>
        <vertAlign val="superscript"/>
        <sz val="12"/>
        <color theme="1"/>
        <rFont val="Calibri"/>
        <family val="2"/>
        <scheme val="minor"/>
      </rPr>
      <t>3</t>
    </r>
  </si>
  <si>
    <t>WATER</t>
  </si>
  <si>
    <t>l/animal</t>
  </si>
  <si>
    <t>FUEL FOR GREENHOUSE TEMPERATURE CONTROL</t>
  </si>
  <si>
    <t>kWh/animal</t>
  </si>
  <si>
    <t>kWh/beehive</t>
  </si>
  <si>
    <t>kWh/piece</t>
  </si>
  <si>
    <t>PESTICIDES</t>
  </si>
  <si>
    <t>kg/animal</t>
  </si>
  <si>
    <t>FERTILIZERS</t>
  </si>
  <si>
    <t>t/ha</t>
  </si>
  <si>
    <t>DRUGS</t>
  </si>
  <si>
    <t>g/animal</t>
  </si>
  <si>
    <t>g/beehive</t>
  </si>
  <si>
    <t>g/piece</t>
  </si>
  <si>
    <t>h (tot. for the activity)</t>
  </si>
  <si>
    <t>Expected life span of each DATSs</t>
  </si>
  <si>
    <t>Time to install and make DATSs operational</t>
  </si>
  <si>
    <t>Training hours for the use of the DATSs in a year</t>
  </si>
  <si>
    <t>DATSs name</t>
  </si>
  <si>
    <t xml:space="preserve">MARKET DATA FOR DATSs USER </t>
  </si>
  <si>
    <t xml:space="preserve">MARKET DATA FOR NON-DATSs USER </t>
  </si>
  <si>
    <t>PARCEL WITH DATSs</t>
  </si>
  <si>
    <t>With DATSs</t>
  </si>
  <si>
    <t>PARCEL WITHOUT DATSs</t>
  </si>
  <si>
    <t>Without DATSs</t>
  </si>
  <si>
    <t xml:space="preserve">Total water used </t>
  </si>
  <si>
    <t xml:space="preserve">Total fuel used </t>
  </si>
  <si>
    <t xml:space="preserve">Total electricity used </t>
  </si>
  <si>
    <t>Fuel 1 for greehnouse temperature control price</t>
  </si>
  <si>
    <t>COST</t>
  </si>
  <si>
    <t>Cost of DATSs</t>
  </si>
  <si>
    <t>DATSs</t>
  </si>
  <si>
    <r>
      <t>m</t>
    </r>
    <r>
      <rPr>
        <vertAlign val="superscript"/>
        <sz val="12"/>
        <color theme="1"/>
        <rFont val="Calibri"/>
        <family val="2"/>
        <scheme val="minor"/>
      </rPr>
      <t>3</t>
    </r>
  </si>
  <si>
    <t>Type of output/product</t>
  </si>
  <si>
    <t>crop</t>
  </si>
  <si>
    <t>meat</t>
  </si>
  <si>
    <t>milk</t>
  </si>
  <si>
    <t>honey</t>
  </si>
  <si>
    <t>oyster</t>
  </si>
  <si>
    <r>
      <t>m</t>
    </r>
    <r>
      <rPr>
        <vertAlign val="superscript"/>
        <sz val="12"/>
        <color theme="1"/>
        <rFont val="Calibri"/>
        <family val="2"/>
        <scheme val="minor"/>
      </rPr>
      <t>3</t>
    </r>
    <r>
      <rPr>
        <sz val="12"/>
        <color theme="1"/>
        <rFont val="Calibri"/>
        <family val="2"/>
        <scheme val="minor"/>
      </rPr>
      <t>/kg honey</t>
    </r>
  </si>
  <si>
    <r>
      <t>m</t>
    </r>
    <r>
      <rPr>
        <vertAlign val="superscript"/>
        <sz val="12"/>
        <color theme="1"/>
        <rFont val="Calibri"/>
        <family val="2"/>
        <scheme val="minor"/>
      </rPr>
      <t>3</t>
    </r>
    <r>
      <rPr>
        <sz val="12"/>
        <color theme="1"/>
        <rFont val="Calibri"/>
        <family val="2"/>
        <scheme val="minor"/>
      </rPr>
      <t>/piece</t>
    </r>
  </si>
  <si>
    <t>€/kg honey</t>
  </si>
  <si>
    <t>water</t>
  </si>
  <si>
    <t>Production type</t>
  </si>
  <si>
    <t>costs</t>
  </si>
  <si>
    <t>animal</t>
  </si>
  <si>
    <t>Animal</t>
  </si>
  <si>
    <t>Cost of labour for pesticide application</t>
  </si>
  <si>
    <t>Cost of labour for assessing product quality</t>
  </si>
  <si>
    <t>Silos product management</t>
  </si>
  <si>
    <t>grain (silos)</t>
  </si>
  <si>
    <t>Crop</t>
  </si>
  <si>
    <t>Grain (silos)</t>
  </si>
  <si>
    <t>Yield</t>
  </si>
  <si>
    <t>kg honey/beehive</t>
  </si>
  <si>
    <t>number of oysters/m2</t>
  </si>
  <si>
    <t>kg meat/h</t>
  </si>
  <si>
    <t>l milk/h</t>
  </si>
  <si>
    <t>pieces/h</t>
  </si>
  <si>
    <t>kg honey/h</t>
  </si>
  <si>
    <t>(yield *Average N content (%))/(Amount of N fertilizer applied/ha)*100</t>
  </si>
  <si>
    <t>(yield*Average P content (%))/(Amount of P fertilizer used/ha)*100</t>
  </si>
  <si>
    <t>(yield*Average K content (%))/(Amount of K fertilizer used/ha)*100</t>
  </si>
  <si>
    <t>Apple</t>
  </si>
  <si>
    <t>Grape</t>
  </si>
  <si>
    <t>Olives</t>
  </si>
  <si>
    <t>Tomato</t>
  </si>
  <si>
    <t>Potatoes</t>
  </si>
  <si>
    <t>Blueberries</t>
  </si>
  <si>
    <t>Corn</t>
  </si>
  <si>
    <t>Strawberries</t>
  </si>
  <si>
    <t>Bananas</t>
  </si>
  <si>
    <t>Wheat (T. aestivum)</t>
  </si>
  <si>
    <t>Wheat (T. durum)</t>
  </si>
  <si>
    <t>Barley</t>
  </si>
  <si>
    <t>Cotton</t>
  </si>
  <si>
    <t xml:space="preserve">Onion </t>
  </si>
  <si>
    <t>Corn (silage)</t>
  </si>
  <si>
    <t>Rye</t>
  </si>
  <si>
    <t>Rapeseed</t>
  </si>
  <si>
    <t>N content (avg.)</t>
  </si>
  <si>
    <t>P content (avg.)</t>
  </si>
  <si>
    <t>K content (avg.)</t>
  </si>
  <si>
    <t>kWh/kg honey</t>
  </si>
  <si>
    <t>kWh/t</t>
  </si>
  <si>
    <t>Number of death of animals/oyster/beehives</t>
  </si>
  <si>
    <r>
      <t>Oysters/m</t>
    </r>
    <r>
      <rPr>
        <vertAlign val="superscript"/>
        <sz val="11"/>
        <rFont val="Calibri"/>
        <family val="2"/>
        <scheme val="minor"/>
      </rPr>
      <t>2</t>
    </r>
  </si>
  <si>
    <t>g/m2</t>
  </si>
  <si>
    <t>€/m2</t>
  </si>
  <si>
    <t>€/beehive</t>
  </si>
  <si>
    <t>Name fuel n</t>
  </si>
  <si>
    <t>Name product n</t>
  </si>
  <si>
    <t>Number of fuel for greehnouse temperature control price</t>
  </si>
  <si>
    <t>greenhouse</t>
  </si>
  <si>
    <t>This form is intended to be filled out by each farmer involved in the Test Case (TC) and aims at collecting information that will be used for assessing the impacts of Digital agriculture technology solutions (DATSs). 
Please read carefully the following instructions.
- We kindly ask you to be as accurate as possible in providing the data and monitor them periodically as these will be the input for performance assessment. 
- Please ensure you keep track of the data requested and regularly check its availability. It's crucial that these values align for both user and non-user parcels. If they differ, kindly notify us promptly via email at the provided contact details.
- The data included in the template have been carefully chosen based on their link with the DATSs used in your TC and they were further customised following your feedback. If some of the data cannot be applicable/available to your TC, please enter ‘n.a.’ in the corresponding cell and provide a comment explaining why they are not applicable.
Additionally, in case some of the data cannot be collected due to some problems you may encounter during the season, please inform us promptly by writing an e-mail to the contact details provided below.
- In order to obtain the assessment of the impacts of DATS, it is necessary to provide data for the farm(s) using DATS and for the one without. According to the QuantiFarm project proposal, each parcel using DATSs is associated with a comparable non-DATs parcel (in terms of size, geographical area, production, etc.).
- Recall that:
            - the term DATS refers to the combinations or set of technological solutions implemented within the TC;
For any doubts or clarifications, please do not hesitate to contact us at the following email address: francesco.parigi@polimi.it and andrea.bianchi@polimi.it (cc: dmoniz@consulai.com)
This form is intended to be filled out by each farmer involved in the Test Case (TC) and aims at collecting information that will be used for assessing the impacts of Digital agriculture technology solutions (DATSs).</t>
  </si>
  <si>
    <t>(gg/mm/yyyy)</t>
  </si>
  <si>
    <t>Product name</t>
  </si>
  <si>
    <t>Cow</t>
  </si>
  <si>
    <t>Pig</t>
  </si>
  <si>
    <t xml:space="preserve">Poultry </t>
  </si>
  <si>
    <t>Milk</t>
  </si>
  <si>
    <t>Meat</t>
  </si>
  <si>
    <t>Oyster</t>
  </si>
  <si>
    <t>Honey</t>
  </si>
  <si>
    <t>Fuel 2 for greehnouse temperature control price</t>
  </si>
  <si>
    <t>Fuel 3 for greehnouse temperature control price</t>
  </si>
  <si>
    <r>
      <t>€/m</t>
    </r>
    <r>
      <rPr>
        <vertAlign val="superscript"/>
        <sz val="12"/>
        <color rgb="FF000000"/>
        <rFont val="Calibri"/>
        <family val="2"/>
        <scheme val="minor"/>
      </rPr>
      <t>4</t>
    </r>
    <r>
      <rPr>
        <sz val="11"/>
        <color theme="1"/>
        <rFont val="Calibri"/>
        <family val="2"/>
        <scheme val="minor"/>
      </rPr>
      <t/>
    </r>
  </si>
  <si>
    <t>Name product 1</t>
  </si>
  <si>
    <t xml:space="preserve">Name fertiliser 2 </t>
  </si>
  <si>
    <t>FERTILIZER TYPE</t>
  </si>
  <si>
    <t>Organic</t>
  </si>
  <si>
    <t>Mineral</t>
  </si>
  <si>
    <t>Mineral/Organic</t>
  </si>
  <si>
    <t>Feed 1</t>
  </si>
  <si>
    <t>Feed 2</t>
  </si>
  <si>
    <t>Name feed 1</t>
  </si>
  <si>
    <t>Quantity feed 1</t>
  </si>
  <si>
    <t>Name feed 2</t>
  </si>
  <si>
    <t>Quantity feed 2</t>
  </si>
  <si>
    <t>Name fertiliser 1</t>
  </si>
  <si>
    <t>Drug 1</t>
  </si>
  <si>
    <t>Drug 2</t>
  </si>
  <si>
    <t xml:space="preserve">Cost of administrative activities, data collection, etc. </t>
  </si>
  <si>
    <t>Crop revenue</t>
  </si>
  <si>
    <t>Milk revenue</t>
  </si>
  <si>
    <t>Meat revenue</t>
  </si>
  <si>
    <t>Oyster revenue</t>
  </si>
  <si>
    <t>Honey revenue</t>
  </si>
  <si>
    <t>Grain (silos) revenue</t>
  </si>
  <si>
    <t>Labour productivity (silos)</t>
  </si>
  <si>
    <t>t/h</t>
  </si>
  <si>
    <t>l milk/cow/day</t>
  </si>
  <si>
    <t xml:space="preserve">Start of the growing/production season </t>
  </si>
  <si>
    <t xml:space="preserve">End of the growing/production season </t>
  </si>
  <si>
    <t>kg meat/animal/day</t>
  </si>
  <si>
    <t>Protein % on dry matter</t>
  </si>
  <si>
    <t>Mj/l</t>
  </si>
  <si>
    <t>Number of comparison(s)</t>
  </si>
  <si>
    <t>Soil Bulk Density</t>
  </si>
  <si>
    <t>Sand content in the soil</t>
  </si>
  <si>
    <t>Clay content in the soil</t>
  </si>
  <si>
    <t>Silt content in the soil</t>
  </si>
  <si>
    <t>h/ha</t>
  </si>
  <si>
    <t>GHG</t>
  </si>
  <si>
    <t>GHG emissions</t>
  </si>
  <si>
    <t>total ghg emissions</t>
  </si>
  <si>
    <t xml:space="preserve">Pesticide 3 price </t>
  </si>
  <si>
    <t xml:space="preserve">Pesticide 4 price </t>
  </si>
  <si>
    <t xml:space="preserve">Pesticide 5 price </t>
  </si>
  <si>
    <t xml:space="preserve">Pesticide 6 price </t>
  </si>
  <si>
    <t xml:space="preserve">Pesticide 7 price </t>
  </si>
  <si>
    <t xml:space="preserve">Pesticide 8 price </t>
  </si>
  <si>
    <t xml:space="preserve">Pesticide 9 price </t>
  </si>
  <si>
    <t xml:space="preserve">Pesticide 10 price </t>
  </si>
  <si>
    <t>Fertiliser 4 price</t>
  </si>
  <si>
    <t>Fertiliser 5 price</t>
  </si>
  <si>
    <t>Fertiliser 6 price</t>
  </si>
  <si>
    <t>Fertiliser 7 price</t>
  </si>
  <si>
    <t>Fertiliser 8 price</t>
  </si>
  <si>
    <t>Fertiliser 9 price</t>
  </si>
  <si>
    <t>Fertiliser 10 price</t>
  </si>
  <si>
    <t>Fertiliser 3 price</t>
  </si>
  <si>
    <t>Feed 3 price</t>
  </si>
  <si>
    <t>Feed 4 price</t>
  </si>
  <si>
    <t>Feed 5 price</t>
  </si>
  <si>
    <t>Drug 3 price</t>
  </si>
  <si>
    <t>Product 3</t>
  </si>
  <si>
    <t>Product 4</t>
  </si>
  <si>
    <t>Product 5</t>
  </si>
  <si>
    <t>Product 6</t>
  </si>
  <si>
    <t>Product 7</t>
  </si>
  <si>
    <t>Product 8</t>
  </si>
  <si>
    <t>Product 9</t>
  </si>
  <si>
    <t>Product 10</t>
  </si>
  <si>
    <t>Fertilizer 1</t>
  </si>
  <si>
    <t>Fertilizer 2</t>
  </si>
  <si>
    <t>Fertilizer 3</t>
  </si>
  <si>
    <t>Fertilizer 4</t>
  </si>
  <si>
    <t>Fertilizer 5</t>
  </si>
  <si>
    <t>Fertilizer 6</t>
  </si>
  <si>
    <t>Fertilizer 7</t>
  </si>
  <si>
    <t>Fertilizer 8</t>
  </si>
  <si>
    <t>Fertilizer 9</t>
  </si>
  <si>
    <t>Fertilizer 10</t>
  </si>
  <si>
    <t>Name fertiliser 4</t>
  </si>
  <si>
    <t>Name fertiliser 5</t>
  </si>
  <si>
    <t>Name fertiliser 6</t>
  </si>
  <si>
    <t>Name fertiliser 7</t>
  </si>
  <si>
    <t>Name fertiliser 8</t>
  </si>
  <si>
    <t>Name fertiliser 9</t>
  </si>
  <si>
    <t>Name fertiliser 10</t>
  </si>
  <si>
    <t>Feed 3</t>
  </si>
  <si>
    <t>Feed 4</t>
  </si>
  <si>
    <t>Feed 5</t>
  </si>
  <si>
    <t>Name feed 3</t>
  </si>
  <si>
    <t>Quantity feed 3</t>
  </si>
  <si>
    <t>Name feed 4</t>
  </si>
  <si>
    <t>Quantity feed 4</t>
  </si>
  <si>
    <t>Name feed 5</t>
  </si>
  <si>
    <t>Quantity feed 5</t>
  </si>
  <si>
    <t>Drug 3</t>
  </si>
  <si>
    <t>Quantity pruduct 1</t>
  </si>
  <si>
    <t>Quantity pruduct 2</t>
  </si>
  <si>
    <t>Quantity pruduct 3</t>
  </si>
  <si>
    <t>Economic</t>
  </si>
  <si>
    <t>Sustainability category</t>
  </si>
  <si>
    <t>Environmental</t>
  </si>
  <si>
    <t>Social</t>
  </si>
  <si>
    <t>DATSs COSTS</t>
  </si>
  <si>
    <t>Sum of costs of labour</t>
  </si>
  <si>
    <t>KPI</t>
  </si>
  <si>
    <t>UNIT</t>
  </si>
  <si>
    <t>CBA</t>
  </si>
  <si>
    <t>INPUTS</t>
  </si>
  <si>
    <t>ENERGY</t>
  </si>
  <si>
    <t>GHG EMISSIONS</t>
  </si>
  <si>
    <t>QUALITY</t>
  </si>
  <si>
    <t>working time</t>
  </si>
  <si>
    <t>h/animal</t>
  </si>
  <si>
    <t>h/piece</t>
  </si>
  <si>
    <t>h/kg honey</t>
  </si>
  <si>
    <t>h/t</t>
  </si>
  <si>
    <t>Labour for irrigation</t>
  </si>
  <si>
    <t>Labour for pesticide</t>
  </si>
  <si>
    <t>Labour for fertilisation</t>
  </si>
  <si>
    <t xml:space="preserve">Labour for sowing_planting </t>
  </si>
  <si>
    <t>Labour for pruning</t>
  </si>
  <si>
    <t xml:space="preserve">Labour for field visits </t>
  </si>
  <si>
    <t>Labour for greenhouse management</t>
  </si>
  <si>
    <t xml:space="preserve">Labour for tracking the quantity of grain available in the silo </t>
  </si>
  <si>
    <t>Labour for assessing grain quality</t>
  </si>
  <si>
    <t>Labour for controlling purchase and sale prices and quantities</t>
  </si>
  <si>
    <t xml:space="preserve">Labour for organise logistics </t>
  </si>
  <si>
    <t>Labour for cleaning</t>
  </si>
  <si>
    <t xml:space="preserve">Labour for stable visits </t>
  </si>
  <si>
    <t xml:space="preserve">Labour for heat detection </t>
  </si>
  <si>
    <t xml:space="preserve">Labour for calving detection </t>
  </si>
  <si>
    <t xml:space="preserve">Labour for storage </t>
  </si>
  <si>
    <t xml:space="preserve">Labour for harvesting </t>
  </si>
  <si>
    <t xml:space="preserve">Labour for transporting oysters to the laboratory  </t>
  </si>
  <si>
    <t xml:space="preserve">Labour for pigsty management </t>
  </si>
  <si>
    <t>Labour for (milk) quality assessment</t>
  </si>
  <si>
    <t xml:space="preserve">Labour for feeding </t>
  </si>
  <si>
    <t xml:space="preserve">Labour for beehives visits </t>
  </si>
  <si>
    <t xml:space="preserve">Labour for sampling of oysters </t>
  </si>
  <si>
    <t>Labour for milking</t>
  </si>
  <si>
    <t xml:space="preserve">Labour for administrative activities, data collection, etc. </t>
  </si>
  <si>
    <t>Hours worked for the specific activities impacted by DATSs</t>
  </si>
  <si>
    <t>Hours worked for the specific activities that could be impacted by DATSs</t>
  </si>
  <si>
    <t>Main Impacts</t>
  </si>
  <si>
    <t>Icon</t>
  </si>
  <si>
    <t>overall score (%)</t>
  </si>
  <si>
    <t>REDUCED WATER CONSUMPTION</t>
  </si>
  <si>
    <t>INCREASED REVENUES</t>
  </si>
  <si>
    <t>due to higher yields</t>
  </si>
  <si>
    <t>Percentage of first class tomatoes of mass</t>
  </si>
  <si>
    <r>
      <t>m</t>
    </r>
    <r>
      <rPr>
        <vertAlign val="superscript"/>
        <sz val="12"/>
        <color theme="1"/>
        <rFont val="Calibri"/>
        <family val="2"/>
        <scheme val="minor"/>
      </rPr>
      <t>3</t>
    </r>
    <r>
      <rPr>
        <sz val="12"/>
        <color theme="1"/>
        <rFont val="Calibri"/>
        <family val="2"/>
        <scheme val="minor"/>
      </rPr>
      <t>/1000 l milk</t>
    </r>
  </si>
  <si>
    <t>l/1000 l milk</t>
  </si>
  <si>
    <t>kWh/100 kg meat</t>
  </si>
  <si>
    <t>kWh/1000 l milk</t>
  </si>
  <si>
    <t>kg/100 kg meat</t>
  </si>
  <si>
    <t>kg/1000 l milk</t>
  </si>
  <si>
    <t>g/100 kg meat</t>
  </si>
  <si>
    <t>g/1000 l milk</t>
  </si>
  <si>
    <r>
      <t>m</t>
    </r>
    <r>
      <rPr>
        <vertAlign val="superscript"/>
        <sz val="12"/>
        <color theme="1"/>
        <rFont val="Calibri"/>
        <family val="2"/>
        <scheme val="minor"/>
      </rPr>
      <t>3</t>
    </r>
    <r>
      <rPr>
        <sz val="12"/>
        <color theme="1"/>
        <rFont val="Calibri"/>
        <family val="2"/>
        <scheme val="minor"/>
      </rPr>
      <t>/100 kg meat</t>
    </r>
  </si>
  <si>
    <t>€/1000 l milk</t>
  </si>
  <si>
    <t>€/100 kg meat</t>
  </si>
  <si>
    <t>h/1000 l milk</t>
  </si>
  <si>
    <t>h/100 kg meat</t>
  </si>
  <si>
    <t xml:space="preserve">DATSs 1 DATA </t>
  </si>
  <si>
    <t xml:space="preserve">DATSs 2 DATA </t>
  </si>
  <si>
    <t xml:space="preserve">DATSs n DATA </t>
  </si>
  <si>
    <t xml:space="preserve">Initial investment for DATSs </t>
  </si>
  <si>
    <t xml:space="preserve">Cost of pesticide </t>
  </si>
  <si>
    <t>Icon number</t>
  </si>
  <si>
    <t>Initial investment for the DATSs</t>
  </si>
  <si>
    <t>Cost of DATSs (maintenance + annual fees)</t>
  </si>
  <si>
    <t>KPI category</t>
  </si>
  <si>
    <t>% aggregated</t>
  </si>
  <si>
    <t>SUSTAINABILITY CATEGORY AGGREGATION</t>
  </si>
  <si>
    <t>POSITIVE IMPACT</t>
  </si>
  <si>
    <t>NEGATIVE IMPACT</t>
  </si>
  <si>
    <t>NEUTRAL</t>
  </si>
  <si>
    <t>if &gt; is good = 1</t>
  </si>
  <si>
    <t>Impacted KPIs</t>
  </si>
  <si>
    <t>Abs. Value</t>
  </si>
  <si>
    <t>code</t>
  </si>
  <si>
    <t>meaning</t>
  </si>
  <si>
    <t>colour</t>
  </si>
  <si>
    <t>green</t>
  </si>
  <si>
    <t>red</t>
  </si>
  <si>
    <t>grey</t>
  </si>
  <si>
    <t xml:space="preserve">DATS </t>
  </si>
  <si>
    <t>blu</t>
  </si>
  <si>
    <t>Silos revenue</t>
  </si>
  <si>
    <t xml:space="preserve">Water consumption </t>
  </si>
  <si>
    <r>
      <t>m</t>
    </r>
    <r>
      <rPr>
        <vertAlign val="superscript"/>
        <sz val="12"/>
        <color theme="1"/>
        <rFont val="Calibri"/>
        <family val="2"/>
        <scheme val="minor"/>
      </rPr>
      <t>3</t>
    </r>
    <r>
      <rPr>
        <sz val="12"/>
        <color theme="1"/>
        <rFont val="Calibri"/>
        <family val="2"/>
        <scheme val="minor"/>
      </rPr>
      <t>/ animal</t>
    </r>
  </si>
  <si>
    <t>kg CO2 eq/ha</t>
  </si>
  <si>
    <t>kg CO2 eq/1000 l milk</t>
  </si>
  <si>
    <t>kg CO2 eq/100 kg meat</t>
  </si>
  <si>
    <t>kg CO2 eq/animal</t>
  </si>
  <si>
    <t>kg CO2 eq/kg honey</t>
  </si>
  <si>
    <t>kg CO2 eq/t</t>
  </si>
  <si>
    <t>kg CO2 eq/piece</t>
  </si>
  <si>
    <t>l/t</t>
  </si>
  <si>
    <t>l/100 kg meat</t>
  </si>
  <si>
    <t>years (n)</t>
  </si>
  <si>
    <t>Short description (for column K)</t>
  </si>
  <si>
    <t>Subtitle (for column J)</t>
  </si>
  <si>
    <t>Title  (for column J)</t>
  </si>
  <si>
    <t>Aquaculture water productivity</t>
  </si>
  <si>
    <t>metric quintal (100 kg)</t>
  </si>
  <si>
    <r>
      <t>m</t>
    </r>
    <r>
      <rPr>
        <vertAlign val="superscript"/>
        <sz val="12"/>
        <color theme="1"/>
        <rFont val="Calibri"/>
        <family val="2"/>
        <scheme val="minor"/>
      </rPr>
      <t>3</t>
    </r>
    <r>
      <rPr>
        <sz val="12"/>
        <color theme="1"/>
        <rFont val="Calibri"/>
        <family val="2"/>
        <scheme val="minor"/>
      </rPr>
      <t xml:space="preserve"> (1000 l)</t>
    </r>
  </si>
  <si>
    <t>l/cow/day</t>
  </si>
  <si>
    <t>kg/cow/day</t>
  </si>
  <si>
    <t>kg/beehives</t>
  </si>
  <si>
    <t xml:space="preserve">l/beehives </t>
  </si>
  <si>
    <t>% Adjusted (+/-) for aggregation</t>
  </si>
  <si>
    <t>Aggregated Impacts</t>
  </si>
  <si>
    <t>% aggregated (max range)</t>
  </si>
  <si>
    <t xml:space="preserve">IMPACT CATEGORY AGGREGATION </t>
  </si>
  <si>
    <t>Impact category</t>
  </si>
  <si>
    <t>Colour</t>
  </si>
  <si>
    <t xml:space="preserve">QMS Water Software </t>
  </si>
  <si>
    <t>Onions - DAT</t>
  </si>
  <si>
    <t>26-14-0</t>
  </si>
  <si>
    <t>Superstart</t>
  </si>
  <si>
    <t>Kaliumsulfaat (English potassium sulfate)</t>
  </si>
  <si>
    <t>Urean (mixture of ammonium nitrate and urea)</t>
  </si>
  <si>
    <t>Teon B</t>
  </si>
  <si>
    <t>Onions - NO DAT</t>
  </si>
  <si>
    <t>INCREASED COST OF LABOUR FOR IRRIGATION</t>
  </si>
  <si>
    <t>Cost of labour for irrigation:  may be due to the time needed to set up and fine-tune the DATSs correctly and to check their correct functioning</t>
  </si>
  <si>
    <t>more time needed to setup and check the DATSs</t>
  </si>
  <si>
    <t>The increase in revenue is driven by higher yields achieved through DATSs implementation</t>
  </si>
  <si>
    <t>The DATSs have overall allowed for a positive benefit due to the increase in yields</t>
  </si>
  <si>
    <t>HIGHER YIELDS</t>
  </si>
  <si>
    <t>Monetary Impacts</t>
  </si>
  <si>
    <t>due to better water management</t>
  </si>
  <si>
    <t>thanks to a better estimation of the crop's irrigation needs</t>
  </si>
  <si>
    <t>PAYBACK PERIOD NOT CALCULATED</t>
  </si>
  <si>
    <t>the initial investment for the DATSs is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</si>
</sst>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0.000000"/>
    <numFmt numFmtId="165" formatCode="&quot;€&quot;\ #,##0.00"/>
    <numFmt numFmtId="166" formatCode="0.0"/>
  </numFmts>
  <fonts count="47">
    <font>
      <sz val="12"/>
      <color theme="1"/>
      <name val="Calibri"/>
      <family val="2"/>
      <scheme val="minor"/>
    </font>
    <font>
      <sz val="11"/>
      <color theme="1"/>
      <name val="Calibri"/>
      <family val="2"/>
      <scheme val="minor"/>
    </font>
    <font>
      <sz val="8"/>
      <name val="Calibri"/>
      <family val="2"/>
      <scheme val="minor"/>
    </font>
    <font>
      <sz val="11"/>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b/>
      <sz val="12"/>
      <color rgb="FF000000"/>
      <name val="Calibri"/>
      <family val="2"/>
      <scheme val="minor"/>
    </font>
    <font>
      <sz val="12"/>
      <color rgb="FF000000"/>
      <name val="Cambria"/>
      <family val="1"/>
    </font>
    <font>
      <b/>
      <sz val="12"/>
      <color theme="0"/>
      <name val="Cambria"/>
      <family val="1"/>
    </font>
    <font>
      <sz val="12"/>
      <color theme="1"/>
      <name val="Cambria"/>
      <family val="1"/>
    </font>
    <font>
      <sz val="12"/>
      <color theme="1"/>
      <name val="Calibri"/>
      <family val="2"/>
    </font>
    <font>
      <vertAlign val="superscript"/>
      <sz val="12"/>
      <color theme="1"/>
      <name val="Calibri"/>
      <family val="2"/>
      <scheme val="minor"/>
    </font>
    <font>
      <vertAlign val="superscript"/>
      <sz val="12"/>
      <name val="Calibri"/>
      <family val="2"/>
      <scheme val="minor"/>
    </font>
    <font>
      <vertAlign val="superscript"/>
      <sz val="12"/>
      <color theme="1"/>
      <name val="Cambria"/>
      <family val="1"/>
    </font>
    <font>
      <b/>
      <sz val="20"/>
      <color theme="1"/>
      <name val="Calibri"/>
      <family val="2"/>
      <scheme val="minor"/>
    </font>
    <font>
      <b/>
      <sz val="12"/>
      <name val="Calibri"/>
      <family val="2"/>
      <scheme val="minor"/>
    </font>
    <font>
      <b/>
      <sz val="12"/>
      <color theme="0"/>
      <name val="Calibri"/>
      <family val="2"/>
    </font>
    <font>
      <sz val="12"/>
      <color rgb="FFFFFFFF"/>
      <name val="Calibri"/>
      <family val="2"/>
      <scheme val="minor"/>
    </font>
    <font>
      <b/>
      <sz val="12"/>
      <color theme="1"/>
      <name val="Calibri"/>
      <family val="2"/>
    </font>
    <font>
      <sz val="12"/>
      <name val="Calibri"/>
      <family val="2"/>
      <scheme val="minor"/>
    </font>
    <font>
      <sz val="14"/>
      <color rgb="FF000000"/>
      <name val="-webkit-standard"/>
    </font>
    <font>
      <sz val="12"/>
      <color theme="1"/>
      <name val="Calibri"/>
      <family val="2"/>
      <scheme val="minor"/>
    </font>
    <font>
      <sz val="11"/>
      <name val="TrebuchetMS"/>
    </font>
    <font>
      <b/>
      <sz val="11"/>
      <color theme="0"/>
      <name val="TrebuchetMS"/>
      <family val="2"/>
    </font>
    <font>
      <sz val="11"/>
      <color theme="1"/>
      <name val="Calibri"/>
      <family val="2"/>
      <scheme val="minor"/>
    </font>
    <font>
      <i/>
      <sz val="11"/>
      <color theme="0" tint="-0.34998626667073579"/>
      <name val="Calibri"/>
      <family val="2"/>
      <scheme val="minor"/>
    </font>
    <font>
      <i/>
      <sz val="11"/>
      <color theme="0" tint="-0.34998626667073579"/>
      <name val="TrebuchetMS"/>
    </font>
    <font>
      <i/>
      <sz val="11"/>
      <name val="TrebuchetMS"/>
    </font>
    <font>
      <sz val="11"/>
      <color rgb="FFFF0000"/>
      <name val="Calibri"/>
      <family val="2"/>
      <scheme val="minor"/>
    </font>
    <font>
      <b/>
      <i/>
      <sz val="11"/>
      <color theme="0"/>
      <name val="TrebuchetMS"/>
    </font>
    <font>
      <b/>
      <sz val="11"/>
      <name val="Calibri"/>
      <family val="2"/>
      <scheme val="minor"/>
    </font>
    <font>
      <sz val="10"/>
      <color rgb="FF000000"/>
      <name val="Tahoma"/>
      <family val="2"/>
    </font>
    <font>
      <b/>
      <sz val="10"/>
      <color rgb="FF000000"/>
      <name val="Tahoma"/>
      <family val="2"/>
    </font>
    <font>
      <i/>
      <sz val="12"/>
      <color rgb="FF000000"/>
      <name val="Calibri"/>
      <family val="2"/>
      <scheme val="minor"/>
    </font>
    <font>
      <b/>
      <sz val="11"/>
      <color theme="4"/>
      <name val="TrebuchetMS"/>
      <family val="2"/>
    </font>
    <font>
      <b/>
      <sz val="12"/>
      <color theme="0"/>
      <name val="Calibri"/>
      <family val="2"/>
      <scheme val="minor"/>
    </font>
    <font>
      <sz val="10"/>
      <color rgb="FF000000"/>
      <name val="Calibri"/>
      <family val="2"/>
    </font>
    <font>
      <sz val="11"/>
      <color rgb="FFFF0000"/>
      <name val="TrebuchetMS"/>
    </font>
    <font>
      <sz val="12"/>
      <color rgb="FFFF0000"/>
      <name val="Calibri"/>
      <family val="2"/>
      <scheme val="minor"/>
    </font>
    <font>
      <vertAlign val="superscript"/>
      <sz val="12"/>
      <color rgb="FF000000"/>
      <name val="Calibri"/>
      <family val="2"/>
      <scheme val="minor"/>
    </font>
    <font>
      <vertAlign val="superscript"/>
      <sz val="11"/>
      <name val="Calibri"/>
      <family val="2"/>
      <scheme val="minor"/>
    </font>
    <font>
      <i/>
      <sz val="11"/>
      <name val="Calibri"/>
      <family val="2"/>
      <scheme val="minor"/>
    </font>
    <font>
      <b/>
      <sz val="11"/>
      <color theme="0"/>
      <name val="TrebuchetMS"/>
    </font>
    <font>
      <b/>
      <sz val="12"/>
      <color rgb="FF00B0F0"/>
      <name val="Calibri"/>
      <family val="2"/>
      <scheme val="minor"/>
    </font>
    <font>
      <b/>
      <i/>
      <sz val="12"/>
      <color theme="1"/>
      <name val="Calibri"/>
      <family val="2"/>
      <scheme val="minor"/>
    </font>
    <font>
      <b/>
      <sz val="11"/>
      <color theme="9" tint="-0.499984740745262"/>
      <name val="TrebuchetMS"/>
    </font>
  </fonts>
  <fills count="35">
    <fill>
      <patternFill patternType="none"/>
    </fill>
    <fill>
      <patternFill patternType="gray125"/>
    </fill>
    <fill>
      <patternFill patternType="solid">
        <fgColor rgb="FF44546A"/>
        <bgColor rgb="FF000000"/>
      </patternFill>
    </fill>
    <fill>
      <patternFill patternType="solid">
        <fgColor rgb="FFD6DCE4"/>
        <bgColor rgb="FF000000"/>
      </patternFill>
    </fill>
    <fill>
      <patternFill patternType="solid">
        <fgColor theme="3"/>
        <bgColor indexed="64"/>
      </patternFill>
    </fill>
    <fill>
      <patternFill patternType="solid">
        <fgColor theme="3" tint="0.79998168889431442"/>
        <bgColor indexed="64"/>
      </patternFill>
    </fill>
    <fill>
      <patternFill patternType="solid">
        <fgColor theme="0"/>
        <bgColor indexed="64"/>
      </patternFill>
    </fill>
    <fill>
      <patternFill patternType="solid">
        <fgColor rgb="FFFFFAEB"/>
        <bgColor indexed="64"/>
      </patternFill>
    </fill>
    <fill>
      <patternFill patternType="solid">
        <fgColor rgb="FF44546A"/>
        <bgColor rgb="FF44546A"/>
      </patternFill>
    </fill>
    <fill>
      <patternFill patternType="solid">
        <fgColor rgb="FFD6DCE4"/>
        <bgColor rgb="FFD6DCE4"/>
      </patternFill>
    </fill>
    <fill>
      <patternFill patternType="solid">
        <fgColor rgb="FFD6DCE4"/>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rgb="FF92D05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2" tint="-0.249977111117893"/>
        <bgColor indexed="64"/>
      </patternFill>
    </fill>
    <fill>
      <patternFill patternType="solid">
        <fgColor theme="4" tint="-0.249977111117893"/>
        <bgColor indexed="64"/>
      </patternFill>
    </fill>
    <fill>
      <patternFill patternType="solid">
        <fgColor rgb="FFFFC000"/>
        <bgColor indexed="64"/>
      </patternFill>
    </fill>
    <fill>
      <patternFill patternType="solid">
        <fgColor rgb="FF0070C0"/>
        <bgColor indexed="64"/>
      </patternFill>
    </fill>
    <fill>
      <patternFill patternType="solid">
        <fgColor rgb="FF002060"/>
        <bgColor indexed="64"/>
      </patternFill>
    </fill>
    <fill>
      <patternFill patternType="solid">
        <fgColor rgb="FF00B0F0"/>
        <bgColor indexed="64"/>
      </patternFill>
    </fill>
    <fill>
      <patternFill patternType="solid">
        <fgColor theme="7"/>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44" fontId="22" fillId="0" borderId="0" applyFont="0" applyFill="0" applyBorder="0" applyAlignment="0" applyProtection="0"/>
  </cellStyleXfs>
  <cellXfs count="238">
    <xf numFmtId="0" fontId="0" fillId="0" borderId="0" xfId="0"/>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vertical="center"/>
    </xf>
    <xf numFmtId="0" fontId="0" fillId="0" borderId="0" xfId="0" applyAlignment="1">
      <alignment wrapText="1"/>
    </xf>
    <xf numFmtId="0" fontId="4" fillId="5" borderId="5" xfId="0" applyFont="1" applyFill="1" applyBorder="1" applyAlignment="1">
      <alignment horizontal="center" vertical="center"/>
    </xf>
    <xf numFmtId="0" fontId="15" fillId="0" borderId="5" xfId="0" applyFont="1" applyBorder="1" applyAlignment="1">
      <alignment horizontal="center" vertical="center" wrapText="1"/>
    </xf>
    <xf numFmtId="0" fontId="4" fillId="0" borderId="5" xfId="0" applyFont="1" applyBorder="1" applyAlignment="1">
      <alignment horizontal="center" vertical="center"/>
    </xf>
    <xf numFmtId="0" fontId="4" fillId="0" borderId="0" xfId="0" applyFont="1"/>
    <xf numFmtId="0" fontId="11" fillId="0" borderId="0" xfId="0" applyFont="1" applyAlignment="1">
      <alignment vertical="center"/>
    </xf>
    <xf numFmtId="0" fontId="0" fillId="0" borderId="0" xfId="0" applyAlignment="1">
      <alignment vertical="center"/>
    </xf>
    <xf numFmtId="0" fontId="19" fillId="0" borderId="0" xfId="0" applyFont="1" applyAlignment="1">
      <alignment vertical="center"/>
    </xf>
    <xf numFmtId="0" fontId="4" fillId="0" borderId="0" xfId="0" applyFont="1" applyAlignment="1">
      <alignment vertical="center"/>
    </xf>
    <xf numFmtId="49" fontId="11" fillId="0" borderId="0" xfId="0" applyNumberFormat="1" applyFont="1" applyAlignment="1">
      <alignment vertical="center" wrapText="1"/>
    </xf>
    <xf numFmtId="0" fontId="16" fillId="0" borderId="0" xfId="0" applyFont="1" applyAlignment="1">
      <alignment vertical="center"/>
    </xf>
    <xf numFmtId="0" fontId="16" fillId="0" borderId="0" xfId="0" applyFont="1" applyAlignment="1">
      <alignment horizontal="center" vertical="center"/>
    </xf>
    <xf numFmtId="0" fontId="17" fillId="0" borderId="0" xfId="0" applyFont="1" applyAlignment="1">
      <alignment horizontal="left" vertical="center"/>
    </xf>
    <xf numFmtId="0" fontId="7" fillId="0" borderId="0" xfId="0" applyFont="1" applyAlignment="1">
      <alignment horizontal="center" vertical="center"/>
    </xf>
    <xf numFmtId="0" fontId="4" fillId="0" borderId="0" xfId="0" applyFont="1" applyAlignment="1">
      <alignment horizontal="center" vertical="center"/>
    </xf>
    <xf numFmtId="0" fontId="4" fillId="0" borderId="0" xfId="0" quotePrefix="1" applyFont="1"/>
    <xf numFmtId="0" fontId="10" fillId="0" borderId="0" xfId="0" applyFont="1" applyAlignment="1">
      <alignment horizontal="center" vertical="center" wrapText="1"/>
    </xf>
    <xf numFmtId="44" fontId="0" fillId="0" borderId="0" xfId="0" applyNumberFormat="1" applyAlignment="1">
      <alignment horizontal="center"/>
    </xf>
    <xf numFmtId="0" fontId="0" fillId="0" borderId="0" xfId="0" applyAlignment="1">
      <alignment horizontal="center"/>
    </xf>
    <xf numFmtId="0" fontId="27" fillId="0" borderId="0" xfId="0" applyFont="1" applyAlignment="1">
      <alignment horizontal="center" vertical="center"/>
    </xf>
    <xf numFmtId="0" fontId="0" fillId="0" borderId="0" xfId="0" applyAlignment="1">
      <alignment horizontal="center" wrapText="1"/>
    </xf>
    <xf numFmtId="0" fontId="28" fillId="0" borderId="0" xfId="0" applyFont="1" applyAlignment="1">
      <alignment horizontal="center" vertical="center"/>
    </xf>
    <xf numFmtId="0" fontId="29" fillId="0" borderId="0" xfId="0" applyFont="1" applyAlignment="1">
      <alignment vertical="center"/>
    </xf>
    <xf numFmtId="0" fontId="25" fillId="0" borderId="0" xfId="0" applyFont="1" applyAlignment="1">
      <alignment horizontal="center" vertical="center"/>
    </xf>
    <xf numFmtId="0" fontId="30" fillId="25" borderId="0" xfId="0" applyFont="1" applyFill="1" applyAlignment="1">
      <alignment horizontal="center" vertical="center"/>
    </xf>
    <xf numFmtId="0" fontId="24" fillId="18" borderId="15" xfId="0" applyFont="1" applyFill="1" applyBorder="1" applyAlignment="1">
      <alignment horizontal="center" vertical="center"/>
    </xf>
    <xf numFmtId="0" fontId="27" fillId="0" borderId="16" xfId="0" applyFont="1" applyBorder="1" applyAlignment="1">
      <alignment horizontal="center" vertical="center"/>
    </xf>
    <xf numFmtId="0" fontId="24" fillId="0" borderId="0" xfId="0" applyFont="1" applyAlignment="1">
      <alignment horizontal="center" vertical="center"/>
    </xf>
    <xf numFmtId="0" fontId="0" fillId="0" borderId="0" xfId="0" applyAlignment="1">
      <alignment vertical="center" wrapText="1"/>
    </xf>
    <xf numFmtId="0" fontId="3" fillId="0" borderId="0" xfId="0" applyFont="1" applyAlignment="1">
      <alignment vertical="center" wrapText="1"/>
    </xf>
    <xf numFmtId="0" fontId="26" fillId="0" borderId="0" xfId="0" applyFont="1" applyAlignment="1">
      <alignment horizontal="center" vertical="center" wrapText="1"/>
    </xf>
    <xf numFmtId="0" fontId="0" fillId="12" borderId="5" xfId="0" applyFill="1" applyBorder="1" applyAlignment="1">
      <alignment horizontal="center" vertical="center" wrapText="1"/>
    </xf>
    <xf numFmtId="0" fontId="3" fillId="12" borderId="5" xfId="0" applyFont="1" applyFill="1" applyBorder="1" applyAlignment="1">
      <alignment horizontal="left" vertical="center" wrapText="1"/>
    </xf>
    <xf numFmtId="0" fontId="26" fillId="0" borderId="5" xfId="0" applyFont="1" applyBorder="1" applyAlignment="1">
      <alignment horizontal="center" vertical="center" wrapText="1"/>
    </xf>
    <xf numFmtId="0" fontId="3" fillId="12" borderId="5" xfId="0" applyFont="1" applyFill="1" applyBorder="1" applyAlignment="1">
      <alignment horizontal="center" vertical="center" wrapText="1"/>
    </xf>
    <xf numFmtId="0" fontId="0" fillId="12" borderId="5" xfId="0" applyFill="1" applyBorder="1" applyAlignment="1">
      <alignment vertical="center" wrapText="1"/>
    </xf>
    <xf numFmtId="44" fontId="0" fillId="0" borderId="0" xfId="0" applyNumberFormat="1" applyAlignment="1">
      <alignment horizontal="center" wrapText="1"/>
    </xf>
    <xf numFmtId="44" fontId="23" fillId="0" borderId="0" xfId="1" applyFont="1" applyFill="1" applyAlignment="1">
      <alignment vertical="center" wrapText="1"/>
    </xf>
    <xf numFmtId="0" fontId="0" fillId="12" borderId="5" xfId="0" applyFill="1" applyBorder="1" applyAlignment="1">
      <alignment horizontal="center" vertical="center"/>
    </xf>
    <xf numFmtId="0" fontId="3" fillId="12" borderId="5" xfId="0" applyFont="1" applyFill="1" applyBorder="1" applyAlignment="1">
      <alignment vertical="center"/>
    </xf>
    <xf numFmtId="0" fontId="26" fillId="0" borderId="5" xfId="0" applyFont="1" applyBorder="1" applyAlignment="1">
      <alignment horizontal="center" vertical="center"/>
    </xf>
    <xf numFmtId="0" fontId="3" fillId="12" borderId="5" xfId="0" applyFont="1" applyFill="1" applyBorder="1" applyAlignment="1">
      <alignment horizontal="center" vertical="center"/>
    </xf>
    <xf numFmtId="0" fontId="3" fillId="12" borderId="5" xfId="0" applyFont="1" applyFill="1" applyBorder="1" applyAlignment="1">
      <alignment vertical="center" wrapText="1"/>
    </xf>
    <xf numFmtId="0" fontId="31" fillId="12" borderId="5" xfId="0" applyFont="1" applyFill="1" applyBorder="1" applyAlignment="1">
      <alignment vertical="center" wrapText="1"/>
    </xf>
    <xf numFmtId="0" fontId="4" fillId="26" borderId="0" xfId="0" applyFont="1" applyFill="1" applyAlignment="1">
      <alignment wrapText="1"/>
    </xf>
    <xf numFmtId="0" fontId="24" fillId="27" borderId="0" xfId="0" applyFont="1" applyFill="1" applyAlignment="1">
      <alignment horizontal="center" vertical="center" wrapText="1"/>
    </xf>
    <xf numFmtId="0" fontId="27" fillId="0" borderId="0" xfId="0" applyFont="1" applyAlignment="1">
      <alignment horizontal="center" vertical="center" wrapText="1"/>
    </xf>
    <xf numFmtId="0" fontId="24" fillId="25" borderId="15" xfId="0" applyFont="1" applyFill="1" applyBorder="1" applyAlignment="1">
      <alignment horizontal="center" vertical="center" wrapText="1"/>
    </xf>
    <xf numFmtId="0" fontId="24" fillId="0" borderId="0" xfId="0" applyFont="1" applyAlignment="1">
      <alignment horizontal="center" vertical="center" wrapText="1"/>
    </xf>
    <xf numFmtId="0" fontId="0" fillId="0" borderId="0" xfId="0" applyAlignment="1">
      <alignment horizontal="center" vertical="center"/>
    </xf>
    <xf numFmtId="0" fontId="26" fillId="0" borderId="0" xfId="0" applyFont="1" applyAlignment="1">
      <alignment horizontal="center" vertical="center"/>
    </xf>
    <xf numFmtId="0" fontId="30" fillId="25" borderId="0" xfId="0" applyFont="1" applyFill="1" applyAlignment="1">
      <alignment horizontal="center" vertical="center" wrapText="1"/>
    </xf>
    <xf numFmtId="0" fontId="25" fillId="0" borderId="0" xfId="0" applyFont="1" applyAlignment="1">
      <alignment horizontal="center" vertical="center" wrapText="1"/>
    </xf>
    <xf numFmtId="0" fontId="27" fillId="0" borderId="5" xfId="0" applyFont="1" applyBorder="1" applyAlignment="1">
      <alignment horizontal="center" vertical="center"/>
    </xf>
    <xf numFmtId="44" fontId="23" fillId="0" borderId="0" xfId="1" applyFont="1" applyFill="1" applyBorder="1" applyAlignment="1">
      <alignment vertical="center" wrapText="1"/>
    </xf>
    <xf numFmtId="0" fontId="0" fillId="28" borderId="0" xfId="0" applyFill="1"/>
    <xf numFmtId="0" fontId="35" fillId="28" borderId="0" xfId="0" applyFont="1" applyFill="1" applyAlignment="1">
      <alignment vertical="center"/>
    </xf>
    <xf numFmtId="0" fontId="0" fillId="28" borderId="0" xfId="0" applyFill="1" applyAlignment="1">
      <alignment horizontal="center"/>
    </xf>
    <xf numFmtId="0" fontId="20" fillId="28" borderId="0" xfId="0" applyFont="1" applyFill="1" applyAlignment="1">
      <alignment vertical="center"/>
    </xf>
    <xf numFmtId="0" fontId="0" fillId="28" borderId="0" xfId="0" applyFill="1" applyAlignment="1">
      <alignment wrapText="1"/>
    </xf>
    <xf numFmtId="0" fontId="0" fillId="24" borderId="0" xfId="0" applyFill="1"/>
    <xf numFmtId="0" fontId="36" fillId="29" borderId="0" xfId="0" applyFont="1" applyFill="1"/>
    <xf numFmtId="0" fontId="5" fillId="29" borderId="0" xfId="0" applyFont="1" applyFill="1"/>
    <xf numFmtId="0" fontId="24" fillId="24" borderId="0" xfId="0" applyFont="1" applyFill="1" applyAlignment="1">
      <alignment vertical="center"/>
    </xf>
    <xf numFmtId="0" fontId="24" fillId="24" borderId="0" xfId="0" applyFont="1" applyFill="1" applyAlignment="1">
      <alignment horizontal="center" vertical="center"/>
    </xf>
    <xf numFmtId="0" fontId="0" fillId="12" borderId="0" xfId="0" applyFill="1" applyAlignment="1">
      <alignment horizontal="center" vertical="center" wrapText="1"/>
    </xf>
    <xf numFmtId="0" fontId="26" fillId="30" borderId="5" xfId="0" applyFont="1" applyFill="1" applyBorder="1" applyAlignment="1">
      <alignment horizontal="center" vertical="center" wrapText="1"/>
    </xf>
    <xf numFmtId="0" fontId="36" fillId="26" borderId="0" xfId="0" applyFont="1" applyFill="1" applyAlignment="1">
      <alignment wrapText="1"/>
    </xf>
    <xf numFmtId="0" fontId="6" fillId="0" borderId="0" xfId="0" applyFont="1" applyAlignment="1">
      <alignment horizontal="left" vertical="center"/>
    </xf>
    <xf numFmtId="0" fontId="34" fillId="0" borderId="0" xfId="0" applyFont="1" applyAlignment="1">
      <alignment vertical="center"/>
    </xf>
    <xf numFmtId="164" fontId="0" fillId="0" borderId="0" xfId="0" applyNumberFormat="1"/>
    <xf numFmtId="44" fontId="38" fillId="0" borderId="0" xfId="1" applyFont="1" applyFill="1" applyAlignment="1">
      <alignment vertical="center" wrapText="1"/>
    </xf>
    <xf numFmtId="0" fontId="20" fillId="28" borderId="0" xfId="0" applyFont="1" applyFill="1" applyAlignment="1">
      <alignment horizontal="center" vertical="center"/>
    </xf>
    <xf numFmtId="0" fontId="0" fillId="28" borderId="0" xfId="0" applyFill="1" applyAlignment="1">
      <alignment horizontal="center" wrapText="1"/>
    </xf>
    <xf numFmtId="0" fontId="39" fillId="0" borderId="0" xfId="0" applyFont="1"/>
    <xf numFmtId="0" fontId="0" fillId="0" borderId="18" xfId="0" applyBorder="1"/>
    <xf numFmtId="0" fontId="0" fillId="0" borderId="0" xfId="0" applyAlignment="1">
      <alignment horizontal="center" vertical="center" wrapText="1"/>
    </xf>
    <xf numFmtId="0" fontId="0" fillId="6" borderId="0" xfId="0" applyFill="1" applyAlignment="1">
      <alignment horizontal="left" vertical="center"/>
    </xf>
    <xf numFmtId="0" fontId="4" fillId="6" borderId="0" xfId="0" applyFont="1" applyFill="1" applyAlignment="1">
      <alignment horizontal="left" vertical="center"/>
    </xf>
    <xf numFmtId="0" fontId="20" fillId="0" borderId="0" xfId="0" applyFont="1" applyAlignment="1">
      <alignment vertical="center" wrapText="1"/>
    </xf>
    <xf numFmtId="2" fontId="20" fillId="0" borderId="0" xfId="0" applyNumberFormat="1" applyFont="1" applyAlignment="1">
      <alignment vertical="center" wrapText="1"/>
    </xf>
    <xf numFmtId="0" fontId="10" fillId="0" borderId="5" xfId="0" applyFont="1" applyBorder="1" applyAlignment="1" applyProtection="1">
      <alignment horizontal="center" vertical="center" wrapText="1"/>
      <protection locked="0"/>
    </xf>
    <xf numFmtId="0" fontId="0" fillId="0" borderId="0" xfId="0" applyProtection="1">
      <protection locked="0"/>
    </xf>
    <xf numFmtId="0" fontId="4" fillId="5" borderId="5" xfId="0" applyFont="1" applyFill="1" applyBorder="1" applyAlignment="1" applyProtection="1">
      <alignment horizontal="center" vertical="center"/>
      <protection locked="0"/>
    </xf>
    <xf numFmtId="0" fontId="4" fillId="0" borderId="5" xfId="0" applyFont="1" applyBorder="1" applyProtection="1">
      <protection locked="0"/>
    </xf>
    <xf numFmtId="0" fontId="0" fillId="0" borderId="5" xfId="0" applyBorder="1" applyAlignment="1" applyProtection="1">
      <alignment horizontal="left" vertical="center"/>
      <protection locked="0"/>
    </xf>
    <xf numFmtId="0" fontId="6" fillId="0" borderId="6" xfId="0" applyFont="1" applyBorder="1" applyAlignment="1" applyProtection="1">
      <alignment horizontal="left" vertical="center"/>
      <protection locked="0"/>
    </xf>
    <xf numFmtId="0" fontId="0" fillId="0" borderId="5" xfId="0" applyBorder="1"/>
    <xf numFmtId="0" fontId="0" fillId="0" borderId="5" xfId="0" quotePrefix="1" applyBorder="1"/>
    <xf numFmtId="0" fontId="4" fillId="0" borderId="5" xfId="0" applyFont="1" applyBorder="1"/>
    <xf numFmtId="0" fontId="0" fillId="0" borderId="5" xfId="0" applyBorder="1" applyAlignment="1">
      <alignment horizontal="left" vertical="center"/>
    </xf>
    <xf numFmtId="0" fontId="6" fillId="0" borderId="5" xfId="0" applyFont="1" applyBorder="1" applyAlignment="1">
      <alignment vertical="center"/>
    </xf>
    <xf numFmtId="0" fontId="6" fillId="0" borderId="6" xfId="0" applyFont="1" applyBorder="1" applyAlignment="1">
      <alignment horizontal="left" vertical="center"/>
    </xf>
    <xf numFmtId="0" fontId="6" fillId="0" borderId="3" xfId="0" applyFont="1" applyBorder="1" applyAlignment="1">
      <alignment vertical="center"/>
    </xf>
    <xf numFmtId="0" fontId="6" fillId="0" borderId="4" xfId="0" applyFont="1" applyBorder="1" applyAlignment="1">
      <alignment horizontal="left" vertical="center"/>
    </xf>
    <xf numFmtId="0" fontId="4" fillId="0" borderId="5" xfId="0" quotePrefix="1" applyFont="1" applyBorder="1"/>
    <xf numFmtId="0" fontId="34" fillId="0" borderId="5" xfId="0" applyFont="1" applyBorder="1" applyAlignment="1">
      <alignment vertical="center"/>
    </xf>
    <xf numFmtId="14" fontId="4" fillId="0" borderId="5" xfId="0" applyNumberFormat="1" applyFont="1" applyBorder="1" applyProtection="1">
      <protection locked="0"/>
    </xf>
    <xf numFmtId="0" fontId="39" fillId="0" borderId="5" xfId="0" applyFont="1" applyBorder="1" applyProtection="1">
      <protection locked="0"/>
    </xf>
    <xf numFmtId="0" fontId="16" fillId="7" borderId="5" xfId="0" applyFont="1" applyFill="1" applyBorder="1" applyAlignment="1" applyProtection="1">
      <alignment horizontal="center" vertical="center"/>
      <protection locked="0"/>
    </xf>
    <xf numFmtId="0" fontId="16" fillId="7" borderId="5" xfId="0" applyFont="1" applyFill="1" applyBorder="1" applyAlignment="1" applyProtection="1">
      <alignment vertical="center"/>
      <protection locked="0"/>
    </xf>
    <xf numFmtId="0" fontId="0" fillId="6" borderId="5" xfId="0" applyFill="1" applyBorder="1" applyAlignment="1">
      <alignment horizontal="left" vertical="center"/>
    </xf>
    <xf numFmtId="0" fontId="4" fillId="13" borderId="1" xfId="0" applyFont="1" applyFill="1" applyBorder="1" applyAlignment="1">
      <alignment vertical="center"/>
    </xf>
    <xf numFmtId="0" fontId="4" fillId="13" borderId="2" xfId="0" applyFont="1" applyFill="1" applyBorder="1" applyAlignment="1">
      <alignment vertical="center"/>
    </xf>
    <xf numFmtId="0" fontId="4" fillId="14" borderId="5" xfId="0" applyFont="1" applyFill="1" applyBorder="1" applyAlignment="1">
      <alignment vertical="center"/>
    </xf>
    <xf numFmtId="0" fontId="4" fillId="6" borderId="5" xfId="0" applyFont="1" applyFill="1" applyBorder="1" applyAlignment="1">
      <alignment horizontal="left" vertical="center"/>
    </xf>
    <xf numFmtId="0" fontId="4" fillId="15" borderId="1" xfId="0" applyFont="1" applyFill="1" applyBorder="1" applyAlignment="1">
      <alignment vertical="center"/>
    </xf>
    <xf numFmtId="0" fontId="4" fillId="15" borderId="2" xfId="0" applyFont="1" applyFill="1" applyBorder="1" applyAlignment="1">
      <alignment vertical="center"/>
    </xf>
    <xf numFmtId="0" fontId="4" fillId="15" borderId="6" xfId="0" applyFont="1" applyFill="1" applyBorder="1" applyAlignment="1">
      <alignment vertical="center"/>
    </xf>
    <xf numFmtId="0" fontId="4" fillId="5" borderId="5" xfId="0" applyFont="1" applyFill="1" applyBorder="1" applyAlignment="1">
      <alignment vertical="center"/>
    </xf>
    <xf numFmtId="0" fontId="4" fillId="0" borderId="0" xfId="0" applyFont="1" applyAlignment="1" applyProtection="1">
      <alignment vertical="center"/>
      <protection locked="0"/>
    </xf>
    <xf numFmtId="0" fontId="16" fillId="0" borderId="0" xfId="0" applyFont="1" applyAlignment="1" applyProtection="1">
      <alignment vertical="center"/>
      <protection locked="0"/>
    </xf>
    <xf numFmtId="0" fontId="4" fillId="16" borderId="1" xfId="0" applyFont="1" applyFill="1" applyBorder="1" applyAlignment="1">
      <alignment vertical="center"/>
    </xf>
    <xf numFmtId="0" fontId="4" fillId="16" borderId="2" xfId="0" applyFont="1" applyFill="1" applyBorder="1" applyAlignment="1">
      <alignment vertical="center"/>
    </xf>
    <xf numFmtId="0" fontId="4" fillId="16" borderId="6" xfId="0" applyFont="1" applyFill="1" applyBorder="1" applyAlignment="1">
      <alignment vertical="center"/>
    </xf>
    <xf numFmtId="0" fontId="4" fillId="17" borderId="5" xfId="0" applyFont="1" applyFill="1" applyBorder="1" applyAlignment="1">
      <alignment vertical="center"/>
    </xf>
    <xf numFmtId="0" fontId="4" fillId="20" borderId="1" xfId="0" applyFont="1" applyFill="1" applyBorder="1" applyAlignment="1">
      <alignment vertical="center"/>
    </xf>
    <xf numFmtId="0" fontId="4" fillId="20" borderId="2" xfId="0" applyFont="1" applyFill="1" applyBorder="1" applyAlignment="1">
      <alignment vertical="center"/>
    </xf>
    <xf numFmtId="0" fontId="4" fillId="20" borderId="6" xfId="0" applyFont="1" applyFill="1" applyBorder="1" applyAlignment="1">
      <alignment vertical="center"/>
    </xf>
    <xf numFmtId="0" fontId="4" fillId="21" borderId="5" xfId="0" applyFont="1" applyFill="1" applyBorder="1" applyAlignment="1">
      <alignment vertical="center"/>
    </xf>
    <xf numFmtId="0" fontId="4" fillId="11" borderId="1" xfId="0" applyFont="1" applyFill="1" applyBorder="1" applyAlignment="1">
      <alignment vertical="center"/>
    </xf>
    <xf numFmtId="0" fontId="4" fillId="11" borderId="2" xfId="0" applyFont="1" applyFill="1" applyBorder="1" applyAlignment="1">
      <alignment vertical="center"/>
    </xf>
    <xf numFmtId="0" fontId="4" fillId="11" borderId="6" xfId="0" applyFont="1" applyFill="1" applyBorder="1" applyAlignment="1">
      <alignment vertical="center"/>
    </xf>
    <xf numFmtId="0" fontId="4" fillId="12" borderId="5" xfId="0" applyFont="1" applyFill="1" applyBorder="1" applyAlignment="1">
      <alignment vertical="center"/>
    </xf>
    <xf numFmtId="0" fontId="4" fillId="22" borderId="1" xfId="0" applyFont="1" applyFill="1" applyBorder="1" applyAlignment="1">
      <alignment vertical="center"/>
    </xf>
    <xf numFmtId="0" fontId="4" fillId="22" borderId="2" xfId="0" applyFont="1" applyFill="1" applyBorder="1" applyAlignment="1">
      <alignment vertical="center"/>
    </xf>
    <xf numFmtId="0" fontId="4" fillId="22" borderId="6" xfId="0" applyFont="1" applyFill="1" applyBorder="1" applyAlignment="1">
      <alignment vertical="center"/>
    </xf>
    <xf numFmtId="0" fontId="4" fillId="23" borderId="5" xfId="0" applyFont="1" applyFill="1" applyBorder="1" applyAlignment="1">
      <alignment vertical="center"/>
    </xf>
    <xf numFmtId="0" fontId="4" fillId="24" borderId="1" xfId="0" applyFont="1" applyFill="1" applyBorder="1" applyAlignment="1">
      <alignment vertical="center"/>
    </xf>
    <xf numFmtId="0" fontId="4" fillId="24" borderId="2" xfId="0" applyFont="1" applyFill="1" applyBorder="1" applyAlignment="1">
      <alignment vertical="center"/>
    </xf>
    <xf numFmtId="0" fontId="4" fillId="24" borderId="6" xfId="0" applyFont="1" applyFill="1" applyBorder="1" applyAlignment="1">
      <alignment vertical="center"/>
    </xf>
    <xf numFmtId="0" fontId="4" fillId="18" borderId="1" xfId="0" applyFont="1" applyFill="1" applyBorder="1" applyAlignment="1">
      <alignment vertical="center"/>
    </xf>
    <xf numFmtId="0" fontId="4" fillId="18" borderId="2" xfId="0" applyFont="1" applyFill="1" applyBorder="1" applyAlignment="1">
      <alignment vertical="center"/>
    </xf>
    <xf numFmtId="0" fontId="4" fillId="18" borderId="6" xfId="0" applyFont="1" applyFill="1" applyBorder="1" applyAlignment="1">
      <alignment vertical="center"/>
    </xf>
    <xf numFmtId="0" fontId="4" fillId="19" borderId="5" xfId="0" applyFont="1" applyFill="1" applyBorder="1" applyAlignment="1">
      <alignment vertical="center"/>
    </xf>
    <xf numFmtId="0" fontId="4" fillId="0" borderId="14" xfId="0" applyFont="1" applyBorder="1" applyAlignment="1">
      <alignment vertical="center"/>
    </xf>
    <xf numFmtId="0" fontId="4" fillId="0" borderId="14" xfId="0" applyFont="1" applyBorder="1" applyAlignment="1">
      <alignment horizontal="center" vertical="center"/>
    </xf>
    <xf numFmtId="0" fontId="21" fillId="0" borderId="0" xfId="0" applyFont="1"/>
    <xf numFmtId="0" fontId="20" fillId="0" borderId="5" xfId="0" applyFont="1" applyBorder="1"/>
    <xf numFmtId="0" fontId="0" fillId="0" borderId="0" xfId="0" applyAlignment="1" applyProtection="1">
      <alignment vertical="center"/>
      <protection locked="0"/>
    </xf>
    <xf numFmtId="0" fontId="20" fillId="0" borderId="0" xfId="0" applyFont="1" applyAlignment="1" applyProtection="1">
      <alignment horizontal="center" vertical="center"/>
      <protection locked="0"/>
    </xf>
    <xf numFmtId="2" fontId="16" fillId="7" borderId="5" xfId="0" applyNumberFormat="1" applyFont="1" applyFill="1" applyBorder="1" applyAlignment="1" applyProtection="1">
      <alignment vertical="center"/>
      <protection locked="0"/>
    </xf>
    <xf numFmtId="0" fontId="4" fillId="23" borderId="3" xfId="0" applyFont="1" applyFill="1" applyBorder="1" applyAlignment="1">
      <alignment vertical="center"/>
    </xf>
    <xf numFmtId="0" fontId="4" fillId="14" borderId="3" xfId="0" applyFont="1" applyFill="1" applyBorder="1" applyAlignment="1">
      <alignment vertical="center"/>
    </xf>
    <xf numFmtId="0" fontId="4" fillId="28" borderId="0" xfId="0" applyFont="1" applyFill="1"/>
    <xf numFmtId="0" fontId="4" fillId="28" borderId="0" xfId="0" applyFont="1" applyFill="1" applyAlignment="1">
      <alignment horizontal="center"/>
    </xf>
    <xf numFmtId="0" fontId="4" fillId="28" borderId="0" xfId="0" applyFont="1" applyFill="1" applyAlignment="1">
      <alignment wrapText="1"/>
    </xf>
    <xf numFmtId="0" fontId="4" fillId="28" borderId="0" xfId="0" applyFont="1" applyFill="1" applyAlignment="1">
      <alignment horizontal="center" wrapText="1"/>
    </xf>
    <xf numFmtId="0" fontId="16" fillId="28" borderId="0" xfId="0" applyFont="1" applyFill="1" applyAlignment="1">
      <alignment horizontal="center" vertical="center"/>
    </xf>
    <xf numFmtId="0" fontId="4" fillId="28" borderId="0" xfId="0" applyFont="1" applyFill="1" applyAlignment="1">
      <alignment horizontal="right" wrapText="1"/>
    </xf>
    <xf numFmtId="0" fontId="16" fillId="28" borderId="0" xfId="0" applyFont="1" applyFill="1" applyAlignment="1">
      <alignment vertical="center"/>
    </xf>
    <xf numFmtId="0" fontId="16" fillId="28" borderId="0" xfId="0" applyFont="1" applyFill="1" applyAlignment="1">
      <alignment horizontal="center"/>
    </xf>
    <xf numFmtId="0" fontId="11"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19" fillId="9" borderId="13" xfId="0" applyFont="1" applyFill="1" applyBorder="1" applyAlignment="1">
      <alignment horizontal="left" vertical="center"/>
    </xf>
    <xf numFmtId="0" fontId="7" fillId="3" borderId="3" xfId="0" applyFont="1" applyFill="1" applyBorder="1" applyAlignment="1">
      <alignment horizontal="left" vertical="center"/>
    </xf>
    <xf numFmtId="0" fontId="0" fillId="0" borderId="5" xfId="0" applyBorder="1" applyAlignment="1">
      <alignment horizontal="left"/>
    </xf>
    <xf numFmtId="0" fontId="16" fillId="7" borderId="0" xfId="0" applyFont="1" applyFill="1" applyAlignment="1" applyProtection="1">
      <alignment vertical="center"/>
      <protection locked="0"/>
    </xf>
    <xf numFmtId="0" fontId="10" fillId="0" borderId="6" xfId="0" applyFont="1" applyBorder="1" applyAlignment="1" applyProtection="1">
      <alignment horizontal="center" vertical="center" wrapText="1"/>
      <protection locked="0"/>
    </xf>
    <xf numFmtId="0" fontId="0" fillId="0" borderId="0" xfId="0" applyAlignment="1">
      <alignment horizontal="left"/>
    </xf>
    <xf numFmtId="0" fontId="42" fillId="0" borderId="5" xfId="0" applyFont="1" applyBorder="1" applyAlignment="1">
      <alignment horizontal="center" vertical="center" wrapText="1"/>
    </xf>
    <xf numFmtId="0" fontId="20" fillId="0" borderId="0" xfId="0" applyFont="1" applyAlignment="1">
      <alignment horizontal="center" wrapText="1"/>
    </xf>
    <xf numFmtId="0" fontId="42" fillId="0" borderId="5" xfId="0" applyFont="1" applyBorder="1" applyAlignment="1">
      <alignment horizontal="center" vertical="center"/>
    </xf>
    <xf numFmtId="0" fontId="24" fillId="27" borderId="0" xfId="0" applyFont="1" applyFill="1" applyAlignment="1">
      <alignment horizontal="center" vertical="center"/>
    </xf>
    <xf numFmtId="0" fontId="43" fillId="27" borderId="0" xfId="0" applyFont="1" applyFill="1" applyAlignment="1">
      <alignment horizontal="center" vertical="center"/>
    </xf>
    <xf numFmtId="1" fontId="0" fillId="0" borderId="0" xfId="0" applyNumberFormat="1" applyAlignment="1">
      <alignment horizontal="center"/>
    </xf>
    <xf numFmtId="165" fontId="0" fillId="0" borderId="0" xfId="0" applyNumberFormat="1"/>
    <xf numFmtId="166" fontId="0" fillId="0" borderId="0" xfId="0" applyNumberFormat="1" applyAlignment="1">
      <alignment horizontal="center"/>
    </xf>
    <xf numFmtId="0" fontId="4" fillId="12" borderId="5" xfId="0" applyFont="1" applyFill="1" applyBorder="1" applyAlignment="1">
      <alignment horizontal="center" vertical="center"/>
    </xf>
    <xf numFmtId="0" fontId="31" fillId="12" borderId="5" xfId="0" applyFont="1" applyFill="1" applyBorder="1" applyAlignment="1">
      <alignment vertical="center"/>
    </xf>
    <xf numFmtId="0" fontId="24" fillId="28" borderId="5" xfId="0" applyFont="1" applyFill="1" applyBorder="1" applyAlignment="1">
      <alignment horizontal="center" vertical="center"/>
    </xf>
    <xf numFmtId="0" fontId="20" fillId="12" borderId="5" xfId="0" applyFont="1" applyFill="1" applyBorder="1" applyAlignment="1">
      <alignment horizontal="center" vertical="center"/>
    </xf>
    <xf numFmtId="166" fontId="20" fillId="0" borderId="0" xfId="0" applyNumberFormat="1" applyFont="1" applyAlignment="1">
      <alignment horizontal="center"/>
    </xf>
    <xf numFmtId="1" fontId="20" fillId="0" borderId="0" xfId="0" applyNumberFormat="1" applyFont="1" applyAlignment="1">
      <alignment horizontal="center"/>
    </xf>
    <xf numFmtId="0" fontId="31" fillId="12" borderId="5" xfId="0" applyFont="1" applyFill="1" applyBorder="1" applyAlignment="1">
      <alignment horizontal="center" vertical="center"/>
    </xf>
    <xf numFmtId="1" fontId="4" fillId="0" borderId="0" xfId="0" applyNumberFormat="1" applyFont="1" applyAlignment="1">
      <alignment horizontal="center"/>
    </xf>
    <xf numFmtId="164" fontId="0" fillId="0" borderId="0" xfId="0" applyNumberFormat="1" applyAlignment="1">
      <alignment wrapText="1"/>
    </xf>
    <xf numFmtId="4" fontId="0" fillId="0" borderId="0" xfId="0" applyNumberFormat="1"/>
    <xf numFmtId="166" fontId="0" fillId="0" borderId="0" xfId="0" applyNumberFormat="1"/>
    <xf numFmtId="0" fontId="24" fillId="33" borderId="0" xfId="0" applyFont="1" applyFill="1" applyAlignment="1">
      <alignment horizontal="center" vertical="center"/>
    </xf>
    <xf numFmtId="0" fontId="43" fillId="33" borderId="0" xfId="0" applyFont="1" applyFill="1" applyAlignment="1">
      <alignment horizontal="center" vertical="center"/>
    </xf>
    <xf numFmtId="0" fontId="6" fillId="0" borderId="18" xfId="0" applyFont="1" applyBorder="1" applyAlignment="1" applyProtection="1">
      <alignment horizontal="left" vertical="center"/>
      <protection locked="0"/>
    </xf>
    <xf numFmtId="0" fontId="0" fillId="34" borderId="0" xfId="0" applyFill="1"/>
    <xf numFmtId="166" fontId="36" fillId="31" borderId="0" xfId="0" applyNumberFormat="1" applyFont="1" applyFill="1" applyAlignment="1">
      <alignment horizontal="center" vertical="center"/>
    </xf>
    <xf numFmtId="166" fontId="36" fillId="31" borderId="0" xfId="0" applyNumberFormat="1" applyFont="1" applyFill="1" applyAlignment="1">
      <alignment horizontal="left" vertical="center"/>
    </xf>
    <xf numFmtId="166" fontId="36" fillId="32" borderId="0" xfId="0" applyNumberFormat="1" applyFont="1" applyFill="1" applyAlignment="1">
      <alignment horizontal="center" vertical="center"/>
    </xf>
    <xf numFmtId="0" fontId="24" fillId="25" borderId="0" xfId="0" applyFont="1" applyFill="1" applyAlignment="1">
      <alignment horizontal="left" vertical="center"/>
    </xf>
    <xf numFmtId="166" fontId="36" fillId="32" borderId="0" xfId="0" applyNumberFormat="1" applyFont="1" applyFill="1" applyAlignment="1">
      <alignment horizontal="left" vertical="center"/>
    </xf>
    <xf numFmtId="0" fontId="0" fillId="0" borderId="5" xfId="0" applyBorder="1" applyAlignment="1">
      <alignment horizontal="center"/>
    </xf>
    <xf numFmtId="0" fontId="46" fillId="0" borderId="0" xfId="0" applyFont="1" applyAlignment="1">
      <alignment horizontal="center" vertical="center"/>
    </xf>
    <xf numFmtId="1" fontId="4" fillId="0" borderId="22" xfId="0" applyNumberFormat="1" applyFont="1" applyBorder="1" applyAlignment="1">
      <alignment horizontal="center"/>
    </xf>
    <xf numFmtId="1" fontId="4" fillId="0" borderId="23" xfId="0" applyNumberFormat="1" applyFont="1" applyBorder="1" applyAlignment="1">
      <alignment horizontal="center"/>
    </xf>
    <xf numFmtId="1" fontId="4" fillId="0" borderId="3" xfId="0" applyNumberFormat="1" applyFont="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3" xfId="0" applyBorder="1" applyAlignment="1">
      <alignment horizontal="center"/>
    </xf>
    <xf numFmtId="0" fontId="4" fillId="0" borderId="0" xfId="0" applyFont="1" applyAlignment="1">
      <alignment horizontal="center"/>
    </xf>
    <xf numFmtId="3" fontId="4" fillId="0" borderId="0" xfId="0" applyNumberFormat="1" applyFont="1" applyAlignment="1">
      <alignment horizontal="center"/>
    </xf>
    <xf numFmtId="1" fontId="4" fillId="25" borderId="6" xfId="0" applyNumberFormat="1" applyFont="1" applyFill="1" applyBorder="1" applyAlignment="1">
      <alignment horizontal="center"/>
    </xf>
    <xf numFmtId="0" fontId="4" fillId="0" borderId="22" xfId="0" applyFont="1" applyBorder="1"/>
    <xf numFmtId="0" fontId="4" fillId="0" borderId="23" xfId="0" applyFont="1" applyBorder="1"/>
    <xf numFmtId="0" fontId="4" fillId="0" borderId="3" xfId="0" applyFont="1" applyBorder="1"/>
    <xf numFmtId="3" fontId="45" fillId="0" borderId="2" xfId="0" applyNumberFormat="1" applyFont="1" applyBorder="1" applyAlignment="1">
      <alignment horizontal="center"/>
    </xf>
    <xf numFmtId="0" fontId="45" fillId="0" borderId="2" xfId="0" applyFont="1" applyBorder="1" applyAlignment="1">
      <alignment horizontal="center"/>
    </xf>
    <xf numFmtId="3" fontId="45" fillId="0" borderId="22" xfId="0" applyNumberFormat="1" applyFont="1" applyBorder="1" applyAlignment="1">
      <alignment horizontal="center"/>
    </xf>
    <xf numFmtId="3" fontId="45" fillId="0" borderId="23" xfId="0" applyNumberFormat="1" applyFont="1" applyBorder="1" applyAlignment="1">
      <alignment horizontal="center"/>
    </xf>
    <xf numFmtId="0" fontId="45" fillId="0" borderId="23" xfId="0" applyFont="1" applyBorder="1" applyAlignment="1">
      <alignment horizontal="center"/>
    </xf>
    <xf numFmtId="3" fontId="45" fillId="0" borderId="3" xfId="0" applyNumberFormat="1" applyFont="1" applyBorder="1" applyAlignment="1">
      <alignment horizontal="center"/>
    </xf>
    <xf numFmtId="166" fontId="4" fillId="0" borderId="0" xfId="0" applyNumberFormat="1" applyFont="1" applyAlignment="1">
      <alignment horizontal="center"/>
    </xf>
    <xf numFmtId="0" fontId="9" fillId="4" borderId="1"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4" xfId="0" applyFont="1" applyBorder="1" applyAlignment="1">
      <alignment horizontal="left" vertical="top" wrapText="1"/>
    </xf>
    <xf numFmtId="0" fontId="9" fillId="4" borderId="5"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18" fillId="2" borderId="1" xfId="0" applyFont="1" applyFill="1" applyBorder="1" applyAlignment="1" applyProtection="1">
      <alignment horizontal="center" vertical="center"/>
      <protection locked="0"/>
    </xf>
    <xf numFmtId="0" fontId="18" fillId="2" borderId="12" xfId="0" applyFont="1" applyFill="1" applyBorder="1" applyAlignment="1" applyProtection="1">
      <alignment horizontal="center" vertical="center"/>
      <protection locked="0"/>
    </xf>
    <xf numFmtId="0" fontId="5" fillId="4" borderId="9" xfId="0" applyFont="1" applyFill="1" applyBorder="1" applyAlignment="1" applyProtection="1">
      <alignment horizontal="center" vertical="center"/>
      <protection locked="0"/>
    </xf>
    <xf numFmtId="0" fontId="5" fillId="4" borderId="4" xfId="0" applyFont="1" applyFill="1" applyBorder="1" applyAlignment="1" applyProtection="1">
      <alignment horizontal="center" vertical="center"/>
      <protection locked="0"/>
    </xf>
    <xf numFmtId="0" fontId="20" fillId="7" borderId="1" xfId="0" applyFont="1" applyFill="1" applyBorder="1" applyAlignment="1" applyProtection="1">
      <alignment horizontal="left" vertical="center"/>
      <protection locked="0"/>
    </xf>
    <xf numFmtId="0" fontId="20" fillId="7" borderId="6" xfId="0" applyFont="1" applyFill="1" applyBorder="1" applyAlignment="1" applyProtection="1">
      <alignment horizontal="left" vertical="center"/>
      <protection locked="0"/>
    </xf>
    <xf numFmtId="0" fontId="17" fillId="8" borderId="10" xfId="0" applyFont="1" applyFill="1" applyBorder="1" applyAlignment="1">
      <alignment horizontal="left" vertical="center"/>
    </xf>
    <xf numFmtId="0" fontId="17" fillId="8" borderId="11" xfId="0" applyFont="1" applyFill="1" applyBorder="1" applyAlignment="1">
      <alignment horizontal="left" vertical="center"/>
    </xf>
    <xf numFmtId="0" fontId="4" fillId="15" borderId="9" xfId="0" applyFont="1" applyFill="1" applyBorder="1" applyAlignment="1">
      <alignment horizontal="left" vertical="center"/>
    </xf>
    <xf numFmtId="0" fontId="4" fillId="15" borderId="17" xfId="0" applyFont="1" applyFill="1" applyBorder="1" applyAlignment="1">
      <alignment horizontal="left" vertical="center"/>
    </xf>
    <xf numFmtId="0" fontId="15" fillId="0" borderId="5" xfId="0" applyFont="1" applyBorder="1" applyAlignment="1" applyProtection="1">
      <alignment horizontal="center" vertical="center"/>
      <protection locked="0"/>
    </xf>
    <xf numFmtId="0" fontId="16" fillId="10" borderId="1" xfId="0" applyFont="1" applyFill="1" applyBorder="1" applyAlignment="1" applyProtection="1">
      <alignment horizontal="center" vertical="center"/>
      <protection locked="0"/>
    </xf>
    <xf numFmtId="0" fontId="16" fillId="10" borderId="6" xfId="0" applyFont="1" applyFill="1" applyBorder="1" applyAlignment="1" applyProtection="1">
      <alignment horizontal="center" vertical="center"/>
      <protection locked="0"/>
    </xf>
    <xf numFmtId="0" fontId="15" fillId="0" borderId="5" xfId="0" applyFont="1" applyBorder="1" applyAlignment="1">
      <alignment horizontal="center" vertical="center"/>
    </xf>
    <xf numFmtId="0" fontId="44" fillId="0" borderId="19" xfId="0" applyFont="1" applyBorder="1" applyAlignment="1">
      <alignment horizontal="center"/>
    </xf>
    <xf numFmtId="0" fontId="44" fillId="0" borderId="21" xfId="0" applyFont="1" applyBorder="1" applyAlignment="1">
      <alignment horizontal="center"/>
    </xf>
    <xf numFmtId="0" fontId="44" fillId="0" borderId="20" xfId="0" applyFont="1" applyBorder="1" applyAlignment="1">
      <alignment horizontal="center"/>
    </xf>
  </cellXfs>
  <cellStyles count="2">
    <cellStyle name="Currency" xfId="1" builtinId="4"/>
    <cellStyle name="Normal" xfId="0" builtinId="0"/>
  </cellStyles>
  <dxfs count="192">
    <dxf>
      <fill>
        <patternFill>
          <bgColor theme="4"/>
        </patternFill>
      </fill>
    </dxf>
    <dxf>
      <fill>
        <patternFill>
          <bgColor rgb="FFF4B083"/>
        </patternFill>
      </fill>
    </dxf>
    <dxf>
      <fill>
        <patternFill>
          <bgColor rgb="FFA8D08D"/>
        </patternFill>
      </fill>
    </dxf>
    <dxf>
      <fill>
        <patternFill>
          <bgColor theme="0" tint="-0.24994659260841701"/>
        </patternFill>
      </fill>
    </dxf>
    <dxf>
      <font>
        <color theme="1"/>
      </font>
      <fill>
        <patternFill>
          <bgColor theme="0" tint="-0.24994659260841701"/>
        </patternFill>
      </fill>
    </dxf>
    <dxf>
      <font>
        <color theme="1"/>
      </font>
      <fill>
        <patternFill>
          <bgColor theme="9" tint="0.39994506668294322"/>
        </patternFill>
      </fill>
    </dxf>
    <dxf>
      <font>
        <color theme="1"/>
      </font>
      <fill>
        <patternFill>
          <bgColor theme="5" tint="0.39994506668294322"/>
        </patternFill>
      </fill>
    </dxf>
    <dxf>
      <font>
        <color theme="1"/>
      </font>
      <fill>
        <patternFill>
          <bgColor theme="9" tint="0.39994506668294322"/>
        </patternFill>
      </fill>
    </dxf>
    <dxf>
      <font>
        <color theme="1"/>
      </font>
      <fill>
        <patternFill>
          <bgColor theme="5" tint="0.39994506668294322"/>
        </patternFill>
      </fill>
    </dxf>
    <dxf>
      <font>
        <color theme="1"/>
      </font>
      <fill>
        <patternFill>
          <bgColor theme="0" tint="-0.24994659260841701"/>
        </patternFill>
      </fill>
    </dxf>
    <dxf>
      <font>
        <color theme="1"/>
      </font>
      <fill>
        <patternFill>
          <bgColor theme="9" tint="0.39994506668294322"/>
        </patternFill>
      </fill>
    </dxf>
    <dxf>
      <font>
        <color theme="1"/>
      </font>
      <fill>
        <patternFill>
          <bgColor theme="5" tint="0.39994506668294322"/>
        </patternFill>
      </fill>
    </dxf>
    <dxf>
      <font>
        <color theme="1"/>
      </font>
      <fill>
        <patternFill>
          <bgColor theme="0" tint="-0.24994659260841701"/>
        </patternFill>
      </fill>
    </dxf>
    <dxf>
      <fill>
        <patternFill>
          <bgColor theme="0" tint="-0.24994659260841701"/>
        </patternFill>
      </fill>
    </dxf>
    <dxf>
      <fill>
        <patternFill>
          <bgColor theme="0" tint="-0.24994659260841701"/>
        </patternFill>
      </fill>
    </dxf>
    <dxf>
      <fill>
        <patternFill>
          <bgColor theme="9" tint="0.39994506668294322"/>
        </patternFill>
      </fill>
    </dxf>
    <dxf>
      <fill>
        <patternFill>
          <bgColor theme="5" tint="0.39994506668294322"/>
        </patternFill>
      </fill>
    </dxf>
    <dxf>
      <fill>
        <patternFill>
          <bgColor rgb="FFA8D08D"/>
        </patternFill>
      </fill>
    </dxf>
    <dxf>
      <fill>
        <patternFill>
          <bgColor rgb="FFF4B083"/>
        </patternFill>
      </fill>
    </dxf>
    <dxf>
      <fill>
        <patternFill>
          <bgColor theme="4"/>
        </patternFill>
      </fill>
    </dxf>
    <dxf>
      <fill>
        <patternFill>
          <bgColor rgb="FFF4B083"/>
        </patternFill>
      </fill>
    </dxf>
    <dxf>
      <fill>
        <patternFill>
          <bgColor rgb="FFA8D08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rgb="FF00B0F0"/>
        </patternFill>
      </fill>
    </dxf>
    <dxf>
      <font>
        <color rgb="FF9C5700"/>
      </font>
      <fill>
        <patternFill>
          <bgColor rgb="FFFFEB9C"/>
        </patternFill>
      </fill>
    </dxf>
    <dxf>
      <font>
        <color theme="0"/>
      </font>
      <fill>
        <patternFill>
          <bgColor rgb="FF0070C0"/>
        </patternFill>
      </fill>
    </dxf>
    <dxf>
      <font>
        <color theme="0"/>
      </font>
      <fill>
        <patternFill>
          <bgColor rgb="FF92D050"/>
        </patternFill>
      </fill>
    </dxf>
    <dxf>
      <font>
        <color theme="0"/>
      </font>
      <fill>
        <patternFill>
          <bgColor rgb="FF002060"/>
        </patternFill>
      </fill>
    </dxf>
    <dxf>
      <fill>
        <patternFill>
          <bgColor theme="8"/>
        </patternFill>
      </fill>
    </dxf>
    <dxf>
      <font>
        <color theme="0"/>
      </font>
      <fill>
        <patternFill>
          <bgColor rgb="FF92D050"/>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colors>
    <mruColors>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alcChain" Target="calcChain.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7</xdr:col>
      <xdr:colOff>646234</xdr:colOff>
      <xdr:row>0</xdr:row>
      <xdr:rowOff>0</xdr:rowOff>
    </xdr:from>
    <xdr:ext cx="65" cy="172227"/>
    <xdr:sp macro="" textlink="">
      <xdr:nvSpPr>
        <xdr:cNvPr id="3" name="CasellaDiTesto 2">
          <a:extLst>
            <a:ext uri="{FF2B5EF4-FFF2-40B4-BE49-F238E27FC236}">
              <a16:creationId xmlns:a16="http://schemas.microsoft.com/office/drawing/2014/main" id="{FB06C884-F87D-724A-A84B-55557E7F0A33}"/>
            </a:ext>
          </a:extLst>
        </xdr:cNvPr>
        <xdr:cNvSpPr txBox="1"/>
      </xdr:nvSpPr>
      <xdr:spPr>
        <a:xfrm>
          <a:off x="12101634" y="1485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13</xdr:col>
      <xdr:colOff>646234</xdr:colOff>
      <xdr:row>0</xdr:row>
      <xdr:rowOff>0</xdr:rowOff>
    </xdr:from>
    <xdr:ext cx="65" cy="172227"/>
    <xdr:sp macro="" textlink="">
      <xdr:nvSpPr>
        <xdr:cNvPr id="4" name="CasellaDiTesto 3">
          <a:extLst>
            <a:ext uri="{FF2B5EF4-FFF2-40B4-BE49-F238E27FC236}">
              <a16:creationId xmlns:a16="http://schemas.microsoft.com/office/drawing/2014/main" id="{0F897454-AB24-DE41-B8B4-1C4AC279864F}"/>
            </a:ext>
          </a:extLst>
        </xdr:cNvPr>
        <xdr:cNvSpPr txBox="1"/>
      </xdr:nvSpPr>
      <xdr:spPr>
        <a:xfrm>
          <a:off x="22909334" y="10566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7</xdr:col>
      <xdr:colOff>646234</xdr:colOff>
      <xdr:row>0</xdr:row>
      <xdr:rowOff>0</xdr:rowOff>
    </xdr:from>
    <xdr:ext cx="65" cy="172227"/>
    <xdr:sp macro="" textlink="">
      <xdr:nvSpPr>
        <xdr:cNvPr id="6" name="CasellaDiTesto 5">
          <a:extLst>
            <a:ext uri="{FF2B5EF4-FFF2-40B4-BE49-F238E27FC236}">
              <a16:creationId xmlns:a16="http://schemas.microsoft.com/office/drawing/2014/main" id="{5D858BFB-E40D-E642-A773-5E654BF00019}"/>
            </a:ext>
          </a:extLst>
        </xdr:cNvPr>
        <xdr:cNvSpPr txBox="1"/>
      </xdr:nvSpPr>
      <xdr:spPr>
        <a:xfrm>
          <a:off x="12101634" y="25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xdr:col>
      <xdr:colOff>646234</xdr:colOff>
      <xdr:row>49</xdr:row>
      <xdr:rowOff>0</xdr:rowOff>
    </xdr:from>
    <xdr:ext cx="65" cy="172227"/>
    <xdr:sp macro="" textlink="">
      <xdr:nvSpPr>
        <xdr:cNvPr id="2" name="CasellaDiTesto 1">
          <a:extLst>
            <a:ext uri="{FF2B5EF4-FFF2-40B4-BE49-F238E27FC236}">
              <a16:creationId xmlns:a16="http://schemas.microsoft.com/office/drawing/2014/main" id="{A24352EE-E47D-C540-A0B5-C24FF3F2AF4F}"/>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13</xdr:col>
      <xdr:colOff>646234</xdr:colOff>
      <xdr:row>49</xdr:row>
      <xdr:rowOff>0</xdr:rowOff>
    </xdr:from>
    <xdr:ext cx="65" cy="172227"/>
    <xdr:sp macro="" textlink="">
      <xdr:nvSpPr>
        <xdr:cNvPr id="3" name="CasellaDiTesto 2">
          <a:extLst>
            <a:ext uri="{FF2B5EF4-FFF2-40B4-BE49-F238E27FC236}">
              <a16:creationId xmlns:a16="http://schemas.microsoft.com/office/drawing/2014/main" id="{53C98242-1EEB-1F41-8FF8-A199EDFA5D44}"/>
            </a:ext>
          </a:extLst>
        </xdr:cNvPr>
        <xdr:cNvSpPr txBox="1"/>
      </xdr:nvSpPr>
      <xdr:spPr>
        <a:xfrm>
          <a:off x="262240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7</xdr:col>
      <xdr:colOff>646234</xdr:colOff>
      <xdr:row>49</xdr:row>
      <xdr:rowOff>0</xdr:rowOff>
    </xdr:from>
    <xdr:ext cx="65" cy="172227"/>
    <xdr:sp macro="" textlink="">
      <xdr:nvSpPr>
        <xdr:cNvPr id="4" name="CasellaDiTesto 3">
          <a:extLst>
            <a:ext uri="{FF2B5EF4-FFF2-40B4-BE49-F238E27FC236}">
              <a16:creationId xmlns:a16="http://schemas.microsoft.com/office/drawing/2014/main" id="{7C1E56A9-6250-F84B-8899-9CEFAFB39AEF}"/>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xdr:col>
      <xdr:colOff>646234</xdr:colOff>
      <xdr:row>27</xdr:row>
      <xdr:rowOff>0</xdr:rowOff>
    </xdr:from>
    <xdr:ext cx="65" cy="172227"/>
    <xdr:sp macro="" textlink="">
      <xdr:nvSpPr>
        <xdr:cNvPr id="2" name="CasellaDiTesto 1">
          <a:extLst>
            <a:ext uri="{FF2B5EF4-FFF2-40B4-BE49-F238E27FC236}">
              <a16:creationId xmlns:a16="http://schemas.microsoft.com/office/drawing/2014/main" id="{2CA2E9E3-76BE-3445-8F0D-FE6991139BF0}"/>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13</xdr:col>
      <xdr:colOff>646234</xdr:colOff>
      <xdr:row>27</xdr:row>
      <xdr:rowOff>0</xdr:rowOff>
    </xdr:from>
    <xdr:ext cx="65" cy="172227"/>
    <xdr:sp macro="" textlink="">
      <xdr:nvSpPr>
        <xdr:cNvPr id="3" name="CasellaDiTesto 2">
          <a:extLst>
            <a:ext uri="{FF2B5EF4-FFF2-40B4-BE49-F238E27FC236}">
              <a16:creationId xmlns:a16="http://schemas.microsoft.com/office/drawing/2014/main" id="{635BA367-A770-7D49-941B-5044EBE6AA8B}"/>
            </a:ext>
          </a:extLst>
        </xdr:cNvPr>
        <xdr:cNvSpPr txBox="1"/>
      </xdr:nvSpPr>
      <xdr:spPr>
        <a:xfrm>
          <a:off x="262240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7</xdr:col>
      <xdr:colOff>646234</xdr:colOff>
      <xdr:row>27</xdr:row>
      <xdr:rowOff>0</xdr:rowOff>
    </xdr:from>
    <xdr:ext cx="65" cy="172227"/>
    <xdr:sp macro="" textlink="">
      <xdr:nvSpPr>
        <xdr:cNvPr id="4" name="CasellaDiTesto 3">
          <a:extLst>
            <a:ext uri="{FF2B5EF4-FFF2-40B4-BE49-F238E27FC236}">
              <a16:creationId xmlns:a16="http://schemas.microsoft.com/office/drawing/2014/main" id="{71E51610-1403-3D45-8EB5-4E0D059948C0}"/>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7</xdr:col>
      <xdr:colOff>646234</xdr:colOff>
      <xdr:row>65</xdr:row>
      <xdr:rowOff>0</xdr:rowOff>
    </xdr:from>
    <xdr:ext cx="65" cy="172227"/>
    <xdr:sp macro="" textlink="">
      <xdr:nvSpPr>
        <xdr:cNvPr id="2" name="CasellaDiTesto 1">
          <a:extLst>
            <a:ext uri="{FF2B5EF4-FFF2-40B4-BE49-F238E27FC236}">
              <a16:creationId xmlns:a16="http://schemas.microsoft.com/office/drawing/2014/main" id="{F8A5BB21-D545-3243-A59E-C5A642B9C208}"/>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13</xdr:col>
      <xdr:colOff>646234</xdr:colOff>
      <xdr:row>65</xdr:row>
      <xdr:rowOff>0</xdr:rowOff>
    </xdr:from>
    <xdr:ext cx="65" cy="172227"/>
    <xdr:sp macro="" textlink="">
      <xdr:nvSpPr>
        <xdr:cNvPr id="3" name="CasellaDiTesto 2">
          <a:extLst>
            <a:ext uri="{FF2B5EF4-FFF2-40B4-BE49-F238E27FC236}">
              <a16:creationId xmlns:a16="http://schemas.microsoft.com/office/drawing/2014/main" id="{006149BE-FD6E-8241-A9DC-A0554F6E0630}"/>
            </a:ext>
          </a:extLst>
        </xdr:cNvPr>
        <xdr:cNvSpPr txBox="1"/>
      </xdr:nvSpPr>
      <xdr:spPr>
        <a:xfrm>
          <a:off x="262240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7</xdr:col>
      <xdr:colOff>646234</xdr:colOff>
      <xdr:row>65</xdr:row>
      <xdr:rowOff>0</xdr:rowOff>
    </xdr:from>
    <xdr:ext cx="65" cy="172227"/>
    <xdr:sp macro="" textlink="">
      <xdr:nvSpPr>
        <xdr:cNvPr id="4" name="CasellaDiTesto 3">
          <a:extLst>
            <a:ext uri="{FF2B5EF4-FFF2-40B4-BE49-F238E27FC236}">
              <a16:creationId xmlns:a16="http://schemas.microsoft.com/office/drawing/2014/main" id="{5EDF543B-A34C-0F43-9BA1-DF1E4858206E}"/>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14</xdr:col>
      <xdr:colOff>0</xdr:colOff>
      <xdr:row>1</xdr:row>
      <xdr:rowOff>0</xdr:rowOff>
    </xdr:from>
    <xdr:ext cx="65" cy="172227"/>
    <xdr:sp macro="" textlink="">
      <xdr:nvSpPr>
        <xdr:cNvPr id="2" name="CasellaDiTesto 1">
          <a:extLst>
            <a:ext uri="{FF2B5EF4-FFF2-40B4-BE49-F238E27FC236}">
              <a16:creationId xmlns:a16="http://schemas.microsoft.com/office/drawing/2014/main" id="{4FF86B18-0B85-714A-B8F1-51BEEBE6A7BF}"/>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14</xdr:col>
      <xdr:colOff>0</xdr:colOff>
      <xdr:row>1</xdr:row>
      <xdr:rowOff>0</xdr:rowOff>
    </xdr:from>
    <xdr:ext cx="65" cy="172227"/>
    <xdr:sp macro="" textlink="">
      <xdr:nvSpPr>
        <xdr:cNvPr id="3" name="CasellaDiTesto 2">
          <a:extLst>
            <a:ext uri="{FF2B5EF4-FFF2-40B4-BE49-F238E27FC236}">
              <a16:creationId xmlns:a16="http://schemas.microsoft.com/office/drawing/2014/main" id="{E08F0D6D-CD94-6F4D-9699-A6182762C16E}"/>
            </a:ext>
          </a:extLst>
        </xdr:cNvPr>
        <xdr:cNvSpPr txBox="1"/>
      </xdr:nvSpPr>
      <xdr:spPr>
        <a:xfrm>
          <a:off x="262240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14</xdr:col>
      <xdr:colOff>0</xdr:colOff>
      <xdr:row>1</xdr:row>
      <xdr:rowOff>0</xdr:rowOff>
    </xdr:from>
    <xdr:ext cx="65" cy="172227"/>
    <xdr:sp macro="" textlink="">
      <xdr:nvSpPr>
        <xdr:cNvPr id="4" name="CasellaDiTesto 3">
          <a:extLst>
            <a:ext uri="{FF2B5EF4-FFF2-40B4-BE49-F238E27FC236}">
              <a16:creationId xmlns:a16="http://schemas.microsoft.com/office/drawing/2014/main" id="{CB172537-BCC0-BA4B-A452-6D33E9691646}"/>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persons/person.xml><?xml version="1.0" encoding="utf-8"?>
<personList xmlns="http://schemas.microsoft.com/office/spreadsheetml/2018/threadedcomments" xmlns:x="http://schemas.openxmlformats.org/spreadsheetml/2006/main">
  <person displayName="Andrea Bianchi" id="{FF92EE16-6B03-4EF3-9883-2018917D3056}" userId="S::10331450@polimi.it::a4e85576-6ff4-4d29-a510-ce9409f519a1"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3">
  <rv s="0">
    <v>0</v>
    <v>5</v>
    <v>Internet delle cose con riempimento a tinta unita</v>
  </rv>
  <rv s="0">
    <v>1</v>
    <v>5</v>
    <v>Acqua con riempimento a tinta unita</v>
  </rv>
  <rv s="0">
    <v>2</v>
    <v>5</v>
    <v>Carburante con riempimento a tinta unita</v>
  </rv>
  <rv s="0">
    <v>3</v>
    <v>5</v>
    <v>Alta tensione con riempimento a tinta unita</v>
  </rv>
  <rv s="0">
    <v>4</v>
    <v>5</v>
    <v>Insetticida spray con riempimento a tinta unita</v>
  </rv>
  <rv s="0">
    <v>5</v>
    <v>5</v>
    <v>Semi con riempimento a tinta unita</v>
  </rv>
  <rv s="0">
    <v>6</v>
    <v>5</v>
    <v>Frumento con riempimento a tinta unita</v>
  </rv>
  <rv s="0">
    <v>7</v>
    <v>5</v>
    <v>Medico con riempimento a tinta unita</v>
  </rv>
  <rv s="0">
    <v>8</v>
    <v>5</v>
    <v>Contadina con riempimento a tinta unita</v>
  </rv>
  <rv s="0">
    <v>9</v>
    <v>5</v>
    <v>Monete con riempimento a tinta unita</v>
  </rv>
  <rv s="0">
    <v>10</v>
    <v>5</v>
    <v>Calendario mensile con riempimento a tinta unita</v>
  </rv>
  <rv s="0">
    <v>11</v>
    <v>5</v>
    <v>Grafico a barre con andamento ascendente con riempimento a tinta unita</v>
  </rv>
  <rv s="0">
    <v>12</v>
    <v>5</v>
    <v>Carica con riempimento a tinta unita</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 dT="2025-02-21T21:46:28.99" personId="{FF92EE16-6B03-4EF3-9883-2018917D3056}" id="{5CABB8A1-27E3-4CCD-8C29-336106BFBE26}">
    <text>in this column the % variation of each KPI is adjusted in order to have positive values for positive impacts and negative values for negative impacts</text>
  </threadedComment>
  <threadedComment ref="H2" dT="2025-02-21T21:47:41.14" personId="{FF92EE16-6B03-4EF3-9883-2018917D3056}" id="{F2A9B87B-9258-4ECA-8B00-DCD3EFB7E510}">
    <text xml:space="preserve">This column is used to assign 1 to KPIs where an increase represents something positive, and 0 where an increase represents something negative </text>
  </threadedComment>
  <threadedComment ref="M2" dT="2025-02-21T15:15:31.98" personId="{FF92EE16-6B03-4EF3-9883-2018917D3056}" id="{24F6536B-4FD9-4FB3-B328-CD753519AD77}">
    <text>This field must be filled manually, based on our TC reports</text>
  </threadedComment>
  <threadedComment ref="N2" dT="2025-02-21T15:15:42.58" personId="{FF92EE16-6B03-4EF3-9883-2018917D3056}" id="{A7C8F337-41E4-4713-99B5-9B279ED58791}">
    <text>This field must be filled manually, based on our TC reports</text>
  </threadedComment>
  <threadedComment ref="O2" dT="2025-02-21T16:00:57.69" personId="{FF92EE16-6B03-4EF3-9883-2018917D3056}" id="{9F8E3BB3-D55C-42EA-83B9-022F9F604EF3}">
    <text>This field must be filled manually, based on our TC reports</text>
  </threadedComment>
  <threadedComment ref="P2" dT="2025-03-11T15:13:40.30" personId="{FF92EE16-6B03-4EF3-9883-2018917D3056}" id="{75050D1E-618C-4FD8-BFC9-725302ECF610}">
    <text xml:space="preserve">This field must be filled manually
</text>
  </threadedComment>
  <threadedComment ref="S2" dT="2025-02-21T17:02:41.29" personId="{FF92EE16-6B03-4EF3-9883-2018917D3056}" id="{F37966A8-31DE-410A-9C9D-3F1996E32E50}">
    <text>The 7 categories used to aggregate the KPIs in the spider chart: always shown and displayed</text>
  </threadedComment>
  <threadedComment ref="U2" dT="2025-03-12T16:30:42.68" personId="{FF92EE16-6B03-4EF3-9883-2018917D3056}" id="{7C699CE0-B76B-4B4A-BF07-FB0115D00DBB}">
    <text xml:space="preserve">In some cases, the variation between the two scenarios, with DATSs and NO DATSs, exceeds 100%. This makes it difficult to standardize the visualization of the results, and such a large difference is not always justifiable solely based on the adoption of DATSs. For this reason, I have set a maximum range for these values so that they can be better visualized in the charts. </text>
  </threadedComment>
  <threadedComment ref="E47" dT="2025-02-21T14:48:37.95" personId="{FF92EE16-6B03-4EF3-9883-2018917D3056}" id="{F721C37E-BD6B-4E79-87FE-5AC67F217008}">
    <text>to be completed</text>
  </threadedComment>
  <threadedComment ref="D48" dT="2025-03-11T15:02:11.20" personId="{FF92EE16-6B03-4EF3-9883-2018917D3056}" id="{2489065C-AEA7-463C-94CB-D00D17B1DE14}">
    <text xml:space="preserve">to be calculated next year
</text>
  </threadedComment>
  <threadedComment ref="E48" dT="2025-02-21T14:49:18.25" personId="{FF92EE16-6B03-4EF3-9883-2018917D3056}" id="{98808325-C713-43D4-8DE6-A87C480C8D1E}">
    <text>to be completed</text>
  </threadedComment>
  <threadedComment ref="D49" dT="2025-03-11T15:02:24.56" personId="{FF92EE16-6B03-4EF3-9883-2018917D3056}" id="{06EEA1BD-3D0C-4BFD-8D54-586BA8E036EE}">
    <text xml:space="preserve">to be calculated next year
</text>
  </threadedComment>
  <threadedComment ref="E49" dT="2025-02-21T14:49:25.61" personId="{FF92EE16-6B03-4EF3-9883-2018917D3056}" id="{FBB86499-2158-477E-B0F8-28A1C735181B}">
    <text>to be completed</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5-03-12T16:58:40.53" personId="{FF92EE16-6B03-4EF3-9883-2018917D3056}" id="{63F3B7A5-78F5-445A-8E26-6E073F21DF63}">
    <text>All the icons for the KPIs impacted by the DATs for this calculator are here. This list will be completed with the icons for the other KPIs</text>
  </threadedComment>
</ThreadedComment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34C6-CD51-2B44-A0A0-0FAD4E609A56}">
  <dimension ref="B2:C27"/>
  <sheetViews>
    <sheetView tabSelected="1" zoomScale="57" workbookViewId="0">
      <selection activeCell="A4" sqref="A4"/>
    </sheetView>
  </sheetViews>
  <sheetFormatPr defaultColWidth="11.25" defaultRowHeight="15.75"/>
  <cols>
    <col min="1" max="1" width="3.75" customWidth="1"/>
    <col min="2" max="2" width="40.25" customWidth="1"/>
    <col min="3" max="3" width="98.25" customWidth="1"/>
  </cols>
  <sheetData>
    <row r="2" spans="2:3">
      <c r="B2" s="213" t="s">
        <v>49</v>
      </c>
      <c r="C2" s="214"/>
    </row>
    <row r="3" spans="2:3" ht="259.89999999999998" customHeight="1">
      <c r="B3" s="215" t="s">
        <v>568</v>
      </c>
      <c r="C3" s="216"/>
    </row>
    <row r="4" spans="2:3" ht="184.9" customHeight="1">
      <c r="B4" s="217"/>
      <c r="C4" s="218"/>
    </row>
    <row r="5" spans="2:3" ht="16.149999999999999" customHeight="1">
      <c r="B5" s="213" t="s">
        <v>50</v>
      </c>
      <c r="C5" s="214"/>
    </row>
    <row r="6" spans="2:3">
      <c r="B6" s="156" t="s">
        <v>51</v>
      </c>
      <c r="C6" s="157" t="s">
        <v>52</v>
      </c>
    </row>
    <row r="7" spans="2:3">
      <c r="B7" s="157" t="s">
        <v>45</v>
      </c>
      <c r="C7" s="157" t="s">
        <v>53</v>
      </c>
    </row>
    <row r="8" spans="2:3" ht="18">
      <c r="B8" s="157" t="s">
        <v>54</v>
      </c>
      <c r="C8" s="157" t="s">
        <v>55</v>
      </c>
    </row>
    <row r="9" spans="2:3" ht="18">
      <c r="B9" s="157" t="s">
        <v>56</v>
      </c>
      <c r="C9" s="157" t="s">
        <v>57</v>
      </c>
    </row>
    <row r="10" spans="2:3">
      <c r="B10" s="157" t="s">
        <v>58</v>
      </c>
      <c r="C10" s="157" t="s">
        <v>59</v>
      </c>
    </row>
    <row r="11" spans="2:3">
      <c r="B11" s="157" t="s">
        <v>60</v>
      </c>
      <c r="C11" s="157" t="s">
        <v>61</v>
      </c>
    </row>
    <row r="12" spans="2:3">
      <c r="B12" s="157" t="s">
        <v>62</v>
      </c>
      <c r="C12" s="157" t="s">
        <v>63</v>
      </c>
    </row>
    <row r="13" spans="2:3">
      <c r="B13" s="157" t="s">
        <v>64</v>
      </c>
      <c r="C13" s="157" t="s">
        <v>65</v>
      </c>
    </row>
    <row r="14" spans="2:3">
      <c r="B14" s="157" t="s">
        <v>66</v>
      </c>
      <c r="C14" s="157" t="s">
        <v>67</v>
      </c>
    </row>
    <row r="15" spans="2:3">
      <c r="B15" s="157" t="s">
        <v>68</v>
      </c>
      <c r="C15" s="157" t="s">
        <v>69</v>
      </c>
    </row>
    <row r="16" spans="2:3">
      <c r="B16" s="157" t="s">
        <v>70</v>
      </c>
      <c r="C16" s="157" t="s">
        <v>71</v>
      </c>
    </row>
    <row r="17" spans="2:3">
      <c r="B17" s="157" t="s">
        <v>72</v>
      </c>
      <c r="C17" s="157" t="s">
        <v>73</v>
      </c>
    </row>
    <row r="18" spans="2:3">
      <c r="B18" s="157" t="s">
        <v>74</v>
      </c>
      <c r="C18" s="157" t="s">
        <v>75</v>
      </c>
    </row>
    <row r="19" spans="2:3">
      <c r="B19" s="157" t="s">
        <v>76</v>
      </c>
      <c r="C19" s="157" t="s">
        <v>77</v>
      </c>
    </row>
    <row r="20" spans="2:3" ht="18">
      <c r="B20" s="157" t="s">
        <v>78</v>
      </c>
      <c r="C20" s="157" t="s">
        <v>79</v>
      </c>
    </row>
    <row r="21" spans="2:3" ht="18">
      <c r="B21" s="157" t="s">
        <v>80</v>
      </c>
      <c r="C21" s="157" t="s">
        <v>81</v>
      </c>
    </row>
    <row r="22" spans="2:3">
      <c r="B22" s="157" t="s">
        <v>82</v>
      </c>
      <c r="C22" s="157" t="s">
        <v>83</v>
      </c>
    </row>
    <row r="23" spans="2:3">
      <c r="B23" s="157" t="s">
        <v>84</v>
      </c>
      <c r="C23" s="157" t="s">
        <v>85</v>
      </c>
    </row>
    <row r="24" spans="2:3">
      <c r="B24" s="157" t="s">
        <v>86</v>
      </c>
      <c r="C24" s="157" t="s">
        <v>87</v>
      </c>
    </row>
    <row r="25" spans="2:3">
      <c r="B25" s="157" t="s">
        <v>88</v>
      </c>
      <c r="C25" s="157" t="s">
        <v>89</v>
      </c>
    </row>
    <row r="26" spans="2:3">
      <c r="B26" s="157" t="s">
        <v>90</v>
      </c>
      <c r="C26" s="157" t="s">
        <v>91</v>
      </c>
    </row>
    <row r="27" spans="2:3">
      <c r="B27" s="157" t="s">
        <v>46</v>
      </c>
      <c r="C27" s="157" t="s">
        <v>92</v>
      </c>
    </row>
  </sheetData>
  <sheetProtection selectLockedCells="1"/>
  <mergeCells count="3">
    <mergeCell ref="B2:C2"/>
    <mergeCell ref="B3:C4"/>
    <mergeCell ref="B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4CF82-C2C2-5142-A475-956F27F74C35}">
  <dimension ref="B2:L74"/>
  <sheetViews>
    <sheetView zoomScale="67" zoomScaleNormal="100" workbookViewId="0">
      <selection activeCell="A41" sqref="A41"/>
    </sheetView>
  </sheetViews>
  <sheetFormatPr defaultColWidth="11.25" defaultRowHeight="15.75"/>
  <cols>
    <col min="1" max="1" width="3.75" customWidth="1"/>
    <col min="2" max="2" width="40.25" customWidth="1"/>
    <col min="3" max="3" width="26.75" customWidth="1"/>
    <col min="4" max="4" width="37.75" customWidth="1"/>
    <col min="6" max="6" width="40.25" customWidth="1"/>
    <col min="7" max="7" width="26.75" customWidth="1"/>
    <col min="8" max="8" width="37.75" customWidth="1"/>
    <col min="10" max="10" width="41" customWidth="1"/>
    <col min="11" max="11" width="14.5" bestFit="1" customWidth="1"/>
    <col min="12" max="12" width="54.75" bestFit="1" customWidth="1"/>
  </cols>
  <sheetData>
    <row r="2" spans="2:4">
      <c r="B2" s="5" t="s">
        <v>40</v>
      </c>
      <c r="C2" s="5" t="s">
        <v>125</v>
      </c>
      <c r="D2" s="5" t="s">
        <v>44</v>
      </c>
    </row>
    <row r="3" spans="2:4" ht="16.149999999999999" customHeight="1">
      <c r="B3" s="91" t="s">
        <v>41</v>
      </c>
      <c r="C3" s="91" t="s">
        <v>113</v>
      </c>
      <c r="D3" s="88">
        <v>6</v>
      </c>
    </row>
    <row r="4" spans="2:4" ht="16.149999999999999" customHeight="1">
      <c r="B4" s="91" t="s">
        <v>42</v>
      </c>
      <c r="C4" s="92" t="s">
        <v>51</v>
      </c>
      <c r="D4" s="88"/>
    </row>
    <row r="5" spans="2:4" ht="16.149999999999999" customHeight="1">
      <c r="B5" s="219" t="s">
        <v>165</v>
      </c>
      <c r="C5" s="219"/>
      <c r="D5" s="219"/>
    </row>
    <row r="6" spans="2:4" ht="18.399999999999999" customHeight="1">
      <c r="B6" s="93" t="s">
        <v>507</v>
      </c>
      <c r="C6" s="93" t="s">
        <v>51</v>
      </c>
      <c r="D6" s="88" t="s">
        <v>525</v>
      </c>
    </row>
    <row r="7" spans="2:4" ht="16.149999999999999" customHeight="1">
      <c r="B7" s="93" t="s">
        <v>525</v>
      </c>
      <c r="C7" s="92" t="s">
        <v>51</v>
      </c>
      <c r="D7" s="88" t="s">
        <v>550</v>
      </c>
    </row>
    <row r="8" spans="2:4" ht="16.149999999999999" customHeight="1">
      <c r="B8" s="93" t="s">
        <v>520</v>
      </c>
      <c r="C8" s="92"/>
      <c r="D8" s="88"/>
    </row>
    <row r="9" spans="2:4" ht="16.149999999999999" customHeight="1">
      <c r="B9" s="91" t="s">
        <v>606</v>
      </c>
      <c r="C9" s="91" t="s">
        <v>569</v>
      </c>
      <c r="D9" s="101"/>
    </row>
    <row r="10" spans="2:4" ht="16.149999999999999" customHeight="1">
      <c r="B10" s="91" t="s">
        <v>607</v>
      </c>
      <c r="C10" s="91" t="s">
        <v>569</v>
      </c>
      <c r="D10" s="101"/>
    </row>
    <row r="11" spans="2:4" ht="16.149999999999999" customHeight="1">
      <c r="B11" s="91" t="s">
        <v>43</v>
      </c>
      <c r="C11" s="92" t="s">
        <v>51</v>
      </c>
      <c r="D11" s="88"/>
    </row>
    <row r="12" spans="2:4" ht="16.149999999999999" customHeight="1">
      <c r="B12" s="91" t="s">
        <v>440</v>
      </c>
      <c r="C12" s="94" t="s">
        <v>62</v>
      </c>
      <c r="D12" s="89"/>
    </row>
    <row r="13" spans="2:4" ht="16.149999999999999" customHeight="1">
      <c r="B13" s="91" t="s">
        <v>611</v>
      </c>
      <c r="C13" s="91" t="s">
        <v>113</v>
      </c>
      <c r="D13" s="102"/>
    </row>
    <row r="14" spans="2:4" ht="16.149999999999999" customHeight="1">
      <c r="B14" s="93" t="s">
        <v>273</v>
      </c>
      <c r="C14" s="93" t="s">
        <v>113</v>
      </c>
      <c r="D14" s="102"/>
    </row>
    <row r="15" spans="2:4" ht="16.149999999999999" customHeight="1">
      <c r="B15" s="94" t="s">
        <v>291</v>
      </c>
      <c r="C15" s="94" t="s">
        <v>113</v>
      </c>
      <c r="D15" s="102"/>
    </row>
    <row r="16" spans="2:4" ht="16.149999999999999" customHeight="1">
      <c r="B16" s="91" t="s">
        <v>292</v>
      </c>
      <c r="C16" s="91" t="s">
        <v>113</v>
      </c>
      <c r="D16" s="102"/>
    </row>
    <row r="17" spans="2:12" ht="16.149999999999999" customHeight="1">
      <c r="C17" s="19"/>
      <c r="D17" s="20"/>
    </row>
    <row r="18" spans="2:12">
      <c r="B18" s="219" t="s">
        <v>743</v>
      </c>
      <c r="C18" s="219"/>
      <c r="D18" s="219"/>
      <c r="F18" s="219" t="s">
        <v>744</v>
      </c>
      <c r="G18" s="219"/>
      <c r="H18" s="219"/>
      <c r="J18" s="219" t="s">
        <v>745</v>
      </c>
      <c r="K18" s="219"/>
      <c r="L18" s="219"/>
    </row>
    <row r="19" spans="2:12">
      <c r="B19" s="5" t="s">
        <v>40</v>
      </c>
      <c r="C19" s="5" t="s">
        <v>125</v>
      </c>
      <c r="D19" s="5" t="s">
        <v>44</v>
      </c>
      <c r="F19" s="5" t="s">
        <v>40</v>
      </c>
      <c r="G19" s="5" t="s">
        <v>125</v>
      </c>
      <c r="H19" s="5" t="s">
        <v>44</v>
      </c>
      <c r="J19" s="5" t="s">
        <v>40</v>
      </c>
      <c r="K19" s="5" t="s">
        <v>125</v>
      </c>
      <c r="L19" s="5" t="s">
        <v>44</v>
      </c>
    </row>
    <row r="20" spans="2:12">
      <c r="B20" s="95" t="s">
        <v>746</v>
      </c>
      <c r="C20" s="96" t="s">
        <v>45</v>
      </c>
      <c r="D20" s="85">
        <v>0</v>
      </c>
      <c r="F20" s="95" t="s">
        <v>746</v>
      </c>
      <c r="G20" s="96" t="s">
        <v>45</v>
      </c>
      <c r="H20" s="85"/>
      <c r="J20" s="95" t="s">
        <v>746</v>
      </c>
      <c r="K20" s="96" t="s">
        <v>45</v>
      </c>
      <c r="L20" s="85"/>
    </row>
    <row r="21" spans="2:12">
      <c r="B21" s="97" t="s">
        <v>489</v>
      </c>
      <c r="C21" s="98" t="s">
        <v>46</v>
      </c>
      <c r="D21" s="85">
        <v>1</v>
      </c>
      <c r="F21" s="97" t="s">
        <v>489</v>
      </c>
      <c r="G21" s="98" t="s">
        <v>46</v>
      </c>
      <c r="H21" s="85"/>
      <c r="J21" s="97" t="s">
        <v>489</v>
      </c>
      <c r="K21" s="98" t="s">
        <v>46</v>
      </c>
      <c r="L21" s="85"/>
    </row>
    <row r="22" spans="2:12">
      <c r="B22" s="97" t="s">
        <v>490</v>
      </c>
      <c r="C22" s="98" t="s">
        <v>60</v>
      </c>
      <c r="D22" s="85">
        <v>1</v>
      </c>
      <c r="F22" s="97" t="s">
        <v>490</v>
      </c>
      <c r="G22" s="98" t="s">
        <v>60</v>
      </c>
      <c r="H22" s="85"/>
      <c r="J22" s="97" t="s">
        <v>490</v>
      </c>
      <c r="K22" s="98" t="s">
        <v>60</v>
      </c>
      <c r="L22" s="85"/>
    </row>
    <row r="23" spans="2:12">
      <c r="B23" s="97" t="s">
        <v>47</v>
      </c>
      <c r="C23" s="98" t="s">
        <v>48</v>
      </c>
      <c r="D23" s="85">
        <v>0</v>
      </c>
      <c r="F23" s="97" t="s">
        <v>47</v>
      </c>
      <c r="G23" s="98" t="s">
        <v>48</v>
      </c>
      <c r="H23" s="85"/>
      <c r="J23" s="97" t="s">
        <v>47</v>
      </c>
      <c r="K23" s="98" t="s">
        <v>48</v>
      </c>
      <c r="L23" s="85"/>
    </row>
    <row r="24" spans="2:12">
      <c r="B24" s="97" t="s">
        <v>441</v>
      </c>
      <c r="C24" s="98" t="s">
        <v>48</v>
      </c>
      <c r="D24" s="85">
        <v>300</v>
      </c>
      <c r="F24" s="97" t="s">
        <v>441</v>
      </c>
      <c r="G24" s="98" t="s">
        <v>48</v>
      </c>
      <c r="H24" s="85"/>
      <c r="J24" s="97" t="s">
        <v>441</v>
      </c>
      <c r="K24" s="98" t="s">
        <v>48</v>
      </c>
      <c r="L24" s="85"/>
    </row>
    <row r="25" spans="2:12">
      <c r="B25" s="97" t="s">
        <v>491</v>
      </c>
      <c r="C25" s="98" t="s">
        <v>60</v>
      </c>
      <c r="D25" s="85">
        <v>2</v>
      </c>
      <c r="F25" s="97" t="s">
        <v>491</v>
      </c>
      <c r="G25" s="98" t="s">
        <v>60</v>
      </c>
      <c r="H25" s="85"/>
      <c r="J25" s="97" t="s">
        <v>491</v>
      </c>
      <c r="K25" s="98" t="s">
        <v>60</v>
      </c>
      <c r="L25" s="85"/>
    </row>
    <row r="26" spans="2:12">
      <c r="B26" s="97" t="s">
        <v>345</v>
      </c>
      <c r="C26" s="98" t="s">
        <v>113</v>
      </c>
      <c r="D26" s="85">
        <v>2</v>
      </c>
      <c r="F26" s="97" t="s">
        <v>345</v>
      </c>
      <c r="G26" s="98" t="s">
        <v>113</v>
      </c>
      <c r="H26" s="85"/>
      <c r="J26" s="97" t="s">
        <v>345</v>
      </c>
      <c r="K26" s="98" t="s">
        <v>113</v>
      </c>
      <c r="L26" s="85"/>
    </row>
    <row r="27" spans="2:12">
      <c r="B27" s="97" t="s">
        <v>442</v>
      </c>
      <c r="C27" s="98" t="s">
        <v>48</v>
      </c>
      <c r="D27" s="85">
        <v>0</v>
      </c>
      <c r="F27" s="97" t="s">
        <v>442</v>
      </c>
      <c r="G27" s="98" t="s">
        <v>48</v>
      </c>
      <c r="H27" s="85"/>
      <c r="J27" s="97" t="s">
        <v>442</v>
      </c>
      <c r="K27" s="98" t="s">
        <v>48</v>
      </c>
      <c r="L27" s="85"/>
    </row>
    <row r="28" spans="2:12" ht="16.149999999999999" customHeight="1">
      <c r="B28" s="91" t="s">
        <v>492</v>
      </c>
      <c r="C28" s="99" t="s">
        <v>51</v>
      </c>
      <c r="D28" s="88" t="s">
        <v>797</v>
      </c>
      <c r="F28" s="91" t="s">
        <v>492</v>
      </c>
      <c r="G28" s="99" t="s">
        <v>51</v>
      </c>
      <c r="H28" s="88"/>
      <c r="J28" s="91" t="s">
        <v>492</v>
      </c>
      <c r="K28" s="99" t="s">
        <v>51</v>
      </c>
      <c r="L28" s="88"/>
    </row>
    <row r="29" spans="2:12" ht="16.149999999999999" customHeight="1">
      <c r="C29" s="19"/>
      <c r="D29" s="20"/>
    </row>
    <row r="30" spans="2:12">
      <c r="B30" s="220" t="s">
        <v>493</v>
      </c>
      <c r="C30" s="220"/>
      <c r="D30" s="220"/>
      <c r="F30" s="220" t="s">
        <v>494</v>
      </c>
      <c r="G30" s="220"/>
      <c r="H30" s="220"/>
    </row>
    <row r="31" spans="2:12" ht="16.149999999999999" customHeight="1">
      <c r="B31" s="5" t="s">
        <v>40</v>
      </c>
      <c r="C31" s="5" t="s">
        <v>125</v>
      </c>
      <c r="D31" s="5" t="s">
        <v>44</v>
      </c>
      <c r="F31" s="5" t="s">
        <v>40</v>
      </c>
      <c r="G31" s="5" t="s">
        <v>125</v>
      </c>
      <c r="H31" s="5" t="s">
        <v>44</v>
      </c>
    </row>
    <row r="32" spans="2:12" ht="18">
      <c r="B32" s="95" t="s">
        <v>121</v>
      </c>
      <c r="C32" s="96" t="s">
        <v>452</v>
      </c>
      <c r="D32" s="90">
        <v>0</v>
      </c>
      <c r="F32" s="95" t="s">
        <v>121</v>
      </c>
      <c r="G32" s="96" t="s">
        <v>452</v>
      </c>
      <c r="H32" s="90">
        <v>0</v>
      </c>
    </row>
    <row r="33" spans="2:10">
      <c r="B33" s="95" t="s">
        <v>122</v>
      </c>
      <c r="C33" s="96" t="s">
        <v>341</v>
      </c>
      <c r="D33" s="90">
        <v>1.18</v>
      </c>
      <c r="F33" s="95" t="s">
        <v>122</v>
      </c>
      <c r="G33" s="96" t="s">
        <v>341</v>
      </c>
      <c r="H33" s="90">
        <v>1.18</v>
      </c>
    </row>
    <row r="34" spans="2:10">
      <c r="B34" s="95" t="s">
        <v>566</v>
      </c>
      <c r="C34" s="96" t="s">
        <v>113</v>
      </c>
      <c r="D34" s="90"/>
      <c r="F34" s="95" t="s">
        <v>566</v>
      </c>
      <c r="G34" s="96" t="s">
        <v>113</v>
      </c>
      <c r="H34" s="90"/>
    </row>
    <row r="35" spans="2:10" ht="18">
      <c r="B35" s="95" t="s">
        <v>502</v>
      </c>
      <c r="C35" s="96" t="s">
        <v>452</v>
      </c>
      <c r="D35" s="90"/>
      <c r="F35" s="95" t="s">
        <v>502</v>
      </c>
      <c r="G35" s="96" t="s">
        <v>452</v>
      </c>
      <c r="H35" s="90"/>
    </row>
    <row r="36" spans="2:10" ht="18">
      <c r="B36" s="95" t="s">
        <v>578</v>
      </c>
      <c r="C36" s="96" t="s">
        <v>452</v>
      </c>
      <c r="D36" s="90"/>
      <c r="F36" s="95" t="s">
        <v>578</v>
      </c>
      <c r="G36" s="96" t="s">
        <v>452</v>
      </c>
      <c r="H36" s="90"/>
    </row>
    <row r="37" spans="2:10" ht="18">
      <c r="B37" s="95" t="s">
        <v>579</v>
      </c>
      <c r="C37" s="96" t="s">
        <v>452</v>
      </c>
      <c r="D37" s="90"/>
      <c r="F37" s="95" t="s">
        <v>579</v>
      </c>
      <c r="G37" s="96" t="s">
        <v>580</v>
      </c>
      <c r="H37" s="90"/>
    </row>
    <row r="38" spans="2:10">
      <c r="B38" s="95" t="s">
        <v>123</v>
      </c>
      <c r="C38" s="96" t="s">
        <v>342</v>
      </c>
      <c r="D38" s="90">
        <v>0.15</v>
      </c>
      <c r="F38" s="95" t="s">
        <v>123</v>
      </c>
      <c r="G38" s="96" t="s">
        <v>342</v>
      </c>
      <c r="H38" s="90">
        <v>0.15</v>
      </c>
    </row>
    <row r="39" spans="2:10">
      <c r="B39" s="95" t="s">
        <v>449</v>
      </c>
      <c r="C39" s="96" t="s">
        <v>343</v>
      </c>
      <c r="D39" s="90">
        <v>50</v>
      </c>
      <c r="E39" s="78"/>
      <c r="F39" s="95" t="s">
        <v>449</v>
      </c>
      <c r="G39" s="96" t="s">
        <v>343</v>
      </c>
      <c r="H39" s="90">
        <v>50</v>
      </c>
    </row>
    <row r="40" spans="2:10">
      <c r="B40" s="95" t="s">
        <v>443</v>
      </c>
      <c r="C40" s="96" t="s">
        <v>343</v>
      </c>
      <c r="D40" s="90">
        <v>100</v>
      </c>
      <c r="E40" s="10"/>
      <c r="F40" s="95" t="s">
        <v>443</v>
      </c>
      <c r="G40" s="96" t="s">
        <v>343</v>
      </c>
      <c r="H40" s="90">
        <v>100</v>
      </c>
    </row>
    <row r="41" spans="2:10">
      <c r="B41" s="95" t="s">
        <v>444</v>
      </c>
      <c r="C41" s="96" t="s">
        <v>462</v>
      </c>
      <c r="D41" s="90">
        <v>170</v>
      </c>
      <c r="F41" s="95" t="s">
        <v>444</v>
      </c>
      <c r="G41" s="96" t="s">
        <v>462</v>
      </c>
      <c r="H41" s="90">
        <v>170</v>
      </c>
    </row>
    <row r="42" spans="2:10">
      <c r="B42" s="95" t="s">
        <v>445</v>
      </c>
      <c r="C42" s="96" t="s">
        <v>113</v>
      </c>
      <c r="D42" s="85"/>
      <c r="F42" s="95" t="s">
        <v>445</v>
      </c>
      <c r="G42" s="96" t="s">
        <v>113</v>
      </c>
      <c r="H42" s="85"/>
    </row>
    <row r="43" spans="2:10">
      <c r="B43" s="95" t="s">
        <v>210</v>
      </c>
      <c r="C43" s="96" t="s">
        <v>471</v>
      </c>
      <c r="D43" s="185"/>
      <c r="F43" s="95" t="s">
        <v>210</v>
      </c>
      <c r="G43" s="96" t="s">
        <v>471</v>
      </c>
      <c r="H43" s="90"/>
      <c r="J43" s="10"/>
    </row>
    <row r="44" spans="2:10">
      <c r="B44" s="95" t="s">
        <v>211</v>
      </c>
      <c r="C44" s="96" t="s">
        <v>471</v>
      </c>
      <c r="D44" s="90"/>
      <c r="F44" s="95" t="s">
        <v>211</v>
      </c>
      <c r="G44" s="96" t="s">
        <v>471</v>
      </c>
      <c r="H44" s="90"/>
    </row>
    <row r="45" spans="2:10">
      <c r="B45" s="95" t="s">
        <v>620</v>
      </c>
      <c r="C45" s="96" t="s">
        <v>471</v>
      </c>
      <c r="D45" s="90"/>
      <c r="F45" s="95" t="s">
        <v>620</v>
      </c>
      <c r="G45" s="96" t="s">
        <v>471</v>
      </c>
      <c r="H45" s="90"/>
    </row>
    <row r="46" spans="2:10">
      <c r="B46" s="95" t="s">
        <v>621</v>
      </c>
      <c r="C46" s="96" t="s">
        <v>471</v>
      </c>
      <c r="D46" s="90"/>
      <c r="F46" s="95" t="s">
        <v>621</v>
      </c>
      <c r="G46" s="96" t="s">
        <v>471</v>
      </c>
      <c r="H46" s="85"/>
    </row>
    <row r="47" spans="2:10">
      <c r="B47" s="95" t="s">
        <v>622</v>
      </c>
      <c r="C47" s="96" t="s">
        <v>471</v>
      </c>
      <c r="D47" s="90"/>
      <c r="F47" s="95" t="s">
        <v>622</v>
      </c>
      <c r="G47" s="96" t="s">
        <v>471</v>
      </c>
      <c r="H47" s="90"/>
    </row>
    <row r="48" spans="2:10">
      <c r="B48" s="95" t="s">
        <v>623</v>
      </c>
      <c r="C48" s="96" t="s">
        <v>471</v>
      </c>
      <c r="D48" s="90"/>
      <c r="F48" s="95" t="s">
        <v>623</v>
      </c>
      <c r="G48" s="96" t="s">
        <v>471</v>
      </c>
      <c r="H48" s="90"/>
    </row>
    <row r="49" spans="2:10">
      <c r="B49" s="95" t="s">
        <v>624</v>
      </c>
      <c r="C49" s="96" t="s">
        <v>471</v>
      </c>
      <c r="D49" s="90"/>
      <c r="F49" s="95" t="s">
        <v>624</v>
      </c>
      <c r="G49" s="96" t="s">
        <v>471</v>
      </c>
      <c r="H49" s="90"/>
    </row>
    <row r="50" spans="2:10">
      <c r="B50" s="95" t="s">
        <v>625</v>
      </c>
      <c r="C50" s="96" t="s">
        <v>471</v>
      </c>
      <c r="D50" s="90"/>
      <c r="F50" s="95" t="s">
        <v>625</v>
      </c>
      <c r="G50" s="96"/>
      <c r="H50" s="90"/>
    </row>
    <row r="51" spans="2:10">
      <c r="B51" s="95" t="s">
        <v>626</v>
      </c>
      <c r="C51" s="96" t="s">
        <v>471</v>
      </c>
      <c r="D51" s="90"/>
      <c r="F51" s="95" t="s">
        <v>626</v>
      </c>
      <c r="G51" s="96"/>
      <c r="H51" s="90"/>
    </row>
    <row r="52" spans="2:10">
      <c r="B52" s="95" t="s">
        <v>627</v>
      </c>
      <c r="C52" s="96" t="s">
        <v>471</v>
      </c>
      <c r="D52" s="90"/>
      <c r="F52" s="95" t="s">
        <v>627</v>
      </c>
      <c r="G52" s="96"/>
      <c r="H52" s="90"/>
    </row>
    <row r="53" spans="2:10">
      <c r="B53" s="95" t="s">
        <v>446</v>
      </c>
      <c r="C53" s="96" t="s">
        <v>113</v>
      </c>
      <c r="D53" s="85">
        <v>5</v>
      </c>
      <c r="F53" s="95" t="s">
        <v>446</v>
      </c>
      <c r="G53" s="96" t="s">
        <v>113</v>
      </c>
      <c r="H53" s="85">
        <v>5</v>
      </c>
    </row>
    <row r="54" spans="2:10">
      <c r="B54" s="95" t="s">
        <v>212</v>
      </c>
      <c r="C54" s="96" t="s">
        <v>471</v>
      </c>
      <c r="D54" s="90">
        <v>0.35</v>
      </c>
      <c r="F54" s="95" t="s">
        <v>212</v>
      </c>
      <c r="G54" s="96" t="s">
        <v>471</v>
      </c>
      <c r="H54" s="90">
        <v>0.35</v>
      </c>
      <c r="J54" s="10"/>
    </row>
    <row r="55" spans="2:10">
      <c r="B55" s="95" t="s">
        <v>213</v>
      </c>
      <c r="C55" s="96" t="s">
        <v>471</v>
      </c>
      <c r="D55" s="90">
        <v>2.2000000000000002</v>
      </c>
      <c r="F55" s="95" t="s">
        <v>213</v>
      </c>
      <c r="G55" s="96" t="s">
        <v>471</v>
      </c>
      <c r="H55" s="90">
        <v>2.2000000000000002</v>
      </c>
    </row>
    <row r="56" spans="2:10">
      <c r="B56" s="95" t="s">
        <v>635</v>
      </c>
      <c r="C56" s="96" t="s">
        <v>471</v>
      </c>
      <c r="D56" s="90">
        <v>0.68</v>
      </c>
      <c r="F56" s="95" t="s">
        <v>635</v>
      </c>
      <c r="G56" s="96" t="s">
        <v>471</v>
      </c>
      <c r="H56" s="90">
        <v>0.68</v>
      </c>
    </row>
    <row r="57" spans="2:10">
      <c r="B57" s="95" t="s">
        <v>628</v>
      </c>
      <c r="C57" s="96" t="s">
        <v>471</v>
      </c>
      <c r="D57" s="90">
        <v>0.3</v>
      </c>
      <c r="F57" s="95" t="s">
        <v>628</v>
      </c>
      <c r="G57" s="96" t="s">
        <v>471</v>
      </c>
      <c r="H57" s="90">
        <v>0.3</v>
      </c>
    </row>
    <row r="58" spans="2:10">
      <c r="B58" s="95" t="s">
        <v>629</v>
      </c>
      <c r="C58" s="96" t="s">
        <v>471</v>
      </c>
      <c r="D58" s="90">
        <v>1.4</v>
      </c>
      <c r="F58" s="95" t="s">
        <v>629</v>
      </c>
      <c r="G58" s="96" t="s">
        <v>471</v>
      </c>
      <c r="H58" s="90">
        <v>1.4</v>
      </c>
    </row>
    <row r="59" spans="2:10">
      <c r="B59" s="95" t="s">
        <v>630</v>
      </c>
      <c r="C59" s="96" t="s">
        <v>471</v>
      </c>
      <c r="D59" s="90"/>
      <c r="F59" s="95" t="s">
        <v>630</v>
      </c>
      <c r="G59" s="96" t="s">
        <v>471</v>
      </c>
      <c r="H59" s="90"/>
    </row>
    <row r="60" spans="2:10">
      <c r="B60" s="95" t="s">
        <v>631</v>
      </c>
      <c r="C60" s="96"/>
      <c r="D60" s="162"/>
      <c r="F60" s="95" t="s">
        <v>631</v>
      </c>
      <c r="G60" s="96"/>
      <c r="H60" s="90"/>
    </row>
    <row r="61" spans="2:10">
      <c r="B61" s="95" t="s">
        <v>632</v>
      </c>
      <c r="C61" s="96"/>
      <c r="D61" s="162"/>
      <c r="F61" s="95" t="s">
        <v>632</v>
      </c>
      <c r="G61" s="96"/>
      <c r="H61" s="90"/>
    </row>
    <row r="62" spans="2:10">
      <c r="B62" s="95" t="s">
        <v>633</v>
      </c>
      <c r="C62" s="96"/>
      <c r="D62" s="162"/>
      <c r="F62" s="95" t="s">
        <v>633</v>
      </c>
      <c r="G62" s="96"/>
      <c r="H62" s="90"/>
    </row>
    <row r="63" spans="2:10">
      <c r="B63" s="95" t="s">
        <v>634</v>
      </c>
      <c r="C63" s="96"/>
      <c r="D63" s="162"/>
      <c r="F63" s="95" t="s">
        <v>634</v>
      </c>
      <c r="G63" s="96"/>
      <c r="H63" s="90"/>
    </row>
    <row r="64" spans="2:10">
      <c r="B64" s="100" t="s">
        <v>447</v>
      </c>
      <c r="C64" s="96" t="s">
        <v>113</v>
      </c>
      <c r="D64" s="90"/>
      <c r="F64" s="100" t="s">
        <v>447</v>
      </c>
      <c r="G64" s="96" t="s">
        <v>113</v>
      </c>
      <c r="H64" s="90"/>
    </row>
    <row r="65" spans="2:8">
      <c r="B65" s="95" t="s">
        <v>214</v>
      </c>
      <c r="C65" s="96" t="s">
        <v>462</v>
      </c>
      <c r="D65" s="90"/>
      <c r="F65" s="95" t="s">
        <v>214</v>
      </c>
      <c r="G65" s="96" t="s">
        <v>462</v>
      </c>
      <c r="H65" s="90"/>
    </row>
    <row r="66" spans="2:8">
      <c r="B66" s="95" t="s">
        <v>215</v>
      </c>
      <c r="C66" s="96" t="s">
        <v>462</v>
      </c>
      <c r="D66" s="90"/>
      <c r="F66" s="95" t="s">
        <v>215</v>
      </c>
      <c r="G66" s="96" t="s">
        <v>462</v>
      </c>
      <c r="H66" s="85"/>
    </row>
    <row r="67" spans="2:8">
      <c r="B67" s="95" t="s">
        <v>636</v>
      </c>
      <c r="C67" s="96"/>
      <c r="D67" s="90"/>
      <c r="F67" s="95" t="s">
        <v>636</v>
      </c>
      <c r="G67" s="96"/>
      <c r="H67" s="162"/>
    </row>
    <row r="68" spans="2:8">
      <c r="B68" s="95" t="s">
        <v>637</v>
      </c>
      <c r="C68" s="96"/>
      <c r="D68" s="90"/>
      <c r="F68" s="95" t="s">
        <v>637</v>
      </c>
      <c r="G68" s="96"/>
      <c r="H68" s="162"/>
    </row>
    <row r="69" spans="2:8">
      <c r="B69" s="95" t="s">
        <v>638</v>
      </c>
      <c r="C69" s="96" t="s">
        <v>462</v>
      </c>
      <c r="D69" s="85"/>
      <c r="F69" s="95" t="s">
        <v>638</v>
      </c>
      <c r="G69" s="96" t="s">
        <v>462</v>
      </c>
      <c r="H69" s="90"/>
    </row>
    <row r="70" spans="2:8">
      <c r="B70" s="95" t="s">
        <v>448</v>
      </c>
      <c r="C70" s="96" t="s">
        <v>113</v>
      </c>
      <c r="D70" s="90"/>
      <c r="F70" s="95" t="s">
        <v>448</v>
      </c>
      <c r="G70" s="96" t="s">
        <v>113</v>
      </c>
      <c r="H70" s="90"/>
    </row>
    <row r="71" spans="2:8">
      <c r="B71" s="95" t="s">
        <v>216</v>
      </c>
      <c r="C71" s="96" t="s">
        <v>463</v>
      </c>
      <c r="D71" s="90"/>
      <c r="F71" s="95" t="s">
        <v>216</v>
      </c>
      <c r="G71" s="96" t="s">
        <v>463</v>
      </c>
      <c r="H71" s="90"/>
    </row>
    <row r="72" spans="2:8">
      <c r="B72" s="95" t="s">
        <v>217</v>
      </c>
      <c r="C72" s="96" t="s">
        <v>463</v>
      </c>
      <c r="D72" s="90"/>
      <c r="F72" s="95" t="s">
        <v>217</v>
      </c>
      <c r="G72" s="96" t="s">
        <v>463</v>
      </c>
      <c r="H72" s="90"/>
    </row>
    <row r="73" spans="2:8">
      <c r="B73" s="95" t="s">
        <v>639</v>
      </c>
      <c r="C73" s="96" t="s">
        <v>463</v>
      </c>
      <c r="D73" s="90"/>
      <c r="F73" s="95" t="s">
        <v>639</v>
      </c>
      <c r="G73" s="96" t="s">
        <v>463</v>
      </c>
      <c r="H73" s="90"/>
    </row>
    <row r="74" spans="2:8">
      <c r="B74" s="73"/>
      <c r="C74" s="72"/>
      <c r="D74" s="20"/>
      <c r="F74" s="73"/>
      <c r="G74" s="72"/>
      <c r="H74" s="20"/>
    </row>
  </sheetData>
  <sheetProtection selectLockedCells="1"/>
  <mergeCells count="6">
    <mergeCell ref="J18:L18"/>
    <mergeCell ref="B18:D18"/>
    <mergeCell ref="B5:D5"/>
    <mergeCell ref="B30:D30"/>
    <mergeCell ref="F30:H30"/>
    <mergeCell ref="F18:H18"/>
  </mergeCells>
  <phoneticPr fontId="2" type="noConversion"/>
  <dataValidations count="10">
    <dataValidation type="decimal" allowBlank="1" showInputMessage="1" showErrorMessage="1" sqref="L20 L23:L24 L27 H20 H23:H24 H27 D20 D23:D24 D27" xr:uid="{703F3EE5-DC1A-47BE-9E99-03FA6EB296CC}">
      <formula1>0</formula1>
      <formula2>10000000000000000</formula2>
    </dataValidation>
    <dataValidation type="date" allowBlank="1" showInputMessage="1" showErrorMessage="1" sqref="D9:D10" xr:uid="{A4269566-6F65-4C6C-8E7E-08F246DE79A4}">
      <formula1>36526</formula1>
      <formula2>54789</formula2>
    </dataValidation>
    <dataValidation type="textLength" allowBlank="1" showInputMessage="1" showErrorMessage="1" sqref="D11" xr:uid="{B0199E1A-F567-4251-B059-2CFF6D982646}">
      <formula1>1</formula1>
      <formula2>100</formula2>
    </dataValidation>
    <dataValidation type="decimal" allowBlank="1" showInputMessage="1" showErrorMessage="1" sqref="D12" xr:uid="{ACDECC93-8F87-4E83-A44A-CDEC89AA3AF2}">
      <formula1>0</formula1>
      <formula2>5000000</formula2>
    </dataValidation>
    <dataValidation type="whole" allowBlank="1" showInputMessage="1" showErrorMessage="1" sqref="L21 L26 H21 H26 D21 D26" xr:uid="{19B228BC-498E-4C30-8D67-8C7879C48DA4}">
      <formula1>1</formula1>
      <formula2>50</formula2>
    </dataValidation>
    <dataValidation type="decimal" allowBlank="1" showInputMessage="1" showErrorMessage="1" sqref="L22 L25 H22 H25 D22 D25" xr:uid="{BF955E17-D24A-4E7A-80D2-0C3DDF07B318}">
      <formula1>0</formula1>
      <formula2>1000</formula2>
    </dataValidation>
    <dataValidation type="textLength" allowBlank="1" showInputMessage="1" showErrorMessage="1" sqref="L28 H28 D28" xr:uid="{1D9B6AAE-6A77-40FD-811B-F7B1214B4ED1}">
      <formula1>1</formula1>
      <formula2>1000</formula2>
    </dataValidation>
    <dataValidation type="decimal" allowBlank="1" showInputMessage="1" showErrorMessage="1" sqref="H43:H45 D44:D52 D64:D68 D70:D73 H69:H73 H47:H52 D54:D59 D32:D41 H54:H65 H32:H41" xr:uid="{84AC0B6C-4865-4341-B879-4551C2B70916}">
      <formula1>0</formula1>
      <formula2>1000000</formula2>
    </dataValidation>
    <dataValidation type="whole" allowBlank="1" showInputMessage="1" showErrorMessage="1" sqref="D53 D69 D42 H66:H68 D60:D63 H46 H42 H53" xr:uid="{5D94FDD8-6BA2-4641-963E-32E2F26B00A6}">
      <formula1>1</formula1>
      <formula2>20</formula2>
    </dataValidation>
    <dataValidation type="whole" allowBlank="1" showInputMessage="1" showErrorMessage="1" sqref="D13:D16" xr:uid="{B42A087C-5410-4CD5-85E3-46149E25ED33}">
      <formula1>1</formula1>
      <formula2>30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B895427-9A7D-4765-A51F-AB5FFCB380AA}">
          <x14:formula1>
            <xm:f>Validations!$A$2:$A$5</xm:f>
          </x14:formula1>
          <xm:sqref>C41 G41</xm:sqref>
        </x14:dataValidation>
        <x14:dataValidation type="list" allowBlank="1" showInputMessage="1" showErrorMessage="1" xr:uid="{EBBAE4A3-CD13-42DD-910A-ABF65BA58D5A}">
          <x14:formula1>
            <xm:f>Validations!$A$3:$A$4</xm:f>
          </x14:formula1>
          <xm:sqref>G43:G52 C43:C52</xm:sqref>
        </x14:dataValidation>
        <x14:dataValidation type="list" allowBlank="1" showInputMessage="1" showErrorMessage="1" xr:uid="{DA6AEAF9-E20E-4442-A856-45C35E406954}">
          <x14:formula1>
            <xm:f>Validations!$A$2:$A$3</xm:f>
          </x14:formula1>
          <xm:sqref>C54:C63 G54:G63</xm:sqref>
        </x14:dataValidation>
        <x14:dataValidation type="list" allowBlank="1" showInputMessage="1" showErrorMessage="1" xr:uid="{1CD275E4-914B-4C23-B8E8-DEF66730960C}">
          <x14:formula1>
            <xm:f>Validations!$J$2:$J$8</xm:f>
          </x14:formula1>
          <xm:sqref>D6</xm:sqref>
        </x14:dataValidation>
        <x14:dataValidation type="list" allowBlank="1" showInputMessage="1" showErrorMessage="1" xr:uid="{28AE992C-C9B0-47F7-9635-DF9B80BC30B2}">
          <x14:formula1>
            <xm:f>Validations!$P$2:$P$18</xm:f>
          </x14:formula1>
          <xm:sqref>D7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45BA1-B7FE-5E43-AF5E-4A2ACDA665DC}">
  <sheetPr>
    <tabColor theme="7"/>
  </sheetPr>
  <dimension ref="A1:BF304"/>
  <sheetViews>
    <sheetView zoomScale="91" zoomScaleNormal="80" workbookViewId="0">
      <selection activeCell="A25" sqref="A25"/>
    </sheetView>
  </sheetViews>
  <sheetFormatPr defaultColWidth="11.25" defaultRowHeight="15.75"/>
  <cols>
    <col min="1" max="1" width="5.75" customWidth="1"/>
    <col min="2" max="2" width="11.25" customWidth="1"/>
    <col min="3" max="3" width="43" customWidth="1"/>
    <col min="4" max="4" width="32.75" customWidth="1"/>
    <col min="5" max="5" width="14" customWidth="1"/>
    <col min="6" max="6" width="15.75" customWidth="1"/>
    <col min="7" max="7" width="12.5" customWidth="1"/>
    <col min="8" max="8" width="25" customWidth="1"/>
    <col min="9" max="9" width="10.75" customWidth="1"/>
    <col min="10" max="10" width="12.5" customWidth="1"/>
    <col min="11" max="11" width="25" customWidth="1"/>
    <col min="12" max="12" width="10.75" customWidth="1"/>
    <col min="13" max="13" width="12.5" customWidth="1"/>
    <col min="14" max="14" width="25" customWidth="1"/>
  </cols>
  <sheetData>
    <row r="1" spans="1:58">
      <c r="A1" t="s">
        <v>95</v>
      </c>
      <c r="BF1" t="s">
        <v>96</v>
      </c>
    </row>
    <row r="2" spans="1:58" ht="19.899999999999999" customHeight="1">
      <c r="G2" s="231" t="s">
        <v>495</v>
      </c>
      <c r="H2" s="231"/>
      <c r="BF2" t="s">
        <v>97</v>
      </c>
    </row>
    <row r="3" spans="1:58" ht="16.149999999999999" customHeight="1">
      <c r="G3" s="231"/>
      <c r="H3" s="231"/>
    </row>
    <row r="4" spans="1:58" ht="27" customHeight="1">
      <c r="C4" s="6" t="s">
        <v>93</v>
      </c>
      <c r="D4" s="7" t="s">
        <v>94</v>
      </c>
      <c r="E4" s="103" t="s">
        <v>798</v>
      </c>
      <c r="F4" s="15"/>
      <c r="G4" s="231"/>
      <c r="H4" s="231"/>
    </row>
    <row r="5" spans="1:58" ht="16.149999999999999" customHeight="1">
      <c r="G5" s="231"/>
      <c r="H5" s="231"/>
    </row>
    <row r="6" spans="1:58" ht="16.149999999999999" customHeight="1">
      <c r="G6" s="231"/>
      <c r="H6" s="231"/>
    </row>
    <row r="7" spans="1:58">
      <c r="D7" s="8"/>
      <c r="E7" s="8"/>
      <c r="F7" s="8"/>
      <c r="G7" s="8"/>
    </row>
    <row r="8" spans="1:58" ht="21" customHeight="1">
      <c r="A8" s="9"/>
      <c r="B8" s="227" t="s">
        <v>450</v>
      </c>
      <c r="C8" s="228"/>
      <c r="D8" s="228"/>
      <c r="E8" s="228"/>
      <c r="F8" s="16"/>
      <c r="G8" s="221"/>
      <c r="H8" s="222"/>
      <c r="I8" s="86"/>
      <c r="J8" s="143"/>
      <c r="K8" s="143"/>
      <c r="L8" s="143"/>
      <c r="M8" s="143"/>
      <c r="N8" s="143"/>
      <c r="O8" s="9"/>
      <c r="P8" s="9"/>
      <c r="Q8" s="9"/>
      <c r="R8" s="9"/>
      <c r="S8" s="9"/>
      <c r="T8" s="9"/>
      <c r="U8" s="9"/>
      <c r="V8" s="9"/>
      <c r="W8" s="9"/>
      <c r="X8" s="9"/>
      <c r="Y8" s="9"/>
      <c r="Z8" s="9"/>
    </row>
    <row r="9" spans="1:58" ht="21" customHeight="1">
      <c r="A9" s="11"/>
      <c r="B9" s="158" t="s">
        <v>112</v>
      </c>
      <c r="C9" s="159" t="s">
        <v>110</v>
      </c>
      <c r="D9" s="158" t="s">
        <v>98</v>
      </c>
      <c r="E9" s="159" t="s">
        <v>99</v>
      </c>
      <c r="F9" s="17"/>
      <c r="G9" s="232" t="s">
        <v>100</v>
      </c>
      <c r="H9" s="233"/>
      <c r="I9" s="86"/>
      <c r="J9" s="114"/>
      <c r="K9" s="114"/>
      <c r="L9" s="114"/>
      <c r="M9" s="114"/>
      <c r="N9" s="114"/>
      <c r="O9" s="11"/>
      <c r="P9" s="11"/>
      <c r="Q9" s="11"/>
      <c r="R9" s="11"/>
      <c r="S9" s="11"/>
      <c r="T9" s="11"/>
      <c r="U9" s="11"/>
      <c r="V9" s="11"/>
      <c r="W9" s="11"/>
      <c r="X9" s="11"/>
      <c r="Y9" s="11"/>
      <c r="Z9" s="11"/>
    </row>
    <row r="10" spans="1:58" ht="21" customHeight="1">
      <c r="A10" s="9"/>
      <c r="B10" s="105">
        <v>1</v>
      </c>
      <c r="C10" s="105" t="s">
        <v>101</v>
      </c>
      <c r="D10" s="105" t="s">
        <v>62</v>
      </c>
      <c r="E10" s="104">
        <v>4.0999999999999996</v>
      </c>
      <c r="F10" s="14"/>
      <c r="G10" s="225"/>
      <c r="H10" s="226"/>
      <c r="I10" s="86"/>
      <c r="J10" s="143"/>
      <c r="K10" s="143"/>
      <c r="L10" s="143"/>
      <c r="M10" s="143"/>
      <c r="N10" s="143"/>
      <c r="O10" s="9"/>
      <c r="P10" s="9"/>
      <c r="Q10" s="9"/>
      <c r="R10" s="9"/>
      <c r="S10" s="9"/>
      <c r="T10" s="9"/>
      <c r="U10" s="9"/>
      <c r="V10" s="9"/>
      <c r="W10" s="9"/>
      <c r="X10" s="9"/>
      <c r="Y10" s="9"/>
      <c r="Z10" s="9"/>
    </row>
    <row r="11" spans="1:58" ht="21" customHeight="1">
      <c r="A11" s="9"/>
      <c r="B11" s="105">
        <v>2</v>
      </c>
      <c r="C11" s="105" t="s">
        <v>451</v>
      </c>
      <c r="D11" s="105" t="s">
        <v>113</v>
      </c>
      <c r="E11" s="104"/>
      <c r="F11" s="14"/>
      <c r="G11" s="225"/>
      <c r="H11" s="226"/>
      <c r="I11" s="86"/>
      <c r="J11" s="143"/>
      <c r="K11" s="143"/>
      <c r="L11" s="143"/>
      <c r="M11" s="143"/>
      <c r="N11" s="143"/>
      <c r="O11" s="9"/>
      <c r="P11" s="9"/>
      <c r="Q11" s="9"/>
      <c r="R11" s="9"/>
      <c r="S11" s="9"/>
      <c r="T11" s="9"/>
      <c r="U11" s="9"/>
      <c r="V11" s="9"/>
      <c r="W11" s="9"/>
      <c r="X11" s="9"/>
      <c r="Y11" s="9"/>
      <c r="Z11" s="9"/>
    </row>
    <row r="12" spans="1:58" s="10" customFormat="1">
      <c r="B12" s="105">
        <v>3</v>
      </c>
      <c r="C12" s="105" t="s">
        <v>613</v>
      </c>
      <c r="D12" s="105" t="s">
        <v>105</v>
      </c>
      <c r="E12" s="104">
        <v>37</v>
      </c>
      <c r="F12" s="14"/>
      <c r="G12" s="225"/>
      <c r="H12" s="226"/>
      <c r="I12" s="143"/>
      <c r="J12" s="143"/>
      <c r="K12" s="143"/>
      <c r="L12" s="143"/>
      <c r="M12" s="143"/>
      <c r="N12" s="143"/>
    </row>
    <row r="13" spans="1:58" s="10" customFormat="1">
      <c r="B13" s="105">
        <v>4</v>
      </c>
      <c r="C13" s="105" t="s">
        <v>614</v>
      </c>
      <c r="D13" s="105" t="s">
        <v>105</v>
      </c>
      <c r="E13" s="104">
        <v>22</v>
      </c>
      <c r="F13" s="14"/>
      <c r="G13" s="225"/>
      <c r="H13" s="226"/>
      <c r="I13" s="143"/>
      <c r="J13" s="143"/>
      <c r="K13" s="143"/>
      <c r="L13" s="143"/>
      <c r="M13" s="143"/>
      <c r="N13" s="143"/>
    </row>
    <row r="14" spans="1:58" s="10" customFormat="1">
      <c r="B14" s="105">
        <v>5</v>
      </c>
      <c r="C14" s="105" t="s">
        <v>615</v>
      </c>
      <c r="D14" s="105" t="s">
        <v>105</v>
      </c>
      <c r="E14" s="104">
        <v>31</v>
      </c>
      <c r="F14" s="14"/>
      <c r="G14" s="225"/>
      <c r="H14" s="226"/>
      <c r="I14" s="143"/>
      <c r="J14" s="143"/>
      <c r="K14" s="143"/>
      <c r="L14" s="143"/>
      <c r="M14" s="143"/>
      <c r="N14" s="143"/>
    </row>
    <row r="15" spans="1:58" s="10" customFormat="1" ht="18">
      <c r="B15" s="105">
        <v>6</v>
      </c>
      <c r="C15" s="105" t="s">
        <v>612</v>
      </c>
      <c r="D15" s="105" t="s">
        <v>473</v>
      </c>
      <c r="E15" s="104"/>
      <c r="F15" s="14"/>
      <c r="G15" s="225"/>
      <c r="H15" s="226"/>
      <c r="I15" s="143"/>
      <c r="J15" s="143"/>
      <c r="K15" s="143"/>
      <c r="L15" s="143"/>
      <c r="M15" s="143"/>
      <c r="N15" s="143"/>
    </row>
    <row r="16" spans="1:58" s="10" customFormat="1">
      <c r="B16" s="105">
        <v>7</v>
      </c>
      <c r="C16" s="105" t="s">
        <v>106</v>
      </c>
      <c r="D16" s="105" t="s">
        <v>105</v>
      </c>
      <c r="E16" s="104">
        <v>1</v>
      </c>
      <c r="F16" s="14"/>
      <c r="G16" s="225"/>
      <c r="H16" s="226"/>
      <c r="I16" s="143"/>
      <c r="J16" s="143"/>
      <c r="K16" s="143"/>
      <c r="L16" s="143"/>
      <c r="M16" s="143"/>
      <c r="N16" s="143"/>
    </row>
    <row r="17" spans="1:26">
      <c r="A17" s="9"/>
      <c r="B17" s="105">
        <v>8</v>
      </c>
      <c r="C17" s="105" t="s">
        <v>102</v>
      </c>
      <c r="D17" s="105" t="s">
        <v>113</v>
      </c>
      <c r="E17" s="104"/>
      <c r="F17" s="14"/>
      <c r="G17" s="225"/>
      <c r="H17" s="226"/>
      <c r="I17" s="86"/>
      <c r="J17" s="143"/>
      <c r="K17" s="143"/>
      <c r="L17" s="143"/>
      <c r="M17" s="143"/>
      <c r="N17" s="143"/>
      <c r="O17" s="9"/>
      <c r="P17" s="9"/>
      <c r="Q17" s="9"/>
      <c r="R17" s="9"/>
      <c r="S17" s="9"/>
      <c r="T17" s="9"/>
      <c r="U17" s="9"/>
      <c r="V17" s="9"/>
      <c r="W17" s="9"/>
      <c r="X17" s="9"/>
      <c r="Y17" s="9"/>
      <c r="Z17" s="9"/>
    </row>
    <row r="18" spans="1:26">
      <c r="A18" s="9"/>
      <c r="B18" s="105">
        <v>9</v>
      </c>
      <c r="C18" s="105" t="s">
        <v>103</v>
      </c>
      <c r="D18" s="105" t="s">
        <v>104</v>
      </c>
      <c r="E18" s="104"/>
      <c r="F18" s="14"/>
      <c r="G18" s="225"/>
      <c r="H18" s="226"/>
      <c r="I18" s="86"/>
      <c r="J18" s="143"/>
      <c r="K18" s="143"/>
      <c r="L18" s="143"/>
      <c r="M18" s="143"/>
      <c r="N18" s="143"/>
      <c r="O18" s="9"/>
      <c r="P18" s="9"/>
      <c r="Q18" s="9"/>
      <c r="R18" s="9"/>
      <c r="S18" s="9"/>
      <c r="T18" s="9"/>
      <c r="U18" s="9"/>
      <c r="V18" s="9"/>
      <c r="W18" s="9"/>
      <c r="X18" s="9"/>
      <c r="Y18" s="9"/>
      <c r="Z18" s="9"/>
    </row>
    <row r="19" spans="1:26">
      <c r="B19" s="105">
        <v>10</v>
      </c>
      <c r="C19" s="105" t="s">
        <v>126</v>
      </c>
      <c r="D19" s="105" t="s">
        <v>113</v>
      </c>
      <c r="E19" s="104"/>
      <c r="G19" s="225"/>
      <c r="H19" s="226"/>
      <c r="I19" s="86"/>
      <c r="J19" s="86"/>
      <c r="K19" s="86"/>
      <c r="L19" s="86"/>
      <c r="M19" s="86"/>
      <c r="N19" s="86"/>
    </row>
    <row r="20" spans="1:26" ht="18">
      <c r="B20" s="105">
        <v>11</v>
      </c>
      <c r="C20" s="105" t="s">
        <v>293</v>
      </c>
      <c r="D20" s="105" t="s">
        <v>294</v>
      </c>
      <c r="E20" s="104"/>
      <c r="G20" s="225"/>
      <c r="H20" s="226"/>
      <c r="I20" s="86"/>
      <c r="J20" s="86"/>
      <c r="K20" s="86"/>
      <c r="L20" s="86"/>
      <c r="M20" s="86"/>
      <c r="N20" s="86"/>
    </row>
    <row r="21" spans="1:26" ht="21" customHeight="1">
      <c r="A21" s="9"/>
      <c r="B21" s="9"/>
      <c r="C21" s="13"/>
      <c r="D21" s="9"/>
      <c r="E21" s="14"/>
      <c r="F21" s="14"/>
      <c r="G21" s="143"/>
      <c r="H21" s="144"/>
      <c r="I21" s="144"/>
      <c r="J21" s="143"/>
      <c r="K21" s="143"/>
      <c r="L21" s="143"/>
      <c r="M21" s="143"/>
      <c r="N21" s="143"/>
      <c r="O21" s="9"/>
      <c r="P21" s="9"/>
      <c r="Q21" s="9"/>
      <c r="R21" s="9"/>
      <c r="S21" s="9"/>
      <c r="T21" s="9"/>
      <c r="U21" s="9"/>
      <c r="V21" s="9"/>
      <c r="W21" s="9"/>
      <c r="X21" s="9"/>
      <c r="Y21" s="9"/>
      <c r="Z21" s="9"/>
    </row>
    <row r="22" spans="1:26" s="10" customFormat="1">
      <c r="B22" s="106" t="s">
        <v>0</v>
      </c>
      <c r="C22" s="107"/>
      <c r="D22" s="107"/>
      <c r="E22" s="12"/>
      <c r="G22" s="223" t="s">
        <v>107</v>
      </c>
      <c r="H22" s="224"/>
      <c r="I22" s="143"/>
      <c r="J22" s="223" t="s">
        <v>108</v>
      </c>
      <c r="K22" s="224"/>
      <c r="L22" s="143"/>
      <c r="M22" s="221" t="s">
        <v>109</v>
      </c>
      <c r="N22" s="222"/>
    </row>
    <row r="23" spans="1:26" s="10" customFormat="1">
      <c r="B23" s="108" t="s">
        <v>112</v>
      </c>
      <c r="C23" s="108" t="s">
        <v>110</v>
      </c>
      <c r="D23" s="108" t="s">
        <v>98</v>
      </c>
      <c r="E23" s="18"/>
      <c r="G23" s="87" t="s">
        <v>496</v>
      </c>
      <c r="H23" s="87" t="s">
        <v>100</v>
      </c>
      <c r="I23" s="143"/>
      <c r="J23" s="87" t="s">
        <v>496</v>
      </c>
      <c r="K23" s="87" t="s">
        <v>100</v>
      </c>
      <c r="L23" s="143"/>
      <c r="M23" s="87" t="s">
        <v>496</v>
      </c>
      <c r="N23" s="87" t="s">
        <v>100</v>
      </c>
    </row>
    <row r="24" spans="1:26" ht="16.149999999999999" customHeight="1">
      <c r="B24" s="105">
        <v>12</v>
      </c>
      <c r="C24" s="105" t="s">
        <v>1</v>
      </c>
      <c r="D24" s="105" t="s">
        <v>506</v>
      </c>
      <c r="E24" s="14"/>
      <c r="G24" s="104">
        <v>936</v>
      </c>
      <c r="H24" s="104"/>
      <c r="I24" s="86"/>
      <c r="J24" s="104"/>
      <c r="K24" s="104"/>
      <c r="L24" s="86"/>
      <c r="M24" s="104"/>
      <c r="N24" s="104"/>
    </row>
    <row r="25" spans="1:26" ht="16.149999999999999" customHeight="1">
      <c r="B25" s="105">
        <v>13</v>
      </c>
      <c r="C25" s="105" t="s">
        <v>2</v>
      </c>
      <c r="D25" s="105" t="s">
        <v>506</v>
      </c>
      <c r="E25" s="14"/>
      <c r="G25" s="104">
        <v>370</v>
      </c>
      <c r="H25" s="104"/>
      <c r="I25" s="86"/>
      <c r="J25" s="104"/>
      <c r="K25" s="104"/>
      <c r="L25" s="86"/>
      <c r="M25" s="104"/>
      <c r="N25" s="104"/>
    </row>
    <row r="26" spans="1:26" ht="18">
      <c r="B26" s="105">
        <v>14</v>
      </c>
      <c r="C26" s="105" t="s">
        <v>30</v>
      </c>
      <c r="D26" s="105" t="s">
        <v>506</v>
      </c>
      <c r="E26" s="14"/>
      <c r="G26" s="104"/>
      <c r="H26" s="104"/>
      <c r="I26" s="86"/>
      <c r="J26" s="104"/>
      <c r="K26" s="104"/>
      <c r="L26" s="86"/>
      <c r="M26" s="104"/>
      <c r="N26" s="104"/>
    </row>
    <row r="27" spans="1:26" ht="16.149999999999999" customHeight="1">
      <c r="B27" s="105">
        <v>15</v>
      </c>
      <c r="C27" s="105" t="s">
        <v>3</v>
      </c>
      <c r="D27" s="105" t="s">
        <v>506</v>
      </c>
      <c r="E27" s="14"/>
      <c r="G27" s="104"/>
      <c r="H27" s="104"/>
      <c r="I27" s="86"/>
      <c r="J27" s="104"/>
      <c r="K27" s="104"/>
      <c r="L27" s="86"/>
      <c r="M27" s="104"/>
      <c r="N27" s="104"/>
    </row>
    <row r="28" spans="1:26" ht="18">
      <c r="B28" s="105">
        <v>16</v>
      </c>
      <c r="C28" s="105" t="s">
        <v>111</v>
      </c>
      <c r="D28" s="105" t="s">
        <v>506</v>
      </c>
      <c r="E28" s="14"/>
      <c r="G28" s="104"/>
      <c r="H28" s="104"/>
      <c r="I28" s="86"/>
      <c r="J28" s="104"/>
      <c r="K28" s="104"/>
      <c r="L28" s="86"/>
      <c r="M28" s="104"/>
      <c r="N28" s="104"/>
    </row>
    <row r="29" spans="1:26" ht="18">
      <c r="B29" s="105">
        <v>17</v>
      </c>
      <c r="C29" s="109" t="s">
        <v>499</v>
      </c>
      <c r="D29" s="105" t="s">
        <v>506</v>
      </c>
      <c r="E29" s="14"/>
      <c r="G29" s="104">
        <v>1306</v>
      </c>
      <c r="H29" s="104"/>
      <c r="I29" s="86"/>
      <c r="J29" s="104"/>
      <c r="K29" s="104"/>
      <c r="L29" s="86"/>
      <c r="M29" s="104"/>
      <c r="N29" s="104"/>
    </row>
    <row r="30" spans="1:26">
      <c r="G30" s="86"/>
      <c r="H30" s="86"/>
      <c r="I30" s="86"/>
      <c r="J30" s="86"/>
      <c r="K30" s="86"/>
      <c r="L30" s="86"/>
      <c r="M30" s="86"/>
      <c r="N30" s="86"/>
    </row>
    <row r="31" spans="1:26">
      <c r="B31" s="110" t="s">
        <v>5</v>
      </c>
      <c r="C31" s="111"/>
      <c r="D31" s="112"/>
      <c r="E31" s="12"/>
      <c r="G31" s="223" t="s">
        <v>107</v>
      </c>
      <c r="H31" s="224"/>
      <c r="I31" s="143"/>
      <c r="J31" s="223" t="s">
        <v>108</v>
      </c>
      <c r="K31" s="224"/>
      <c r="L31" s="143"/>
      <c r="M31" s="221" t="s">
        <v>109</v>
      </c>
      <c r="N31" s="222"/>
    </row>
    <row r="32" spans="1:26">
      <c r="B32" s="113" t="s">
        <v>112</v>
      </c>
      <c r="C32" s="113" t="s">
        <v>110</v>
      </c>
      <c r="D32" s="113" t="s">
        <v>171</v>
      </c>
      <c r="E32" s="18"/>
      <c r="G32" s="87" t="s">
        <v>496</v>
      </c>
      <c r="H32" s="87" t="s">
        <v>100</v>
      </c>
      <c r="I32" s="143"/>
      <c r="J32" s="87" t="s">
        <v>496</v>
      </c>
      <c r="K32" s="87" t="s">
        <v>100</v>
      </c>
      <c r="L32" s="143"/>
      <c r="M32" s="87" t="s">
        <v>496</v>
      </c>
      <c r="N32" s="87" t="s">
        <v>100</v>
      </c>
    </row>
    <row r="33" spans="2:14">
      <c r="B33" s="105">
        <v>18</v>
      </c>
      <c r="C33" s="105" t="s">
        <v>4</v>
      </c>
      <c r="D33" s="105" t="s">
        <v>72</v>
      </c>
      <c r="E33" s="14"/>
      <c r="G33" s="104"/>
      <c r="H33" s="104"/>
      <c r="I33" s="86"/>
      <c r="J33" s="104"/>
      <c r="K33" s="104"/>
      <c r="L33" s="86"/>
      <c r="M33" s="104"/>
      <c r="N33" s="104"/>
    </row>
    <row r="34" spans="2:14">
      <c r="B34" s="105">
        <v>19</v>
      </c>
      <c r="C34" s="105" t="s">
        <v>16</v>
      </c>
      <c r="D34" s="105" t="s">
        <v>72</v>
      </c>
      <c r="E34" s="14"/>
      <c r="G34" s="104"/>
      <c r="H34" s="104"/>
      <c r="I34" s="86"/>
      <c r="J34" s="104"/>
      <c r="K34" s="104"/>
      <c r="L34" s="86"/>
      <c r="M34" s="104"/>
      <c r="N34" s="104"/>
    </row>
    <row r="35" spans="2:14">
      <c r="B35" s="105">
        <v>20</v>
      </c>
      <c r="C35" s="105" t="s">
        <v>1</v>
      </c>
      <c r="D35" s="105" t="s">
        <v>72</v>
      </c>
      <c r="E35" s="14"/>
      <c r="G35" s="104"/>
      <c r="H35" s="104"/>
      <c r="I35" s="86"/>
      <c r="J35" s="104"/>
      <c r="K35" s="104"/>
      <c r="L35" s="86"/>
      <c r="M35" s="104"/>
      <c r="N35" s="104"/>
    </row>
    <row r="36" spans="2:14">
      <c r="B36" s="105">
        <v>21</v>
      </c>
      <c r="C36" s="105" t="s">
        <v>127</v>
      </c>
      <c r="D36" s="105" t="s">
        <v>72</v>
      </c>
      <c r="E36" s="14"/>
      <c r="G36" s="104"/>
      <c r="H36" s="104"/>
      <c r="I36" s="86"/>
      <c r="J36" s="104"/>
      <c r="K36" s="104"/>
      <c r="L36" s="86"/>
      <c r="M36" s="104"/>
      <c r="N36" s="104"/>
    </row>
    <row r="37" spans="2:14">
      <c r="B37" s="105">
        <v>22</v>
      </c>
      <c r="C37" s="105" t="s">
        <v>32</v>
      </c>
      <c r="D37" s="105" t="s">
        <v>72</v>
      </c>
      <c r="E37" s="14"/>
      <c r="G37" s="104"/>
      <c r="H37" s="104"/>
      <c r="I37" s="86"/>
      <c r="J37" s="104"/>
      <c r="K37" s="104"/>
      <c r="L37" s="86"/>
      <c r="M37" s="104"/>
      <c r="N37" s="104"/>
    </row>
    <row r="38" spans="2:14">
      <c r="B38" s="105">
        <v>23</v>
      </c>
      <c r="C38" s="105" t="s">
        <v>31</v>
      </c>
      <c r="D38" s="105" t="s">
        <v>72</v>
      </c>
      <c r="E38" s="14"/>
      <c r="G38" s="104"/>
      <c r="H38" s="104"/>
      <c r="I38" s="86"/>
      <c r="J38" s="104"/>
      <c r="K38" s="104"/>
      <c r="L38" s="86"/>
      <c r="M38" s="104"/>
      <c r="N38" s="104"/>
    </row>
    <row r="39" spans="2:14">
      <c r="B39" s="105">
        <v>24</v>
      </c>
      <c r="C39" s="105" t="s">
        <v>37</v>
      </c>
      <c r="D39" s="105" t="s">
        <v>72</v>
      </c>
      <c r="E39" s="14"/>
      <c r="G39" s="104"/>
      <c r="H39" s="104"/>
      <c r="I39" s="86"/>
      <c r="J39" s="104"/>
      <c r="K39" s="104"/>
      <c r="L39" s="86"/>
      <c r="M39" s="104"/>
      <c r="N39" s="104"/>
    </row>
    <row r="40" spans="2:14">
      <c r="B40" s="105">
        <v>25</v>
      </c>
      <c r="C40" s="105" t="s">
        <v>38</v>
      </c>
      <c r="D40" s="105" t="s">
        <v>72</v>
      </c>
      <c r="E40" s="14"/>
      <c r="G40" s="104"/>
      <c r="H40" s="104"/>
      <c r="I40" s="86"/>
      <c r="J40" s="104"/>
      <c r="K40" s="104"/>
      <c r="L40" s="86"/>
      <c r="M40" s="104"/>
      <c r="N40" s="104"/>
    </row>
    <row r="41" spans="2:14">
      <c r="B41" s="105">
        <v>26</v>
      </c>
      <c r="C41" s="105" t="s">
        <v>15</v>
      </c>
      <c r="D41" s="105" t="s">
        <v>72</v>
      </c>
      <c r="E41" s="14"/>
      <c r="G41" s="104"/>
      <c r="H41" s="104"/>
      <c r="I41" s="86"/>
      <c r="J41" s="104"/>
      <c r="K41" s="104"/>
      <c r="L41" s="86"/>
      <c r="M41" s="104"/>
      <c r="N41" s="104"/>
    </row>
    <row r="42" spans="2:14">
      <c r="B42" s="105">
        <v>27</v>
      </c>
      <c r="C42" s="105" t="s">
        <v>39</v>
      </c>
      <c r="D42" s="105" t="s">
        <v>72</v>
      </c>
      <c r="E42" s="14"/>
      <c r="G42" s="104"/>
      <c r="H42" s="104"/>
      <c r="I42" s="86"/>
      <c r="J42" s="104"/>
      <c r="K42" s="104"/>
      <c r="L42" s="86"/>
      <c r="M42" s="104"/>
      <c r="N42" s="104"/>
    </row>
    <row r="43" spans="2:14">
      <c r="B43" s="105">
        <v>28</v>
      </c>
      <c r="C43" s="109" t="s">
        <v>500</v>
      </c>
      <c r="D43" s="105" t="s">
        <v>72</v>
      </c>
      <c r="E43" s="14"/>
      <c r="G43" s="104">
        <v>0</v>
      </c>
      <c r="H43" s="104"/>
      <c r="I43" s="86"/>
      <c r="J43" s="104"/>
      <c r="K43" s="104"/>
      <c r="L43" s="86"/>
      <c r="M43" s="104"/>
      <c r="N43" s="104"/>
    </row>
    <row r="44" spans="2:14">
      <c r="B44" s="81"/>
      <c r="C44" s="82"/>
      <c r="D44" s="81"/>
      <c r="E44" s="14"/>
      <c r="G44" s="86"/>
      <c r="H44" s="86"/>
      <c r="I44" s="86"/>
      <c r="J44" s="86"/>
      <c r="K44" s="86"/>
      <c r="L44" s="86"/>
      <c r="M44" s="86"/>
      <c r="N44" s="86"/>
    </row>
    <row r="45" spans="2:14">
      <c r="B45" s="229" t="s">
        <v>476</v>
      </c>
      <c r="C45" s="230"/>
      <c r="D45" s="230"/>
      <c r="E45" s="230"/>
      <c r="G45" s="223" t="s">
        <v>107</v>
      </c>
      <c r="H45" s="224"/>
      <c r="I45" s="143"/>
      <c r="J45" s="223" t="s">
        <v>108</v>
      </c>
      <c r="K45" s="224"/>
      <c r="L45" s="143"/>
      <c r="M45" s="221" t="s">
        <v>109</v>
      </c>
      <c r="N45" s="222"/>
    </row>
    <row r="46" spans="2:14">
      <c r="B46" s="113" t="s">
        <v>112</v>
      </c>
      <c r="C46" s="113" t="s">
        <v>110</v>
      </c>
      <c r="D46" s="113"/>
      <c r="E46" s="113" t="s">
        <v>98</v>
      </c>
      <c r="G46" s="87" t="s">
        <v>496</v>
      </c>
      <c r="H46" s="87" t="s">
        <v>100</v>
      </c>
      <c r="I46" s="143"/>
      <c r="J46" s="87" t="s">
        <v>496</v>
      </c>
      <c r="K46" s="87" t="s">
        <v>100</v>
      </c>
      <c r="L46" s="143"/>
      <c r="M46" s="87" t="s">
        <v>496</v>
      </c>
      <c r="N46" s="87" t="s">
        <v>100</v>
      </c>
    </row>
    <row r="47" spans="2:14">
      <c r="B47" s="105">
        <v>29</v>
      </c>
      <c r="C47" s="105" t="s">
        <v>464</v>
      </c>
      <c r="D47" s="105" t="s">
        <v>467</v>
      </c>
      <c r="E47" s="91"/>
      <c r="G47" s="104"/>
      <c r="H47" s="104"/>
      <c r="I47" s="86"/>
      <c r="J47" s="104"/>
      <c r="K47" s="104"/>
      <c r="L47" s="86"/>
      <c r="M47" s="104"/>
      <c r="N47" s="104"/>
    </row>
    <row r="48" spans="2:14" ht="18">
      <c r="B48" s="105">
        <v>30</v>
      </c>
      <c r="C48" s="105" t="s">
        <v>464</v>
      </c>
      <c r="D48" s="105" t="s">
        <v>469</v>
      </c>
      <c r="E48" s="105" t="s">
        <v>506</v>
      </c>
      <c r="G48" s="104"/>
      <c r="H48" s="104"/>
      <c r="I48" s="86"/>
      <c r="J48" s="104"/>
      <c r="K48" s="104"/>
      <c r="L48" s="86"/>
      <c r="M48" s="104"/>
      <c r="N48" s="104"/>
    </row>
    <row r="49" spans="2:14">
      <c r="B49" s="105">
        <v>31</v>
      </c>
      <c r="C49" s="105" t="s">
        <v>465</v>
      </c>
      <c r="D49" s="105" t="s">
        <v>468</v>
      </c>
      <c r="E49" s="91"/>
      <c r="G49" s="104"/>
      <c r="H49" s="104"/>
      <c r="I49" s="86"/>
      <c r="J49" s="104"/>
      <c r="K49" s="104"/>
      <c r="L49" s="86"/>
      <c r="M49" s="104"/>
      <c r="N49" s="104"/>
    </row>
    <row r="50" spans="2:14" ht="18">
      <c r="B50" s="105">
        <v>32</v>
      </c>
      <c r="C50" s="105" t="s">
        <v>465</v>
      </c>
      <c r="D50" s="105" t="s">
        <v>469</v>
      </c>
      <c r="E50" s="105" t="s">
        <v>506</v>
      </c>
      <c r="G50" s="104"/>
      <c r="H50" s="104"/>
      <c r="I50" s="86"/>
      <c r="J50" s="104"/>
      <c r="K50" s="104"/>
      <c r="L50" s="86"/>
      <c r="M50" s="104"/>
      <c r="N50" s="104"/>
    </row>
    <row r="51" spans="2:14">
      <c r="B51" s="105">
        <v>33</v>
      </c>
      <c r="C51" s="105" t="s">
        <v>466</v>
      </c>
      <c r="D51" s="105" t="s">
        <v>564</v>
      </c>
      <c r="E51" s="91"/>
      <c r="G51" s="104"/>
      <c r="H51" s="104"/>
      <c r="I51" s="86"/>
      <c r="J51" s="104"/>
      <c r="K51" s="104"/>
      <c r="L51" s="86"/>
      <c r="M51" s="104"/>
      <c r="N51" s="104"/>
    </row>
    <row r="52" spans="2:14" ht="18">
      <c r="B52" s="105">
        <v>34</v>
      </c>
      <c r="C52" s="105" t="s">
        <v>466</v>
      </c>
      <c r="D52" s="105" t="s">
        <v>469</v>
      </c>
      <c r="E52" s="105" t="s">
        <v>506</v>
      </c>
      <c r="G52" s="104"/>
      <c r="H52" s="104"/>
      <c r="I52" s="86"/>
      <c r="J52" s="104"/>
      <c r="K52" s="104"/>
      <c r="L52" s="86"/>
      <c r="M52" s="104"/>
      <c r="N52" s="104"/>
    </row>
    <row r="53" spans="2:14">
      <c r="G53" s="86"/>
      <c r="H53" s="86"/>
      <c r="I53" s="86"/>
      <c r="J53" s="86"/>
      <c r="K53" s="86"/>
      <c r="L53" s="86"/>
      <c r="M53" s="86"/>
      <c r="N53" s="86"/>
    </row>
    <row r="54" spans="2:14">
      <c r="B54" s="116" t="s">
        <v>13</v>
      </c>
      <c r="C54" s="117"/>
      <c r="D54" s="118"/>
      <c r="E54" s="12"/>
      <c r="G54" s="223" t="s">
        <v>107</v>
      </c>
      <c r="H54" s="224"/>
      <c r="I54" s="143"/>
      <c r="J54" s="223" t="s">
        <v>108</v>
      </c>
      <c r="K54" s="224"/>
      <c r="L54" s="143"/>
      <c r="M54" s="221" t="s">
        <v>109</v>
      </c>
      <c r="N54" s="222"/>
    </row>
    <row r="55" spans="2:14">
      <c r="B55" s="119" t="s">
        <v>112</v>
      </c>
      <c r="C55" s="119" t="s">
        <v>110</v>
      </c>
      <c r="D55" s="119" t="s">
        <v>98</v>
      </c>
      <c r="E55" s="18"/>
      <c r="G55" s="87" t="s">
        <v>496</v>
      </c>
      <c r="H55" s="87" t="s">
        <v>100</v>
      </c>
      <c r="I55" s="143"/>
      <c r="J55" s="87" t="s">
        <v>496</v>
      </c>
      <c r="K55" s="87" t="s">
        <v>100</v>
      </c>
      <c r="L55" s="143"/>
      <c r="M55" s="87" t="s">
        <v>496</v>
      </c>
      <c r="N55" s="87" t="s">
        <v>100</v>
      </c>
    </row>
    <row r="56" spans="2:14">
      <c r="B56" s="105">
        <v>35</v>
      </c>
      <c r="C56" s="105" t="s">
        <v>32</v>
      </c>
      <c r="D56" s="105" t="s">
        <v>70</v>
      </c>
      <c r="E56" s="14"/>
      <c r="G56" s="104"/>
      <c r="H56" s="104"/>
      <c r="I56" s="86"/>
      <c r="J56" s="104"/>
      <c r="K56" s="104"/>
      <c r="L56" s="86"/>
      <c r="M56" s="104"/>
      <c r="N56" s="104"/>
    </row>
    <row r="57" spans="2:14">
      <c r="B57" s="105">
        <v>36</v>
      </c>
      <c r="C57" s="105" t="s">
        <v>14</v>
      </c>
      <c r="D57" s="105" t="s">
        <v>70</v>
      </c>
      <c r="E57" s="14"/>
      <c r="G57" s="104"/>
      <c r="H57" s="104"/>
      <c r="I57" s="86"/>
      <c r="J57" s="104"/>
      <c r="K57" s="104"/>
      <c r="L57" s="86"/>
      <c r="M57" s="104"/>
      <c r="N57" s="104"/>
    </row>
    <row r="58" spans="2:14">
      <c r="B58" s="105">
        <v>37</v>
      </c>
      <c r="C58" s="105" t="s">
        <v>15</v>
      </c>
      <c r="D58" s="105" t="s">
        <v>70</v>
      </c>
      <c r="E58" s="14"/>
      <c r="G58" s="104"/>
      <c r="H58" s="104"/>
      <c r="I58" s="86"/>
      <c r="J58" s="104"/>
      <c r="K58" s="104"/>
      <c r="L58" s="86"/>
      <c r="M58" s="104"/>
      <c r="N58" s="104"/>
    </row>
    <row r="59" spans="2:14">
      <c r="B59" s="105">
        <v>38</v>
      </c>
      <c r="C59" s="105" t="s">
        <v>33</v>
      </c>
      <c r="D59" s="105" t="s">
        <v>70</v>
      </c>
      <c r="E59" s="14"/>
      <c r="G59" s="104"/>
      <c r="H59" s="104"/>
      <c r="I59" s="86"/>
      <c r="J59" s="104"/>
      <c r="K59" s="104"/>
      <c r="L59" s="86"/>
      <c r="M59" s="104"/>
      <c r="N59" s="104"/>
    </row>
    <row r="60" spans="2:14">
      <c r="B60" s="105">
        <v>39</v>
      </c>
      <c r="C60" s="105" t="s">
        <v>34</v>
      </c>
      <c r="D60" s="105" t="s">
        <v>70</v>
      </c>
      <c r="E60" s="14"/>
      <c r="G60" s="104"/>
      <c r="H60" s="104"/>
      <c r="I60" s="86"/>
      <c r="J60" s="104"/>
      <c r="K60" s="104"/>
      <c r="L60" s="86"/>
      <c r="M60" s="104"/>
      <c r="N60" s="104"/>
    </row>
    <row r="61" spans="2:14">
      <c r="B61" s="105">
        <v>40</v>
      </c>
      <c r="C61" s="105" t="s">
        <v>39</v>
      </c>
      <c r="D61" s="105" t="s">
        <v>70</v>
      </c>
      <c r="E61" s="14"/>
      <c r="G61" s="104"/>
      <c r="H61" s="104"/>
      <c r="I61" s="86"/>
      <c r="J61" s="104"/>
      <c r="K61" s="104"/>
      <c r="L61" s="86"/>
      <c r="M61" s="104"/>
      <c r="N61" s="104"/>
    </row>
    <row r="62" spans="2:14">
      <c r="B62" s="105">
        <v>41</v>
      </c>
      <c r="C62" s="109" t="s">
        <v>501</v>
      </c>
      <c r="D62" s="105" t="s">
        <v>70</v>
      </c>
      <c r="E62" s="14"/>
      <c r="G62" s="104">
        <v>70</v>
      </c>
      <c r="H62" s="104"/>
      <c r="I62" s="86"/>
      <c r="J62" s="104"/>
      <c r="K62" s="104"/>
      <c r="L62" s="86"/>
      <c r="M62" s="104"/>
      <c r="N62" s="104"/>
    </row>
    <row r="63" spans="2:14">
      <c r="G63" s="86"/>
      <c r="H63" s="86"/>
      <c r="I63" s="86"/>
      <c r="J63" s="86"/>
      <c r="K63" s="86"/>
      <c r="L63" s="86"/>
      <c r="M63" s="86"/>
      <c r="N63" s="86"/>
    </row>
    <row r="64" spans="2:14">
      <c r="B64" s="120" t="s">
        <v>457</v>
      </c>
      <c r="C64" s="121"/>
      <c r="D64" s="121"/>
      <c r="E64" s="122"/>
      <c r="G64" s="223" t="s">
        <v>107</v>
      </c>
      <c r="H64" s="224"/>
      <c r="I64" s="143"/>
      <c r="J64" s="223" t="s">
        <v>108</v>
      </c>
      <c r="K64" s="224"/>
      <c r="L64" s="143"/>
      <c r="M64" s="221" t="s">
        <v>109</v>
      </c>
      <c r="N64" s="222"/>
    </row>
    <row r="65" spans="2:14">
      <c r="B65" s="123" t="s">
        <v>112</v>
      </c>
      <c r="C65" s="123" t="s">
        <v>110</v>
      </c>
      <c r="D65" s="123"/>
      <c r="E65" s="123" t="s">
        <v>98</v>
      </c>
      <c r="G65" s="87" t="s">
        <v>496</v>
      </c>
      <c r="H65" s="87" t="s">
        <v>100</v>
      </c>
      <c r="I65" s="143"/>
      <c r="J65" s="87" t="s">
        <v>496</v>
      </c>
      <c r="K65" s="87" t="s">
        <v>100</v>
      </c>
      <c r="L65" s="143"/>
      <c r="M65" s="87" t="s">
        <v>496</v>
      </c>
      <c r="N65" s="87" t="s">
        <v>100</v>
      </c>
    </row>
    <row r="66" spans="2:14">
      <c r="B66" s="160">
        <v>42</v>
      </c>
      <c r="C66" s="91" t="s">
        <v>10</v>
      </c>
      <c r="D66" s="91" t="s">
        <v>581</v>
      </c>
      <c r="E66" s="91"/>
      <c r="G66" s="104"/>
      <c r="H66" s="104"/>
      <c r="I66" s="86"/>
      <c r="J66" s="104"/>
      <c r="K66" s="104"/>
      <c r="L66" s="86"/>
      <c r="M66" s="104"/>
      <c r="N66" s="104"/>
    </row>
    <row r="67" spans="2:14">
      <c r="B67" s="160">
        <v>43</v>
      </c>
      <c r="C67" s="91" t="s">
        <v>10</v>
      </c>
      <c r="D67" s="91" t="s">
        <v>7</v>
      </c>
      <c r="E67" s="91" t="s">
        <v>113</v>
      </c>
      <c r="G67" s="104"/>
      <c r="H67" s="104"/>
      <c r="I67" s="86"/>
      <c r="J67" s="104"/>
      <c r="K67" s="104"/>
      <c r="L67" s="86"/>
      <c r="M67" s="104"/>
      <c r="N67" s="104"/>
    </row>
    <row r="68" spans="2:14">
      <c r="B68" s="160">
        <v>44</v>
      </c>
      <c r="C68" s="91" t="s">
        <v>10</v>
      </c>
      <c r="D68" s="91" t="s">
        <v>458</v>
      </c>
      <c r="E68" s="91" t="str">
        <f>IF('General Information'!C43="€/kg","kg/ha","l/ha")</f>
        <v>kg/ha</v>
      </c>
      <c r="F68" s="79"/>
      <c r="G68" s="104"/>
      <c r="H68" s="104"/>
      <c r="I68" s="86"/>
      <c r="J68" s="104"/>
      <c r="K68" s="104"/>
      <c r="L68" s="86"/>
      <c r="M68" s="104"/>
      <c r="N68" s="104"/>
    </row>
    <row r="69" spans="2:14">
      <c r="B69" s="160">
        <v>45</v>
      </c>
      <c r="C69" s="91" t="s">
        <v>11</v>
      </c>
      <c r="D69" s="91" t="s">
        <v>170</v>
      </c>
      <c r="E69" s="91"/>
      <c r="G69" s="104"/>
      <c r="H69" s="104"/>
      <c r="I69" s="86"/>
      <c r="J69" s="104"/>
      <c r="K69" s="104"/>
      <c r="L69" s="86"/>
      <c r="M69" s="104"/>
      <c r="N69" s="104"/>
    </row>
    <row r="70" spans="2:14">
      <c r="B70" s="160">
        <v>46</v>
      </c>
      <c r="C70" s="91" t="s">
        <v>11</v>
      </c>
      <c r="D70" s="91" t="s">
        <v>7</v>
      </c>
      <c r="E70" s="91" t="s">
        <v>113</v>
      </c>
      <c r="G70" s="104"/>
      <c r="H70" s="104"/>
      <c r="I70" s="86"/>
      <c r="J70" s="104"/>
      <c r="K70" s="104"/>
      <c r="L70" s="86"/>
      <c r="M70" s="104"/>
      <c r="N70" s="104"/>
    </row>
    <row r="71" spans="2:14">
      <c r="B71" s="160">
        <v>47</v>
      </c>
      <c r="C71" s="91" t="s">
        <v>11</v>
      </c>
      <c r="D71" s="91" t="s">
        <v>458</v>
      </c>
      <c r="E71" s="91" t="str">
        <f>IF('General Information'!C44="€/kg","kg/ha","l/ha")</f>
        <v>kg/ha</v>
      </c>
      <c r="G71" s="104"/>
      <c r="H71" s="104"/>
      <c r="I71" s="86"/>
      <c r="J71" s="104"/>
      <c r="K71" s="104"/>
      <c r="L71" s="86"/>
      <c r="M71" s="104"/>
      <c r="N71" s="104"/>
    </row>
    <row r="72" spans="2:14">
      <c r="B72" s="160">
        <v>48</v>
      </c>
      <c r="C72" s="91" t="s">
        <v>640</v>
      </c>
      <c r="D72" s="91" t="s">
        <v>565</v>
      </c>
      <c r="E72" s="91"/>
      <c r="G72" s="104"/>
      <c r="H72" s="104"/>
      <c r="I72" s="86"/>
      <c r="J72" s="104"/>
      <c r="K72" s="104"/>
      <c r="L72" s="86"/>
      <c r="M72" s="104"/>
      <c r="N72" s="104"/>
    </row>
    <row r="73" spans="2:14">
      <c r="B73" s="160">
        <v>49</v>
      </c>
      <c r="C73" s="91" t="s">
        <v>640</v>
      </c>
      <c r="D73" s="91" t="s">
        <v>7</v>
      </c>
      <c r="E73" s="91" t="s">
        <v>113</v>
      </c>
      <c r="G73" s="104"/>
      <c r="H73" s="104"/>
      <c r="I73" s="86"/>
      <c r="J73" s="104"/>
      <c r="K73" s="104"/>
      <c r="L73" s="86"/>
      <c r="M73" s="104"/>
      <c r="N73" s="104"/>
    </row>
    <row r="74" spans="2:14">
      <c r="B74" s="160">
        <v>50</v>
      </c>
      <c r="C74" s="91" t="s">
        <v>640</v>
      </c>
      <c r="D74" s="91" t="s">
        <v>458</v>
      </c>
      <c r="E74" s="91" t="str">
        <f>IF('General Information'!C45="€/kg","kg/ha","l/ha")</f>
        <v>kg/ha</v>
      </c>
      <c r="G74" s="104"/>
      <c r="H74" s="104"/>
      <c r="I74" s="86"/>
      <c r="J74" s="104"/>
      <c r="K74" s="104"/>
      <c r="L74" s="86"/>
      <c r="M74" s="104"/>
      <c r="N74" s="104"/>
    </row>
    <row r="75" spans="2:14">
      <c r="B75" s="160">
        <v>51</v>
      </c>
      <c r="C75" s="91" t="s">
        <v>641</v>
      </c>
      <c r="D75" s="91" t="s">
        <v>565</v>
      </c>
      <c r="E75" s="91"/>
      <c r="G75" s="104"/>
      <c r="H75" s="104"/>
      <c r="I75" s="86"/>
      <c r="J75" s="104"/>
      <c r="K75" s="104"/>
      <c r="L75" s="86"/>
      <c r="M75" s="104"/>
      <c r="N75" s="104"/>
    </row>
    <row r="76" spans="2:14">
      <c r="B76" s="160">
        <v>52</v>
      </c>
      <c r="C76" s="91" t="s">
        <v>641</v>
      </c>
      <c r="D76" s="91" t="s">
        <v>7</v>
      </c>
      <c r="E76" s="91" t="s">
        <v>113</v>
      </c>
      <c r="G76" s="104"/>
      <c r="H76" s="104"/>
      <c r="I76" s="86"/>
      <c r="J76" s="104"/>
      <c r="K76" s="104"/>
      <c r="L76" s="86"/>
      <c r="M76" s="104"/>
      <c r="N76" s="104"/>
    </row>
    <row r="77" spans="2:14">
      <c r="B77" s="160">
        <v>53</v>
      </c>
      <c r="C77" s="91" t="s">
        <v>641</v>
      </c>
      <c r="D77" s="91" t="s">
        <v>458</v>
      </c>
      <c r="E77" s="91" t="str">
        <f>IF('General Information'!C46="€/kg","kg/ha","l/ha")</f>
        <v>kg/ha</v>
      </c>
      <c r="G77" s="104"/>
      <c r="H77" s="104"/>
      <c r="I77" s="86"/>
      <c r="J77" s="104"/>
      <c r="K77" s="104"/>
      <c r="L77" s="86"/>
      <c r="M77" s="104"/>
      <c r="N77" s="104"/>
    </row>
    <row r="78" spans="2:14">
      <c r="B78" s="160">
        <v>54</v>
      </c>
      <c r="C78" t="s">
        <v>641</v>
      </c>
      <c r="D78" s="91" t="s">
        <v>565</v>
      </c>
      <c r="E78" s="91"/>
      <c r="G78" s="104"/>
      <c r="H78" s="104"/>
      <c r="I78" s="86"/>
      <c r="J78" s="161"/>
      <c r="K78" s="161"/>
      <c r="L78" s="86"/>
      <c r="M78" s="161"/>
      <c r="N78" s="161"/>
    </row>
    <row r="79" spans="2:14">
      <c r="B79" s="160">
        <v>55</v>
      </c>
      <c r="C79" t="s">
        <v>642</v>
      </c>
      <c r="D79" s="91" t="s">
        <v>7</v>
      </c>
      <c r="E79" s="91" t="s">
        <v>113</v>
      </c>
      <c r="G79" s="104"/>
      <c r="H79" s="104"/>
      <c r="I79" s="86"/>
      <c r="J79" s="161"/>
      <c r="K79" s="161"/>
      <c r="L79" s="86"/>
      <c r="M79" s="161"/>
      <c r="N79" s="161"/>
    </row>
    <row r="80" spans="2:14">
      <c r="B80" s="160">
        <v>56</v>
      </c>
      <c r="C80" s="91" t="s">
        <v>642</v>
      </c>
      <c r="D80" s="91" t="s">
        <v>458</v>
      </c>
      <c r="E80" s="91" t="str">
        <f>IF('General Information'!C47="€/kg","kg/ha","l/ha")</f>
        <v>kg/ha</v>
      </c>
      <c r="G80" s="104"/>
      <c r="H80" s="104"/>
      <c r="I80" s="86"/>
      <c r="J80" s="161"/>
      <c r="K80" s="161"/>
      <c r="L80" s="86"/>
      <c r="M80" s="161"/>
      <c r="N80" s="161"/>
    </row>
    <row r="81" spans="2:14">
      <c r="B81" s="160">
        <v>57</v>
      </c>
      <c r="C81" s="91" t="s">
        <v>643</v>
      </c>
      <c r="D81" s="91" t="s">
        <v>565</v>
      </c>
      <c r="E81" s="91"/>
      <c r="G81" s="104"/>
      <c r="H81" s="104"/>
      <c r="I81" s="86"/>
      <c r="J81" s="161"/>
      <c r="K81" s="161"/>
      <c r="L81" s="86"/>
      <c r="M81" s="161"/>
      <c r="N81" s="161"/>
    </row>
    <row r="82" spans="2:14">
      <c r="B82" s="160">
        <v>58</v>
      </c>
      <c r="C82" s="91" t="s">
        <v>643</v>
      </c>
      <c r="D82" s="91" t="s">
        <v>7</v>
      </c>
      <c r="E82" s="91" t="s">
        <v>113</v>
      </c>
      <c r="G82" s="104"/>
      <c r="H82" s="104"/>
      <c r="I82" s="86"/>
      <c r="J82" s="161"/>
      <c r="K82" s="161"/>
      <c r="L82" s="86"/>
      <c r="M82" s="161"/>
      <c r="N82" s="161"/>
    </row>
    <row r="83" spans="2:14">
      <c r="B83" s="160">
        <v>59</v>
      </c>
      <c r="C83" s="91" t="s">
        <v>643</v>
      </c>
      <c r="D83" s="91" t="s">
        <v>458</v>
      </c>
      <c r="E83" s="91" t="str">
        <f>IF('General Information'!C48="€/kg","kg/ha","l/ha")</f>
        <v>kg/ha</v>
      </c>
      <c r="G83" s="104"/>
      <c r="H83" s="104"/>
      <c r="I83" s="86"/>
      <c r="J83" s="161"/>
      <c r="K83" s="161"/>
      <c r="L83" s="86"/>
      <c r="M83" s="161"/>
      <c r="N83" s="161"/>
    </row>
    <row r="84" spans="2:14">
      <c r="B84" s="160">
        <v>60</v>
      </c>
      <c r="C84" s="91" t="s">
        <v>644</v>
      </c>
      <c r="D84" s="91" t="s">
        <v>565</v>
      </c>
      <c r="E84" s="91"/>
      <c r="G84" s="104"/>
      <c r="H84" s="104"/>
      <c r="I84" s="86"/>
      <c r="J84" s="161"/>
      <c r="K84" s="161"/>
      <c r="L84" s="86"/>
      <c r="M84" s="161"/>
      <c r="N84" s="161"/>
    </row>
    <row r="85" spans="2:14">
      <c r="B85" s="160">
        <v>61</v>
      </c>
      <c r="C85" s="91" t="s">
        <v>644</v>
      </c>
      <c r="D85" s="91" t="s">
        <v>7</v>
      </c>
      <c r="E85" s="91" t="s">
        <v>113</v>
      </c>
      <c r="G85" s="104"/>
      <c r="H85" s="104"/>
      <c r="I85" s="86"/>
      <c r="J85" s="161"/>
      <c r="K85" s="161"/>
      <c r="L85" s="86"/>
      <c r="M85" s="161"/>
      <c r="N85" s="161"/>
    </row>
    <row r="86" spans="2:14">
      <c r="B86" s="160">
        <v>62</v>
      </c>
      <c r="C86" s="91" t="s">
        <v>644</v>
      </c>
      <c r="D86" s="91" t="s">
        <v>458</v>
      </c>
      <c r="E86" s="91" t="str">
        <f>IF('General Information'!C49="€/kg","kg/ha","l/ha")</f>
        <v>kg/ha</v>
      </c>
      <c r="G86" s="104"/>
      <c r="H86" s="104"/>
      <c r="I86" s="86"/>
      <c r="J86" s="161"/>
      <c r="K86" s="161"/>
      <c r="L86" s="86"/>
      <c r="M86" s="161"/>
      <c r="N86" s="161"/>
    </row>
    <row r="87" spans="2:14">
      <c r="B87" s="160">
        <v>63</v>
      </c>
      <c r="C87" s="91" t="s">
        <v>645</v>
      </c>
      <c r="D87" s="91" t="s">
        <v>565</v>
      </c>
      <c r="E87" s="91"/>
      <c r="G87" s="104"/>
      <c r="H87" s="104"/>
      <c r="I87" s="86"/>
      <c r="J87" s="161"/>
      <c r="K87" s="161"/>
      <c r="L87" s="86"/>
      <c r="M87" s="161"/>
      <c r="N87" s="161"/>
    </row>
    <row r="88" spans="2:14">
      <c r="B88" s="160">
        <v>64</v>
      </c>
      <c r="C88" s="91" t="s">
        <v>645</v>
      </c>
      <c r="D88" s="91" t="s">
        <v>7</v>
      </c>
      <c r="E88" s="91" t="s">
        <v>113</v>
      </c>
      <c r="G88" s="104"/>
      <c r="H88" s="104"/>
      <c r="I88" s="86"/>
      <c r="J88" s="161"/>
      <c r="K88" s="161"/>
      <c r="L88" s="86"/>
      <c r="M88" s="161"/>
      <c r="N88" s="161"/>
    </row>
    <row r="89" spans="2:14">
      <c r="B89" s="160">
        <v>65</v>
      </c>
      <c r="C89" s="91" t="s">
        <v>645</v>
      </c>
      <c r="D89" s="91" t="s">
        <v>458</v>
      </c>
      <c r="E89" s="91" t="str">
        <f>IF('General Information'!C52="€/kg","kg/ha","l/ha")</f>
        <v>kg/ha</v>
      </c>
      <c r="G89" s="104"/>
      <c r="H89" s="104"/>
      <c r="I89" s="86"/>
      <c r="J89" s="161"/>
      <c r="K89" s="161"/>
      <c r="L89" s="86"/>
      <c r="M89" s="161"/>
      <c r="N89" s="161"/>
    </row>
    <row r="90" spans="2:14">
      <c r="B90" s="160">
        <v>66</v>
      </c>
      <c r="C90" s="91" t="s">
        <v>646</v>
      </c>
      <c r="D90" s="91" t="s">
        <v>565</v>
      </c>
      <c r="E90" s="91"/>
      <c r="G90" s="104"/>
      <c r="H90" s="104"/>
      <c r="I90" s="86"/>
      <c r="J90" s="161"/>
      <c r="K90" s="161"/>
      <c r="L90" s="86"/>
      <c r="M90" s="161"/>
      <c r="N90" s="161"/>
    </row>
    <row r="91" spans="2:14">
      <c r="B91" s="160">
        <v>67</v>
      </c>
      <c r="C91" s="91" t="s">
        <v>646</v>
      </c>
      <c r="D91" s="91" t="s">
        <v>7</v>
      </c>
      <c r="E91" s="91" t="s">
        <v>113</v>
      </c>
      <c r="G91" s="104"/>
      <c r="H91" s="104"/>
      <c r="I91" s="86"/>
      <c r="J91" s="161"/>
      <c r="K91" s="161"/>
      <c r="L91" s="86"/>
      <c r="M91" s="161"/>
      <c r="N91" s="161"/>
    </row>
    <row r="92" spans="2:14">
      <c r="B92" s="160">
        <v>68</v>
      </c>
      <c r="C92" s="91" t="s">
        <v>646</v>
      </c>
      <c r="D92" s="91" t="s">
        <v>458</v>
      </c>
      <c r="E92" s="91" t="str">
        <f>IF('General Information'!C55="€/kg","kg/ha","l/ha")</f>
        <v>kg/ha</v>
      </c>
      <c r="G92" s="104"/>
      <c r="H92" s="104"/>
      <c r="I92" s="86"/>
      <c r="J92" s="161"/>
      <c r="K92" s="161"/>
      <c r="L92" s="86"/>
      <c r="M92" s="161"/>
      <c r="N92" s="161"/>
    </row>
    <row r="93" spans="2:14">
      <c r="B93" s="160">
        <v>69</v>
      </c>
      <c r="C93" s="91" t="s">
        <v>647</v>
      </c>
      <c r="D93" s="91" t="s">
        <v>565</v>
      </c>
      <c r="E93" s="91"/>
      <c r="G93" s="104"/>
      <c r="H93" s="104"/>
      <c r="I93" s="86"/>
      <c r="J93" s="161"/>
      <c r="K93" s="161"/>
      <c r="L93" s="86"/>
      <c r="M93" s="161"/>
      <c r="N93" s="161"/>
    </row>
    <row r="94" spans="2:14">
      <c r="B94" s="160">
        <v>70</v>
      </c>
      <c r="C94" s="91" t="s">
        <v>647</v>
      </c>
      <c r="D94" s="91" t="s">
        <v>7</v>
      </c>
      <c r="E94" s="91" t="s">
        <v>113</v>
      </c>
      <c r="G94" s="104"/>
      <c r="H94" s="104"/>
      <c r="I94" s="86"/>
      <c r="J94" s="161"/>
      <c r="K94" s="161"/>
      <c r="L94" s="86"/>
      <c r="M94" s="161"/>
      <c r="N94" s="161"/>
    </row>
    <row r="95" spans="2:14">
      <c r="B95" s="160">
        <v>71</v>
      </c>
      <c r="C95" s="91" t="s">
        <v>647</v>
      </c>
      <c r="D95" s="91" t="s">
        <v>458</v>
      </c>
      <c r="E95" s="91" t="str">
        <f>IF('General Information'!C58="€/kg","kg/ha","l/ha")</f>
        <v>kg/ha</v>
      </c>
      <c r="G95" s="104"/>
      <c r="H95" s="104"/>
      <c r="I95" s="86"/>
      <c r="J95" s="161"/>
      <c r="K95" s="161"/>
      <c r="L95" s="86"/>
      <c r="M95" s="161"/>
      <c r="N95" s="161"/>
    </row>
    <row r="96" spans="2:14">
      <c r="G96" s="86"/>
      <c r="H96" s="86"/>
      <c r="I96" s="86"/>
      <c r="J96" s="86"/>
      <c r="K96" s="86"/>
      <c r="L96" s="86"/>
      <c r="M96" s="86"/>
      <c r="N96" s="86"/>
    </row>
    <row r="97" spans="2:14">
      <c r="B97" s="124" t="s">
        <v>8</v>
      </c>
      <c r="C97" s="125"/>
      <c r="D97" s="125"/>
      <c r="E97" s="126"/>
      <c r="G97" s="223" t="s">
        <v>107</v>
      </c>
      <c r="H97" s="224"/>
      <c r="I97" s="143"/>
      <c r="J97" s="223" t="s">
        <v>108</v>
      </c>
      <c r="K97" s="224"/>
      <c r="L97" s="143"/>
      <c r="M97" s="221" t="s">
        <v>109</v>
      </c>
      <c r="N97" s="222"/>
    </row>
    <row r="98" spans="2:14">
      <c r="B98" s="127" t="s">
        <v>112</v>
      </c>
      <c r="C98" s="127" t="s">
        <v>110</v>
      </c>
      <c r="D98" s="127"/>
      <c r="E98" s="127" t="s">
        <v>98</v>
      </c>
      <c r="G98" s="87" t="s">
        <v>496</v>
      </c>
      <c r="H98" s="87" t="s">
        <v>100</v>
      </c>
      <c r="I98" s="143"/>
      <c r="J98" s="87" t="s">
        <v>496</v>
      </c>
      <c r="K98" s="87" t="s">
        <v>100</v>
      </c>
      <c r="L98" s="143"/>
      <c r="M98" s="87" t="s">
        <v>496</v>
      </c>
      <c r="N98" s="87" t="s">
        <v>100</v>
      </c>
    </row>
    <row r="99" spans="2:14">
      <c r="B99" s="160">
        <v>72</v>
      </c>
      <c r="C99" s="91" t="s">
        <v>648</v>
      </c>
      <c r="D99" s="91" t="s">
        <v>593</v>
      </c>
      <c r="E99" s="91"/>
      <c r="G99" s="104" t="s">
        <v>799</v>
      </c>
      <c r="H99" s="104"/>
      <c r="I99" s="86"/>
      <c r="J99" s="104"/>
      <c r="K99" s="104"/>
      <c r="L99" s="86"/>
      <c r="M99" s="104"/>
      <c r="N99" s="104"/>
    </row>
    <row r="100" spans="2:14">
      <c r="B100" s="160">
        <v>73</v>
      </c>
      <c r="C100" s="91" t="s">
        <v>648</v>
      </c>
      <c r="D100" s="91" t="s">
        <v>586</v>
      </c>
      <c r="E100" s="91"/>
      <c r="G100" s="104" t="s">
        <v>585</v>
      </c>
      <c r="H100" s="104"/>
      <c r="I100" s="86"/>
      <c r="J100" s="104"/>
      <c r="K100" s="104"/>
      <c r="L100" s="86"/>
      <c r="M100" s="104"/>
      <c r="N100" s="104"/>
    </row>
    <row r="101" spans="2:14">
      <c r="B101" s="160">
        <v>74</v>
      </c>
      <c r="C101" s="91" t="s">
        <v>648</v>
      </c>
      <c r="D101" s="91" t="s">
        <v>7</v>
      </c>
      <c r="E101" s="91" t="s">
        <v>113</v>
      </c>
      <c r="G101" s="104">
        <v>1</v>
      </c>
      <c r="H101" s="104"/>
      <c r="I101" s="86"/>
      <c r="J101" s="104"/>
      <c r="K101" s="104"/>
      <c r="L101" s="86"/>
      <c r="M101" s="104"/>
      <c r="N101" s="104"/>
    </row>
    <row r="102" spans="2:14">
      <c r="B102" s="160">
        <v>75</v>
      </c>
      <c r="C102" s="91" t="s">
        <v>648</v>
      </c>
      <c r="D102" s="91" t="s">
        <v>458</v>
      </c>
      <c r="E102" s="91" t="str">
        <f>IF('General Information'!C54="€/t","t/ha","kg/ha")</f>
        <v>kg/ha</v>
      </c>
      <c r="G102" s="104">
        <v>173</v>
      </c>
      <c r="H102" s="104"/>
      <c r="I102" s="86"/>
      <c r="J102" s="104"/>
      <c r="K102" s="104"/>
      <c r="L102" s="86"/>
      <c r="M102" s="104"/>
      <c r="N102" s="104"/>
    </row>
    <row r="103" spans="2:14">
      <c r="B103" s="160">
        <v>76</v>
      </c>
      <c r="C103" s="91" t="s">
        <v>648</v>
      </c>
      <c r="D103" s="91" t="s">
        <v>459</v>
      </c>
      <c r="E103" s="91" t="s">
        <v>105</v>
      </c>
      <c r="G103" s="104">
        <v>26</v>
      </c>
      <c r="H103" s="104"/>
      <c r="I103" s="86"/>
      <c r="J103" s="104"/>
      <c r="K103" s="104"/>
      <c r="L103" s="86"/>
      <c r="M103" s="104"/>
      <c r="N103" s="104"/>
    </row>
    <row r="104" spans="2:14">
      <c r="B104" s="160">
        <v>77</v>
      </c>
      <c r="C104" s="91" t="s">
        <v>648</v>
      </c>
      <c r="D104" s="91" t="s">
        <v>460</v>
      </c>
      <c r="E104" s="91" t="s">
        <v>105</v>
      </c>
      <c r="G104" s="104">
        <v>14</v>
      </c>
      <c r="H104" s="104"/>
      <c r="I104" s="86"/>
      <c r="J104" s="104"/>
      <c r="K104" s="104"/>
      <c r="L104" s="86"/>
      <c r="M104" s="104"/>
      <c r="N104" s="104"/>
    </row>
    <row r="105" spans="2:14">
      <c r="B105" s="160">
        <v>78</v>
      </c>
      <c r="C105" s="91" t="s">
        <v>648</v>
      </c>
      <c r="D105" s="91" t="s">
        <v>461</v>
      </c>
      <c r="E105" s="91" t="s">
        <v>105</v>
      </c>
      <c r="G105" s="104">
        <v>0</v>
      </c>
      <c r="H105" s="104"/>
      <c r="I105" s="86"/>
      <c r="J105" s="104"/>
      <c r="K105" s="104"/>
      <c r="L105" s="86"/>
      <c r="M105" s="104"/>
      <c r="N105" s="104"/>
    </row>
    <row r="106" spans="2:14">
      <c r="B106" s="160">
        <v>79</v>
      </c>
      <c r="C106" s="91" t="s">
        <v>649</v>
      </c>
      <c r="D106" s="91" t="s">
        <v>582</v>
      </c>
      <c r="E106" s="91"/>
      <c r="G106" s="104" t="s">
        <v>800</v>
      </c>
      <c r="H106" s="104"/>
      <c r="I106" s="86"/>
      <c r="J106" s="104"/>
      <c r="K106" s="104"/>
      <c r="L106" s="86"/>
      <c r="M106" s="104"/>
      <c r="N106" s="104"/>
    </row>
    <row r="107" spans="2:14">
      <c r="B107" s="160">
        <v>80</v>
      </c>
      <c r="C107" s="91" t="s">
        <v>649</v>
      </c>
      <c r="D107" s="91" t="s">
        <v>586</v>
      </c>
      <c r="E107" s="91"/>
      <c r="G107" s="104" t="s">
        <v>585</v>
      </c>
      <c r="H107" s="104"/>
      <c r="I107" s="86"/>
      <c r="J107" s="104"/>
      <c r="K107" s="104"/>
      <c r="L107" s="86"/>
      <c r="M107" s="104"/>
      <c r="N107" s="104"/>
    </row>
    <row r="108" spans="2:14">
      <c r="B108" s="160">
        <v>81</v>
      </c>
      <c r="C108" s="91" t="s">
        <v>649</v>
      </c>
      <c r="D108" s="91" t="s">
        <v>7</v>
      </c>
      <c r="E108" s="91" t="s">
        <v>113</v>
      </c>
      <c r="G108" s="104">
        <v>1</v>
      </c>
      <c r="H108" s="104"/>
      <c r="I108" s="86"/>
      <c r="J108" s="104"/>
      <c r="K108" s="104"/>
      <c r="L108" s="86"/>
      <c r="M108" s="104"/>
      <c r="N108" s="104"/>
    </row>
    <row r="109" spans="2:14">
      <c r="B109" s="160">
        <v>82</v>
      </c>
      <c r="C109" s="91" t="s">
        <v>649</v>
      </c>
      <c r="D109" s="91" t="s">
        <v>458</v>
      </c>
      <c r="E109" s="91" t="str">
        <f>IF('General Information'!C55="€/t","t/ha","kg/ha")</f>
        <v>kg/ha</v>
      </c>
      <c r="G109" s="104">
        <v>45</v>
      </c>
      <c r="H109" s="104"/>
      <c r="I109" s="86"/>
      <c r="J109" s="104"/>
      <c r="K109" s="104"/>
      <c r="L109" s="86"/>
      <c r="M109" s="104"/>
      <c r="N109" s="104"/>
    </row>
    <row r="110" spans="2:14">
      <c r="B110" s="160">
        <v>83</v>
      </c>
      <c r="C110" s="91" t="s">
        <v>649</v>
      </c>
      <c r="D110" s="91" t="s">
        <v>459</v>
      </c>
      <c r="E110" s="91" t="s">
        <v>105</v>
      </c>
      <c r="G110" s="104">
        <v>10</v>
      </c>
      <c r="H110" s="104"/>
      <c r="I110" s="86"/>
      <c r="J110" s="104"/>
      <c r="K110" s="104"/>
      <c r="L110" s="86"/>
      <c r="M110" s="104"/>
      <c r="N110" s="104"/>
    </row>
    <row r="111" spans="2:14">
      <c r="B111" s="160">
        <v>84</v>
      </c>
      <c r="C111" s="91" t="s">
        <v>649</v>
      </c>
      <c r="D111" s="91" t="s">
        <v>460</v>
      </c>
      <c r="E111" s="91" t="s">
        <v>105</v>
      </c>
      <c r="G111" s="104">
        <v>35</v>
      </c>
      <c r="H111" s="104"/>
      <c r="I111" s="86"/>
      <c r="J111" s="104"/>
      <c r="K111" s="104"/>
      <c r="L111" s="86"/>
      <c r="M111" s="104"/>
      <c r="N111" s="104"/>
    </row>
    <row r="112" spans="2:14">
      <c r="B112" s="160">
        <v>85</v>
      </c>
      <c r="C112" s="91" t="s">
        <v>649</v>
      </c>
      <c r="D112" s="91" t="s">
        <v>461</v>
      </c>
      <c r="E112" s="91" t="s">
        <v>105</v>
      </c>
      <c r="G112" s="104">
        <v>0</v>
      </c>
      <c r="H112" s="104"/>
      <c r="I112" s="86"/>
      <c r="J112" s="104"/>
      <c r="K112" s="104"/>
      <c r="L112" s="86"/>
      <c r="M112" s="104"/>
      <c r="N112" s="104"/>
    </row>
    <row r="113" spans="2:14">
      <c r="B113" s="160">
        <v>86</v>
      </c>
      <c r="C113" s="91" t="s">
        <v>650</v>
      </c>
      <c r="D113" s="91" t="s">
        <v>356</v>
      </c>
      <c r="E113" s="91"/>
      <c r="G113" s="104" t="s">
        <v>801</v>
      </c>
      <c r="H113" s="104"/>
      <c r="I113" s="86"/>
      <c r="J113" s="104"/>
      <c r="K113" s="104"/>
      <c r="L113" s="86"/>
      <c r="M113" s="104"/>
      <c r="N113" s="104"/>
    </row>
    <row r="114" spans="2:14">
      <c r="B114" s="160">
        <v>87</v>
      </c>
      <c r="C114" s="91" t="s">
        <v>650</v>
      </c>
      <c r="D114" s="91" t="s">
        <v>586</v>
      </c>
      <c r="E114" s="91"/>
      <c r="G114" s="104" t="s">
        <v>585</v>
      </c>
      <c r="H114" s="104"/>
      <c r="I114" s="86"/>
      <c r="J114" s="104"/>
      <c r="K114" s="104"/>
      <c r="L114" s="86"/>
      <c r="M114" s="104"/>
      <c r="N114" s="104"/>
    </row>
    <row r="115" spans="2:14">
      <c r="B115" s="160">
        <v>88</v>
      </c>
      <c r="C115" s="91" t="s">
        <v>650</v>
      </c>
      <c r="D115" s="91" t="s">
        <v>7</v>
      </c>
      <c r="E115" s="91" t="s">
        <v>113</v>
      </c>
      <c r="G115" s="104">
        <v>1</v>
      </c>
      <c r="H115" s="104"/>
      <c r="I115" s="86"/>
      <c r="J115" s="104"/>
      <c r="K115" s="104"/>
      <c r="L115" s="86"/>
      <c r="M115" s="104"/>
      <c r="N115" s="104"/>
    </row>
    <row r="116" spans="2:14">
      <c r="B116" s="160">
        <v>89</v>
      </c>
      <c r="C116" s="91" t="s">
        <v>650</v>
      </c>
      <c r="D116" s="91" t="s">
        <v>458</v>
      </c>
      <c r="E116" s="91" t="str">
        <f>IF('General Information'!C56="€/t","t/ha","kg/ha")</f>
        <v>kg/ha</v>
      </c>
      <c r="G116" s="104">
        <v>134</v>
      </c>
      <c r="H116" s="104"/>
      <c r="I116" s="86"/>
      <c r="J116" s="104"/>
      <c r="K116" s="104"/>
      <c r="L116" s="86"/>
      <c r="M116" s="104"/>
      <c r="N116" s="104"/>
    </row>
    <row r="117" spans="2:14">
      <c r="B117" s="160">
        <v>90</v>
      </c>
      <c r="C117" s="91" t="s">
        <v>650</v>
      </c>
      <c r="D117" s="91" t="s">
        <v>459</v>
      </c>
      <c r="E117" s="91" t="s">
        <v>105</v>
      </c>
      <c r="G117" s="104">
        <v>0</v>
      </c>
      <c r="H117" s="104"/>
      <c r="I117" s="86"/>
      <c r="J117" s="104"/>
      <c r="K117" s="104"/>
      <c r="L117" s="86"/>
      <c r="M117" s="104"/>
      <c r="N117" s="104"/>
    </row>
    <row r="118" spans="2:14">
      <c r="B118" s="160">
        <v>91</v>
      </c>
      <c r="C118" s="91" t="s">
        <v>650</v>
      </c>
      <c r="D118" s="91" t="s">
        <v>460</v>
      </c>
      <c r="E118" s="91" t="s">
        <v>105</v>
      </c>
      <c r="G118" s="104">
        <v>0</v>
      </c>
      <c r="H118" s="104"/>
      <c r="I118" s="86"/>
      <c r="J118" s="104"/>
      <c r="K118" s="104"/>
      <c r="L118" s="86"/>
      <c r="M118" s="104"/>
      <c r="N118" s="104"/>
    </row>
    <row r="119" spans="2:14">
      <c r="B119" s="160">
        <v>92</v>
      </c>
      <c r="C119" s="91" t="s">
        <v>650</v>
      </c>
      <c r="D119" s="91" t="s">
        <v>461</v>
      </c>
      <c r="E119" s="91" t="s">
        <v>105</v>
      </c>
      <c r="G119" s="104">
        <v>50</v>
      </c>
      <c r="H119" s="104"/>
      <c r="I119" s="86"/>
      <c r="J119" s="104"/>
      <c r="K119" s="104"/>
      <c r="L119" s="86"/>
      <c r="M119" s="104"/>
      <c r="N119" s="104"/>
    </row>
    <row r="120" spans="2:14">
      <c r="B120" s="160">
        <v>93</v>
      </c>
      <c r="C120" s="91" t="s">
        <v>651</v>
      </c>
      <c r="D120" s="91" t="s">
        <v>658</v>
      </c>
      <c r="E120" s="91"/>
      <c r="G120" s="104" t="s">
        <v>802</v>
      </c>
      <c r="H120" s="104"/>
      <c r="I120" s="86"/>
      <c r="J120" s="161"/>
      <c r="K120" s="161"/>
      <c r="L120" s="86"/>
      <c r="M120" s="161"/>
      <c r="N120" s="161"/>
    </row>
    <row r="121" spans="2:14">
      <c r="B121" s="160">
        <v>94</v>
      </c>
      <c r="C121" s="91" t="s">
        <v>651</v>
      </c>
      <c r="D121" s="91" t="s">
        <v>586</v>
      </c>
      <c r="E121" s="91"/>
      <c r="G121" s="104" t="s">
        <v>585</v>
      </c>
      <c r="H121" s="104"/>
      <c r="I121" s="86"/>
      <c r="J121" s="161"/>
      <c r="K121" s="161"/>
      <c r="L121" s="86"/>
      <c r="M121" s="161"/>
      <c r="N121" s="161"/>
    </row>
    <row r="122" spans="2:14">
      <c r="B122" s="160">
        <v>95</v>
      </c>
      <c r="C122" s="91" t="s">
        <v>651</v>
      </c>
      <c r="D122" s="91" t="s">
        <v>7</v>
      </c>
      <c r="E122" s="91"/>
      <c r="G122" s="104">
        <v>3</v>
      </c>
      <c r="H122" s="104"/>
      <c r="I122" s="86"/>
      <c r="J122" s="161"/>
      <c r="K122" s="161"/>
      <c r="L122" s="86"/>
      <c r="M122" s="161"/>
      <c r="N122" s="161"/>
    </row>
    <row r="123" spans="2:14">
      <c r="B123" s="160">
        <v>96</v>
      </c>
      <c r="C123" s="91" t="s">
        <v>651</v>
      </c>
      <c r="D123" s="91" t="s">
        <v>458</v>
      </c>
      <c r="E123" s="91"/>
      <c r="G123" s="104">
        <v>620</v>
      </c>
      <c r="H123" s="104"/>
      <c r="I123" s="86"/>
      <c r="J123" s="161"/>
      <c r="K123" s="161"/>
      <c r="L123" s="86"/>
      <c r="M123" s="161"/>
      <c r="N123" s="161"/>
    </row>
    <row r="124" spans="2:14">
      <c r="B124" s="160">
        <v>97</v>
      </c>
      <c r="C124" s="91" t="s">
        <v>651</v>
      </c>
      <c r="D124" s="91" t="s">
        <v>459</v>
      </c>
      <c r="E124" s="91"/>
      <c r="G124" s="104">
        <v>24</v>
      </c>
      <c r="H124" s="104"/>
      <c r="I124" s="86"/>
      <c r="J124" s="161"/>
      <c r="K124" s="161"/>
      <c r="L124" s="86"/>
      <c r="M124" s="161"/>
      <c r="N124" s="161"/>
    </row>
    <row r="125" spans="2:14">
      <c r="B125" s="160">
        <v>98</v>
      </c>
      <c r="C125" s="91" t="s">
        <v>651</v>
      </c>
      <c r="D125" s="91" t="s">
        <v>460</v>
      </c>
      <c r="E125" s="91"/>
      <c r="G125" s="104">
        <v>0</v>
      </c>
      <c r="H125" s="104"/>
      <c r="I125" s="86"/>
      <c r="J125" s="161"/>
      <c r="K125" s="161"/>
      <c r="L125" s="86"/>
      <c r="M125" s="161"/>
      <c r="N125" s="161"/>
    </row>
    <row r="126" spans="2:14">
      <c r="B126" s="160">
        <v>99</v>
      </c>
      <c r="C126" s="91" t="s">
        <v>651</v>
      </c>
      <c r="D126" s="91" t="s">
        <v>461</v>
      </c>
      <c r="E126" s="91"/>
      <c r="G126" s="104">
        <v>0</v>
      </c>
      <c r="H126" s="104"/>
      <c r="I126" s="86"/>
      <c r="J126" s="161"/>
      <c r="K126" s="161"/>
      <c r="L126" s="86"/>
      <c r="M126" s="161"/>
      <c r="N126" s="161"/>
    </row>
    <row r="127" spans="2:14">
      <c r="B127" s="160">
        <v>100</v>
      </c>
      <c r="C127" s="91" t="s">
        <v>652</v>
      </c>
      <c r="D127" s="91" t="s">
        <v>659</v>
      </c>
      <c r="E127" s="91"/>
      <c r="G127" s="104" t="s">
        <v>803</v>
      </c>
      <c r="H127" s="104"/>
      <c r="I127" s="86"/>
      <c r="J127" s="161"/>
      <c r="K127" s="161"/>
      <c r="L127" s="86"/>
      <c r="M127" s="161"/>
      <c r="N127" s="161"/>
    </row>
    <row r="128" spans="2:14">
      <c r="B128" s="160">
        <v>101</v>
      </c>
      <c r="C128" s="91" t="s">
        <v>652</v>
      </c>
      <c r="D128" s="91" t="s">
        <v>586</v>
      </c>
      <c r="E128" s="91"/>
      <c r="G128" s="104" t="s">
        <v>585</v>
      </c>
      <c r="H128" s="104"/>
      <c r="I128" s="86"/>
      <c r="J128" s="161"/>
      <c r="K128" s="161"/>
      <c r="L128" s="86"/>
      <c r="M128" s="161"/>
      <c r="N128" s="161"/>
    </row>
    <row r="129" spans="2:14">
      <c r="B129" s="160">
        <v>102</v>
      </c>
      <c r="C129" s="91" t="s">
        <v>652</v>
      </c>
      <c r="D129" s="91" t="s">
        <v>7</v>
      </c>
      <c r="E129" s="91"/>
      <c r="G129" s="104">
        <v>6</v>
      </c>
      <c r="H129" s="104"/>
      <c r="I129" s="86"/>
      <c r="J129" s="161"/>
      <c r="K129" s="161"/>
      <c r="L129" s="86"/>
      <c r="M129" s="161"/>
      <c r="N129" s="161"/>
    </row>
    <row r="130" spans="2:14">
      <c r="B130" s="160">
        <v>103</v>
      </c>
      <c r="C130" s="91" t="s">
        <v>652</v>
      </c>
      <c r="D130" s="91" t="s">
        <v>458</v>
      </c>
      <c r="E130" s="91"/>
      <c r="G130" s="104">
        <v>67</v>
      </c>
      <c r="H130" s="104"/>
      <c r="I130" s="86"/>
      <c r="J130" s="161"/>
      <c r="K130" s="161"/>
      <c r="L130" s="86"/>
      <c r="M130" s="161"/>
      <c r="N130" s="161"/>
    </row>
    <row r="131" spans="2:14">
      <c r="B131" s="160">
        <v>104</v>
      </c>
      <c r="C131" s="91" t="s">
        <v>652</v>
      </c>
      <c r="D131" s="91" t="s">
        <v>459</v>
      </c>
      <c r="E131" s="91"/>
      <c r="G131" s="104">
        <v>6.6</v>
      </c>
      <c r="H131" s="104"/>
      <c r="I131" s="86"/>
      <c r="J131" s="161"/>
      <c r="K131" s="161"/>
      <c r="L131" s="86"/>
      <c r="M131" s="161"/>
      <c r="N131" s="161"/>
    </row>
    <row r="132" spans="2:14">
      <c r="B132" s="160">
        <v>105</v>
      </c>
      <c r="C132" s="91" t="s">
        <v>652</v>
      </c>
      <c r="D132" s="91" t="s">
        <v>460</v>
      </c>
      <c r="E132" s="91"/>
      <c r="G132" s="104">
        <v>0</v>
      </c>
      <c r="H132" s="104"/>
      <c r="I132" s="86"/>
      <c r="J132" s="161"/>
      <c r="K132" s="161"/>
      <c r="L132" s="86"/>
      <c r="M132" s="161"/>
      <c r="N132" s="161"/>
    </row>
    <row r="133" spans="2:14">
      <c r="B133" s="160">
        <v>106</v>
      </c>
      <c r="C133" s="91" t="s">
        <v>652</v>
      </c>
      <c r="D133" s="91" t="s">
        <v>461</v>
      </c>
      <c r="E133" s="91"/>
      <c r="G133" s="104">
        <v>32.6</v>
      </c>
      <c r="H133" s="104"/>
      <c r="I133" s="86"/>
      <c r="J133" s="161"/>
      <c r="K133" s="161"/>
      <c r="L133" s="86"/>
      <c r="M133" s="161"/>
      <c r="N133" s="161"/>
    </row>
    <row r="134" spans="2:14">
      <c r="B134" s="160">
        <v>107</v>
      </c>
      <c r="C134" s="91" t="s">
        <v>653</v>
      </c>
      <c r="D134" s="91" t="s">
        <v>660</v>
      </c>
      <c r="E134" s="91"/>
      <c r="G134" s="104"/>
      <c r="H134" s="104"/>
      <c r="I134" s="86"/>
      <c r="J134" s="161"/>
      <c r="K134" s="161"/>
      <c r="L134" s="86"/>
      <c r="M134" s="161"/>
      <c r="N134" s="161"/>
    </row>
    <row r="135" spans="2:14">
      <c r="B135" s="160">
        <v>108</v>
      </c>
      <c r="C135" s="91" t="s">
        <v>653</v>
      </c>
      <c r="D135" s="91" t="s">
        <v>586</v>
      </c>
      <c r="E135" s="91"/>
      <c r="G135" s="104"/>
      <c r="H135" s="104"/>
      <c r="I135" s="86"/>
      <c r="J135" s="161"/>
      <c r="K135" s="161"/>
      <c r="L135" s="86"/>
      <c r="M135" s="161"/>
      <c r="N135" s="161"/>
    </row>
    <row r="136" spans="2:14">
      <c r="B136" s="160">
        <v>109</v>
      </c>
      <c r="C136" s="91" t="s">
        <v>653</v>
      </c>
      <c r="D136" s="91" t="s">
        <v>7</v>
      </c>
      <c r="E136" s="91"/>
      <c r="G136" s="104"/>
      <c r="H136" s="104"/>
      <c r="I136" s="86"/>
      <c r="J136" s="161"/>
      <c r="K136" s="161"/>
      <c r="L136" s="86"/>
      <c r="M136" s="161"/>
      <c r="N136" s="161"/>
    </row>
    <row r="137" spans="2:14">
      <c r="B137" s="160">
        <v>110</v>
      </c>
      <c r="C137" s="91" t="s">
        <v>653</v>
      </c>
      <c r="D137" s="91" t="s">
        <v>458</v>
      </c>
      <c r="E137" s="91"/>
      <c r="G137" s="104"/>
      <c r="H137" s="104"/>
      <c r="I137" s="86"/>
      <c r="J137" s="161"/>
      <c r="K137" s="161"/>
      <c r="L137" s="86"/>
      <c r="M137" s="161"/>
      <c r="N137" s="161"/>
    </row>
    <row r="138" spans="2:14">
      <c r="B138" s="160">
        <v>111</v>
      </c>
      <c r="C138" s="91" t="s">
        <v>653</v>
      </c>
      <c r="D138" s="91" t="s">
        <v>459</v>
      </c>
      <c r="E138" s="91"/>
      <c r="G138" s="104"/>
      <c r="H138" s="104"/>
      <c r="I138" s="86"/>
      <c r="J138" s="161"/>
      <c r="K138" s="161"/>
      <c r="L138" s="86"/>
      <c r="M138" s="161"/>
      <c r="N138" s="161"/>
    </row>
    <row r="139" spans="2:14">
      <c r="B139" s="160">
        <v>112</v>
      </c>
      <c r="C139" s="91" t="s">
        <v>653</v>
      </c>
      <c r="D139" s="91" t="s">
        <v>460</v>
      </c>
      <c r="E139" s="91"/>
      <c r="G139" s="104"/>
      <c r="H139" s="104"/>
      <c r="I139" s="86"/>
      <c r="J139" s="161"/>
      <c r="K139" s="161"/>
      <c r="L139" s="86"/>
      <c r="M139" s="161"/>
      <c r="N139" s="161"/>
    </row>
    <row r="140" spans="2:14">
      <c r="B140" s="160">
        <v>113</v>
      </c>
      <c r="C140" s="91" t="s">
        <v>653</v>
      </c>
      <c r="D140" s="91" t="s">
        <v>461</v>
      </c>
      <c r="E140" s="91"/>
      <c r="G140" s="104"/>
      <c r="H140" s="104"/>
      <c r="I140" s="86"/>
      <c r="J140" s="161"/>
      <c r="K140" s="161"/>
      <c r="L140" s="86"/>
      <c r="M140" s="161"/>
      <c r="N140" s="161"/>
    </row>
    <row r="141" spans="2:14">
      <c r="B141" s="160">
        <v>114</v>
      </c>
      <c r="C141" s="91" t="s">
        <v>654</v>
      </c>
      <c r="D141" s="91" t="s">
        <v>661</v>
      </c>
      <c r="E141" s="91"/>
      <c r="G141" s="104"/>
      <c r="H141" s="104"/>
      <c r="I141" s="86"/>
      <c r="J141" s="161"/>
      <c r="K141" s="161"/>
      <c r="L141" s="86"/>
      <c r="M141" s="161"/>
      <c r="N141" s="161"/>
    </row>
    <row r="142" spans="2:14">
      <c r="B142" s="160">
        <v>115</v>
      </c>
      <c r="C142" s="91" t="s">
        <v>654</v>
      </c>
      <c r="D142" s="91" t="s">
        <v>586</v>
      </c>
      <c r="E142" s="91"/>
      <c r="G142" s="104"/>
      <c r="H142" s="104"/>
      <c r="I142" s="86"/>
      <c r="J142" s="161"/>
      <c r="K142" s="161"/>
      <c r="L142" s="86"/>
      <c r="M142" s="161"/>
      <c r="N142" s="161"/>
    </row>
    <row r="143" spans="2:14">
      <c r="B143" s="160">
        <v>116</v>
      </c>
      <c r="C143" s="91" t="s">
        <v>654</v>
      </c>
      <c r="D143" s="91" t="s">
        <v>7</v>
      </c>
      <c r="E143" s="91"/>
      <c r="G143" s="104"/>
      <c r="H143" s="104"/>
      <c r="I143" s="86"/>
      <c r="J143" s="161"/>
      <c r="K143" s="161"/>
      <c r="L143" s="86"/>
      <c r="M143" s="161"/>
      <c r="N143" s="161"/>
    </row>
    <row r="144" spans="2:14">
      <c r="B144" s="160">
        <v>117</v>
      </c>
      <c r="C144" s="91" t="s">
        <v>654</v>
      </c>
      <c r="D144" s="91" t="s">
        <v>458</v>
      </c>
      <c r="E144" s="91"/>
      <c r="G144" s="104"/>
      <c r="H144" s="104"/>
      <c r="I144" s="86"/>
      <c r="J144" s="161"/>
      <c r="K144" s="161"/>
      <c r="L144" s="86"/>
      <c r="M144" s="161"/>
      <c r="N144" s="161"/>
    </row>
    <row r="145" spans="2:14">
      <c r="B145" s="160">
        <v>118</v>
      </c>
      <c r="C145" s="91" t="s">
        <v>654</v>
      </c>
      <c r="D145" s="91" t="s">
        <v>459</v>
      </c>
      <c r="E145" s="91"/>
      <c r="G145" s="104"/>
      <c r="H145" s="104"/>
      <c r="I145" s="86"/>
      <c r="J145" s="161"/>
      <c r="K145" s="161"/>
      <c r="L145" s="86"/>
      <c r="M145" s="161"/>
      <c r="N145" s="161"/>
    </row>
    <row r="146" spans="2:14">
      <c r="B146" s="160">
        <v>119</v>
      </c>
      <c r="C146" s="91" t="s">
        <v>654</v>
      </c>
      <c r="D146" s="91" t="s">
        <v>460</v>
      </c>
      <c r="E146" s="91"/>
      <c r="G146" s="104"/>
      <c r="H146" s="104"/>
      <c r="I146" s="86"/>
      <c r="J146" s="161"/>
      <c r="K146" s="161"/>
      <c r="L146" s="86"/>
      <c r="M146" s="161"/>
      <c r="N146" s="161"/>
    </row>
    <row r="147" spans="2:14">
      <c r="B147" s="160">
        <v>120</v>
      </c>
      <c r="C147" s="91" t="s">
        <v>654</v>
      </c>
      <c r="D147" s="91" t="s">
        <v>461</v>
      </c>
      <c r="E147" s="91"/>
      <c r="G147" s="104"/>
      <c r="H147" s="104"/>
      <c r="I147" s="86"/>
      <c r="J147" s="161"/>
      <c r="K147" s="161"/>
      <c r="L147" s="86"/>
      <c r="M147" s="161"/>
      <c r="N147" s="161"/>
    </row>
    <row r="148" spans="2:14">
      <c r="B148" s="160">
        <v>121</v>
      </c>
      <c r="C148" s="91" t="s">
        <v>655</v>
      </c>
      <c r="D148" s="91" t="s">
        <v>662</v>
      </c>
      <c r="E148" s="91"/>
      <c r="G148" s="104"/>
      <c r="H148" s="104"/>
      <c r="I148" s="86"/>
      <c r="J148" s="161"/>
      <c r="K148" s="161"/>
      <c r="L148" s="86"/>
      <c r="M148" s="161"/>
      <c r="N148" s="161"/>
    </row>
    <row r="149" spans="2:14">
      <c r="B149" s="160">
        <v>122</v>
      </c>
      <c r="C149" s="91" t="s">
        <v>655</v>
      </c>
      <c r="D149" s="91" t="s">
        <v>586</v>
      </c>
      <c r="E149" s="91"/>
      <c r="G149" s="104"/>
      <c r="H149" s="104"/>
      <c r="I149" s="86"/>
      <c r="J149" s="161"/>
      <c r="K149" s="161"/>
      <c r="L149" s="86"/>
      <c r="M149" s="161"/>
      <c r="N149" s="161"/>
    </row>
    <row r="150" spans="2:14">
      <c r="B150" s="160">
        <v>123</v>
      </c>
      <c r="C150" s="91" t="s">
        <v>655</v>
      </c>
      <c r="D150" s="91" t="s">
        <v>7</v>
      </c>
      <c r="E150" s="91"/>
      <c r="G150" s="104"/>
      <c r="H150" s="104"/>
      <c r="I150" s="86"/>
      <c r="J150" s="161"/>
      <c r="K150" s="161"/>
      <c r="L150" s="86"/>
      <c r="M150" s="161"/>
      <c r="N150" s="161"/>
    </row>
    <row r="151" spans="2:14">
      <c r="B151" s="160">
        <v>124</v>
      </c>
      <c r="C151" s="91" t="s">
        <v>655</v>
      </c>
      <c r="D151" s="91" t="s">
        <v>458</v>
      </c>
      <c r="E151" s="91"/>
      <c r="G151" s="104"/>
      <c r="H151" s="104"/>
      <c r="I151" s="86"/>
      <c r="J151" s="161"/>
      <c r="K151" s="161"/>
      <c r="L151" s="86"/>
      <c r="M151" s="161"/>
      <c r="N151" s="161"/>
    </row>
    <row r="152" spans="2:14">
      <c r="B152" s="160">
        <v>125</v>
      </c>
      <c r="C152" s="91" t="s">
        <v>655</v>
      </c>
      <c r="D152" s="91" t="s">
        <v>459</v>
      </c>
      <c r="E152" s="91"/>
      <c r="G152" s="104"/>
      <c r="H152" s="104"/>
      <c r="I152" s="86"/>
      <c r="J152" s="161"/>
      <c r="K152" s="161"/>
      <c r="L152" s="86"/>
      <c r="M152" s="161"/>
      <c r="N152" s="161"/>
    </row>
    <row r="153" spans="2:14">
      <c r="B153" s="160">
        <v>126</v>
      </c>
      <c r="C153" s="91" t="s">
        <v>655</v>
      </c>
      <c r="D153" s="91" t="s">
        <v>460</v>
      </c>
      <c r="E153" s="91"/>
      <c r="G153" s="104"/>
      <c r="H153" s="104"/>
      <c r="I153" s="86"/>
      <c r="J153" s="161"/>
      <c r="K153" s="161"/>
      <c r="L153" s="86"/>
      <c r="M153" s="161"/>
      <c r="N153" s="161"/>
    </row>
    <row r="154" spans="2:14">
      <c r="B154" s="160">
        <v>127</v>
      </c>
      <c r="C154" s="91" t="s">
        <v>655</v>
      </c>
      <c r="D154" s="91" t="s">
        <v>461</v>
      </c>
      <c r="E154" s="91"/>
      <c r="G154" s="104"/>
      <c r="H154" s="104"/>
      <c r="I154" s="86"/>
      <c r="J154" s="161"/>
      <c r="K154" s="161"/>
      <c r="L154" s="86"/>
      <c r="M154" s="161"/>
      <c r="N154" s="161"/>
    </row>
    <row r="155" spans="2:14">
      <c r="B155" s="160">
        <v>128</v>
      </c>
      <c r="C155" s="91" t="s">
        <v>656</v>
      </c>
      <c r="D155" s="91" t="s">
        <v>663</v>
      </c>
      <c r="E155" s="91"/>
      <c r="G155" s="104"/>
      <c r="H155" s="104"/>
      <c r="I155" s="86"/>
      <c r="J155" s="161"/>
      <c r="K155" s="161"/>
      <c r="L155" s="86"/>
      <c r="M155" s="161"/>
      <c r="N155" s="161"/>
    </row>
    <row r="156" spans="2:14">
      <c r="B156" s="160">
        <v>129</v>
      </c>
      <c r="C156" s="91" t="s">
        <v>656</v>
      </c>
      <c r="D156" s="91" t="s">
        <v>586</v>
      </c>
      <c r="E156" s="91"/>
      <c r="G156" s="104"/>
      <c r="H156" s="104"/>
      <c r="I156" s="86"/>
      <c r="J156" s="161"/>
      <c r="K156" s="161"/>
      <c r="L156" s="86"/>
      <c r="M156" s="161"/>
      <c r="N156" s="161"/>
    </row>
    <row r="157" spans="2:14">
      <c r="B157" s="160">
        <v>130</v>
      </c>
      <c r="C157" s="91" t="s">
        <v>656</v>
      </c>
      <c r="D157" s="91" t="s">
        <v>7</v>
      </c>
      <c r="E157" s="91"/>
      <c r="G157" s="104"/>
      <c r="H157" s="104"/>
      <c r="I157" s="86"/>
      <c r="J157" s="161"/>
      <c r="K157" s="161"/>
      <c r="L157" s="86"/>
      <c r="M157" s="161"/>
      <c r="N157" s="161"/>
    </row>
    <row r="158" spans="2:14">
      <c r="B158" s="160">
        <v>131</v>
      </c>
      <c r="C158" s="91" t="s">
        <v>656</v>
      </c>
      <c r="D158" s="91" t="s">
        <v>458</v>
      </c>
      <c r="E158" s="91"/>
      <c r="G158" s="104"/>
      <c r="H158" s="104"/>
      <c r="I158" s="86"/>
      <c r="J158" s="161"/>
      <c r="K158" s="161"/>
      <c r="L158" s="86"/>
      <c r="M158" s="161"/>
      <c r="N158" s="161"/>
    </row>
    <row r="159" spans="2:14">
      <c r="B159" s="160">
        <v>132</v>
      </c>
      <c r="C159" s="91" t="s">
        <v>656</v>
      </c>
      <c r="D159" s="91" t="s">
        <v>459</v>
      </c>
      <c r="E159" s="91"/>
      <c r="G159" s="104"/>
      <c r="H159" s="104"/>
      <c r="I159" s="86"/>
      <c r="J159" s="161"/>
      <c r="K159" s="161"/>
      <c r="L159" s="86"/>
      <c r="M159" s="161"/>
      <c r="N159" s="161"/>
    </row>
    <row r="160" spans="2:14">
      <c r="B160" s="160">
        <v>133</v>
      </c>
      <c r="C160" s="91" t="s">
        <v>656</v>
      </c>
      <c r="D160" s="91" t="s">
        <v>460</v>
      </c>
      <c r="E160" s="91"/>
      <c r="G160" s="104"/>
      <c r="H160" s="104"/>
      <c r="I160" s="86"/>
      <c r="J160" s="161"/>
      <c r="K160" s="161"/>
      <c r="L160" s="86"/>
      <c r="M160" s="161"/>
      <c r="N160" s="161"/>
    </row>
    <row r="161" spans="2:14">
      <c r="B161" s="160">
        <v>134</v>
      </c>
      <c r="C161" s="91" t="s">
        <v>656</v>
      </c>
      <c r="D161" s="91" t="s">
        <v>461</v>
      </c>
      <c r="E161" s="91"/>
      <c r="G161" s="104"/>
      <c r="H161" s="104"/>
      <c r="I161" s="86"/>
      <c r="J161" s="161"/>
      <c r="K161" s="161"/>
      <c r="L161" s="86"/>
      <c r="M161" s="161"/>
      <c r="N161" s="161"/>
    </row>
    <row r="162" spans="2:14">
      <c r="B162" s="160">
        <v>135</v>
      </c>
      <c r="C162" s="91" t="s">
        <v>657</v>
      </c>
      <c r="D162" s="91" t="s">
        <v>664</v>
      </c>
      <c r="E162" s="91"/>
      <c r="G162" s="104"/>
      <c r="H162" s="104"/>
      <c r="I162" s="86"/>
      <c r="J162" s="161"/>
      <c r="K162" s="161"/>
      <c r="L162" s="86"/>
      <c r="M162" s="161"/>
      <c r="N162" s="161"/>
    </row>
    <row r="163" spans="2:14">
      <c r="B163" s="160">
        <v>136</v>
      </c>
      <c r="C163" s="91" t="s">
        <v>657</v>
      </c>
      <c r="D163" s="91" t="s">
        <v>586</v>
      </c>
      <c r="E163" s="91"/>
      <c r="G163" s="104"/>
      <c r="H163" s="104"/>
      <c r="I163" s="86"/>
      <c r="J163" s="161"/>
      <c r="K163" s="161"/>
      <c r="L163" s="86"/>
      <c r="M163" s="161"/>
      <c r="N163" s="161"/>
    </row>
    <row r="164" spans="2:14">
      <c r="B164" s="160">
        <v>137</v>
      </c>
      <c r="C164" s="91" t="s">
        <v>657</v>
      </c>
      <c r="D164" s="91" t="s">
        <v>7</v>
      </c>
      <c r="E164" s="91"/>
      <c r="G164" s="104"/>
      <c r="H164" s="104"/>
      <c r="I164" s="86"/>
      <c r="J164" s="161"/>
      <c r="K164" s="161"/>
      <c r="L164" s="86"/>
      <c r="M164" s="161"/>
      <c r="N164" s="161"/>
    </row>
    <row r="165" spans="2:14">
      <c r="B165" s="160">
        <v>138</v>
      </c>
      <c r="C165" s="91" t="s">
        <v>657</v>
      </c>
      <c r="D165" s="91" t="s">
        <v>458</v>
      </c>
      <c r="E165" s="91"/>
      <c r="G165" s="104"/>
      <c r="H165" s="104"/>
      <c r="I165" s="86"/>
      <c r="J165" s="161"/>
      <c r="K165" s="161"/>
      <c r="L165" s="86"/>
      <c r="M165" s="161"/>
      <c r="N165" s="161"/>
    </row>
    <row r="166" spans="2:14">
      <c r="B166" s="160">
        <v>139</v>
      </c>
      <c r="C166" s="91" t="s">
        <v>657</v>
      </c>
      <c r="D166" s="91" t="s">
        <v>459</v>
      </c>
      <c r="E166" s="91"/>
      <c r="G166" s="104"/>
      <c r="H166" s="104"/>
      <c r="I166" s="86"/>
      <c r="J166" s="161"/>
      <c r="K166" s="161"/>
      <c r="L166" s="86"/>
      <c r="M166" s="161"/>
      <c r="N166" s="161"/>
    </row>
    <row r="167" spans="2:14">
      <c r="B167" s="160">
        <v>140</v>
      </c>
      <c r="C167" s="91" t="s">
        <v>657</v>
      </c>
      <c r="D167" s="91" t="s">
        <v>460</v>
      </c>
      <c r="E167" s="91"/>
      <c r="G167" s="104"/>
      <c r="H167" s="104"/>
      <c r="I167" s="86"/>
      <c r="J167" s="161"/>
      <c r="K167" s="161"/>
      <c r="L167" s="86"/>
      <c r="M167" s="161"/>
      <c r="N167" s="161"/>
    </row>
    <row r="168" spans="2:14">
      <c r="B168" s="160">
        <v>141</v>
      </c>
      <c r="C168" s="91" t="s">
        <v>657</v>
      </c>
      <c r="D168" s="91" t="s">
        <v>461</v>
      </c>
      <c r="E168" s="91"/>
      <c r="G168" s="104"/>
      <c r="H168" s="104"/>
      <c r="I168" s="86"/>
      <c r="J168" s="161"/>
      <c r="K168" s="161"/>
      <c r="L168" s="86"/>
      <c r="M168" s="161"/>
      <c r="N168" s="161"/>
    </row>
    <row r="169" spans="2:14">
      <c r="B169" s="163"/>
      <c r="G169" s="161"/>
      <c r="H169" s="161"/>
      <c r="I169" s="86"/>
      <c r="J169" s="161"/>
      <c r="K169" s="161"/>
      <c r="L169" s="86"/>
      <c r="M169" s="161"/>
      <c r="N169" s="161"/>
    </row>
    <row r="170" spans="2:14">
      <c r="B170" s="128" t="s">
        <v>9</v>
      </c>
      <c r="C170" s="129"/>
      <c r="D170" s="129"/>
      <c r="E170" s="130"/>
      <c r="G170" s="223" t="s">
        <v>107</v>
      </c>
      <c r="H170" s="224"/>
      <c r="I170" s="143"/>
      <c r="J170" s="223" t="s">
        <v>108</v>
      </c>
      <c r="K170" s="224"/>
      <c r="L170" s="143"/>
      <c r="M170" s="221" t="s">
        <v>109</v>
      </c>
      <c r="N170" s="222"/>
    </row>
    <row r="171" spans="2:14">
      <c r="B171" s="146" t="s">
        <v>112</v>
      </c>
      <c r="C171" s="146" t="s">
        <v>110</v>
      </c>
      <c r="D171" s="146"/>
      <c r="E171" s="146" t="s">
        <v>98</v>
      </c>
      <c r="G171" s="87" t="s">
        <v>496</v>
      </c>
      <c r="H171" s="87" t="s">
        <v>100</v>
      </c>
      <c r="I171" s="143"/>
      <c r="J171" s="87" t="s">
        <v>496</v>
      </c>
      <c r="K171" s="87" t="s">
        <v>100</v>
      </c>
      <c r="L171" s="143"/>
      <c r="M171" s="87" t="s">
        <v>496</v>
      </c>
      <c r="N171" s="87" t="s">
        <v>100</v>
      </c>
    </row>
    <row r="172" spans="2:14">
      <c r="B172" s="160">
        <v>72</v>
      </c>
      <c r="C172" s="91" t="s">
        <v>587</v>
      </c>
      <c r="D172" s="91" t="s">
        <v>589</v>
      </c>
      <c r="E172" s="91"/>
      <c r="G172" s="145"/>
      <c r="H172" s="104"/>
      <c r="I172" s="86"/>
      <c r="J172" s="145"/>
      <c r="K172" s="104"/>
      <c r="L172" s="86"/>
      <c r="M172" s="145"/>
      <c r="N172" s="104"/>
    </row>
    <row r="173" spans="2:14">
      <c r="B173" s="160">
        <v>73</v>
      </c>
      <c r="C173" s="91" t="s">
        <v>587</v>
      </c>
      <c r="D173" s="91" t="s">
        <v>590</v>
      </c>
      <c r="E173" s="91" t="s">
        <v>88</v>
      </c>
      <c r="G173" s="104"/>
      <c r="H173" s="104"/>
      <c r="I173" s="86"/>
      <c r="J173" s="104"/>
      <c r="K173" s="104"/>
      <c r="L173" s="86"/>
      <c r="M173" s="104"/>
      <c r="N173" s="104"/>
    </row>
    <row r="174" spans="2:14">
      <c r="B174" s="160">
        <v>74</v>
      </c>
      <c r="C174" s="91" t="s">
        <v>588</v>
      </c>
      <c r="D174" s="91" t="s">
        <v>591</v>
      </c>
      <c r="E174" s="91"/>
      <c r="G174" s="145"/>
      <c r="H174" s="104"/>
      <c r="I174" s="86"/>
      <c r="J174" s="145"/>
      <c r="K174" s="104"/>
      <c r="L174" s="86"/>
      <c r="M174" s="145"/>
      <c r="N174" s="104"/>
    </row>
    <row r="175" spans="2:14">
      <c r="B175" s="160">
        <v>75</v>
      </c>
      <c r="C175" s="91" t="s">
        <v>588</v>
      </c>
      <c r="D175" s="91" t="s">
        <v>592</v>
      </c>
      <c r="E175" s="91" t="s">
        <v>88</v>
      </c>
      <c r="G175" s="104"/>
      <c r="H175" s="104"/>
      <c r="I175" s="86"/>
      <c r="J175" s="104"/>
      <c r="K175" s="104"/>
      <c r="L175" s="86"/>
      <c r="M175" s="104"/>
      <c r="N175" s="104"/>
    </row>
    <row r="176" spans="2:14">
      <c r="B176" s="160">
        <v>76</v>
      </c>
      <c r="C176" s="91" t="s">
        <v>665</v>
      </c>
      <c r="D176" s="91" t="s">
        <v>668</v>
      </c>
      <c r="E176" s="91"/>
      <c r="G176" s="145"/>
      <c r="H176" s="104"/>
      <c r="I176" s="86"/>
      <c r="J176" s="145"/>
      <c r="K176" s="104"/>
      <c r="L176" s="86"/>
      <c r="M176" s="145"/>
      <c r="N176" s="104"/>
    </row>
    <row r="177" spans="2:14">
      <c r="B177" s="160">
        <v>77</v>
      </c>
      <c r="C177" s="91" t="s">
        <v>665</v>
      </c>
      <c r="D177" s="91" t="s">
        <v>669</v>
      </c>
      <c r="E177" s="91" t="s">
        <v>88</v>
      </c>
      <c r="G177" s="104"/>
      <c r="H177" s="104"/>
      <c r="I177" s="86"/>
      <c r="J177" s="104"/>
      <c r="K177" s="104"/>
      <c r="L177" s="86"/>
      <c r="M177" s="104"/>
      <c r="N177" s="104"/>
    </row>
    <row r="178" spans="2:14">
      <c r="B178" s="160">
        <v>78</v>
      </c>
      <c r="C178" s="91" t="s">
        <v>666</v>
      </c>
      <c r="D178" s="91" t="s">
        <v>670</v>
      </c>
      <c r="E178" s="91"/>
      <c r="G178" s="145"/>
      <c r="H178" s="104"/>
      <c r="I178" s="86"/>
      <c r="J178" s="161"/>
      <c r="K178" s="161"/>
      <c r="L178" s="86"/>
      <c r="M178" s="161"/>
      <c r="N178" s="161"/>
    </row>
    <row r="179" spans="2:14">
      <c r="B179" s="160">
        <v>79</v>
      </c>
      <c r="C179" s="91" t="s">
        <v>666</v>
      </c>
      <c r="D179" s="91" t="s">
        <v>671</v>
      </c>
      <c r="E179" s="91" t="s">
        <v>88</v>
      </c>
      <c r="G179" s="104"/>
      <c r="H179" s="104"/>
      <c r="I179" s="86"/>
      <c r="J179" s="161"/>
      <c r="K179" s="161"/>
      <c r="L179" s="86"/>
      <c r="M179" s="161"/>
      <c r="N179" s="161"/>
    </row>
    <row r="180" spans="2:14">
      <c r="B180" s="160">
        <v>80</v>
      </c>
      <c r="C180" s="91" t="s">
        <v>667</v>
      </c>
      <c r="D180" s="91" t="s">
        <v>672</v>
      </c>
      <c r="E180" s="91"/>
      <c r="G180" s="145"/>
      <c r="H180" s="104"/>
      <c r="I180" s="86"/>
      <c r="J180" s="161"/>
      <c r="K180" s="161"/>
      <c r="L180" s="86"/>
      <c r="M180" s="161"/>
      <c r="N180" s="161"/>
    </row>
    <row r="181" spans="2:14">
      <c r="B181" s="160">
        <v>81</v>
      </c>
      <c r="C181" s="91" t="s">
        <v>667</v>
      </c>
      <c r="D181" s="91" t="s">
        <v>673</v>
      </c>
      <c r="E181" s="91" t="s">
        <v>88</v>
      </c>
      <c r="G181" s="104"/>
      <c r="H181" s="104"/>
      <c r="I181" s="86"/>
      <c r="J181" s="161"/>
      <c r="K181" s="161"/>
      <c r="L181" s="86"/>
      <c r="M181" s="161"/>
      <c r="N181" s="161"/>
    </row>
    <row r="182" spans="2:14">
      <c r="B182" s="163"/>
      <c r="G182" s="161"/>
      <c r="H182" s="161"/>
      <c r="I182" s="86"/>
      <c r="J182" s="161"/>
      <c r="K182" s="161"/>
      <c r="L182" s="86"/>
      <c r="M182" s="161"/>
      <c r="N182" s="161"/>
    </row>
    <row r="183" spans="2:14" ht="12" customHeight="1">
      <c r="B183" s="132" t="s">
        <v>12</v>
      </c>
      <c r="C183" s="133"/>
      <c r="D183" s="133"/>
      <c r="E183" s="134"/>
      <c r="G183" s="223" t="s">
        <v>107</v>
      </c>
      <c r="H183" s="224"/>
      <c r="I183" s="143"/>
      <c r="J183" s="223" t="s">
        <v>108</v>
      </c>
      <c r="K183" s="224"/>
      <c r="L183" s="143"/>
      <c r="M183" s="221" t="s">
        <v>109</v>
      </c>
      <c r="N183" s="222"/>
    </row>
    <row r="184" spans="2:14">
      <c r="B184" s="147" t="s">
        <v>112</v>
      </c>
      <c r="C184" s="147" t="s">
        <v>110</v>
      </c>
      <c r="D184" s="147"/>
      <c r="E184" s="147" t="s">
        <v>98</v>
      </c>
      <c r="G184" s="87" t="s">
        <v>496</v>
      </c>
      <c r="H184" s="87" t="s">
        <v>100</v>
      </c>
      <c r="I184" s="143"/>
      <c r="J184" s="87" t="s">
        <v>496</v>
      </c>
      <c r="K184" s="87" t="s">
        <v>100</v>
      </c>
      <c r="L184" s="143"/>
      <c r="M184" s="87" t="s">
        <v>496</v>
      </c>
      <c r="N184" s="87" t="s">
        <v>100</v>
      </c>
    </row>
    <row r="185" spans="2:14">
      <c r="B185" s="160">
        <v>78</v>
      </c>
      <c r="C185" s="91" t="s">
        <v>594</v>
      </c>
      <c r="D185" s="91" t="s">
        <v>570</v>
      </c>
      <c r="E185" s="91"/>
      <c r="G185" s="145"/>
      <c r="H185" s="104"/>
      <c r="I185" s="86"/>
      <c r="J185" s="145"/>
      <c r="K185" s="104"/>
      <c r="L185" s="86"/>
      <c r="M185" s="145"/>
      <c r="N185" s="104"/>
    </row>
    <row r="186" spans="2:14">
      <c r="B186" s="160">
        <v>79</v>
      </c>
      <c r="C186" s="91" t="s">
        <v>594</v>
      </c>
      <c r="D186" s="91" t="s">
        <v>675</v>
      </c>
      <c r="E186" s="91" t="s">
        <v>58</v>
      </c>
      <c r="G186" s="104"/>
      <c r="H186" s="104"/>
      <c r="I186" s="86"/>
      <c r="J186" s="104"/>
      <c r="K186" s="104"/>
      <c r="L186" s="86"/>
      <c r="M186" s="104"/>
      <c r="N186" s="104"/>
    </row>
    <row r="187" spans="2:14">
      <c r="B187" s="160">
        <v>80</v>
      </c>
      <c r="C187" s="91" t="s">
        <v>595</v>
      </c>
      <c r="D187" s="91" t="s">
        <v>570</v>
      </c>
      <c r="E187" s="91"/>
      <c r="G187" s="145"/>
      <c r="H187" s="104"/>
      <c r="I187" s="86"/>
      <c r="J187" s="145"/>
      <c r="K187" s="104"/>
      <c r="L187" s="86"/>
      <c r="M187" s="145"/>
      <c r="N187" s="104"/>
    </row>
    <row r="188" spans="2:14">
      <c r="B188" s="160">
        <v>81</v>
      </c>
      <c r="C188" s="91" t="s">
        <v>595</v>
      </c>
      <c r="D188" s="91" t="s">
        <v>676</v>
      </c>
      <c r="E188" s="91" t="s">
        <v>58</v>
      </c>
      <c r="G188" s="104"/>
      <c r="H188" s="104"/>
      <c r="I188" s="86"/>
      <c r="J188" s="104"/>
      <c r="K188" s="104"/>
      <c r="L188" s="86"/>
      <c r="M188" s="104"/>
      <c r="N188" s="104"/>
    </row>
    <row r="189" spans="2:14">
      <c r="B189" s="160">
        <v>82</v>
      </c>
      <c r="C189" s="91" t="s">
        <v>674</v>
      </c>
      <c r="D189" s="91" t="s">
        <v>570</v>
      </c>
      <c r="E189" s="91"/>
      <c r="G189" s="145"/>
      <c r="H189" s="104"/>
      <c r="I189" s="86"/>
      <c r="J189" s="145"/>
      <c r="K189" s="104"/>
      <c r="L189" s="86"/>
      <c r="M189" s="145"/>
      <c r="N189" s="104"/>
    </row>
    <row r="190" spans="2:14">
      <c r="B190" s="160">
        <v>83</v>
      </c>
      <c r="C190" s="91" t="s">
        <v>674</v>
      </c>
      <c r="D190" s="91" t="s">
        <v>677</v>
      </c>
      <c r="E190" s="91" t="s">
        <v>58</v>
      </c>
      <c r="G190" s="104"/>
      <c r="H190" s="104"/>
      <c r="I190" s="86"/>
      <c r="J190" s="104"/>
      <c r="K190" s="104"/>
      <c r="L190" s="86"/>
      <c r="M190" s="104"/>
      <c r="N190" s="104"/>
    </row>
    <row r="191" spans="2:14">
      <c r="G191" s="86"/>
      <c r="H191" s="86"/>
      <c r="I191" s="86"/>
      <c r="J191" s="86"/>
      <c r="K191" s="86"/>
      <c r="L191" s="86"/>
      <c r="M191" s="86"/>
      <c r="N191" s="86"/>
    </row>
    <row r="192" spans="2:14">
      <c r="B192" s="135" t="s">
        <v>6</v>
      </c>
      <c r="C192" s="136"/>
      <c r="D192" s="137"/>
      <c r="G192" s="223" t="s">
        <v>107</v>
      </c>
      <c r="H192" s="224"/>
      <c r="I192" s="143"/>
      <c r="J192" s="223" t="s">
        <v>108</v>
      </c>
      <c r="K192" s="224"/>
      <c r="L192" s="86"/>
      <c r="M192" s="221" t="s">
        <v>109</v>
      </c>
      <c r="N192" s="222"/>
    </row>
    <row r="193" spans="2:14">
      <c r="B193" s="138" t="s">
        <v>112</v>
      </c>
      <c r="C193" s="138" t="s">
        <v>110</v>
      </c>
      <c r="D193" s="138" t="s">
        <v>98</v>
      </c>
      <c r="G193" s="87" t="s">
        <v>496</v>
      </c>
      <c r="H193" s="87" t="s">
        <v>100</v>
      </c>
      <c r="I193" s="143"/>
      <c r="J193" s="87" t="s">
        <v>496</v>
      </c>
      <c r="K193" s="87" t="s">
        <v>100</v>
      </c>
      <c r="L193" s="143"/>
      <c r="M193" s="87" t="s">
        <v>496</v>
      </c>
      <c r="N193" s="87" t="s">
        <v>100</v>
      </c>
    </row>
    <row r="194" spans="2:14">
      <c r="B194" s="105">
        <v>84</v>
      </c>
      <c r="C194" s="105" t="s">
        <v>696</v>
      </c>
      <c r="D194" s="91" t="s">
        <v>488</v>
      </c>
      <c r="G194" s="104">
        <v>11</v>
      </c>
      <c r="H194" s="104"/>
      <c r="I194" s="86"/>
      <c r="J194" s="104"/>
      <c r="K194" s="104"/>
      <c r="L194" s="86"/>
      <c r="M194" s="104"/>
      <c r="N194" s="104"/>
    </row>
    <row r="195" spans="2:14">
      <c r="B195" s="105">
        <v>85</v>
      </c>
      <c r="C195" s="105" t="s">
        <v>697</v>
      </c>
      <c r="D195" s="91" t="s">
        <v>488</v>
      </c>
      <c r="G195" s="104"/>
      <c r="H195" s="104"/>
      <c r="I195" s="86"/>
      <c r="J195" s="104"/>
      <c r="K195" s="104"/>
      <c r="L195" s="86"/>
      <c r="M195" s="104"/>
      <c r="N195" s="104"/>
    </row>
    <row r="196" spans="2:14">
      <c r="B196" s="105">
        <v>86</v>
      </c>
      <c r="C196" s="105" t="s">
        <v>698</v>
      </c>
      <c r="D196" s="91" t="s">
        <v>488</v>
      </c>
      <c r="G196" s="104"/>
      <c r="H196" s="104"/>
      <c r="I196" s="86"/>
      <c r="J196" s="104"/>
      <c r="K196" s="104"/>
      <c r="L196" s="86"/>
      <c r="M196" s="104"/>
      <c r="N196" s="104"/>
    </row>
    <row r="197" spans="2:14">
      <c r="B197" s="105">
        <v>87</v>
      </c>
      <c r="C197" s="105" t="s">
        <v>699</v>
      </c>
      <c r="D197" s="91" t="s">
        <v>488</v>
      </c>
      <c r="G197" s="104"/>
      <c r="H197" s="104"/>
      <c r="I197" s="86"/>
      <c r="J197" s="104"/>
      <c r="K197" s="104"/>
      <c r="L197" s="86"/>
      <c r="M197" s="104"/>
      <c r="N197" s="104"/>
    </row>
    <row r="198" spans="2:14">
      <c r="B198" s="105">
        <v>88</v>
      </c>
      <c r="C198" s="105" t="s">
        <v>700</v>
      </c>
      <c r="D198" s="91" t="s">
        <v>488</v>
      </c>
      <c r="E198" s="1"/>
      <c r="G198" s="104"/>
      <c r="H198" s="104"/>
      <c r="I198" s="86"/>
      <c r="J198" s="104"/>
      <c r="K198" s="104"/>
      <c r="L198" s="86"/>
      <c r="M198" s="104"/>
      <c r="N198" s="104"/>
    </row>
    <row r="199" spans="2:14">
      <c r="B199" s="105">
        <v>89</v>
      </c>
      <c r="C199" s="105" t="s">
        <v>701</v>
      </c>
      <c r="D199" s="91" t="s">
        <v>488</v>
      </c>
      <c r="E199" s="1"/>
      <c r="G199" s="104"/>
      <c r="H199" s="104"/>
      <c r="I199" s="86"/>
      <c r="J199" s="104"/>
      <c r="K199" s="104"/>
      <c r="L199" s="86"/>
      <c r="M199" s="104"/>
      <c r="N199" s="104"/>
    </row>
    <row r="200" spans="2:14">
      <c r="B200" s="105">
        <v>90</v>
      </c>
      <c r="C200" s="105" t="s">
        <v>702</v>
      </c>
      <c r="D200" s="91" t="s">
        <v>488</v>
      </c>
      <c r="E200" s="1"/>
      <c r="G200" s="104"/>
      <c r="H200" s="104"/>
      <c r="I200" s="86"/>
      <c r="J200" s="104"/>
      <c r="K200" s="104"/>
      <c r="L200" s="86"/>
      <c r="M200" s="104"/>
      <c r="N200" s="104"/>
    </row>
    <row r="201" spans="2:14">
      <c r="B201" s="105">
        <v>91</v>
      </c>
      <c r="C201" s="105" t="s">
        <v>703</v>
      </c>
      <c r="D201" s="91" t="s">
        <v>488</v>
      </c>
      <c r="E201" s="1"/>
      <c r="G201" s="104"/>
      <c r="H201" s="104"/>
      <c r="I201" s="86"/>
      <c r="J201" s="104"/>
      <c r="K201" s="104"/>
      <c r="L201" s="86"/>
      <c r="M201" s="104"/>
      <c r="N201" s="104"/>
    </row>
    <row r="202" spans="2:14">
      <c r="B202" s="105">
        <v>92</v>
      </c>
      <c r="C202" s="105" t="s">
        <v>704</v>
      </c>
      <c r="D202" s="91" t="s">
        <v>488</v>
      </c>
      <c r="E202" s="1"/>
      <c r="G202" s="104"/>
      <c r="H202" s="104"/>
      <c r="I202" s="86"/>
      <c r="J202" s="104"/>
      <c r="K202" s="104"/>
      <c r="L202" s="86"/>
      <c r="M202" s="104"/>
      <c r="N202" s="104"/>
    </row>
    <row r="203" spans="2:14">
      <c r="B203" s="105">
        <v>93</v>
      </c>
      <c r="C203" s="105" t="s">
        <v>705</v>
      </c>
      <c r="D203" s="91" t="s">
        <v>488</v>
      </c>
      <c r="E203" s="1"/>
      <c r="G203" s="104"/>
      <c r="H203" s="104"/>
      <c r="I203" s="86"/>
      <c r="J203" s="104"/>
      <c r="K203" s="104"/>
      <c r="L203" s="86"/>
      <c r="M203" s="104"/>
      <c r="N203" s="104"/>
    </row>
    <row r="204" spans="2:14">
      <c r="B204" s="105">
        <v>94</v>
      </c>
      <c r="C204" s="105" t="s">
        <v>706</v>
      </c>
      <c r="D204" s="91" t="s">
        <v>488</v>
      </c>
      <c r="E204" s="1"/>
      <c r="G204" s="104"/>
      <c r="H204" s="104"/>
      <c r="I204" s="86"/>
      <c r="J204" s="104"/>
      <c r="K204" s="104"/>
      <c r="L204" s="86"/>
      <c r="M204" s="104"/>
      <c r="N204" s="104"/>
    </row>
    <row r="205" spans="2:14">
      <c r="B205" s="105">
        <v>95</v>
      </c>
      <c r="C205" s="105" t="s">
        <v>707</v>
      </c>
      <c r="D205" s="91" t="s">
        <v>488</v>
      </c>
      <c r="E205" s="1"/>
      <c r="G205" s="104"/>
      <c r="H205" s="104"/>
      <c r="I205" s="86"/>
      <c r="J205" s="104"/>
      <c r="K205" s="104"/>
      <c r="L205" s="86"/>
      <c r="M205" s="104"/>
      <c r="N205" s="104"/>
    </row>
    <row r="206" spans="2:14">
      <c r="B206" s="105">
        <v>96</v>
      </c>
      <c r="C206" s="105" t="s">
        <v>708</v>
      </c>
      <c r="D206" s="91" t="s">
        <v>488</v>
      </c>
      <c r="E206" s="1"/>
      <c r="G206" s="104"/>
      <c r="H206" s="104"/>
      <c r="I206" s="86"/>
      <c r="J206" s="104"/>
      <c r="K206" s="104"/>
      <c r="L206" s="86"/>
      <c r="M206" s="104"/>
      <c r="N206" s="104"/>
    </row>
    <row r="207" spans="2:14">
      <c r="B207" s="105">
        <v>97</v>
      </c>
      <c r="C207" s="105" t="s">
        <v>709</v>
      </c>
      <c r="D207" s="91" t="s">
        <v>488</v>
      </c>
      <c r="E207" s="1"/>
      <c r="G207" s="104"/>
      <c r="H207" s="104"/>
      <c r="I207" s="86"/>
      <c r="J207" s="104"/>
      <c r="K207" s="104"/>
      <c r="L207" s="86"/>
      <c r="M207" s="104"/>
      <c r="N207" s="104"/>
    </row>
    <row r="208" spans="2:14">
      <c r="B208" s="105">
        <v>98</v>
      </c>
      <c r="C208" s="105" t="s">
        <v>710</v>
      </c>
      <c r="D208" s="91" t="s">
        <v>488</v>
      </c>
      <c r="E208" s="1"/>
      <c r="G208" s="104"/>
      <c r="H208" s="104"/>
      <c r="I208" s="86"/>
      <c r="J208" s="104"/>
      <c r="K208" s="104"/>
      <c r="L208" s="86"/>
      <c r="M208" s="104"/>
      <c r="N208" s="104"/>
    </row>
    <row r="209" spans="2:14">
      <c r="B209" s="105">
        <v>99</v>
      </c>
      <c r="C209" s="105" t="s">
        <v>714</v>
      </c>
      <c r="D209" s="91" t="s">
        <v>488</v>
      </c>
      <c r="E209" s="1"/>
      <c r="G209" s="104"/>
      <c r="H209" s="104"/>
      <c r="I209" s="86"/>
      <c r="J209" s="104"/>
      <c r="K209" s="104"/>
      <c r="L209" s="86"/>
      <c r="M209" s="104"/>
      <c r="N209" s="104"/>
    </row>
    <row r="210" spans="2:14">
      <c r="B210" s="105">
        <v>100</v>
      </c>
      <c r="C210" s="105" t="s">
        <v>719</v>
      </c>
      <c r="D210" s="91" t="s">
        <v>488</v>
      </c>
      <c r="E210" s="1"/>
      <c r="G210" s="104"/>
      <c r="H210" s="104"/>
      <c r="I210" s="86"/>
      <c r="J210" s="104"/>
      <c r="K210" s="104"/>
      <c r="L210" s="86"/>
      <c r="M210" s="104"/>
      <c r="N210" s="104"/>
    </row>
    <row r="211" spans="2:14">
      <c r="B211" s="105">
        <v>101</v>
      </c>
      <c r="C211" s="105" t="s">
        <v>715</v>
      </c>
      <c r="D211" s="91" t="s">
        <v>488</v>
      </c>
      <c r="E211" s="1"/>
      <c r="G211" s="104"/>
      <c r="H211" s="104"/>
      <c r="I211" s="86"/>
      <c r="J211" s="104"/>
      <c r="K211" s="104"/>
      <c r="L211" s="86"/>
      <c r="M211" s="104"/>
      <c r="N211" s="104"/>
    </row>
    <row r="212" spans="2:14">
      <c r="B212" s="105">
        <v>102</v>
      </c>
      <c r="C212" s="105" t="s">
        <v>716</v>
      </c>
      <c r="D212" s="91" t="s">
        <v>488</v>
      </c>
      <c r="E212" s="1"/>
      <c r="G212" s="104"/>
      <c r="H212" s="104"/>
      <c r="I212" s="86"/>
      <c r="J212" s="104"/>
      <c r="K212" s="104"/>
      <c r="L212" s="86"/>
      <c r="M212" s="104"/>
      <c r="N212" s="104"/>
    </row>
    <row r="213" spans="2:14">
      <c r="B213" s="105">
        <v>103</v>
      </c>
      <c r="C213" s="105" t="s">
        <v>717</v>
      </c>
      <c r="D213" s="91" t="s">
        <v>488</v>
      </c>
      <c r="E213" s="1"/>
      <c r="G213" s="104"/>
      <c r="H213" s="104"/>
      <c r="I213" s="86"/>
      <c r="J213" s="104"/>
      <c r="K213" s="104"/>
      <c r="L213" s="86"/>
      <c r="M213" s="104"/>
      <c r="N213" s="104"/>
    </row>
    <row r="214" spans="2:14">
      <c r="B214" s="105">
        <v>104</v>
      </c>
      <c r="C214" s="105" t="s">
        <v>718</v>
      </c>
      <c r="D214" s="91" t="s">
        <v>488</v>
      </c>
      <c r="E214" s="1"/>
      <c r="G214" s="104"/>
      <c r="H214" s="104"/>
      <c r="I214" s="86"/>
      <c r="J214" s="104"/>
      <c r="K214" s="104"/>
      <c r="L214" s="86"/>
      <c r="M214" s="104"/>
      <c r="N214" s="104"/>
    </row>
    <row r="215" spans="2:14">
      <c r="B215" s="105">
        <v>105</v>
      </c>
      <c r="C215" s="105" t="s">
        <v>713</v>
      </c>
      <c r="D215" s="91" t="s">
        <v>488</v>
      </c>
      <c r="E215" s="1"/>
      <c r="G215" s="104"/>
      <c r="H215" s="104"/>
      <c r="I215" s="86"/>
      <c r="J215" s="104"/>
      <c r="K215" s="104"/>
      <c r="L215" s="86"/>
      <c r="M215" s="104"/>
      <c r="N215" s="104"/>
    </row>
    <row r="216" spans="2:14">
      <c r="B216" s="105">
        <v>106</v>
      </c>
      <c r="C216" s="105" t="s">
        <v>712</v>
      </c>
      <c r="D216" s="91" t="s">
        <v>488</v>
      </c>
      <c r="E216" s="1"/>
      <c r="G216" s="104"/>
      <c r="H216" s="104"/>
      <c r="I216" s="86"/>
      <c r="J216" s="104"/>
      <c r="K216" s="104"/>
      <c r="L216" s="86"/>
      <c r="M216" s="104"/>
      <c r="N216" s="104"/>
    </row>
    <row r="217" spans="2:14">
      <c r="B217" s="105">
        <v>107</v>
      </c>
      <c r="C217" s="105" t="s">
        <v>711</v>
      </c>
      <c r="D217" s="91" t="s">
        <v>488</v>
      </c>
      <c r="E217" s="1"/>
      <c r="G217" s="104"/>
      <c r="H217" s="104"/>
      <c r="I217" s="86"/>
      <c r="J217" s="104"/>
      <c r="K217" s="104"/>
      <c r="L217" s="86"/>
      <c r="M217" s="104"/>
      <c r="N217" s="104"/>
    </row>
    <row r="218" spans="2:14">
      <c r="B218" s="105">
        <v>108</v>
      </c>
      <c r="C218" s="105" t="s">
        <v>720</v>
      </c>
      <c r="D218" s="91" t="s">
        <v>488</v>
      </c>
      <c r="E218" s="1"/>
      <c r="G218" s="104"/>
      <c r="H218" s="104"/>
      <c r="I218" s="86"/>
      <c r="J218" s="104"/>
      <c r="K218" s="104"/>
      <c r="L218" s="86"/>
      <c r="M218" s="104"/>
      <c r="N218" s="104"/>
    </row>
    <row r="219" spans="2:14">
      <c r="G219" s="86"/>
      <c r="H219" s="86"/>
      <c r="I219" s="86"/>
      <c r="J219" s="86"/>
      <c r="K219" s="86"/>
      <c r="L219" s="86"/>
      <c r="M219" s="86"/>
      <c r="N219" s="86"/>
    </row>
    <row r="220" spans="2:14">
      <c r="B220" s="132" t="s">
        <v>336</v>
      </c>
      <c r="C220" s="133"/>
      <c r="D220" s="133"/>
      <c r="E220" s="1"/>
      <c r="G220" s="223" t="s">
        <v>107</v>
      </c>
      <c r="H220" s="224"/>
      <c r="I220" s="143"/>
      <c r="J220" s="223" t="s">
        <v>108</v>
      </c>
      <c r="K220" s="224"/>
      <c r="L220" s="143"/>
      <c r="M220" s="221" t="s">
        <v>109</v>
      </c>
      <c r="N220" s="222"/>
    </row>
    <row r="221" spans="2:14">
      <c r="B221" s="108" t="s">
        <v>112</v>
      </c>
      <c r="C221" s="108" t="s">
        <v>110</v>
      </c>
      <c r="D221" s="108" t="s">
        <v>98</v>
      </c>
      <c r="E221" s="1"/>
      <c r="G221" s="87" t="s">
        <v>496</v>
      </c>
      <c r="H221" s="87" t="s">
        <v>100</v>
      </c>
      <c r="I221" s="143"/>
      <c r="J221" s="87" t="s">
        <v>496</v>
      </c>
      <c r="K221" s="87" t="s">
        <v>100</v>
      </c>
      <c r="L221" s="143"/>
      <c r="M221" s="87" t="s">
        <v>496</v>
      </c>
      <c r="N221" s="87" t="s">
        <v>100</v>
      </c>
    </row>
    <row r="222" spans="2:14">
      <c r="B222" s="160">
        <v>109</v>
      </c>
      <c r="C222" s="91" t="s">
        <v>359</v>
      </c>
      <c r="D222" s="91" t="s">
        <v>113</v>
      </c>
      <c r="G222" s="104"/>
      <c r="H222" s="104"/>
      <c r="I222" s="86"/>
      <c r="J222" s="104"/>
      <c r="K222" s="104"/>
      <c r="L222" s="86"/>
      <c r="M222" s="104"/>
      <c r="N222" s="104"/>
    </row>
    <row r="223" spans="2:14">
      <c r="B223" s="160">
        <v>110</v>
      </c>
      <c r="C223" s="91" t="s">
        <v>360</v>
      </c>
      <c r="D223" s="91" t="s">
        <v>113</v>
      </c>
      <c r="G223" s="104"/>
      <c r="H223" s="104"/>
      <c r="I223" s="86"/>
      <c r="J223" s="104"/>
      <c r="K223" s="104"/>
      <c r="L223" s="86"/>
      <c r="M223" s="104"/>
      <c r="N223" s="104"/>
    </row>
    <row r="224" spans="2:14">
      <c r="B224" s="160">
        <v>111</v>
      </c>
      <c r="C224" s="91" t="s">
        <v>361</v>
      </c>
      <c r="D224" s="91" t="s">
        <v>113</v>
      </c>
      <c r="G224" s="104"/>
      <c r="H224" s="104"/>
      <c r="I224" s="86"/>
      <c r="J224" s="104"/>
      <c r="K224" s="104"/>
      <c r="L224" s="86"/>
      <c r="M224" s="104"/>
      <c r="N224" s="104"/>
    </row>
    <row r="225" spans="2:14">
      <c r="B225" s="160">
        <v>112</v>
      </c>
      <c r="C225" s="91" t="s">
        <v>281</v>
      </c>
      <c r="D225" s="91" t="str">
        <f>IFERROR(VLOOKUP('General Information'!$D$6, Validations!$L$2:$M$8, 2,FALSE), "")</f>
        <v>€/ha</v>
      </c>
      <c r="G225" s="104"/>
      <c r="H225" s="104"/>
      <c r="I225" s="86"/>
      <c r="J225" s="104"/>
      <c r="K225" s="104"/>
      <c r="L225" s="86"/>
      <c r="M225" s="104"/>
      <c r="N225" s="104"/>
    </row>
    <row r="226" spans="2:14">
      <c r="B226" s="160">
        <v>113</v>
      </c>
      <c r="C226" s="91" t="s">
        <v>609</v>
      </c>
      <c r="D226" s="91" t="s">
        <v>105</v>
      </c>
      <c r="G226" s="104"/>
      <c r="H226" s="104"/>
      <c r="I226" s="86"/>
      <c r="J226" s="104"/>
      <c r="K226" s="104"/>
      <c r="L226" s="86"/>
      <c r="M226" s="104"/>
      <c r="N226" s="104"/>
    </row>
    <row r="227" spans="2:14">
      <c r="B227" s="160">
        <v>114</v>
      </c>
      <c r="C227" s="91" t="s">
        <v>363</v>
      </c>
      <c r="D227" s="91" t="s">
        <v>105</v>
      </c>
      <c r="G227" s="104"/>
      <c r="H227" s="104"/>
      <c r="I227" s="86"/>
      <c r="J227" s="104"/>
      <c r="K227" s="104"/>
      <c r="L227" s="86"/>
      <c r="M227" s="104"/>
      <c r="N227" s="104"/>
    </row>
    <row r="228" spans="2:14">
      <c r="B228" s="160">
        <v>115</v>
      </c>
      <c r="C228" s="91" t="s">
        <v>364</v>
      </c>
      <c r="D228" s="91" t="s">
        <v>365</v>
      </c>
      <c r="G228" s="104"/>
      <c r="H228" s="104"/>
      <c r="I228" s="86"/>
      <c r="J228" s="104"/>
      <c r="K228" s="104"/>
      <c r="L228" s="86"/>
      <c r="M228" s="104"/>
      <c r="N228" s="104"/>
    </row>
    <row r="229" spans="2:14">
      <c r="G229" s="86"/>
      <c r="H229" s="86"/>
      <c r="I229" s="86"/>
      <c r="J229" s="86"/>
      <c r="K229" s="86"/>
      <c r="L229" s="86"/>
      <c r="M229" s="86"/>
      <c r="N229" s="86"/>
    </row>
    <row r="230" spans="2:14">
      <c r="B230" s="124" t="s">
        <v>278</v>
      </c>
      <c r="C230" s="125"/>
      <c r="D230" s="125"/>
      <c r="E230" s="139"/>
      <c r="G230" s="223" t="s">
        <v>107</v>
      </c>
      <c r="H230" s="224"/>
      <c r="I230" s="143"/>
      <c r="J230" s="223" t="s">
        <v>108</v>
      </c>
      <c r="K230" s="224"/>
      <c r="L230" s="143"/>
      <c r="M230" s="221" t="s">
        <v>109</v>
      </c>
      <c r="N230" s="222"/>
    </row>
    <row r="231" spans="2:14">
      <c r="B231" s="127" t="s">
        <v>112</v>
      </c>
      <c r="C231" s="127" t="s">
        <v>110</v>
      </c>
      <c r="D231" s="127" t="s">
        <v>98</v>
      </c>
      <c r="E231" s="140"/>
      <c r="G231" s="87" t="s">
        <v>496</v>
      </c>
      <c r="H231" s="87" t="s">
        <v>100</v>
      </c>
      <c r="I231" s="143"/>
      <c r="J231" s="87" t="s">
        <v>496</v>
      </c>
      <c r="K231" s="87" t="s">
        <v>100</v>
      </c>
      <c r="L231" s="143"/>
      <c r="M231" s="87" t="s">
        <v>496</v>
      </c>
      <c r="N231" s="87" t="s">
        <v>100</v>
      </c>
    </row>
    <row r="232" spans="2:14">
      <c r="B232" s="160">
        <v>116</v>
      </c>
      <c r="C232" s="91" t="s">
        <v>559</v>
      </c>
      <c r="D232" s="91" t="s">
        <v>113</v>
      </c>
      <c r="G232" s="104"/>
      <c r="H232" s="104"/>
      <c r="I232" s="86"/>
      <c r="J232" s="104"/>
      <c r="K232" s="104"/>
      <c r="L232" s="86"/>
      <c r="M232" s="104"/>
      <c r="N232" s="104"/>
    </row>
    <row r="233" spans="2:14">
      <c r="B233" s="160">
        <v>117</v>
      </c>
      <c r="C233" s="91" t="s">
        <v>114</v>
      </c>
      <c r="D233" s="91" t="s">
        <v>113</v>
      </c>
      <c r="G233" s="104"/>
      <c r="H233" s="104"/>
      <c r="I233" s="86"/>
      <c r="J233" s="104"/>
      <c r="K233" s="104"/>
      <c r="L233" s="86"/>
      <c r="M233" s="104"/>
      <c r="N233" s="104"/>
    </row>
    <row r="234" spans="2:14">
      <c r="B234" s="160">
        <v>118</v>
      </c>
      <c r="C234" s="91" t="s">
        <v>124</v>
      </c>
      <c r="D234" s="91" t="s">
        <v>113</v>
      </c>
      <c r="G234" s="104"/>
      <c r="H234" s="104"/>
      <c r="I234" s="86"/>
      <c r="J234" s="104"/>
      <c r="K234" s="104"/>
      <c r="L234" s="86"/>
      <c r="M234" s="104"/>
      <c r="N234" s="104"/>
    </row>
    <row r="235" spans="2:14">
      <c r="B235" s="160">
        <v>119</v>
      </c>
      <c r="C235" s="91" t="s">
        <v>131</v>
      </c>
      <c r="D235" s="91" t="s">
        <v>113</v>
      </c>
      <c r="G235" s="104"/>
      <c r="H235" s="104"/>
      <c r="I235" s="86"/>
      <c r="J235" s="104"/>
      <c r="K235" s="104"/>
      <c r="L235" s="86"/>
      <c r="M235" s="104"/>
      <c r="N235" s="104"/>
    </row>
    <row r="236" spans="2:14">
      <c r="B236" s="160">
        <v>120</v>
      </c>
      <c r="C236" s="91" t="s">
        <v>130</v>
      </c>
      <c r="D236" s="91" t="s">
        <v>62</v>
      </c>
      <c r="G236" s="104"/>
      <c r="H236" s="104"/>
      <c r="I236" s="86"/>
      <c r="J236" s="104"/>
      <c r="K236" s="104"/>
      <c r="L236" s="86"/>
      <c r="M236" s="104"/>
      <c r="N236" s="104"/>
    </row>
    <row r="237" spans="2:14">
      <c r="B237" s="160">
        <v>121</v>
      </c>
      <c r="C237" s="91" t="s">
        <v>327</v>
      </c>
      <c r="D237" s="92" t="s">
        <v>113</v>
      </c>
      <c r="G237" s="104"/>
      <c r="H237" s="104"/>
      <c r="I237" s="86"/>
      <c r="J237" s="104"/>
      <c r="K237" s="104"/>
      <c r="L237" s="86"/>
      <c r="M237" s="104"/>
      <c r="N237" s="104"/>
    </row>
    <row r="238" spans="2:14" ht="18">
      <c r="C238" s="141"/>
      <c r="G238" s="86"/>
      <c r="H238" s="86"/>
      <c r="I238" s="86"/>
      <c r="J238" s="86"/>
      <c r="K238" s="86"/>
      <c r="L238" s="86"/>
      <c r="M238" s="86"/>
      <c r="N238" s="86"/>
    </row>
    <row r="239" spans="2:14">
      <c r="B239" s="116" t="s">
        <v>279</v>
      </c>
      <c r="C239" s="117"/>
      <c r="D239" s="118"/>
      <c r="E239" s="12"/>
      <c r="G239" s="223" t="s">
        <v>107</v>
      </c>
      <c r="H239" s="224"/>
      <c r="I239" s="143"/>
      <c r="J239" s="223" t="s">
        <v>108</v>
      </c>
      <c r="K239" s="224"/>
      <c r="L239" s="143"/>
      <c r="M239" s="221" t="s">
        <v>109</v>
      </c>
      <c r="N239" s="222"/>
    </row>
    <row r="240" spans="2:14">
      <c r="B240" s="119" t="s">
        <v>112</v>
      </c>
      <c r="C240" s="119" t="s">
        <v>110</v>
      </c>
      <c r="D240" s="119" t="s">
        <v>98</v>
      </c>
      <c r="E240" s="18"/>
      <c r="G240" s="87" t="s">
        <v>496</v>
      </c>
      <c r="H240" s="87" t="s">
        <v>100</v>
      </c>
      <c r="I240" s="143"/>
      <c r="J240" s="87" t="s">
        <v>496</v>
      </c>
      <c r="K240" s="87" t="s">
        <v>100</v>
      </c>
      <c r="L240" s="143"/>
      <c r="M240" s="87" t="s">
        <v>496</v>
      </c>
      <c r="N240" s="87" t="s">
        <v>100</v>
      </c>
    </row>
    <row r="241" spans="2:14">
      <c r="B241" s="160">
        <v>122</v>
      </c>
      <c r="C241" s="91" t="s">
        <v>132</v>
      </c>
      <c r="D241" s="91" t="s">
        <v>113</v>
      </c>
      <c r="G241" s="104"/>
      <c r="H241" s="104"/>
      <c r="I241" s="86"/>
      <c r="J241" s="104"/>
      <c r="K241" s="104"/>
      <c r="L241" s="86"/>
      <c r="M241" s="104"/>
      <c r="N241" s="104"/>
    </row>
    <row r="242" spans="2:14">
      <c r="B242" s="160">
        <v>123</v>
      </c>
      <c r="C242" s="91" t="s">
        <v>115</v>
      </c>
      <c r="D242" s="91" t="s">
        <v>113</v>
      </c>
      <c r="G242" s="104"/>
      <c r="H242" s="104"/>
      <c r="I242" s="86"/>
      <c r="J242" s="104"/>
      <c r="K242" s="104"/>
      <c r="L242" s="86"/>
      <c r="M242" s="104"/>
      <c r="N242" s="104"/>
    </row>
    <row r="243" spans="2:14">
      <c r="B243" s="160">
        <v>124</v>
      </c>
      <c r="C243" s="91" t="s">
        <v>133</v>
      </c>
      <c r="D243" s="91" t="s">
        <v>60</v>
      </c>
      <c r="G243" s="104"/>
      <c r="H243" s="104"/>
      <c r="I243" s="86"/>
      <c r="J243" s="104"/>
      <c r="K243" s="104"/>
      <c r="L243" s="86"/>
      <c r="M243" s="104"/>
      <c r="N243" s="104"/>
    </row>
    <row r="244" spans="2:14">
      <c r="B244" s="160">
        <v>125</v>
      </c>
      <c r="C244" s="91" t="s">
        <v>277</v>
      </c>
      <c r="D244" s="91" t="s">
        <v>113</v>
      </c>
      <c r="G244" s="104"/>
      <c r="H244" s="104"/>
      <c r="I244" s="86"/>
      <c r="J244" s="104"/>
      <c r="K244" s="104"/>
      <c r="L244" s="86"/>
      <c r="M244" s="104"/>
      <c r="N244" s="104"/>
    </row>
    <row r="245" spans="2:14">
      <c r="B245" s="160">
        <v>126</v>
      </c>
      <c r="C245" s="91" t="s">
        <v>134</v>
      </c>
      <c r="D245" s="91" t="s">
        <v>113</v>
      </c>
      <c r="G245" s="104"/>
      <c r="H245" s="104"/>
      <c r="I245" s="86"/>
      <c r="J245" s="104"/>
      <c r="K245" s="104"/>
      <c r="L245" s="86"/>
      <c r="M245" s="104"/>
      <c r="N245" s="104"/>
    </row>
    <row r="246" spans="2:14">
      <c r="B246" s="160">
        <v>127</v>
      </c>
      <c r="C246" s="91" t="s">
        <v>135</v>
      </c>
      <c r="D246" s="91" t="s">
        <v>113</v>
      </c>
      <c r="G246" s="104"/>
      <c r="H246" s="104"/>
      <c r="I246" s="86"/>
      <c r="J246" s="104"/>
      <c r="K246" s="104"/>
      <c r="L246" s="86"/>
      <c r="M246" s="104"/>
      <c r="N246" s="104"/>
    </row>
    <row r="247" spans="2:14">
      <c r="G247" s="86"/>
      <c r="H247" s="86"/>
      <c r="I247" s="86"/>
      <c r="J247" s="86"/>
      <c r="K247" s="86"/>
      <c r="L247" s="86"/>
      <c r="M247" s="86"/>
      <c r="N247" s="86"/>
    </row>
    <row r="248" spans="2:14">
      <c r="B248" s="135" t="s">
        <v>116</v>
      </c>
      <c r="C248" s="136"/>
      <c r="D248" s="137"/>
      <c r="E248" s="12"/>
      <c r="G248" s="223" t="s">
        <v>107</v>
      </c>
      <c r="H248" s="224"/>
      <c r="I248" s="143"/>
      <c r="J248" s="223" t="s">
        <v>108</v>
      </c>
      <c r="K248" s="224"/>
      <c r="L248" s="143"/>
      <c r="M248" s="221" t="s">
        <v>109</v>
      </c>
      <c r="N248" s="222"/>
    </row>
    <row r="249" spans="2:14">
      <c r="B249" s="138" t="s">
        <v>112</v>
      </c>
      <c r="C249" s="138" t="s">
        <v>110</v>
      </c>
      <c r="D249" s="138" t="s">
        <v>98</v>
      </c>
      <c r="E249" s="18"/>
      <c r="G249" s="87" t="s">
        <v>496</v>
      </c>
      <c r="H249" s="87" t="s">
        <v>100</v>
      </c>
      <c r="I249" s="143"/>
      <c r="J249" s="87" t="s">
        <v>496</v>
      </c>
      <c r="K249" s="87" t="s">
        <v>100</v>
      </c>
      <c r="L249" s="143"/>
      <c r="M249" s="87" t="s">
        <v>496</v>
      </c>
      <c r="N249" s="87" t="s">
        <v>100</v>
      </c>
    </row>
    <row r="250" spans="2:14">
      <c r="B250" s="160">
        <v>128</v>
      </c>
      <c r="C250" s="142" t="s">
        <v>417</v>
      </c>
      <c r="D250" s="142" t="s">
        <v>88</v>
      </c>
      <c r="G250" s="104">
        <v>291.10000000000002</v>
      </c>
      <c r="H250" s="104"/>
      <c r="I250" s="86"/>
      <c r="J250" s="104"/>
      <c r="K250" s="104"/>
      <c r="L250" s="86"/>
      <c r="M250" s="104"/>
      <c r="N250" s="104"/>
    </row>
    <row r="251" spans="2:14" ht="18">
      <c r="B251" s="160">
        <v>129</v>
      </c>
      <c r="C251" s="91" t="s">
        <v>117</v>
      </c>
      <c r="D251" s="91" t="s">
        <v>786</v>
      </c>
      <c r="G251" s="104"/>
      <c r="H251" s="104"/>
      <c r="I251" s="86"/>
      <c r="J251" s="104"/>
      <c r="K251" s="104"/>
      <c r="L251" s="86"/>
      <c r="M251" s="104"/>
      <c r="N251" s="104"/>
    </row>
    <row r="252" spans="2:14" ht="15" customHeight="1">
      <c r="B252" s="160">
        <v>130</v>
      </c>
      <c r="C252" s="91" t="s">
        <v>118</v>
      </c>
      <c r="D252" s="91" t="s">
        <v>785</v>
      </c>
      <c r="G252" s="104"/>
      <c r="H252" s="104"/>
      <c r="I252" s="86"/>
      <c r="J252" s="104"/>
      <c r="K252" s="104"/>
      <c r="L252" s="86"/>
      <c r="M252" s="104"/>
      <c r="N252" s="104"/>
    </row>
    <row r="253" spans="2:14" ht="15" customHeight="1">
      <c r="B253" s="160">
        <v>131</v>
      </c>
      <c r="C253" s="91" t="s">
        <v>520</v>
      </c>
      <c r="D253" s="91" t="s">
        <v>113</v>
      </c>
      <c r="G253" s="104"/>
      <c r="H253" s="104"/>
      <c r="I253" s="86"/>
      <c r="J253" s="104"/>
      <c r="K253" s="104"/>
      <c r="L253" s="86"/>
      <c r="M253" s="104"/>
      <c r="N253" s="104"/>
    </row>
    <row r="254" spans="2:14">
      <c r="B254" s="160">
        <v>132</v>
      </c>
      <c r="C254" s="91" t="s">
        <v>119</v>
      </c>
      <c r="D254" s="91" t="s">
        <v>355</v>
      </c>
      <c r="G254" s="104"/>
      <c r="H254" s="104"/>
      <c r="I254" s="86"/>
      <c r="J254" s="104"/>
      <c r="K254" s="104"/>
      <c r="L254" s="86"/>
      <c r="M254" s="104"/>
      <c r="N254" s="104"/>
    </row>
    <row r="255" spans="2:14">
      <c r="B255" s="160">
        <v>133</v>
      </c>
      <c r="C255" s="91" t="s">
        <v>120</v>
      </c>
      <c r="D255" s="91" t="s">
        <v>68</v>
      </c>
      <c r="G255" s="104"/>
      <c r="H255" s="104"/>
      <c r="I255" s="86"/>
      <c r="J255" s="104"/>
      <c r="K255" s="104"/>
      <c r="L255" s="86"/>
      <c r="M255" s="104"/>
      <c r="N255" s="104"/>
    </row>
    <row r="256" spans="2:14">
      <c r="B256" s="160">
        <v>134</v>
      </c>
      <c r="C256" s="91" t="s">
        <v>523</v>
      </c>
      <c r="D256" s="91" t="s">
        <v>88</v>
      </c>
      <c r="G256" s="104"/>
      <c r="H256" s="104"/>
      <c r="I256" s="86"/>
      <c r="J256" s="104"/>
      <c r="K256" s="104"/>
      <c r="L256" s="86"/>
      <c r="M256" s="104"/>
      <c r="N256" s="104"/>
    </row>
    <row r="258" spans="3:4">
      <c r="C258" s="186" t="s">
        <v>729</v>
      </c>
      <c r="D258" s="186">
        <v>94.1</v>
      </c>
    </row>
    <row r="283" spans="2:2">
      <c r="B283" s="2"/>
    </row>
    <row r="298" spans="2:2">
      <c r="B298" s="2"/>
    </row>
    <row r="299" spans="2:2">
      <c r="B299" s="2"/>
    </row>
    <row r="300" spans="2:2">
      <c r="B300" s="3"/>
    </row>
    <row r="301" spans="2:2">
      <c r="B301" s="2"/>
    </row>
    <row r="302" spans="2:2">
      <c r="B302" s="2"/>
    </row>
    <row r="303" spans="2:2">
      <c r="B303" s="2"/>
    </row>
    <row r="304" spans="2:2">
      <c r="B304" s="2"/>
    </row>
  </sheetData>
  <sheetProtection selectLockedCells="1"/>
  <mergeCells count="55">
    <mergeCell ref="G248:H248"/>
    <mergeCell ref="J248:K248"/>
    <mergeCell ref="M248:N248"/>
    <mergeCell ref="G230:H230"/>
    <mergeCell ref="J230:K230"/>
    <mergeCell ref="M230:N230"/>
    <mergeCell ref="G239:H239"/>
    <mergeCell ref="J239:K239"/>
    <mergeCell ref="M239:N239"/>
    <mergeCell ref="M54:N54"/>
    <mergeCell ref="G64:H64"/>
    <mergeCell ref="J64:K64"/>
    <mergeCell ref="M64:N64"/>
    <mergeCell ref="G54:H54"/>
    <mergeCell ref="G2:H6"/>
    <mergeCell ref="G8:H8"/>
    <mergeCell ref="G9:H9"/>
    <mergeCell ref="G10:H10"/>
    <mergeCell ref="J54:K54"/>
    <mergeCell ref="G12:H12"/>
    <mergeCell ref="G13:H13"/>
    <mergeCell ref="G14:H14"/>
    <mergeCell ref="G15:H15"/>
    <mergeCell ref="B8:E8"/>
    <mergeCell ref="G97:H97"/>
    <mergeCell ref="J97:K97"/>
    <mergeCell ref="M97:N97"/>
    <mergeCell ref="G170:H170"/>
    <mergeCell ref="J170:K170"/>
    <mergeCell ref="M170:N170"/>
    <mergeCell ref="G11:H11"/>
    <mergeCell ref="G45:H45"/>
    <mergeCell ref="J45:K45"/>
    <mergeCell ref="M45:N45"/>
    <mergeCell ref="B45:E45"/>
    <mergeCell ref="G19:H19"/>
    <mergeCell ref="G20:H20"/>
    <mergeCell ref="G22:H22"/>
    <mergeCell ref="J22:K22"/>
    <mergeCell ref="G220:H220"/>
    <mergeCell ref="J220:K220"/>
    <mergeCell ref="M220:N220"/>
    <mergeCell ref="G183:H183"/>
    <mergeCell ref="J183:K183"/>
    <mergeCell ref="M183:N183"/>
    <mergeCell ref="G192:H192"/>
    <mergeCell ref="J192:K192"/>
    <mergeCell ref="M192:N192"/>
    <mergeCell ref="M22:N22"/>
    <mergeCell ref="G31:H31"/>
    <mergeCell ref="J31:K31"/>
    <mergeCell ref="M31:N31"/>
    <mergeCell ref="G16:H16"/>
    <mergeCell ref="G17:H17"/>
    <mergeCell ref="G18:H18"/>
  </mergeCells>
  <phoneticPr fontId="2" type="noConversion"/>
  <dataValidations count="11">
    <dataValidation type="whole" allowBlank="1" showInputMessage="1" showErrorMessage="1" sqref="J101 M101 J108 M108 M67 J115 M115 J67 J70 J73 G88 M73 G91 M70 G94 G67 G70 G85 G73 G101 G108 G129" xr:uid="{B9019D02-4A6D-8F48-8D25-F9F12C931C61}">
      <formula1>0</formula1>
      <formula2>100</formula2>
    </dataValidation>
    <dataValidation type="decimal" allowBlank="1" showInputMessage="1" showErrorMessage="1" sqref="J250:J256 G243 M236 M225 M250:M256 M228 J236 J225 J228 G236 G225 G228 G250:G256" xr:uid="{92ED246C-3524-3D42-9A62-7BD5F543F4BE}">
      <formula1>0</formula1>
      <formula2>100000000</formula2>
    </dataValidation>
    <dataValidation type="decimal" allowBlank="1" showInputMessage="1" showErrorMessage="1" sqref="E10 E18 E20" xr:uid="{6D61CDD5-4537-439F-B43B-22F16DB9769C}">
      <formula1>0</formula1>
      <formula2>1000000</formula2>
    </dataValidation>
    <dataValidation type="whole" allowBlank="1" showInputMessage="1" showErrorMessage="1" sqref="E11 E17 E19" xr:uid="{6DFBDDFC-E6AF-4491-9793-D70851CED43E}">
      <formula1>1</formula1>
      <formula2>1000000000000</formula2>
    </dataValidation>
    <dataValidation type="decimal" allowBlank="1" showInputMessage="1" showErrorMessage="1" sqref="M117:M169 J226:J227 G138:G169 M103:M105 J117:J169 M226:M227 M110:M112 E16 J103:J105 J110:J112 G226:G227 E12:E14 G103:G105 G131:G133 G110:G113 G117:G120 G115 G122 G124:G126" xr:uid="{70202342-5E22-8D4E-B23C-48ACDEC21FC6}">
      <formula1>0</formula1>
      <formula2>100</formula2>
    </dataValidation>
    <dataValidation type="decimal" allowBlank="1" showInputMessage="1" showErrorMessage="1" sqref="E15" xr:uid="{EB46BA65-A702-4DAD-89FC-C0B9E4E21483}">
      <formula1>0</formula1>
      <formula2>1000000000</formula2>
    </dataValidation>
    <dataValidation type="textLength" allowBlank="1" showInputMessage="1" showErrorMessage="1" sqref="H250:H256 K250:K256 H24:H29 K24:K29 N24:N29 K33:K43 N33:N43 H47:H52 K47:K52 N47:N52 H56:H62 K56:K62 K66:K95 N66:N95 N56:N62 G10:H20 H99:H169 K99:K169 N99:N169 H66:H95 K172:K182 N172:N182 H185:H190 K185:K190 H194:H218 K194:K218 N194:N218 H222:H228 K222:K228 N222:N228 H232:H237 K232:K237 N232:N237 H241:H246 K241:K246 N241:N246 N250:N256 H33:H43 N185:N190 H172:H182" xr:uid="{FCDD250D-27EC-9E49-8040-F9501892EF49}">
      <formula1>1</formula1>
      <formula2>1000</formula2>
    </dataValidation>
    <dataValidation type="decimal" allowBlank="1" showInputMessage="1" showErrorMessage="1" sqref="M188 M24:M29 J33:J43 G194:G218 G48 M33:M43 G50 M194:M218 J24:J29 G52 J48 J50 J52 M52 G71 J56:J62 M186 M56:M62 M190 M48 M50 J74:J95 J68 J71 M74:M95 G68 G177 G74:G83 M68 M71 G181:G182 J102 J109 J116 M116 M175 G95 J175 G190 M102 M109 G173 G175 J177:J182 J173 M177:M182 M173 J188 G179 J194:J218 G186 G188 J186 J190 G137 G33:G43 G86 G89 G92 G56:G62 G24:G29 G102 G109 G130" xr:uid="{341B72D4-57BD-5648-B949-C9BA96C85226}">
      <formula1>0</formula1>
      <formula2>10000000000000</formula2>
    </dataValidation>
    <dataValidation type="textLength" allowBlank="1" showInputMessage="1" showErrorMessage="1" sqref="G47 J99:J100 G49 J106:J107 J113:J114 G51 J47 J49 J51 M51 M99:M100 M106:M107 M47 M49 M113:M114 J66 J69 J72 G87 M72 G90 M66 M69 G93 G66 G69 G84 G72 G134:G136 G106:G107 G114 G127:G128 G121 G99:G100" xr:uid="{0B52EC43-5FF7-3444-A2EE-7FB6D6F2E612}">
      <formula1>1</formula1>
      <formula2>50</formula2>
    </dataValidation>
    <dataValidation type="textLength" allowBlank="1" showInputMessage="1" showErrorMessage="1" sqref="G172 M174 G176 J174 J185 G185 G174 J172 J176 M172 M176 M185 G187 G189 J187 J189 M187 M189 G178 G180" xr:uid="{249985D2-88C4-6449-B4B6-9D2361A9C195}">
      <formula1>0</formula1>
      <formula2>100</formula2>
    </dataValidation>
    <dataValidation type="whole" allowBlank="1" showInputMessage="1" showErrorMessage="1" sqref="M241:M246 G222:G224 J222:J224 G232:G235 G237 J241:J246 M222:M224 J232:J235 J237 M232:M235 M237 G241:G242 G244:G246" xr:uid="{5DD977DB-7AE0-1142-9D37-C27EDF03B685}">
      <formula1>0</formula1>
      <formula2>10000</formula2>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C6260694-4A8F-4456-A2EC-7D619A48660E}">
          <x14:formula1>
            <xm:f>Validations!$F$2:$F$3</xm:f>
          </x14:formula1>
          <xm:sqref>E102 E109</xm:sqref>
        </x14:dataValidation>
        <x14:dataValidation type="list" allowBlank="1" showInputMessage="1" showErrorMessage="1" xr:uid="{CA5308CC-A13C-4717-9EA6-EAD523AE1C31}">
          <x14:formula1>
            <xm:f>Validations!$G$2:$G$3</xm:f>
          </x14:formula1>
          <xm:sqref>E100 E107 E114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E70EF-0F1F-2A41-BADE-CE6A8757BF3C}">
  <sheetPr>
    <tabColor rgb="FF7030A0"/>
  </sheetPr>
  <dimension ref="A1:BG258"/>
  <sheetViews>
    <sheetView zoomScale="80" zoomScaleNormal="60" workbookViewId="0">
      <selection activeCell="A5" sqref="A5"/>
    </sheetView>
  </sheetViews>
  <sheetFormatPr defaultColWidth="11.25" defaultRowHeight="15.75"/>
  <cols>
    <col min="1" max="1" width="5.75" customWidth="1"/>
    <col min="2" max="2" width="11.25" customWidth="1"/>
    <col min="3" max="3" width="43" customWidth="1"/>
    <col min="4" max="4" width="19.25" customWidth="1"/>
    <col min="5" max="5" width="15.75" bestFit="1" customWidth="1"/>
    <col min="6" max="6" width="15.75" customWidth="1"/>
    <col min="7" max="7" width="13.75" bestFit="1" customWidth="1"/>
    <col min="8" max="8" width="25" customWidth="1"/>
    <col min="9" max="9" width="10.75" customWidth="1"/>
    <col min="10" max="10" width="13.75" bestFit="1" customWidth="1"/>
    <col min="11" max="11" width="25" customWidth="1"/>
    <col min="12" max="12" width="10.75" customWidth="1"/>
    <col min="13" max="13" width="13.75" bestFit="1" customWidth="1"/>
    <col min="14" max="14" width="25" customWidth="1"/>
    <col min="15" max="15" width="26.75" customWidth="1"/>
  </cols>
  <sheetData>
    <row r="1" spans="1:59">
      <c r="A1" t="s">
        <v>95</v>
      </c>
      <c r="BG1" t="s">
        <v>96</v>
      </c>
    </row>
    <row r="2" spans="1:59" ht="19.899999999999999" customHeight="1">
      <c r="G2" s="234" t="s">
        <v>497</v>
      </c>
      <c r="H2" s="234"/>
      <c r="BG2" t="s">
        <v>97</v>
      </c>
    </row>
    <row r="3" spans="1:59" ht="16.149999999999999" customHeight="1">
      <c r="G3" s="234"/>
      <c r="H3" s="234"/>
    </row>
    <row r="4" spans="1:59" ht="27" customHeight="1">
      <c r="C4" s="6" t="s">
        <v>93</v>
      </c>
      <c r="D4" s="7" t="s">
        <v>94</v>
      </c>
      <c r="E4" s="103" t="s">
        <v>804</v>
      </c>
      <c r="F4" s="15"/>
      <c r="G4" s="234"/>
      <c r="H4" s="234"/>
    </row>
    <row r="5" spans="1:59" ht="16.149999999999999" customHeight="1">
      <c r="G5" s="234"/>
      <c r="H5" s="234"/>
    </row>
    <row r="6" spans="1:59" ht="16.149999999999999" customHeight="1">
      <c r="G6" s="234"/>
      <c r="H6" s="234"/>
    </row>
    <row r="7" spans="1:59">
      <c r="D7" s="8"/>
      <c r="E7" s="8"/>
      <c r="F7" s="8"/>
      <c r="G7" s="8"/>
    </row>
    <row r="8" spans="1:59">
      <c r="B8" s="227" t="s">
        <v>450</v>
      </c>
      <c r="C8" s="228"/>
      <c r="D8" s="228"/>
      <c r="E8" s="228"/>
      <c r="F8" s="16"/>
      <c r="G8" s="221"/>
      <c r="H8" s="222"/>
      <c r="I8" s="86"/>
      <c r="J8" s="143"/>
      <c r="K8" s="143"/>
      <c r="L8" s="143"/>
      <c r="M8" s="143"/>
      <c r="N8" s="143"/>
    </row>
    <row r="9" spans="1:59">
      <c r="B9" s="158" t="s">
        <v>112</v>
      </c>
      <c r="C9" s="159" t="s">
        <v>110</v>
      </c>
      <c r="D9" s="158" t="s">
        <v>98</v>
      </c>
      <c r="E9" s="159" t="s">
        <v>99</v>
      </c>
      <c r="F9" s="17"/>
      <c r="G9" s="232" t="s">
        <v>100</v>
      </c>
      <c r="H9" s="233"/>
      <c r="I9" s="86"/>
      <c r="J9" s="114"/>
      <c r="K9" s="114"/>
      <c r="L9" s="114"/>
      <c r="M9" s="114"/>
      <c r="N9" s="114"/>
    </row>
    <row r="10" spans="1:59">
      <c r="B10" s="105">
        <v>1</v>
      </c>
      <c r="C10" s="105" t="s">
        <v>101</v>
      </c>
      <c r="D10" s="105" t="s">
        <v>62</v>
      </c>
      <c r="E10" s="104">
        <v>4.0999999999999996</v>
      </c>
      <c r="F10" s="14"/>
      <c r="G10" s="225"/>
      <c r="H10" s="226"/>
      <c r="I10" s="86"/>
      <c r="J10" s="143"/>
      <c r="K10" s="143"/>
      <c r="L10" s="143"/>
      <c r="M10" s="143"/>
      <c r="N10" s="143"/>
    </row>
    <row r="11" spans="1:59">
      <c r="B11" s="105">
        <v>2</v>
      </c>
      <c r="C11" s="105" t="s">
        <v>451</v>
      </c>
      <c r="D11" s="105" t="s">
        <v>113</v>
      </c>
      <c r="E11" s="104"/>
      <c r="F11" s="14"/>
      <c r="G11" s="225"/>
      <c r="H11" s="226"/>
      <c r="I11" s="86"/>
      <c r="J11" s="143"/>
      <c r="K11" s="143"/>
      <c r="L11" s="143"/>
      <c r="M11" s="143"/>
      <c r="N11" s="143"/>
    </row>
    <row r="12" spans="1:59">
      <c r="B12" s="105">
        <v>3</v>
      </c>
      <c r="C12" s="105" t="s">
        <v>613</v>
      </c>
      <c r="D12" s="105" t="s">
        <v>105</v>
      </c>
      <c r="E12" s="104">
        <v>37</v>
      </c>
      <c r="F12" s="14"/>
      <c r="G12" s="225"/>
      <c r="H12" s="226"/>
      <c r="I12" s="143"/>
      <c r="J12" s="143"/>
      <c r="K12" s="143"/>
      <c r="L12" s="143"/>
      <c r="M12" s="143"/>
      <c r="N12" s="143"/>
    </row>
    <row r="13" spans="1:59">
      <c r="B13" s="105">
        <v>4</v>
      </c>
      <c r="C13" s="105" t="s">
        <v>614</v>
      </c>
      <c r="D13" s="105" t="s">
        <v>105</v>
      </c>
      <c r="E13" s="104">
        <v>22</v>
      </c>
      <c r="F13" s="14"/>
      <c r="G13" s="225"/>
      <c r="H13" s="226"/>
      <c r="I13" s="143"/>
      <c r="J13" s="143"/>
      <c r="K13" s="143"/>
      <c r="L13" s="143"/>
      <c r="M13" s="143"/>
      <c r="N13" s="143"/>
    </row>
    <row r="14" spans="1:59">
      <c r="B14" s="105">
        <v>5</v>
      </c>
      <c r="C14" s="105" t="s">
        <v>615</v>
      </c>
      <c r="D14" s="105" t="s">
        <v>105</v>
      </c>
      <c r="E14" s="104">
        <v>31</v>
      </c>
      <c r="F14" s="14"/>
      <c r="G14" s="225"/>
      <c r="H14" s="226"/>
      <c r="I14" s="143"/>
      <c r="J14" s="143"/>
      <c r="K14" s="143"/>
      <c r="L14" s="143"/>
      <c r="M14" s="143"/>
      <c r="N14" s="143"/>
    </row>
    <row r="15" spans="1:59" ht="18">
      <c r="B15" s="105">
        <v>6</v>
      </c>
      <c r="C15" s="105" t="s">
        <v>612</v>
      </c>
      <c r="D15" s="105" t="s">
        <v>473</v>
      </c>
      <c r="E15" s="104"/>
      <c r="F15" s="14"/>
      <c r="G15" s="225"/>
      <c r="H15" s="226"/>
      <c r="I15" s="143"/>
      <c r="J15" s="143"/>
      <c r="K15" s="143"/>
      <c r="L15" s="143"/>
      <c r="M15" s="143"/>
      <c r="N15" s="143"/>
    </row>
    <row r="16" spans="1:59">
      <c r="B16" s="105">
        <v>7</v>
      </c>
      <c r="C16" s="105" t="s">
        <v>106</v>
      </c>
      <c r="D16" s="105" t="s">
        <v>105</v>
      </c>
      <c r="E16" s="104">
        <v>1</v>
      </c>
      <c r="F16" s="14"/>
      <c r="G16" s="225"/>
      <c r="H16" s="226"/>
      <c r="I16" s="143"/>
      <c r="J16" s="143"/>
      <c r="K16" s="143"/>
      <c r="L16" s="143"/>
      <c r="M16" s="143"/>
      <c r="N16" s="143"/>
    </row>
    <row r="17" spans="2:14">
      <c r="B17" s="105">
        <v>8</v>
      </c>
      <c r="C17" s="105" t="s">
        <v>102</v>
      </c>
      <c r="D17" s="105" t="s">
        <v>113</v>
      </c>
      <c r="E17" s="104"/>
      <c r="F17" s="14"/>
      <c r="G17" s="225"/>
      <c r="H17" s="226"/>
      <c r="I17" s="86"/>
      <c r="J17" s="143"/>
      <c r="K17" s="143"/>
      <c r="L17" s="143"/>
      <c r="M17" s="143"/>
      <c r="N17" s="143"/>
    </row>
    <row r="18" spans="2:14">
      <c r="B18" s="105">
        <v>9</v>
      </c>
      <c r="C18" s="105" t="s">
        <v>103</v>
      </c>
      <c r="D18" s="105" t="s">
        <v>104</v>
      </c>
      <c r="E18" s="104"/>
      <c r="F18" s="14"/>
      <c r="G18" s="225"/>
      <c r="H18" s="226"/>
      <c r="I18" s="86"/>
      <c r="J18" s="143"/>
      <c r="K18" s="143"/>
      <c r="L18" s="143"/>
      <c r="M18" s="143"/>
      <c r="N18" s="143"/>
    </row>
    <row r="19" spans="2:14">
      <c r="B19" s="105">
        <v>10</v>
      </c>
      <c r="C19" s="105" t="s">
        <v>126</v>
      </c>
      <c r="D19" s="105" t="s">
        <v>113</v>
      </c>
      <c r="E19" s="104"/>
      <c r="G19" s="225"/>
      <c r="H19" s="226"/>
      <c r="I19" s="86"/>
      <c r="J19" s="86"/>
      <c r="K19" s="86"/>
      <c r="L19" s="86"/>
      <c r="M19" s="86"/>
      <c r="N19" s="86"/>
    </row>
    <row r="20" spans="2:14" ht="18">
      <c r="B20" s="105">
        <v>11</v>
      </c>
      <c r="C20" s="105" t="s">
        <v>293</v>
      </c>
      <c r="D20" s="105" t="s">
        <v>294</v>
      </c>
      <c r="E20" s="104"/>
      <c r="G20" s="225"/>
      <c r="H20" s="226"/>
      <c r="I20" s="86"/>
      <c r="J20" s="86"/>
      <c r="K20" s="86"/>
      <c r="L20" s="86"/>
      <c r="M20" s="86"/>
      <c r="N20" s="86"/>
    </row>
    <row r="21" spans="2:14">
      <c r="B21" s="105"/>
      <c r="C21" s="13"/>
      <c r="D21" s="9"/>
      <c r="E21" s="14"/>
      <c r="F21" s="14"/>
      <c r="G21" s="143"/>
      <c r="H21" s="144"/>
      <c r="I21" s="144"/>
      <c r="J21" s="143"/>
      <c r="K21" s="143"/>
      <c r="L21" s="143"/>
      <c r="M21" s="143"/>
      <c r="N21" s="143"/>
    </row>
    <row r="22" spans="2:14">
      <c r="B22" s="106" t="s">
        <v>0</v>
      </c>
      <c r="C22" s="107"/>
      <c r="D22" s="107"/>
      <c r="E22" s="12"/>
      <c r="F22" s="10"/>
      <c r="G22" s="223" t="s">
        <v>107</v>
      </c>
      <c r="H22" s="224"/>
      <c r="I22" s="143"/>
      <c r="J22" s="223" t="s">
        <v>108</v>
      </c>
      <c r="K22" s="224"/>
      <c r="L22" s="143"/>
      <c r="M22" s="221" t="s">
        <v>109</v>
      </c>
      <c r="N22" s="222"/>
    </row>
    <row r="23" spans="2:14">
      <c r="B23" s="108" t="s">
        <v>112</v>
      </c>
      <c r="C23" s="108" t="s">
        <v>110</v>
      </c>
      <c r="D23" s="108" t="s">
        <v>98</v>
      </c>
      <c r="E23" s="18"/>
      <c r="F23" s="10"/>
      <c r="G23" s="87" t="s">
        <v>498</v>
      </c>
      <c r="H23" s="87" t="s">
        <v>100</v>
      </c>
      <c r="I23" s="143"/>
      <c r="J23" s="87" t="s">
        <v>498</v>
      </c>
      <c r="K23" s="87" t="s">
        <v>100</v>
      </c>
      <c r="L23" s="143"/>
      <c r="M23" s="87" t="s">
        <v>498</v>
      </c>
      <c r="N23" s="87" t="s">
        <v>160</v>
      </c>
    </row>
    <row r="24" spans="2:14" ht="18">
      <c r="B24" s="105">
        <v>12</v>
      </c>
      <c r="C24" s="105" t="s">
        <v>1</v>
      </c>
      <c r="D24" s="105" t="s">
        <v>506</v>
      </c>
      <c r="E24" s="14"/>
      <c r="G24" s="104">
        <v>2619</v>
      </c>
      <c r="H24" s="104"/>
      <c r="I24" s="86"/>
      <c r="J24" s="104"/>
      <c r="K24" s="104"/>
      <c r="L24" s="86"/>
      <c r="M24" s="104"/>
      <c r="N24" s="104"/>
    </row>
    <row r="25" spans="2:14" ht="18">
      <c r="B25" s="105">
        <v>13</v>
      </c>
      <c r="C25" s="105" t="s">
        <v>2</v>
      </c>
      <c r="D25" s="105" t="s">
        <v>506</v>
      </c>
      <c r="E25" s="14"/>
      <c r="G25" s="104">
        <v>1023</v>
      </c>
      <c r="H25" s="104"/>
      <c r="I25" s="86"/>
      <c r="J25" s="104"/>
      <c r="K25" s="104"/>
      <c r="L25" s="86"/>
      <c r="M25" s="104"/>
      <c r="N25" s="104"/>
    </row>
    <row r="26" spans="2:14" ht="18">
      <c r="B26" s="105">
        <v>14</v>
      </c>
      <c r="C26" s="105" t="s">
        <v>30</v>
      </c>
      <c r="D26" s="105" t="s">
        <v>506</v>
      </c>
      <c r="E26" s="14"/>
      <c r="G26" s="104"/>
      <c r="H26" s="104"/>
      <c r="I26" s="86"/>
      <c r="J26" s="104"/>
      <c r="K26" s="104"/>
      <c r="L26" s="86"/>
      <c r="M26" s="104"/>
      <c r="N26" s="104"/>
    </row>
    <row r="27" spans="2:14" ht="18">
      <c r="B27" s="105">
        <v>15</v>
      </c>
      <c r="C27" s="105" t="s">
        <v>3</v>
      </c>
      <c r="D27" s="105" t="s">
        <v>506</v>
      </c>
      <c r="E27" s="14"/>
      <c r="G27" s="104"/>
      <c r="H27" s="104"/>
      <c r="I27" s="86"/>
      <c r="J27" s="104"/>
      <c r="K27" s="104"/>
      <c r="L27" s="86"/>
      <c r="M27" s="104"/>
      <c r="N27" s="104"/>
    </row>
    <row r="28" spans="2:14" ht="18">
      <c r="B28" s="105">
        <v>16</v>
      </c>
      <c r="C28" s="105" t="s">
        <v>111</v>
      </c>
      <c r="D28" s="105" t="s">
        <v>506</v>
      </c>
      <c r="E28" s="14"/>
      <c r="G28" s="104"/>
      <c r="H28" s="104"/>
      <c r="I28" s="86"/>
      <c r="J28" s="104"/>
      <c r="K28" s="104"/>
      <c r="L28" s="86"/>
      <c r="M28" s="104"/>
      <c r="N28" s="104"/>
    </row>
    <row r="29" spans="2:14" ht="18">
      <c r="B29" s="105">
        <v>17</v>
      </c>
      <c r="C29" s="109" t="s">
        <v>128</v>
      </c>
      <c r="D29" s="105" t="s">
        <v>506</v>
      </c>
      <c r="E29" s="14"/>
      <c r="G29" s="104">
        <v>3642</v>
      </c>
      <c r="H29" s="104"/>
      <c r="I29" s="86"/>
      <c r="J29" s="104"/>
      <c r="K29" s="104"/>
      <c r="L29" s="86"/>
      <c r="M29" s="104"/>
      <c r="N29" s="104"/>
    </row>
    <row r="30" spans="2:14">
      <c r="G30" s="86"/>
      <c r="H30" s="86"/>
      <c r="I30" s="86"/>
      <c r="J30" s="86"/>
      <c r="K30" s="86"/>
      <c r="L30" s="86"/>
      <c r="M30" s="86"/>
      <c r="N30" s="86"/>
    </row>
    <row r="31" spans="2:14">
      <c r="B31" s="110" t="s">
        <v>5</v>
      </c>
      <c r="C31" s="111"/>
      <c r="D31" s="112"/>
      <c r="E31" s="12"/>
      <c r="G31" s="223" t="s">
        <v>107</v>
      </c>
      <c r="H31" s="224"/>
      <c r="I31" s="143"/>
      <c r="J31" s="223" t="s">
        <v>108</v>
      </c>
      <c r="K31" s="224"/>
      <c r="L31" s="143"/>
      <c r="M31" s="221" t="s">
        <v>109</v>
      </c>
      <c r="N31" s="222"/>
    </row>
    <row r="32" spans="2:14">
      <c r="B32" s="113" t="s">
        <v>112</v>
      </c>
      <c r="C32" s="113" t="s">
        <v>110</v>
      </c>
      <c r="D32" s="113" t="s">
        <v>171</v>
      </c>
      <c r="E32" s="18"/>
      <c r="G32" s="87" t="s">
        <v>498</v>
      </c>
      <c r="H32" s="87" t="s">
        <v>100</v>
      </c>
      <c r="I32" s="143"/>
      <c r="J32" s="87" t="s">
        <v>498</v>
      </c>
      <c r="K32" s="87" t="s">
        <v>100</v>
      </c>
      <c r="L32" s="143"/>
      <c r="M32" s="87" t="s">
        <v>498</v>
      </c>
      <c r="N32" s="87" t="s">
        <v>160</v>
      </c>
    </row>
    <row r="33" spans="2:14">
      <c r="B33" s="105">
        <v>18</v>
      </c>
      <c r="C33" s="105" t="s">
        <v>4</v>
      </c>
      <c r="D33" s="105" t="s">
        <v>72</v>
      </c>
      <c r="E33" s="14"/>
      <c r="G33" s="104"/>
      <c r="H33" s="104"/>
      <c r="I33" s="86"/>
      <c r="J33" s="104"/>
      <c r="K33" s="104"/>
      <c r="L33" s="86"/>
      <c r="M33" s="104"/>
      <c r="N33" s="104"/>
    </row>
    <row r="34" spans="2:14">
      <c r="B34" s="105">
        <v>19</v>
      </c>
      <c r="C34" s="105" t="s">
        <v>16</v>
      </c>
      <c r="D34" s="105" t="s">
        <v>72</v>
      </c>
      <c r="E34" s="14"/>
      <c r="G34" s="104"/>
      <c r="H34" s="104"/>
      <c r="I34" s="86"/>
      <c r="J34" s="104"/>
      <c r="K34" s="104"/>
      <c r="L34" s="86"/>
      <c r="M34" s="104"/>
      <c r="N34" s="104"/>
    </row>
    <row r="35" spans="2:14">
      <c r="B35" s="105">
        <v>20</v>
      </c>
      <c r="C35" s="105" t="s">
        <v>1</v>
      </c>
      <c r="D35" s="105" t="s">
        <v>72</v>
      </c>
      <c r="E35" s="14"/>
      <c r="G35" s="104"/>
      <c r="H35" s="104"/>
      <c r="I35" s="86"/>
      <c r="J35" s="104"/>
      <c r="K35" s="104"/>
      <c r="L35" s="86"/>
      <c r="M35" s="104"/>
      <c r="N35" s="104"/>
    </row>
    <row r="36" spans="2:14">
      <c r="B36" s="105">
        <v>21</v>
      </c>
      <c r="C36" s="105" t="s">
        <v>127</v>
      </c>
      <c r="D36" s="105" t="s">
        <v>72</v>
      </c>
      <c r="E36" s="14"/>
      <c r="G36" s="104"/>
      <c r="H36" s="104"/>
      <c r="I36" s="86"/>
      <c r="J36" s="104"/>
      <c r="K36" s="104"/>
      <c r="L36" s="86"/>
      <c r="M36" s="104"/>
      <c r="N36" s="104"/>
    </row>
    <row r="37" spans="2:14">
      <c r="B37" s="105">
        <v>22</v>
      </c>
      <c r="C37" s="105" t="s">
        <v>32</v>
      </c>
      <c r="D37" s="105" t="s">
        <v>72</v>
      </c>
      <c r="E37" s="14"/>
      <c r="G37" s="104"/>
      <c r="H37" s="104"/>
      <c r="I37" s="86"/>
      <c r="J37" s="104"/>
      <c r="K37" s="104"/>
      <c r="L37" s="86"/>
      <c r="M37" s="104"/>
      <c r="N37" s="104"/>
    </row>
    <row r="38" spans="2:14">
      <c r="B38" s="105">
        <v>23</v>
      </c>
      <c r="C38" s="105" t="s">
        <v>31</v>
      </c>
      <c r="D38" s="105" t="s">
        <v>72</v>
      </c>
      <c r="E38" s="14"/>
      <c r="G38" s="104"/>
      <c r="H38" s="104"/>
      <c r="I38" s="86"/>
      <c r="J38" s="104"/>
      <c r="K38" s="104"/>
      <c r="L38" s="86"/>
      <c r="M38" s="104"/>
      <c r="N38" s="104"/>
    </row>
    <row r="39" spans="2:14">
      <c r="B39" s="105">
        <v>24</v>
      </c>
      <c r="C39" s="105" t="s">
        <v>37</v>
      </c>
      <c r="D39" s="105" t="s">
        <v>72</v>
      </c>
      <c r="E39" s="14"/>
      <c r="G39" s="104"/>
      <c r="H39" s="104"/>
      <c r="I39" s="86"/>
      <c r="J39" s="104"/>
      <c r="K39" s="104"/>
      <c r="L39" s="86"/>
      <c r="M39" s="104"/>
      <c r="N39" s="104"/>
    </row>
    <row r="40" spans="2:14">
      <c r="B40" s="105">
        <v>25</v>
      </c>
      <c r="C40" s="105" t="s">
        <v>38</v>
      </c>
      <c r="D40" s="105" t="s">
        <v>72</v>
      </c>
      <c r="E40" s="14"/>
      <c r="G40" s="104"/>
      <c r="H40" s="104"/>
      <c r="I40" s="86"/>
      <c r="J40" s="104"/>
      <c r="K40" s="104"/>
      <c r="L40" s="86"/>
      <c r="M40" s="104"/>
      <c r="N40" s="104"/>
    </row>
    <row r="41" spans="2:14">
      <c r="B41" s="105">
        <v>26</v>
      </c>
      <c r="C41" s="105" t="s">
        <v>15</v>
      </c>
      <c r="D41" s="105" t="s">
        <v>72</v>
      </c>
      <c r="E41" s="14"/>
      <c r="G41" s="104"/>
      <c r="H41" s="104"/>
      <c r="I41" s="86"/>
      <c r="J41" s="104"/>
      <c r="K41" s="104"/>
      <c r="L41" s="86"/>
      <c r="M41" s="104"/>
      <c r="N41" s="104"/>
    </row>
    <row r="42" spans="2:14">
      <c r="B42" s="105">
        <v>27</v>
      </c>
      <c r="C42" s="105" t="s">
        <v>39</v>
      </c>
      <c r="D42" s="105" t="s">
        <v>72</v>
      </c>
      <c r="E42" s="14"/>
      <c r="G42" s="104"/>
      <c r="H42" s="104"/>
      <c r="I42" s="86"/>
      <c r="J42" s="104"/>
      <c r="K42" s="104"/>
      <c r="L42" s="86"/>
      <c r="M42" s="104"/>
      <c r="N42" s="104"/>
    </row>
    <row r="43" spans="2:14">
      <c r="B43" s="105">
        <v>28</v>
      </c>
      <c r="C43" s="109" t="s">
        <v>136</v>
      </c>
      <c r="D43" s="105" t="s">
        <v>72</v>
      </c>
      <c r="E43" s="14"/>
      <c r="G43" s="104"/>
      <c r="H43" s="104"/>
      <c r="I43" s="86"/>
      <c r="J43" s="104"/>
      <c r="K43" s="104"/>
      <c r="L43" s="86"/>
      <c r="M43" s="104"/>
      <c r="N43" s="104"/>
    </row>
    <row r="44" spans="2:14">
      <c r="B44" s="81"/>
      <c r="C44" s="82"/>
      <c r="D44" s="81"/>
      <c r="E44" s="14"/>
      <c r="G44" s="86"/>
      <c r="H44" s="86"/>
      <c r="I44" s="86"/>
      <c r="J44" s="86"/>
      <c r="K44" s="86"/>
      <c r="L44" s="86"/>
      <c r="M44" s="86"/>
      <c r="N44" s="86"/>
    </row>
    <row r="45" spans="2:14">
      <c r="B45" s="229" t="s">
        <v>476</v>
      </c>
      <c r="C45" s="230"/>
      <c r="D45" s="230"/>
      <c r="E45" s="230"/>
      <c r="G45" s="223" t="s">
        <v>107</v>
      </c>
      <c r="H45" s="224"/>
      <c r="I45" s="143"/>
      <c r="J45" s="223" t="s">
        <v>108</v>
      </c>
      <c r="K45" s="224"/>
      <c r="L45" s="143"/>
      <c r="M45" s="221" t="s">
        <v>109</v>
      </c>
      <c r="N45" s="222"/>
    </row>
    <row r="46" spans="2:14">
      <c r="B46" s="113" t="s">
        <v>112</v>
      </c>
      <c r="C46" s="113" t="s">
        <v>110</v>
      </c>
      <c r="D46" s="113"/>
      <c r="E46" s="113" t="s">
        <v>98</v>
      </c>
      <c r="G46" s="87" t="s">
        <v>498</v>
      </c>
      <c r="H46" s="87" t="s">
        <v>100</v>
      </c>
      <c r="I46" s="143"/>
      <c r="J46" s="87" t="s">
        <v>498</v>
      </c>
      <c r="K46" s="87" t="s">
        <v>100</v>
      </c>
      <c r="L46" s="143"/>
      <c r="M46" s="87" t="s">
        <v>498</v>
      </c>
      <c r="N46" s="87" t="s">
        <v>160</v>
      </c>
    </row>
    <row r="47" spans="2:14">
      <c r="B47" s="105">
        <v>29</v>
      </c>
      <c r="C47" s="105" t="s">
        <v>464</v>
      </c>
      <c r="D47" s="105" t="s">
        <v>467</v>
      </c>
      <c r="E47" s="91"/>
      <c r="G47" s="104"/>
      <c r="H47" s="104"/>
      <c r="I47" s="86"/>
      <c r="J47" s="104"/>
      <c r="K47" s="104"/>
      <c r="L47" s="86"/>
      <c r="M47" s="104"/>
      <c r="N47" s="104"/>
    </row>
    <row r="48" spans="2:14" ht="18">
      <c r="B48" s="105">
        <v>30</v>
      </c>
      <c r="C48" s="105" t="s">
        <v>464</v>
      </c>
      <c r="D48" s="105" t="s">
        <v>469</v>
      </c>
      <c r="E48" s="105" t="s">
        <v>506</v>
      </c>
      <c r="G48" s="104"/>
      <c r="H48" s="104"/>
      <c r="I48" s="86"/>
      <c r="J48" s="104"/>
      <c r="K48" s="104"/>
      <c r="L48" s="86"/>
      <c r="M48" s="104"/>
      <c r="N48" s="104"/>
    </row>
    <row r="49" spans="2:14">
      <c r="B49" s="105">
        <v>31</v>
      </c>
      <c r="C49" s="105" t="s">
        <v>465</v>
      </c>
      <c r="D49" s="105" t="s">
        <v>468</v>
      </c>
      <c r="E49" s="91"/>
      <c r="G49" s="104"/>
      <c r="H49" s="104"/>
      <c r="I49" s="86"/>
      <c r="J49" s="104"/>
      <c r="K49" s="104"/>
      <c r="L49" s="86"/>
      <c r="M49" s="104"/>
      <c r="N49" s="104"/>
    </row>
    <row r="50" spans="2:14" ht="18">
      <c r="B50" s="105">
        <v>32</v>
      </c>
      <c r="C50" s="105" t="s">
        <v>465</v>
      </c>
      <c r="D50" s="105" t="s">
        <v>469</v>
      </c>
      <c r="E50" s="105" t="s">
        <v>506</v>
      </c>
      <c r="G50" s="104"/>
      <c r="H50" s="104"/>
      <c r="I50" s="86"/>
      <c r="J50" s="104"/>
      <c r="K50" s="104"/>
      <c r="L50" s="86"/>
      <c r="M50" s="104"/>
      <c r="N50" s="104"/>
    </row>
    <row r="51" spans="2:14">
      <c r="B51" s="105">
        <v>33</v>
      </c>
      <c r="C51" s="105" t="s">
        <v>466</v>
      </c>
      <c r="D51" s="105" t="s">
        <v>468</v>
      </c>
      <c r="E51" s="91"/>
      <c r="G51" s="104"/>
      <c r="H51" s="104"/>
      <c r="I51" s="86"/>
      <c r="J51" s="104"/>
      <c r="K51" s="104"/>
      <c r="L51" s="86"/>
      <c r="M51" s="104"/>
      <c r="N51" s="104"/>
    </row>
    <row r="52" spans="2:14" ht="18">
      <c r="B52" s="105">
        <v>34</v>
      </c>
      <c r="C52" s="105" t="s">
        <v>466</v>
      </c>
      <c r="D52" s="105" t="s">
        <v>469</v>
      </c>
      <c r="E52" s="105" t="s">
        <v>506</v>
      </c>
      <c r="G52" s="104"/>
      <c r="H52" s="104"/>
      <c r="I52" s="86"/>
      <c r="J52" s="104"/>
      <c r="K52" s="104"/>
      <c r="L52" s="86"/>
      <c r="M52" s="104"/>
      <c r="N52" s="104"/>
    </row>
    <row r="53" spans="2:14">
      <c r="G53" s="86"/>
      <c r="H53" s="86"/>
      <c r="I53" s="86"/>
      <c r="J53" s="86"/>
      <c r="K53" s="86"/>
      <c r="L53" s="86"/>
      <c r="M53" s="86"/>
      <c r="N53" s="86"/>
    </row>
    <row r="54" spans="2:14">
      <c r="B54" s="116" t="s">
        <v>13</v>
      </c>
      <c r="C54" s="117"/>
      <c r="D54" s="118"/>
      <c r="E54" s="12"/>
      <c r="G54" s="223" t="s">
        <v>107</v>
      </c>
      <c r="H54" s="224"/>
      <c r="I54" s="143"/>
      <c r="J54" s="223" t="s">
        <v>108</v>
      </c>
      <c r="K54" s="224"/>
      <c r="L54" s="143"/>
      <c r="M54" s="221" t="s">
        <v>109</v>
      </c>
      <c r="N54" s="222"/>
    </row>
    <row r="55" spans="2:14">
      <c r="B55" s="119" t="s">
        <v>112</v>
      </c>
      <c r="C55" s="119" t="s">
        <v>110</v>
      </c>
      <c r="D55" s="119" t="s">
        <v>98</v>
      </c>
      <c r="E55" s="18"/>
      <c r="G55" s="87" t="s">
        <v>498</v>
      </c>
      <c r="H55" s="87" t="s">
        <v>100</v>
      </c>
      <c r="I55" s="143"/>
      <c r="J55" s="87" t="s">
        <v>498</v>
      </c>
      <c r="K55" s="87" t="s">
        <v>100</v>
      </c>
      <c r="L55" s="143"/>
      <c r="M55" s="87" t="s">
        <v>498</v>
      </c>
      <c r="N55" s="87" t="s">
        <v>160</v>
      </c>
    </row>
    <row r="56" spans="2:14">
      <c r="B56" s="105">
        <v>35</v>
      </c>
      <c r="C56" s="105" t="s">
        <v>32</v>
      </c>
      <c r="D56" s="105" t="s">
        <v>70</v>
      </c>
      <c r="E56" s="14"/>
      <c r="G56" s="104"/>
      <c r="H56" s="104"/>
      <c r="I56" s="86"/>
      <c r="J56" s="104"/>
      <c r="K56" s="104"/>
      <c r="L56" s="86"/>
      <c r="M56" s="104"/>
      <c r="N56" s="104"/>
    </row>
    <row r="57" spans="2:14">
      <c r="B57" s="105">
        <v>36</v>
      </c>
      <c r="C57" s="105" t="s">
        <v>14</v>
      </c>
      <c r="D57" s="105" t="s">
        <v>70</v>
      </c>
      <c r="E57" s="14"/>
      <c r="G57" s="104"/>
      <c r="H57" s="104"/>
      <c r="I57" s="86"/>
      <c r="J57" s="104"/>
      <c r="K57" s="104"/>
      <c r="L57" s="86"/>
      <c r="M57" s="104"/>
      <c r="N57" s="104"/>
    </row>
    <row r="58" spans="2:14">
      <c r="B58" s="105">
        <v>37</v>
      </c>
      <c r="C58" s="105" t="s">
        <v>15</v>
      </c>
      <c r="D58" s="105" t="s">
        <v>70</v>
      </c>
      <c r="E58" s="14"/>
      <c r="G58" s="104"/>
      <c r="H58" s="104"/>
      <c r="I58" s="86"/>
      <c r="J58" s="104"/>
      <c r="K58" s="104"/>
      <c r="L58" s="86"/>
      <c r="M58" s="104"/>
      <c r="N58" s="104"/>
    </row>
    <row r="59" spans="2:14">
      <c r="B59" s="105">
        <v>38</v>
      </c>
      <c r="C59" s="105" t="s">
        <v>33</v>
      </c>
      <c r="D59" s="105" t="s">
        <v>70</v>
      </c>
      <c r="E59" s="14"/>
      <c r="G59" s="104"/>
      <c r="H59" s="104"/>
      <c r="I59" s="86"/>
      <c r="J59" s="104"/>
      <c r="K59" s="104"/>
      <c r="L59" s="86"/>
      <c r="M59" s="104"/>
      <c r="N59" s="104"/>
    </row>
    <row r="60" spans="2:14">
      <c r="B60" s="105">
        <v>39</v>
      </c>
      <c r="C60" s="105" t="s">
        <v>34</v>
      </c>
      <c r="D60" s="105" t="s">
        <v>70</v>
      </c>
      <c r="E60" s="14"/>
      <c r="G60" s="104"/>
      <c r="H60" s="104"/>
      <c r="I60" s="86"/>
      <c r="J60" s="104"/>
      <c r="K60" s="104"/>
      <c r="L60" s="86"/>
      <c r="M60" s="104"/>
      <c r="N60" s="104"/>
    </row>
    <row r="61" spans="2:14">
      <c r="B61" s="105">
        <v>40</v>
      </c>
      <c r="C61" s="105" t="s">
        <v>39</v>
      </c>
      <c r="D61" s="105" t="s">
        <v>70</v>
      </c>
      <c r="E61" s="14"/>
      <c r="G61" s="104"/>
      <c r="H61" s="104"/>
      <c r="I61" s="86"/>
      <c r="J61" s="104"/>
      <c r="K61" s="104"/>
      <c r="L61" s="86"/>
      <c r="M61" s="104"/>
      <c r="N61" s="104"/>
    </row>
    <row r="62" spans="2:14">
      <c r="B62" s="105">
        <v>41</v>
      </c>
      <c r="C62" s="109" t="s">
        <v>137</v>
      </c>
      <c r="D62" s="105" t="s">
        <v>70</v>
      </c>
      <c r="E62" s="14"/>
      <c r="G62" s="104">
        <v>70</v>
      </c>
      <c r="H62" s="104"/>
      <c r="I62" s="86"/>
      <c r="J62" s="104"/>
      <c r="K62" s="104"/>
      <c r="L62" s="86"/>
      <c r="M62" s="104"/>
      <c r="N62" s="104"/>
    </row>
    <row r="63" spans="2:14">
      <c r="G63" s="86"/>
      <c r="H63" s="86"/>
      <c r="I63" s="86"/>
      <c r="J63" s="86"/>
      <c r="K63" s="86"/>
      <c r="L63" s="86"/>
      <c r="M63" s="86"/>
      <c r="N63" s="86"/>
    </row>
    <row r="64" spans="2:14">
      <c r="B64" s="120" t="s">
        <v>457</v>
      </c>
      <c r="C64" s="121"/>
      <c r="D64" s="121"/>
      <c r="E64" s="122"/>
      <c r="G64" s="223" t="s">
        <v>107</v>
      </c>
      <c r="H64" s="224"/>
      <c r="I64" s="143"/>
      <c r="J64" s="223" t="s">
        <v>108</v>
      </c>
      <c r="K64" s="224"/>
      <c r="L64" s="143"/>
      <c r="M64" s="221" t="s">
        <v>109</v>
      </c>
      <c r="N64" s="222"/>
    </row>
    <row r="65" spans="2:14">
      <c r="B65" s="123" t="s">
        <v>112</v>
      </c>
      <c r="C65" s="123" t="s">
        <v>110</v>
      </c>
      <c r="D65" s="123"/>
      <c r="E65" s="123" t="s">
        <v>98</v>
      </c>
      <c r="G65" s="87" t="s">
        <v>498</v>
      </c>
      <c r="H65" s="87" t="s">
        <v>100</v>
      </c>
      <c r="I65" s="143"/>
      <c r="J65" s="87" t="s">
        <v>498</v>
      </c>
      <c r="K65" s="87" t="s">
        <v>100</v>
      </c>
      <c r="L65" s="143"/>
      <c r="M65" s="87" t="s">
        <v>498</v>
      </c>
      <c r="N65" s="87" t="s">
        <v>160</v>
      </c>
    </row>
    <row r="66" spans="2:14">
      <c r="B66" s="160">
        <v>42</v>
      </c>
      <c r="C66" s="91" t="s">
        <v>10</v>
      </c>
      <c r="D66" s="91" t="s">
        <v>581</v>
      </c>
      <c r="E66" s="91"/>
      <c r="G66" s="104"/>
      <c r="H66" s="104"/>
      <c r="I66" s="86"/>
      <c r="J66" s="104"/>
      <c r="K66" s="104"/>
      <c r="L66" s="86"/>
      <c r="M66" s="104"/>
      <c r="N66" s="104"/>
    </row>
    <row r="67" spans="2:14">
      <c r="B67" s="160">
        <v>43</v>
      </c>
      <c r="C67" s="91" t="s">
        <v>10</v>
      </c>
      <c r="D67" s="91" t="s">
        <v>7</v>
      </c>
      <c r="E67" s="91" t="s">
        <v>113</v>
      </c>
      <c r="G67" s="104"/>
      <c r="H67" s="104"/>
      <c r="I67" s="86"/>
      <c r="J67" s="104"/>
      <c r="K67" s="104"/>
      <c r="L67" s="86"/>
      <c r="M67" s="104"/>
      <c r="N67" s="104"/>
    </row>
    <row r="68" spans="2:14">
      <c r="B68" s="160">
        <v>44</v>
      </c>
      <c r="C68" s="91" t="s">
        <v>10</v>
      </c>
      <c r="D68" s="91" t="s">
        <v>458</v>
      </c>
      <c r="E68" s="91" t="str">
        <f>IF('General Information'!C43="€/kg","kg/ha","l/ha")</f>
        <v>kg/ha</v>
      </c>
      <c r="F68" s="79"/>
      <c r="G68" s="104"/>
      <c r="H68" s="104"/>
      <c r="I68" s="86"/>
      <c r="J68" s="104"/>
      <c r="K68" s="104"/>
      <c r="L68" s="86"/>
      <c r="M68" s="104"/>
      <c r="N68" s="104"/>
    </row>
    <row r="69" spans="2:14">
      <c r="B69" s="160">
        <v>45</v>
      </c>
      <c r="C69" s="91" t="s">
        <v>11</v>
      </c>
      <c r="D69" s="91" t="s">
        <v>170</v>
      </c>
      <c r="E69" s="91"/>
      <c r="G69" s="104"/>
      <c r="H69" s="104"/>
      <c r="I69" s="86"/>
      <c r="J69" s="104"/>
      <c r="K69" s="104"/>
      <c r="L69" s="86"/>
      <c r="M69" s="104"/>
      <c r="N69" s="104"/>
    </row>
    <row r="70" spans="2:14">
      <c r="B70" s="160">
        <v>46</v>
      </c>
      <c r="C70" s="91" t="s">
        <v>11</v>
      </c>
      <c r="D70" s="91" t="s">
        <v>7</v>
      </c>
      <c r="E70" s="91" t="s">
        <v>113</v>
      </c>
      <c r="G70" s="104"/>
      <c r="H70" s="104"/>
      <c r="I70" s="86"/>
      <c r="J70" s="104"/>
      <c r="K70" s="104"/>
      <c r="L70" s="86"/>
      <c r="M70" s="104"/>
      <c r="N70" s="104"/>
    </row>
    <row r="71" spans="2:14">
      <c r="B71" s="160">
        <v>47</v>
      </c>
      <c r="C71" s="91" t="s">
        <v>11</v>
      </c>
      <c r="D71" s="91" t="s">
        <v>458</v>
      </c>
      <c r="E71" s="91" t="str">
        <f>IF('General Information'!C44="€/kg","kg/ha","l/ha")</f>
        <v>kg/ha</v>
      </c>
      <c r="G71" s="104"/>
      <c r="H71" s="104"/>
      <c r="I71" s="86"/>
      <c r="J71" s="104"/>
      <c r="K71" s="104"/>
      <c r="L71" s="86"/>
      <c r="M71" s="104"/>
      <c r="N71" s="104"/>
    </row>
    <row r="72" spans="2:14">
      <c r="B72" s="160">
        <v>48</v>
      </c>
      <c r="C72" s="91" t="s">
        <v>640</v>
      </c>
      <c r="D72" s="91" t="s">
        <v>565</v>
      </c>
      <c r="E72" s="91"/>
      <c r="G72" s="104"/>
      <c r="H72" s="104"/>
      <c r="I72" s="86"/>
      <c r="J72" s="104"/>
      <c r="K72" s="104"/>
      <c r="L72" s="86"/>
      <c r="M72" s="104"/>
      <c r="N72" s="104"/>
    </row>
    <row r="73" spans="2:14">
      <c r="B73" s="160">
        <v>49</v>
      </c>
      <c r="C73" s="91" t="s">
        <v>640</v>
      </c>
      <c r="D73" s="91" t="s">
        <v>7</v>
      </c>
      <c r="E73" s="91" t="s">
        <v>113</v>
      </c>
      <c r="G73" s="104"/>
      <c r="H73" s="104"/>
      <c r="I73" s="86"/>
      <c r="J73" s="104"/>
      <c r="K73" s="104"/>
      <c r="L73" s="86"/>
      <c r="M73" s="104"/>
      <c r="N73" s="104"/>
    </row>
    <row r="74" spans="2:14">
      <c r="B74" s="160">
        <v>50</v>
      </c>
      <c r="C74" s="91" t="s">
        <v>640</v>
      </c>
      <c r="D74" s="91" t="s">
        <v>458</v>
      </c>
      <c r="E74" s="91" t="str">
        <f>IF('General Information'!C45="€/kg","kg/ha","l/ha")</f>
        <v>kg/ha</v>
      </c>
      <c r="G74" s="104"/>
      <c r="H74" s="104"/>
      <c r="I74" s="86"/>
      <c r="J74" s="104"/>
      <c r="K74" s="104"/>
      <c r="L74" s="86"/>
      <c r="M74" s="104"/>
      <c r="N74" s="104"/>
    </row>
    <row r="75" spans="2:14">
      <c r="B75" s="160">
        <v>51</v>
      </c>
      <c r="C75" s="91" t="s">
        <v>641</v>
      </c>
      <c r="D75" s="91" t="s">
        <v>565</v>
      </c>
      <c r="E75" s="91"/>
      <c r="G75" s="104"/>
      <c r="H75" s="104"/>
      <c r="I75" s="86"/>
      <c r="J75" s="161"/>
      <c r="K75" s="161"/>
      <c r="L75" s="86"/>
      <c r="M75" s="161"/>
      <c r="N75" s="161"/>
    </row>
    <row r="76" spans="2:14">
      <c r="B76" s="160">
        <v>52</v>
      </c>
      <c r="C76" s="91" t="s">
        <v>641</v>
      </c>
      <c r="D76" s="91" t="s">
        <v>7</v>
      </c>
      <c r="E76" s="91" t="s">
        <v>113</v>
      </c>
      <c r="G76" s="104"/>
      <c r="H76" s="104"/>
      <c r="I76" s="86"/>
      <c r="J76" s="161"/>
      <c r="K76" s="161"/>
      <c r="L76" s="86"/>
      <c r="M76" s="161"/>
      <c r="N76" s="161"/>
    </row>
    <row r="77" spans="2:14">
      <c r="B77" s="160">
        <v>53</v>
      </c>
      <c r="C77" s="91" t="s">
        <v>641</v>
      </c>
      <c r="D77" s="91" t="s">
        <v>458</v>
      </c>
      <c r="E77" s="91" t="str">
        <f>IF('General Information'!C46="€/kg","kg/ha","l/ha")</f>
        <v>kg/ha</v>
      </c>
      <c r="G77" s="104"/>
      <c r="H77" s="104"/>
      <c r="I77" s="86"/>
      <c r="J77" s="161"/>
      <c r="K77" s="161"/>
      <c r="L77" s="86"/>
      <c r="M77" s="161"/>
      <c r="N77" s="161"/>
    </row>
    <row r="78" spans="2:14">
      <c r="B78" s="160">
        <v>54</v>
      </c>
      <c r="C78" t="s">
        <v>641</v>
      </c>
      <c r="D78" s="91" t="s">
        <v>565</v>
      </c>
      <c r="E78" s="91"/>
      <c r="G78" s="104"/>
      <c r="H78" s="104"/>
      <c r="I78" s="86"/>
      <c r="J78" s="161"/>
      <c r="K78" s="161"/>
      <c r="L78" s="86"/>
      <c r="M78" s="161"/>
      <c r="N78" s="161"/>
    </row>
    <row r="79" spans="2:14">
      <c r="B79" s="160">
        <v>55</v>
      </c>
      <c r="C79" t="s">
        <v>642</v>
      </c>
      <c r="D79" s="91" t="s">
        <v>7</v>
      </c>
      <c r="E79" s="91" t="s">
        <v>113</v>
      </c>
      <c r="G79" s="104"/>
      <c r="H79" s="104"/>
      <c r="I79" s="86"/>
      <c r="J79" s="161"/>
      <c r="K79" s="161"/>
      <c r="L79" s="86"/>
      <c r="M79" s="161"/>
      <c r="N79" s="161"/>
    </row>
    <row r="80" spans="2:14">
      <c r="B80" s="160">
        <v>56</v>
      </c>
      <c r="C80" s="91" t="s">
        <v>642</v>
      </c>
      <c r="D80" s="91" t="s">
        <v>458</v>
      </c>
      <c r="E80" s="91" t="str">
        <f>IF('General Information'!C47="€/kg","kg/ha","l/ha")</f>
        <v>kg/ha</v>
      </c>
      <c r="G80" s="104"/>
      <c r="H80" s="104"/>
      <c r="I80" s="86"/>
      <c r="J80" s="161"/>
      <c r="K80" s="161"/>
      <c r="L80" s="86"/>
      <c r="M80" s="161"/>
      <c r="N80" s="161"/>
    </row>
    <row r="81" spans="2:14">
      <c r="B81" s="160">
        <v>57</v>
      </c>
      <c r="C81" s="91" t="s">
        <v>643</v>
      </c>
      <c r="D81" s="91" t="s">
        <v>565</v>
      </c>
      <c r="E81" s="91"/>
      <c r="G81" s="104"/>
      <c r="H81" s="104"/>
      <c r="I81" s="86"/>
      <c r="J81" s="161"/>
      <c r="K81" s="161"/>
      <c r="L81" s="86"/>
      <c r="M81" s="161"/>
      <c r="N81" s="161"/>
    </row>
    <row r="82" spans="2:14">
      <c r="B82" s="160">
        <v>58</v>
      </c>
      <c r="C82" s="91" t="s">
        <v>643</v>
      </c>
      <c r="D82" s="91" t="s">
        <v>7</v>
      </c>
      <c r="E82" s="91" t="s">
        <v>113</v>
      </c>
      <c r="G82" s="104"/>
      <c r="H82" s="104"/>
      <c r="I82" s="86"/>
      <c r="J82" s="161"/>
      <c r="K82" s="161"/>
      <c r="L82" s="86"/>
      <c r="M82" s="161"/>
      <c r="N82" s="161"/>
    </row>
    <row r="83" spans="2:14">
      <c r="B83" s="160">
        <v>59</v>
      </c>
      <c r="C83" s="91" t="s">
        <v>643</v>
      </c>
      <c r="D83" s="91" t="s">
        <v>458</v>
      </c>
      <c r="E83" s="91" t="str">
        <f>IF('General Information'!C48="€/kg","kg/ha","l/ha")</f>
        <v>kg/ha</v>
      </c>
      <c r="G83" s="104"/>
      <c r="H83" s="104"/>
      <c r="I83" s="86"/>
      <c r="J83" s="161"/>
      <c r="K83" s="161"/>
      <c r="L83" s="86"/>
      <c r="M83" s="161"/>
      <c r="N83" s="161"/>
    </row>
    <row r="84" spans="2:14">
      <c r="B84" s="160">
        <v>60</v>
      </c>
      <c r="C84" s="91" t="s">
        <v>644</v>
      </c>
      <c r="D84" s="91" t="s">
        <v>565</v>
      </c>
      <c r="E84" s="91"/>
      <c r="G84" s="104"/>
      <c r="H84" s="104"/>
      <c r="I84" s="86"/>
      <c r="J84" s="161"/>
      <c r="K84" s="161"/>
      <c r="L84" s="86"/>
      <c r="M84" s="161"/>
      <c r="N84" s="161"/>
    </row>
    <row r="85" spans="2:14">
      <c r="B85" s="160">
        <v>61</v>
      </c>
      <c r="C85" s="91" t="s">
        <v>644</v>
      </c>
      <c r="D85" s="91" t="s">
        <v>7</v>
      </c>
      <c r="E85" s="91" t="s">
        <v>113</v>
      </c>
      <c r="G85" s="104"/>
      <c r="H85" s="104"/>
      <c r="I85" s="86"/>
      <c r="J85" s="161"/>
      <c r="K85" s="161"/>
      <c r="L85" s="86"/>
      <c r="M85" s="161"/>
      <c r="N85" s="161"/>
    </row>
    <row r="86" spans="2:14">
      <c r="B86" s="160">
        <v>62</v>
      </c>
      <c r="C86" s="91" t="s">
        <v>644</v>
      </c>
      <c r="D86" s="91" t="s">
        <v>458</v>
      </c>
      <c r="E86" s="91" t="str">
        <f>IF('General Information'!C49="€/kg","kg/ha","l/ha")</f>
        <v>kg/ha</v>
      </c>
      <c r="G86" s="104"/>
      <c r="H86" s="104"/>
      <c r="I86" s="86"/>
      <c r="J86" s="161"/>
      <c r="K86" s="161"/>
      <c r="L86" s="86"/>
      <c r="M86" s="161"/>
      <c r="N86" s="161"/>
    </row>
    <row r="87" spans="2:14">
      <c r="B87" s="160">
        <v>63</v>
      </c>
      <c r="C87" s="91" t="s">
        <v>645</v>
      </c>
      <c r="D87" s="91" t="s">
        <v>565</v>
      </c>
      <c r="E87" s="91"/>
      <c r="G87" s="104"/>
      <c r="H87" s="104"/>
      <c r="I87" s="86"/>
      <c r="J87" s="161"/>
      <c r="K87" s="161"/>
      <c r="L87" s="86"/>
      <c r="M87" s="161"/>
      <c r="N87" s="161"/>
    </row>
    <row r="88" spans="2:14">
      <c r="B88" s="160">
        <v>64</v>
      </c>
      <c r="C88" s="91" t="s">
        <v>645</v>
      </c>
      <c r="D88" s="91" t="s">
        <v>7</v>
      </c>
      <c r="E88" s="91" t="s">
        <v>113</v>
      </c>
      <c r="G88" s="104"/>
      <c r="H88" s="104"/>
      <c r="I88" s="86"/>
      <c r="J88" s="161"/>
      <c r="K88" s="161"/>
      <c r="L88" s="86"/>
      <c r="M88" s="161"/>
      <c r="N88" s="161"/>
    </row>
    <row r="89" spans="2:14">
      <c r="B89" s="160">
        <v>65</v>
      </c>
      <c r="C89" s="91" t="s">
        <v>645</v>
      </c>
      <c r="D89" s="91" t="s">
        <v>458</v>
      </c>
      <c r="E89" s="91" t="str">
        <f>IF('General Information'!C52="€/kg","kg/ha","l/ha")</f>
        <v>kg/ha</v>
      </c>
      <c r="G89" s="104"/>
      <c r="H89" s="104"/>
      <c r="I89" s="86"/>
      <c r="J89" s="161"/>
      <c r="K89" s="161"/>
      <c r="L89" s="86"/>
      <c r="M89" s="161"/>
      <c r="N89" s="161"/>
    </row>
    <row r="90" spans="2:14">
      <c r="B90" s="160">
        <v>66</v>
      </c>
      <c r="C90" s="91" t="s">
        <v>646</v>
      </c>
      <c r="D90" s="91" t="s">
        <v>565</v>
      </c>
      <c r="E90" s="91"/>
      <c r="G90" s="104"/>
      <c r="H90" s="104"/>
      <c r="I90" s="86"/>
      <c r="J90" s="161"/>
      <c r="K90" s="161"/>
      <c r="L90" s="86"/>
      <c r="M90" s="161"/>
      <c r="N90" s="161"/>
    </row>
    <row r="91" spans="2:14">
      <c r="B91" s="160">
        <v>67</v>
      </c>
      <c r="C91" s="91" t="s">
        <v>646</v>
      </c>
      <c r="D91" s="91" t="s">
        <v>7</v>
      </c>
      <c r="E91" s="91" t="s">
        <v>113</v>
      </c>
      <c r="G91" s="104"/>
      <c r="H91" s="104"/>
      <c r="I91" s="86"/>
      <c r="J91" s="161"/>
      <c r="K91" s="161"/>
      <c r="L91" s="86"/>
      <c r="M91" s="161"/>
      <c r="N91" s="161"/>
    </row>
    <row r="92" spans="2:14">
      <c r="B92" s="160">
        <v>68</v>
      </c>
      <c r="C92" s="91" t="s">
        <v>646</v>
      </c>
      <c r="D92" s="91" t="s">
        <v>458</v>
      </c>
      <c r="E92" s="91" t="str">
        <f>IF('General Information'!C55="€/kg","kg/ha","l/ha")</f>
        <v>kg/ha</v>
      </c>
      <c r="G92" s="104"/>
      <c r="H92" s="104"/>
      <c r="I92" s="86"/>
      <c r="J92" s="161"/>
      <c r="K92" s="161"/>
      <c r="L92" s="86"/>
      <c r="M92" s="161"/>
      <c r="N92" s="161"/>
    </row>
    <row r="93" spans="2:14">
      <c r="B93" s="160">
        <v>69</v>
      </c>
      <c r="C93" s="91" t="s">
        <v>647</v>
      </c>
      <c r="D93" s="91" t="s">
        <v>565</v>
      </c>
      <c r="E93" s="91"/>
      <c r="G93" s="104"/>
      <c r="H93" s="104"/>
      <c r="I93" s="86"/>
      <c r="J93" s="161"/>
      <c r="K93" s="161"/>
      <c r="L93" s="86"/>
      <c r="M93" s="161"/>
      <c r="N93" s="161"/>
    </row>
    <row r="94" spans="2:14">
      <c r="B94" s="160">
        <v>70</v>
      </c>
      <c r="C94" s="91" t="s">
        <v>647</v>
      </c>
      <c r="D94" s="91" t="s">
        <v>7</v>
      </c>
      <c r="E94" s="91" t="s">
        <v>113</v>
      </c>
      <c r="G94" s="104"/>
      <c r="H94" s="104"/>
      <c r="I94" s="86"/>
      <c r="J94" s="161"/>
      <c r="K94" s="161"/>
      <c r="L94" s="86"/>
      <c r="M94" s="161"/>
      <c r="N94" s="161"/>
    </row>
    <row r="95" spans="2:14">
      <c r="B95" s="160">
        <v>71</v>
      </c>
      <c r="C95" s="91" t="s">
        <v>647</v>
      </c>
      <c r="D95" s="91" t="s">
        <v>458</v>
      </c>
      <c r="E95" s="91" t="str">
        <f>IF('General Information'!C58="€/kg","kg/ha","l/ha")</f>
        <v>kg/ha</v>
      </c>
      <c r="G95" s="104"/>
      <c r="H95" s="104"/>
      <c r="I95" s="86"/>
      <c r="J95" s="161"/>
      <c r="K95" s="161"/>
      <c r="L95" s="86"/>
      <c r="M95" s="161"/>
      <c r="N95" s="161"/>
    </row>
    <row r="96" spans="2:14">
      <c r="B96" s="163"/>
      <c r="G96" s="161"/>
      <c r="H96" s="161"/>
      <c r="I96" s="86"/>
      <c r="J96" s="161"/>
      <c r="K96" s="161"/>
      <c r="L96" s="86"/>
      <c r="M96" s="161"/>
      <c r="N96" s="161"/>
    </row>
    <row r="97" spans="2:14">
      <c r="B97" s="124" t="s">
        <v>8</v>
      </c>
      <c r="C97" s="125"/>
      <c r="D97" s="125"/>
      <c r="E97" s="126"/>
      <c r="G97" s="223" t="s">
        <v>107</v>
      </c>
      <c r="H97" s="224"/>
      <c r="I97" s="143"/>
      <c r="J97" s="223" t="s">
        <v>108</v>
      </c>
      <c r="K97" s="224"/>
      <c r="L97" s="143"/>
      <c r="M97" s="221" t="s">
        <v>109</v>
      </c>
      <c r="N97" s="222"/>
    </row>
    <row r="98" spans="2:14">
      <c r="B98" s="127" t="s">
        <v>112</v>
      </c>
      <c r="C98" s="127" t="s">
        <v>110</v>
      </c>
      <c r="D98" s="127"/>
      <c r="E98" s="127" t="s">
        <v>98</v>
      </c>
      <c r="G98" s="87" t="s">
        <v>498</v>
      </c>
      <c r="H98" s="87" t="s">
        <v>100</v>
      </c>
      <c r="I98" s="143"/>
      <c r="J98" s="87" t="s">
        <v>498</v>
      </c>
      <c r="K98" s="87" t="s">
        <v>100</v>
      </c>
      <c r="L98" s="143"/>
      <c r="M98" s="87" t="s">
        <v>498</v>
      </c>
      <c r="N98" s="87" t="s">
        <v>160</v>
      </c>
    </row>
    <row r="99" spans="2:14">
      <c r="B99" s="160">
        <v>72</v>
      </c>
      <c r="C99" s="91" t="s">
        <v>648</v>
      </c>
      <c r="D99" s="91" t="s">
        <v>593</v>
      </c>
      <c r="E99" s="91"/>
      <c r="G99" s="104" t="s">
        <v>799</v>
      </c>
      <c r="H99" s="104"/>
      <c r="I99" s="86"/>
      <c r="J99" s="104"/>
      <c r="K99" s="104"/>
      <c r="L99" s="86"/>
      <c r="M99" s="104"/>
      <c r="N99" s="104"/>
    </row>
    <row r="100" spans="2:14">
      <c r="B100" s="160">
        <v>73</v>
      </c>
      <c r="C100" s="91" t="s">
        <v>648</v>
      </c>
      <c r="D100" s="91" t="s">
        <v>586</v>
      </c>
      <c r="E100" s="91"/>
      <c r="G100" s="104" t="s">
        <v>585</v>
      </c>
      <c r="H100" s="104"/>
      <c r="I100" s="86"/>
      <c r="J100" s="104"/>
      <c r="K100" s="104"/>
      <c r="L100" s="86"/>
      <c r="M100" s="104"/>
      <c r="N100" s="104"/>
    </row>
    <row r="101" spans="2:14">
      <c r="B101" s="160">
        <v>74</v>
      </c>
      <c r="C101" s="91" t="s">
        <v>648</v>
      </c>
      <c r="D101" s="91" t="s">
        <v>7</v>
      </c>
      <c r="E101" s="91" t="s">
        <v>113</v>
      </c>
      <c r="G101" s="104">
        <v>1</v>
      </c>
      <c r="H101" s="104"/>
      <c r="I101" s="86"/>
      <c r="J101" s="104"/>
      <c r="K101" s="104"/>
      <c r="L101" s="86"/>
      <c r="M101" s="104"/>
      <c r="N101" s="104"/>
    </row>
    <row r="102" spans="2:14">
      <c r="B102" s="160">
        <v>75</v>
      </c>
      <c r="C102" s="91" t="s">
        <v>648</v>
      </c>
      <c r="D102" s="91" t="s">
        <v>458</v>
      </c>
      <c r="E102" s="91" t="str">
        <f>IF('General Information'!C54="€/t","t/ha","kg/ha")</f>
        <v>kg/ha</v>
      </c>
      <c r="G102" s="104">
        <v>173</v>
      </c>
      <c r="H102" s="104"/>
      <c r="I102" s="86"/>
      <c r="J102" s="104"/>
      <c r="K102" s="104"/>
      <c r="L102" s="86"/>
      <c r="M102" s="104"/>
      <c r="N102" s="104"/>
    </row>
    <row r="103" spans="2:14">
      <c r="B103" s="160">
        <v>76</v>
      </c>
      <c r="C103" s="91" t="s">
        <v>648</v>
      </c>
      <c r="D103" s="91" t="s">
        <v>459</v>
      </c>
      <c r="E103" s="91" t="s">
        <v>105</v>
      </c>
      <c r="G103" s="104">
        <v>26</v>
      </c>
      <c r="H103" s="104"/>
      <c r="I103" s="86"/>
      <c r="J103" s="104"/>
      <c r="K103" s="104"/>
      <c r="L103" s="86"/>
      <c r="M103" s="104"/>
      <c r="N103" s="104"/>
    </row>
    <row r="104" spans="2:14">
      <c r="B104" s="160">
        <v>77</v>
      </c>
      <c r="C104" s="91" t="s">
        <v>648</v>
      </c>
      <c r="D104" s="91" t="s">
        <v>460</v>
      </c>
      <c r="E104" s="91" t="s">
        <v>105</v>
      </c>
      <c r="G104" s="104">
        <v>14</v>
      </c>
      <c r="H104" s="104"/>
      <c r="I104" s="86"/>
      <c r="J104" s="104"/>
      <c r="K104" s="104"/>
      <c r="L104" s="86"/>
      <c r="M104" s="104"/>
      <c r="N104" s="104"/>
    </row>
    <row r="105" spans="2:14">
      <c r="B105" s="160">
        <v>78</v>
      </c>
      <c r="C105" s="91" t="s">
        <v>648</v>
      </c>
      <c r="D105" s="91" t="s">
        <v>461</v>
      </c>
      <c r="E105" s="91" t="s">
        <v>105</v>
      </c>
      <c r="G105" s="104">
        <v>0</v>
      </c>
      <c r="H105" s="104"/>
      <c r="I105" s="86"/>
      <c r="J105" s="104"/>
      <c r="K105" s="104"/>
      <c r="L105" s="86"/>
      <c r="M105" s="104"/>
      <c r="N105" s="104"/>
    </row>
    <row r="106" spans="2:14">
      <c r="B106" s="160">
        <v>79</v>
      </c>
      <c r="C106" s="91" t="s">
        <v>649</v>
      </c>
      <c r="D106" s="91" t="s">
        <v>582</v>
      </c>
      <c r="E106" s="91"/>
      <c r="G106" s="104" t="s">
        <v>800</v>
      </c>
      <c r="H106" s="104"/>
      <c r="I106" s="86"/>
      <c r="J106" s="104"/>
      <c r="K106" s="104"/>
      <c r="L106" s="86"/>
      <c r="M106" s="104"/>
      <c r="N106" s="104"/>
    </row>
    <row r="107" spans="2:14">
      <c r="B107" s="160">
        <v>80</v>
      </c>
      <c r="C107" s="91" t="s">
        <v>649</v>
      </c>
      <c r="D107" s="91" t="s">
        <v>586</v>
      </c>
      <c r="E107" s="91"/>
      <c r="G107" s="104" t="s">
        <v>585</v>
      </c>
      <c r="H107" s="104"/>
      <c r="I107" s="86"/>
      <c r="J107" s="104"/>
      <c r="K107" s="104"/>
      <c r="L107" s="86"/>
      <c r="M107" s="104"/>
      <c r="N107" s="104"/>
    </row>
    <row r="108" spans="2:14">
      <c r="B108" s="160">
        <v>81</v>
      </c>
      <c r="C108" s="91" t="s">
        <v>649</v>
      </c>
      <c r="D108" s="91" t="s">
        <v>7</v>
      </c>
      <c r="E108" s="91" t="s">
        <v>113</v>
      </c>
      <c r="G108" s="104">
        <v>1</v>
      </c>
      <c r="H108" s="104"/>
      <c r="I108" s="86"/>
      <c r="J108" s="104"/>
      <c r="K108" s="104"/>
      <c r="L108" s="86"/>
      <c r="M108" s="104"/>
      <c r="N108" s="104"/>
    </row>
    <row r="109" spans="2:14">
      <c r="B109" s="160">
        <v>82</v>
      </c>
      <c r="C109" s="91" t="s">
        <v>649</v>
      </c>
      <c r="D109" s="91" t="s">
        <v>458</v>
      </c>
      <c r="E109" s="91" t="str">
        <f>IF('General Information'!C55="€/t","t/ha","kg/ha")</f>
        <v>kg/ha</v>
      </c>
      <c r="G109" s="104">
        <v>45</v>
      </c>
      <c r="H109" s="104"/>
      <c r="I109" s="86"/>
      <c r="J109" s="104"/>
      <c r="K109" s="104"/>
      <c r="L109" s="86"/>
      <c r="M109" s="104"/>
      <c r="N109" s="104"/>
    </row>
    <row r="110" spans="2:14">
      <c r="B110" s="160">
        <v>83</v>
      </c>
      <c r="C110" s="91" t="s">
        <v>649</v>
      </c>
      <c r="D110" s="91" t="s">
        <v>459</v>
      </c>
      <c r="E110" s="91" t="s">
        <v>105</v>
      </c>
      <c r="G110" s="104">
        <v>10</v>
      </c>
      <c r="H110" s="104"/>
      <c r="I110" s="86"/>
      <c r="J110" s="104"/>
      <c r="K110" s="104"/>
      <c r="L110" s="86"/>
      <c r="M110" s="104"/>
      <c r="N110" s="104"/>
    </row>
    <row r="111" spans="2:14">
      <c r="B111" s="160">
        <v>84</v>
      </c>
      <c r="C111" s="91" t="s">
        <v>649</v>
      </c>
      <c r="D111" s="91" t="s">
        <v>460</v>
      </c>
      <c r="E111" s="91" t="s">
        <v>105</v>
      </c>
      <c r="G111" s="104">
        <v>35</v>
      </c>
      <c r="H111" s="104"/>
      <c r="I111" s="86"/>
      <c r="J111" s="104"/>
      <c r="K111" s="104"/>
      <c r="L111" s="86"/>
      <c r="M111" s="104"/>
      <c r="N111" s="104"/>
    </row>
    <row r="112" spans="2:14">
      <c r="B112" s="160">
        <v>85</v>
      </c>
      <c r="C112" s="91" t="s">
        <v>649</v>
      </c>
      <c r="D112" s="91" t="s">
        <v>461</v>
      </c>
      <c r="E112" s="91" t="s">
        <v>105</v>
      </c>
      <c r="G112" s="104">
        <v>0</v>
      </c>
      <c r="H112" s="104"/>
      <c r="I112" s="86"/>
      <c r="J112" s="104"/>
      <c r="K112" s="104"/>
      <c r="L112" s="86"/>
      <c r="M112" s="104"/>
      <c r="N112" s="104"/>
    </row>
    <row r="113" spans="2:14">
      <c r="B113" s="160">
        <v>86</v>
      </c>
      <c r="C113" s="91" t="s">
        <v>650</v>
      </c>
      <c r="D113" s="91" t="s">
        <v>356</v>
      </c>
      <c r="E113" s="91"/>
      <c r="G113" s="104" t="s">
        <v>801</v>
      </c>
      <c r="H113" s="104"/>
      <c r="I113" s="86"/>
      <c r="J113" s="104"/>
      <c r="K113" s="104"/>
      <c r="L113" s="86"/>
      <c r="M113" s="104"/>
      <c r="N113" s="104"/>
    </row>
    <row r="114" spans="2:14">
      <c r="B114" s="160">
        <v>87</v>
      </c>
      <c r="C114" s="91" t="s">
        <v>650</v>
      </c>
      <c r="D114" s="91" t="s">
        <v>586</v>
      </c>
      <c r="E114" s="91"/>
      <c r="G114" s="104" t="s">
        <v>585</v>
      </c>
      <c r="H114" s="104"/>
      <c r="I114" s="86"/>
      <c r="J114" s="104"/>
      <c r="K114" s="104"/>
      <c r="L114" s="86"/>
      <c r="M114" s="104"/>
      <c r="N114" s="104"/>
    </row>
    <row r="115" spans="2:14">
      <c r="B115" s="160">
        <v>88</v>
      </c>
      <c r="C115" s="91" t="s">
        <v>650</v>
      </c>
      <c r="D115" s="91" t="s">
        <v>7</v>
      </c>
      <c r="E115" s="91" t="s">
        <v>113</v>
      </c>
      <c r="G115" s="104">
        <v>1</v>
      </c>
      <c r="H115" s="104"/>
      <c r="I115" s="86"/>
      <c r="J115" s="104"/>
      <c r="K115" s="104"/>
      <c r="L115" s="86"/>
      <c r="M115" s="104"/>
      <c r="N115" s="104"/>
    </row>
    <row r="116" spans="2:14">
      <c r="B116" s="160">
        <v>89</v>
      </c>
      <c r="C116" s="91" t="s">
        <v>650</v>
      </c>
      <c r="D116" s="91" t="s">
        <v>458</v>
      </c>
      <c r="E116" s="91" t="str">
        <f>IF('General Information'!C56="€/t","t/ha","kg/ha")</f>
        <v>kg/ha</v>
      </c>
      <c r="G116" s="104">
        <v>134</v>
      </c>
      <c r="H116" s="104"/>
      <c r="I116" s="86"/>
      <c r="J116" s="104"/>
      <c r="K116" s="104"/>
      <c r="L116" s="86"/>
      <c r="M116" s="104"/>
      <c r="N116" s="104"/>
    </row>
    <row r="117" spans="2:14">
      <c r="B117" s="160">
        <v>90</v>
      </c>
      <c r="C117" s="91" t="s">
        <v>650</v>
      </c>
      <c r="D117" s="91" t="s">
        <v>459</v>
      </c>
      <c r="E117" s="91" t="s">
        <v>105</v>
      </c>
      <c r="G117" s="104">
        <v>0</v>
      </c>
      <c r="H117" s="104"/>
      <c r="I117" s="86"/>
      <c r="J117" s="104"/>
      <c r="K117" s="104"/>
      <c r="L117" s="86"/>
      <c r="M117" s="104"/>
      <c r="N117" s="104"/>
    </row>
    <row r="118" spans="2:14">
      <c r="B118" s="160">
        <v>91</v>
      </c>
      <c r="C118" s="91" t="s">
        <v>650</v>
      </c>
      <c r="D118" s="91" t="s">
        <v>460</v>
      </c>
      <c r="E118" s="91" t="s">
        <v>105</v>
      </c>
      <c r="G118" s="104">
        <v>0</v>
      </c>
      <c r="H118" s="104"/>
      <c r="I118" s="86"/>
      <c r="J118" s="104"/>
      <c r="K118" s="104"/>
      <c r="L118" s="86"/>
      <c r="M118" s="104"/>
      <c r="N118" s="104"/>
    </row>
    <row r="119" spans="2:14" ht="18.600000000000001" customHeight="1">
      <c r="B119" s="160">
        <v>92</v>
      </c>
      <c r="C119" s="91" t="s">
        <v>650</v>
      </c>
      <c r="D119" s="91" t="s">
        <v>461</v>
      </c>
      <c r="E119" s="91" t="s">
        <v>105</v>
      </c>
      <c r="G119" s="104">
        <v>50</v>
      </c>
      <c r="H119" s="104"/>
      <c r="I119" s="86"/>
      <c r="J119" s="104"/>
      <c r="K119" s="104"/>
      <c r="L119" s="86"/>
      <c r="M119" s="104"/>
      <c r="N119" s="104"/>
    </row>
    <row r="120" spans="2:14" ht="18.600000000000001" customHeight="1">
      <c r="B120" s="160">
        <v>93</v>
      </c>
      <c r="C120" s="91" t="s">
        <v>651</v>
      </c>
      <c r="D120" s="91" t="s">
        <v>658</v>
      </c>
      <c r="E120" s="91"/>
      <c r="G120" s="104" t="s">
        <v>802</v>
      </c>
      <c r="H120" s="104"/>
      <c r="I120" s="86"/>
      <c r="J120" s="161"/>
      <c r="K120" s="161"/>
      <c r="L120" s="86"/>
      <c r="M120" s="161"/>
      <c r="N120" s="161"/>
    </row>
    <row r="121" spans="2:14" ht="18.600000000000001" customHeight="1">
      <c r="B121" s="160">
        <v>94</v>
      </c>
      <c r="C121" s="91" t="s">
        <v>651</v>
      </c>
      <c r="D121" s="91" t="s">
        <v>586</v>
      </c>
      <c r="E121" s="91"/>
      <c r="G121" s="104" t="s">
        <v>585</v>
      </c>
      <c r="H121" s="104"/>
      <c r="I121" s="86"/>
      <c r="J121" s="161"/>
      <c r="K121" s="161"/>
      <c r="L121" s="86"/>
      <c r="M121" s="161"/>
      <c r="N121" s="161"/>
    </row>
    <row r="122" spans="2:14" ht="18.600000000000001" customHeight="1">
      <c r="B122" s="160">
        <v>95</v>
      </c>
      <c r="C122" s="91" t="s">
        <v>651</v>
      </c>
      <c r="D122" s="91" t="s">
        <v>7</v>
      </c>
      <c r="E122" s="91"/>
      <c r="G122" s="104">
        <v>3</v>
      </c>
      <c r="H122" s="104"/>
      <c r="I122" s="86"/>
      <c r="J122" s="161"/>
      <c r="K122" s="161"/>
      <c r="L122" s="86"/>
      <c r="M122" s="161"/>
      <c r="N122" s="161"/>
    </row>
    <row r="123" spans="2:14" ht="18.600000000000001" customHeight="1">
      <c r="B123" s="160">
        <v>96</v>
      </c>
      <c r="C123" s="91" t="s">
        <v>651</v>
      </c>
      <c r="D123" s="91" t="s">
        <v>458</v>
      </c>
      <c r="E123" s="91"/>
      <c r="G123" s="104">
        <v>620</v>
      </c>
      <c r="H123" s="104"/>
      <c r="I123" s="86"/>
      <c r="J123" s="161"/>
      <c r="K123" s="161"/>
      <c r="L123" s="86"/>
      <c r="M123" s="161"/>
      <c r="N123" s="161"/>
    </row>
    <row r="124" spans="2:14" ht="18.600000000000001" customHeight="1">
      <c r="B124" s="160">
        <v>97</v>
      </c>
      <c r="C124" s="91" t="s">
        <v>651</v>
      </c>
      <c r="D124" s="91" t="s">
        <v>459</v>
      </c>
      <c r="E124" s="91"/>
      <c r="G124" s="104">
        <v>24</v>
      </c>
      <c r="H124" s="104"/>
      <c r="I124" s="86"/>
      <c r="J124" s="161"/>
      <c r="K124" s="161"/>
      <c r="L124" s="86"/>
      <c r="M124" s="161"/>
      <c r="N124" s="161"/>
    </row>
    <row r="125" spans="2:14" ht="18.600000000000001" customHeight="1">
      <c r="B125" s="160">
        <v>98</v>
      </c>
      <c r="C125" s="91" t="s">
        <v>651</v>
      </c>
      <c r="D125" s="91" t="s">
        <v>460</v>
      </c>
      <c r="E125" s="91"/>
      <c r="G125" s="104">
        <v>0</v>
      </c>
      <c r="H125" s="104"/>
      <c r="I125" s="86"/>
      <c r="J125" s="161"/>
      <c r="K125" s="161"/>
      <c r="L125" s="86"/>
      <c r="M125" s="161"/>
      <c r="N125" s="161"/>
    </row>
    <row r="126" spans="2:14" ht="18.600000000000001" customHeight="1">
      <c r="B126" s="160">
        <v>99</v>
      </c>
      <c r="C126" s="91" t="s">
        <v>651</v>
      </c>
      <c r="D126" s="91" t="s">
        <v>461</v>
      </c>
      <c r="E126" s="91"/>
      <c r="G126" s="104">
        <v>0</v>
      </c>
      <c r="H126" s="104"/>
      <c r="I126" s="86"/>
      <c r="J126" s="161"/>
      <c r="K126" s="161"/>
      <c r="L126" s="86"/>
      <c r="M126" s="161"/>
      <c r="N126" s="161"/>
    </row>
    <row r="127" spans="2:14" ht="18.600000000000001" customHeight="1">
      <c r="B127" s="160">
        <v>100</v>
      </c>
      <c r="C127" s="91" t="s">
        <v>652</v>
      </c>
      <c r="D127" s="91" t="s">
        <v>659</v>
      </c>
      <c r="E127" s="91"/>
      <c r="G127" s="104" t="s">
        <v>803</v>
      </c>
      <c r="H127" s="104"/>
      <c r="I127" s="86"/>
      <c r="J127" s="161"/>
      <c r="K127" s="161"/>
      <c r="L127" s="86"/>
      <c r="M127" s="161"/>
      <c r="N127" s="161"/>
    </row>
    <row r="128" spans="2:14" ht="18.600000000000001" customHeight="1">
      <c r="B128" s="160">
        <v>101</v>
      </c>
      <c r="C128" s="91" t="s">
        <v>652</v>
      </c>
      <c r="D128" s="91" t="s">
        <v>586</v>
      </c>
      <c r="E128" s="91"/>
      <c r="G128" s="104" t="s">
        <v>585</v>
      </c>
      <c r="H128" s="104"/>
      <c r="I128" s="86"/>
      <c r="J128" s="161"/>
      <c r="K128" s="161"/>
      <c r="L128" s="86"/>
      <c r="M128" s="161"/>
      <c r="N128" s="161"/>
    </row>
    <row r="129" spans="2:14" ht="18.600000000000001" customHeight="1">
      <c r="B129" s="160">
        <v>102</v>
      </c>
      <c r="C129" s="91" t="s">
        <v>652</v>
      </c>
      <c r="D129" s="91" t="s">
        <v>7</v>
      </c>
      <c r="E129" s="91"/>
      <c r="G129" s="104">
        <v>6</v>
      </c>
      <c r="H129" s="104"/>
      <c r="I129" s="86"/>
      <c r="J129" s="161"/>
      <c r="K129" s="161"/>
      <c r="L129" s="86"/>
      <c r="M129" s="161"/>
      <c r="N129" s="161"/>
    </row>
    <row r="130" spans="2:14" ht="18.600000000000001" customHeight="1">
      <c r="B130" s="160">
        <v>103</v>
      </c>
      <c r="C130" s="91" t="s">
        <v>652</v>
      </c>
      <c r="D130" s="91" t="s">
        <v>458</v>
      </c>
      <c r="E130" s="91"/>
      <c r="G130" s="104">
        <v>67</v>
      </c>
      <c r="H130" s="104"/>
      <c r="I130" s="86"/>
      <c r="J130" s="161"/>
      <c r="K130" s="161"/>
      <c r="L130" s="86"/>
      <c r="M130" s="161"/>
      <c r="N130" s="161"/>
    </row>
    <row r="131" spans="2:14" ht="18.600000000000001" customHeight="1">
      <c r="B131" s="160">
        <v>104</v>
      </c>
      <c r="C131" s="91" t="s">
        <v>652</v>
      </c>
      <c r="D131" s="91" t="s">
        <v>459</v>
      </c>
      <c r="E131" s="91"/>
      <c r="G131" s="104">
        <v>6.6</v>
      </c>
      <c r="H131" s="104"/>
      <c r="I131" s="86"/>
      <c r="J131" s="161"/>
      <c r="K131" s="161"/>
      <c r="L131" s="86"/>
      <c r="M131" s="161"/>
      <c r="N131" s="161"/>
    </row>
    <row r="132" spans="2:14" ht="18.600000000000001" customHeight="1">
      <c r="B132" s="160">
        <v>105</v>
      </c>
      <c r="C132" s="91" t="s">
        <v>652</v>
      </c>
      <c r="D132" s="91" t="s">
        <v>460</v>
      </c>
      <c r="E132" s="91"/>
      <c r="G132" s="104">
        <v>0</v>
      </c>
      <c r="H132" s="104"/>
      <c r="I132" s="86"/>
      <c r="J132" s="161"/>
      <c r="K132" s="161"/>
      <c r="L132" s="86"/>
      <c r="M132" s="161"/>
      <c r="N132" s="161"/>
    </row>
    <row r="133" spans="2:14">
      <c r="B133" s="160">
        <v>106</v>
      </c>
      <c r="C133" s="91" t="s">
        <v>652</v>
      </c>
      <c r="D133" s="91" t="s">
        <v>461</v>
      </c>
      <c r="E133" s="91"/>
      <c r="G133" s="104">
        <v>32.6</v>
      </c>
      <c r="H133" s="104"/>
      <c r="I133" s="86"/>
      <c r="J133" s="161"/>
      <c r="K133" s="161"/>
      <c r="L133" s="86"/>
      <c r="M133" s="161"/>
      <c r="N133" s="161"/>
    </row>
    <row r="134" spans="2:14">
      <c r="B134" s="160">
        <v>107</v>
      </c>
      <c r="C134" s="91" t="s">
        <v>653</v>
      </c>
      <c r="D134" s="91" t="s">
        <v>660</v>
      </c>
      <c r="E134" s="91"/>
      <c r="G134" s="104"/>
      <c r="H134" s="104"/>
      <c r="I134" s="86"/>
      <c r="J134" s="161"/>
      <c r="K134" s="161"/>
      <c r="L134" s="86"/>
      <c r="M134" s="161"/>
      <c r="N134" s="161"/>
    </row>
    <row r="135" spans="2:14">
      <c r="B135" s="160">
        <v>108</v>
      </c>
      <c r="C135" s="91" t="s">
        <v>653</v>
      </c>
      <c r="D135" s="91" t="s">
        <v>586</v>
      </c>
      <c r="E135" s="91"/>
      <c r="G135" s="104"/>
      <c r="H135" s="104"/>
      <c r="I135" s="86"/>
      <c r="J135" s="161"/>
      <c r="K135" s="161"/>
      <c r="L135" s="86"/>
      <c r="M135" s="161"/>
      <c r="N135" s="161"/>
    </row>
    <row r="136" spans="2:14">
      <c r="B136" s="160">
        <v>109</v>
      </c>
      <c r="C136" s="91" t="s">
        <v>653</v>
      </c>
      <c r="D136" s="91" t="s">
        <v>7</v>
      </c>
      <c r="E136" s="91"/>
      <c r="G136" s="104"/>
      <c r="H136" s="104"/>
      <c r="I136" s="86"/>
      <c r="J136" s="161"/>
      <c r="K136" s="161"/>
      <c r="L136" s="86"/>
      <c r="M136" s="161"/>
      <c r="N136" s="161"/>
    </row>
    <row r="137" spans="2:14">
      <c r="B137" s="160">
        <v>110</v>
      </c>
      <c r="C137" s="91" t="s">
        <v>653</v>
      </c>
      <c r="D137" s="91" t="s">
        <v>458</v>
      </c>
      <c r="E137" s="91"/>
      <c r="G137" s="104"/>
      <c r="H137" s="104"/>
      <c r="I137" s="86"/>
      <c r="J137" s="161"/>
      <c r="K137" s="161"/>
      <c r="L137" s="86"/>
      <c r="M137" s="161"/>
      <c r="N137" s="161"/>
    </row>
    <row r="138" spans="2:14">
      <c r="B138" s="160">
        <v>111</v>
      </c>
      <c r="C138" s="91" t="s">
        <v>653</v>
      </c>
      <c r="D138" s="91" t="s">
        <v>459</v>
      </c>
      <c r="E138" s="91"/>
      <c r="G138" s="104"/>
      <c r="H138" s="104"/>
      <c r="I138" s="86"/>
      <c r="J138" s="161"/>
      <c r="K138" s="161"/>
      <c r="L138" s="86"/>
      <c r="M138" s="161"/>
      <c r="N138" s="161"/>
    </row>
    <row r="139" spans="2:14">
      <c r="B139" s="160">
        <v>112</v>
      </c>
      <c r="C139" s="91" t="s">
        <v>653</v>
      </c>
      <c r="D139" s="91" t="s">
        <v>460</v>
      </c>
      <c r="E139" s="91"/>
      <c r="G139" s="104"/>
      <c r="H139" s="104"/>
      <c r="I139" s="86"/>
      <c r="J139" s="161"/>
      <c r="K139" s="161"/>
      <c r="L139" s="86"/>
      <c r="M139" s="161"/>
      <c r="N139" s="161"/>
    </row>
    <row r="140" spans="2:14">
      <c r="B140" s="160">
        <v>113</v>
      </c>
      <c r="C140" s="91" t="s">
        <v>653</v>
      </c>
      <c r="D140" s="91" t="s">
        <v>461</v>
      </c>
      <c r="E140" s="91"/>
      <c r="G140" s="104"/>
      <c r="H140" s="104"/>
      <c r="I140" s="86"/>
      <c r="J140" s="161"/>
      <c r="K140" s="161"/>
      <c r="L140" s="86"/>
      <c r="M140" s="161"/>
      <c r="N140" s="161"/>
    </row>
    <row r="141" spans="2:14">
      <c r="B141" s="160">
        <v>114</v>
      </c>
      <c r="C141" s="91" t="s">
        <v>654</v>
      </c>
      <c r="D141" s="91" t="s">
        <v>661</v>
      </c>
      <c r="E141" s="91"/>
      <c r="G141" s="104"/>
      <c r="H141" s="104"/>
      <c r="I141" s="86"/>
      <c r="J141" s="161"/>
      <c r="K141" s="161"/>
      <c r="L141" s="86"/>
      <c r="M141" s="161"/>
      <c r="N141" s="161"/>
    </row>
    <row r="142" spans="2:14">
      <c r="B142" s="160">
        <v>115</v>
      </c>
      <c r="C142" s="91" t="s">
        <v>654</v>
      </c>
      <c r="D142" s="91" t="s">
        <v>586</v>
      </c>
      <c r="E142" s="91"/>
      <c r="G142" s="104"/>
      <c r="H142" s="104"/>
      <c r="I142" s="86"/>
      <c r="J142" s="161"/>
      <c r="K142" s="161"/>
      <c r="L142" s="86"/>
      <c r="M142" s="161"/>
      <c r="N142" s="161"/>
    </row>
    <row r="143" spans="2:14">
      <c r="B143" s="160">
        <v>116</v>
      </c>
      <c r="C143" s="91" t="s">
        <v>654</v>
      </c>
      <c r="D143" s="91" t="s">
        <v>7</v>
      </c>
      <c r="E143" s="91"/>
      <c r="G143" s="104"/>
      <c r="H143" s="104"/>
      <c r="I143" s="86"/>
      <c r="J143" s="161"/>
      <c r="K143" s="161"/>
      <c r="L143" s="86"/>
      <c r="M143" s="161"/>
      <c r="N143" s="161"/>
    </row>
    <row r="144" spans="2:14">
      <c r="B144" s="160">
        <v>117</v>
      </c>
      <c r="C144" s="91" t="s">
        <v>654</v>
      </c>
      <c r="D144" s="91" t="s">
        <v>458</v>
      </c>
      <c r="E144" s="91"/>
      <c r="G144" s="104"/>
      <c r="H144" s="104"/>
      <c r="I144" s="86"/>
      <c r="J144" s="161"/>
      <c r="K144" s="161"/>
      <c r="L144" s="86"/>
      <c r="M144" s="161"/>
      <c r="N144" s="161"/>
    </row>
    <row r="145" spans="2:14">
      <c r="B145" s="160">
        <v>118</v>
      </c>
      <c r="C145" s="91" t="s">
        <v>654</v>
      </c>
      <c r="D145" s="91" t="s">
        <v>459</v>
      </c>
      <c r="E145" s="91"/>
      <c r="G145" s="104"/>
      <c r="H145" s="104"/>
      <c r="I145" s="86"/>
      <c r="J145" s="161"/>
      <c r="K145" s="161"/>
      <c r="L145" s="86"/>
      <c r="M145" s="161"/>
      <c r="N145" s="161"/>
    </row>
    <row r="146" spans="2:14">
      <c r="B146" s="160">
        <v>119</v>
      </c>
      <c r="C146" s="91" t="s">
        <v>654</v>
      </c>
      <c r="D146" s="91" t="s">
        <v>460</v>
      </c>
      <c r="E146" s="91"/>
      <c r="G146" s="104"/>
      <c r="H146" s="104"/>
      <c r="I146" s="86"/>
      <c r="J146" s="161"/>
      <c r="K146" s="161"/>
      <c r="L146" s="86"/>
      <c r="M146" s="161"/>
      <c r="N146" s="161"/>
    </row>
    <row r="147" spans="2:14">
      <c r="B147" s="160">
        <v>120</v>
      </c>
      <c r="C147" s="91" t="s">
        <v>654</v>
      </c>
      <c r="D147" s="91" t="s">
        <v>461</v>
      </c>
      <c r="E147" s="91"/>
      <c r="G147" s="104"/>
      <c r="H147" s="104"/>
      <c r="I147" s="86"/>
      <c r="J147" s="161"/>
      <c r="K147" s="161"/>
      <c r="L147" s="86"/>
      <c r="M147" s="161"/>
      <c r="N147" s="161"/>
    </row>
    <row r="148" spans="2:14">
      <c r="B148" s="160">
        <v>121</v>
      </c>
      <c r="C148" s="91" t="s">
        <v>655</v>
      </c>
      <c r="D148" s="91" t="s">
        <v>662</v>
      </c>
      <c r="E148" s="91"/>
      <c r="G148" s="104"/>
      <c r="H148" s="104"/>
      <c r="I148" s="86"/>
      <c r="J148" s="161"/>
      <c r="K148" s="161"/>
      <c r="L148" s="86"/>
      <c r="M148" s="161"/>
      <c r="N148" s="161"/>
    </row>
    <row r="149" spans="2:14">
      <c r="B149" s="160">
        <v>122</v>
      </c>
      <c r="C149" s="91" t="s">
        <v>655</v>
      </c>
      <c r="D149" s="91" t="s">
        <v>586</v>
      </c>
      <c r="E149" s="91"/>
      <c r="G149" s="104"/>
      <c r="H149" s="104"/>
      <c r="I149" s="86"/>
      <c r="J149" s="161"/>
      <c r="K149" s="161"/>
      <c r="L149" s="86"/>
      <c r="M149" s="161"/>
      <c r="N149" s="161"/>
    </row>
    <row r="150" spans="2:14">
      <c r="B150" s="160">
        <v>123</v>
      </c>
      <c r="C150" s="91" t="s">
        <v>655</v>
      </c>
      <c r="D150" s="91" t="s">
        <v>7</v>
      </c>
      <c r="E150" s="91"/>
      <c r="G150" s="104"/>
      <c r="H150" s="104"/>
      <c r="I150" s="86"/>
      <c r="J150" s="161"/>
      <c r="K150" s="161"/>
      <c r="L150" s="86"/>
      <c r="M150" s="161"/>
      <c r="N150" s="161"/>
    </row>
    <row r="151" spans="2:14">
      <c r="B151" s="160">
        <v>124</v>
      </c>
      <c r="C151" s="91" t="s">
        <v>655</v>
      </c>
      <c r="D151" s="91" t="s">
        <v>458</v>
      </c>
      <c r="E151" s="91"/>
      <c r="G151" s="104"/>
      <c r="H151" s="104"/>
      <c r="I151" s="86"/>
      <c r="J151" s="161"/>
      <c r="K151" s="161"/>
      <c r="L151" s="86"/>
      <c r="M151" s="161"/>
      <c r="N151" s="161"/>
    </row>
    <row r="152" spans="2:14">
      <c r="B152" s="160">
        <v>125</v>
      </c>
      <c r="C152" s="91" t="s">
        <v>655</v>
      </c>
      <c r="D152" s="91" t="s">
        <v>459</v>
      </c>
      <c r="E152" s="91"/>
      <c r="G152" s="104"/>
      <c r="H152" s="104"/>
      <c r="I152" s="86"/>
      <c r="J152" s="161"/>
      <c r="K152" s="161"/>
      <c r="L152" s="86"/>
      <c r="M152" s="161"/>
      <c r="N152" s="161"/>
    </row>
    <row r="153" spans="2:14">
      <c r="B153" s="160">
        <v>126</v>
      </c>
      <c r="C153" s="91" t="s">
        <v>655</v>
      </c>
      <c r="D153" s="91" t="s">
        <v>460</v>
      </c>
      <c r="E153" s="91"/>
      <c r="G153" s="104"/>
      <c r="H153" s="104"/>
      <c r="I153" s="86"/>
      <c r="J153" s="161"/>
      <c r="K153" s="161"/>
      <c r="L153" s="86"/>
      <c r="M153" s="161"/>
      <c r="N153" s="161"/>
    </row>
    <row r="154" spans="2:14">
      <c r="B154" s="160">
        <v>127</v>
      </c>
      <c r="C154" s="91" t="s">
        <v>655</v>
      </c>
      <c r="D154" s="91" t="s">
        <v>461</v>
      </c>
      <c r="E154" s="91"/>
      <c r="G154" s="104"/>
      <c r="H154" s="104"/>
      <c r="I154" s="86"/>
      <c r="J154" s="161"/>
      <c r="K154" s="161"/>
      <c r="L154" s="86"/>
      <c r="M154" s="161"/>
      <c r="N154" s="161"/>
    </row>
    <row r="155" spans="2:14">
      <c r="B155" s="160">
        <v>128</v>
      </c>
      <c r="C155" s="91" t="s">
        <v>656</v>
      </c>
      <c r="D155" s="91" t="s">
        <v>663</v>
      </c>
      <c r="E155" s="91"/>
      <c r="G155" s="104"/>
      <c r="H155" s="104"/>
      <c r="I155" s="86"/>
      <c r="J155" s="161"/>
      <c r="K155" s="161"/>
      <c r="L155" s="86"/>
      <c r="M155" s="161"/>
      <c r="N155" s="161"/>
    </row>
    <row r="156" spans="2:14">
      <c r="B156" s="160">
        <v>129</v>
      </c>
      <c r="C156" s="91" t="s">
        <v>656</v>
      </c>
      <c r="D156" s="91" t="s">
        <v>586</v>
      </c>
      <c r="E156" s="91"/>
      <c r="G156" s="104"/>
      <c r="H156" s="104"/>
      <c r="I156" s="86"/>
      <c r="J156" s="161"/>
      <c r="K156" s="161"/>
      <c r="L156" s="86"/>
      <c r="M156" s="161"/>
      <c r="N156" s="161"/>
    </row>
    <row r="157" spans="2:14">
      <c r="B157" s="160">
        <v>130</v>
      </c>
      <c r="C157" s="91" t="s">
        <v>656</v>
      </c>
      <c r="D157" s="91" t="s">
        <v>7</v>
      </c>
      <c r="E157" s="91"/>
      <c r="G157" s="104"/>
      <c r="H157" s="104"/>
      <c r="I157" s="86"/>
      <c r="J157" s="161"/>
      <c r="K157" s="161"/>
      <c r="L157" s="86"/>
      <c r="M157" s="161"/>
      <c r="N157" s="161"/>
    </row>
    <row r="158" spans="2:14">
      <c r="B158" s="160">
        <v>131</v>
      </c>
      <c r="C158" s="91" t="s">
        <v>656</v>
      </c>
      <c r="D158" s="91" t="s">
        <v>458</v>
      </c>
      <c r="E158" s="91"/>
      <c r="G158" s="104"/>
      <c r="H158" s="104"/>
      <c r="I158" s="86"/>
      <c r="J158" s="161"/>
      <c r="K158" s="161"/>
      <c r="L158" s="86"/>
      <c r="M158" s="161"/>
      <c r="N158" s="161"/>
    </row>
    <row r="159" spans="2:14">
      <c r="B159" s="160">
        <v>132</v>
      </c>
      <c r="C159" s="91" t="s">
        <v>656</v>
      </c>
      <c r="D159" s="91" t="s">
        <v>459</v>
      </c>
      <c r="E159" s="91"/>
      <c r="G159" s="104"/>
      <c r="H159" s="104"/>
      <c r="I159" s="86"/>
      <c r="J159" s="161"/>
      <c r="K159" s="161"/>
      <c r="L159" s="86"/>
      <c r="M159" s="161"/>
      <c r="N159" s="161"/>
    </row>
    <row r="160" spans="2:14">
      <c r="B160" s="160">
        <v>133</v>
      </c>
      <c r="C160" s="91" t="s">
        <v>656</v>
      </c>
      <c r="D160" s="91" t="s">
        <v>460</v>
      </c>
      <c r="E160" s="91"/>
      <c r="G160" s="104"/>
      <c r="H160" s="104"/>
      <c r="I160" s="86"/>
      <c r="J160" s="161"/>
      <c r="K160" s="161"/>
      <c r="L160" s="86"/>
      <c r="M160" s="161"/>
      <c r="N160" s="161"/>
    </row>
    <row r="161" spans="2:14">
      <c r="B161" s="160">
        <v>134</v>
      </c>
      <c r="C161" s="91" t="s">
        <v>656</v>
      </c>
      <c r="D161" s="91" t="s">
        <v>461</v>
      </c>
      <c r="E161" s="91"/>
      <c r="G161" s="104"/>
      <c r="H161" s="104"/>
      <c r="I161" s="86"/>
      <c r="J161" s="161"/>
      <c r="K161" s="161"/>
      <c r="L161" s="86"/>
      <c r="M161" s="161"/>
      <c r="N161" s="161"/>
    </row>
    <row r="162" spans="2:14">
      <c r="B162" s="160">
        <v>135</v>
      </c>
      <c r="C162" s="91" t="s">
        <v>657</v>
      </c>
      <c r="D162" s="91" t="s">
        <v>664</v>
      </c>
      <c r="E162" s="91"/>
      <c r="G162" s="104"/>
      <c r="H162" s="104"/>
      <c r="I162" s="86"/>
      <c r="J162" s="161"/>
      <c r="K162" s="161"/>
      <c r="L162" s="86"/>
      <c r="M162" s="161"/>
      <c r="N162" s="161"/>
    </row>
    <row r="163" spans="2:14">
      <c r="B163" s="160">
        <v>136</v>
      </c>
      <c r="C163" s="91" t="s">
        <v>657</v>
      </c>
      <c r="D163" s="91" t="s">
        <v>586</v>
      </c>
      <c r="E163" s="91"/>
      <c r="G163" s="104"/>
      <c r="H163" s="104"/>
      <c r="I163" s="86"/>
      <c r="J163" s="161"/>
      <c r="K163" s="161"/>
      <c r="L163" s="86"/>
      <c r="M163" s="161"/>
      <c r="N163" s="161"/>
    </row>
    <row r="164" spans="2:14">
      <c r="B164" s="160">
        <v>137</v>
      </c>
      <c r="C164" s="91" t="s">
        <v>657</v>
      </c>
      <c r="D164" s="91" t="s">
        <v>7</v>
      </c>
      <c r="E164" s="91"/>
      <c r="G164" s="104"/>
      <c r="H164" s="104"/>
      <c r="I164" s="86"/>
      <c r="J164" s="161"/>
      <c r="K164" s="161"/>
      <c r="L164" s="86"/>
      <c r="M164" s="161"/>
      <c r="N164" s="161"/>
    </row>
    <row r="165" spans="2:14">
      <c r="B165" s="160">
        <v>138</v>
      </c>
      <c r="C165" s="91" t="s">
        <v>657</v>
      </c>
      <c r="D165" s="91" t="s">
        <v>458</v>
      </c>
      <c r="E165" s="91"/>
      <c r="G165" s="104"/>
      <c r="H165" s="104"/>
      <c r="I165" s="86"/>
      <c r="J165" s="161"/>
      <c r="K165" s="161"/>
      <c r="L165" s="86"/>
      <c r="M165" s="161"/>
      <c r="N165" s="161"/>
    </row>
    <row r="166" spans="2:14">
      <c r="B166" s="160">
        <v>139</v>
      </c>
      <c r="C166" s="91" t="s">
        <v>657</v>
      </c>
      <c r="D166" s="91" t="s">
        <v>459</v>
      </c>
      <c r="E166" s="91"/>
      <c r="G166" s="104"/>
      <c r="H166" s="104"/>
      <c r="I166" s="86"/>
      <c r="J166" s="161"/>
      <c r="K166" s="161"/>
      <c r="L166" s="86"/>
      <c r="M166" s="161"/>
      <c r="N166" s="161"/>
    </row>
    <row r="167" spans="2:14">
      <c r="B167" s="160">
        <v>140</v>
      </c>
      <c r="C167" s="91" t="s">
        <v>657</v>
      </c>
      <c r="D167" s="91" t="s">
        <v>460</v>
      </c>
      <c r="E167" s="91"/>
      <c r="G167" s="104"/>
      <c r="H167" s="104"/>
      <c r="I167" s="86"/>
      <c r="J167" s="161"/>
      <c r="K167" s="161"/>
      <c r="L167" s="86"/>
      <c r="M167" s="161"/>
      <c r="N167" s="161"/>
    </row>
    <row r="168" spans="2:14">
      <c r="B168" s="160">
        <v>141</v>
      </c>
      <c r="C168" s="91" t="s">
        <v>657</v>
      </c>
      <c r="D168" s="91" t="s">
        <v>461</v>
      </c>
      <c r="E168" s="91"/>
      <c r="G168" s="104"/>
      <c r="H168" s="104"/>
      <c r="I168" s="86"/>
      <c r="J168" s="161"/>
      <c r="K168" s="161"/>
      <c r="L168" s="86"/>
      <c r="M168" s="161"/>
      <c r="N168" s="161"/>
    </row>
    <row r="169" spans="2:14">
      <c r="F169" s="14"/>
      <c r="G169" s="86"/>
      <c r="H169" s="115"/>
      <c r="I169" s="115"/>
      <c r="J169" s="86"/>
      <c r="K169" s="115"/>
      <c r="L169" s="115"/>
      <c r="M169" s="86"/>
      <c r="N169" s="115"/>
    </row>
    <row r="170" spans="2:14">
      <c r="B170" s="128" t="s">
        <v>9</v>
      </c>
      <c r="C170" s="129"/>
      <c r="D170" s="130"/>
      <c r="E170" s="130"/>
      <c r="G170" s="223" t="s">
        <v>107</v>
      </c>
      <c r="H170" s="224"/>
      <c r="I170" s="143"/>
      <c r="J170" s="223" t="s">
        <v>108</v>
      </c>
      <c r="K170" s="224"/>
      <c r="L170" s="143"/>
      <c r="M170" s="221" t="s">
        <v>109</v>
      </c>
      <c r="N170" s="222"/>
    </row>
    <row r="171" spans="2:14">
      <c r="B171" s="146" t="s">
        <v>112</v>
      </c>
      <c r="C171" s="131" t="s">
        <v>110</v>
      </c>
      <c r="D171" s="131"/>
      <c r="E171" s="131" t="s">
        <v>98</v>
      </c>
      <c r="G171" s="87" t="s">
        <v>498</v>
      </c>
      <c r="H171" s="87" t="s">
        <v>100</v>
      </c>
      <c r="I171" s="143"/>
      <c r="J171" s="87" t="s">
        <v>498</v>
      </c>
      <c r="K171" s="87" t="s">
        <v>100</v>
      </c>
      <c r="L171" s="143"/>
      <c r="M171" s="87" t="s">
        <v>498</v>
      </c>
      <c r="N171" s="87" t="s">
        <v>100</v>
      </c>
    </row>
    <row r="172" spans="2:14">
      <c r="B172" s="160">
        <v>72</v>
      </c>
      <c r="C172" s="91" t="s">
        <v>587</v>
      </c>
      <c r="D172" s="91" t="s">
        <v>589</v>
      </c>
      <c r="E172" s="91"/>
      <c r="G172" s="145"/>
      <c r="H172" s="104"/>
      <c r="I172" s="86"/>
      <c r="J172" s="145"/>
      <c r="K172" s="104"/>
      <c r="L172" s="86"/>
      <c r="M172" s="145"/>
      <c r="N172" s="104"/>
    </row>
    <row r="173" spans="2:14">
      <c r="B173" s="160">
        <v>73</v>
      </c>
      <c r="C173" s="91" t="s">
        <v>587</v>
      </c>
      <c r="D173" s="91" t="s">
        <v>590</v>
      </c>
      <c r="E173" s="91" t="s">
        <v>88</v>
      </c>
      <c r="G173" s="104"/>
      <c r="H173" s="104"/>
      <c r="I173" s="86"/>
      <c r="J173" s="104"/>
      <c r="K173" s="104"/>
      <c r="L173" s="86"/>
      <c r="M173" s="104"/>
      <c r="N173" s="104"/>
    </row>
    <row r="174" spans="2:14">
      <c r="B174" s="160">
        <v>74</v>
      </c>
      <c r="C174" s="91" t="s">
        <v>588</v>
      </c>
      <c r="D174" s="91" t="s">
        <v>591</v>
      </c>
      <c r="E174" s="91"/>
      <c r="G174" s="145"/>
      <c r="H174" s="104"/>
      <c r="I174" s="86"/>
      <c r="J174" s="145"/>
      <c r="K174" s="104"/>
      <c r="L174" s="86"/>
      <c r="M174" s="145"/>
      <c r="N174" s="104"/>
    </row>
    <row r="175" spans="2:14">
      <c r="B175" s="160">
        <v>75</v>
      </c>
      <c r="C175" s="91" t="s">
        <v>588</v>
      </c>
      <c r="D175" s="91" t="s">
        <v>592</v>
      </c>
      <c r="E175" s="91" t="s">
        <v>88</v>
      </c>
      <c r="G175" s="104"/>
      <c r="H175" s="104"/>
      <c r="I175" s="86"/>
      <c r="J175" s="104"/>
      <c r="K175" s="104"/>
      <c r="L175" s="86"/>
      <c r="M175" s="104"/>
      <c r="N175" s="104"/>
    </row>
    <row r="176" spans="2:14">
      <c r="B176" s="160">
        <v>76</v>
      </c>
      <c r="C176" s="91" t="s">
        <v>665</v>
      </c>
      <c r="D176" s="91" t="s">
        <v>668</v>
      </c>
      <c r="E176" s="91"/>
      <c r="G176" s="145"/>
      <c r="H176" s="104"/>
      <c r="I176" s="86"/>
      <c r="J176" s="145"/>
      <c r="K176" s="104"/>
      <c r="L176" s="86"/>
      <c r="M176" s="145"/>
      <c r="N176" s="104"/>
    </row>
    <row r="177" spans="2:14">
      <c r="B177" s="160">
        <v>77</v>
      </c>
      <c r="C177" s="91" t="s">
        <v>665</v>
      </c>
      <c r="D177" s="91" t="s">
        <v>669</v>
      </c>
      <c r="E177" s="91" t="s">
        <v>88</v>
      </c>
      <c r="G177" s="104"/>
      <c r="H177" s="104"/>
      <c r="I177" s="86"/>
      <c r="J177" s="104"/>
      <c r="K177" s="104"/>
      <c r="L177" s="86"/>
      <c r="M177" s="104"/>
      <c r="N177" s="104"/>
    </row>
    <row r="178" spans="2:14">
      <c r="B178" s="160">
        <v>76</v>
      </c>
      <c r="C178" s="91" t="s">
        <v>666</v>
      </c>
      <c r="D178" s="91" t="s">
        <v>670</v>
      </c>
      <c r="E178" s="91"/>
      <c r="G178" s="145"/>
      <c r="H178" s="104"/>
      <c r="I178" s="86"/>
      <c r="J178" s="161"/>
      <c r="K178" s="161"/>
      <c r="L178" s="86"/>
      <c r="M178" s="161"/>
      <c r="N178" s="161"/>
    </row>
    <row r="179" spans="2:14">
      <c r="B179" s="160">
        <v>77</v>
      </c>
      <c r="C179" s="91" t="s">
        <v>666</v>
      </c>
      <c r="D179" s="91" t="s">
        <v>671</v>
      </c>
      <c r="E179" s="91" t="s">
        <v>88</v>
      </c>
      <c r="G179" s="104"/>
      <c r="H179" s="104"/>
      <c r="I179" s="86"/>
      <c r="J179" s="161"/>
      <c r="K179" s="161"/>
      <c r="L179" s="86"/>
      <c r="M179" s="161"/>
      <c r="N179" s="161"/>
    </row>
    <row r="180" spans="2:14">
      <c r="B180" s="160">
        <v>76</v>
      </c>
      <c r="C180" s="91" t="s">
        <v>667</v>
      </c>
      <c r="D180" s="91" t="s">
        <v>672</v>
      </c>
      <c r="E180" s="91"/>
      <c r="G180" s="145"/>
      <c r="H180" s="104"/>
      <c r="I180" s="86"/>
      <c r="J180" s="161"/>
      <c r="K180" s="161"/>
      <c r="L180" s="86"/>
      <c r="M180" s="161"/>
      <c r="N180" s="161"/>
    </row>
    <row r="181" spans="2:14">
      <c r="B181" s="160">
        <v>77</v>
      </c>
      <c r="C181" s="91" t="s">
        <v>667</v>
      </c>
      <c r="D181" s="91" t="s">
        <v>673</v>
      </c>
      <c r="E181" s="91" t="s">
        <v>88</v>
      </c>
      <c r="G181" s="104"/>
      <c r="H181" s="104"/>
      <c r="I181" s="86"/>
      <c r="J181" s="161"/>
      <c r="K181" s="161"/>
      <c r="L181" s="86"/>
      <c r="M181" s="161"/>
      <c r="N181" s="161"/>
    </row>
    <row r="182" spans="2:14">
      <c r="G182" s="86"/>
      <c r="H182" s="86"/>
      <c r="I182" s="86"/>
      <c r="J182" s="86"/>
      <c r="K182" s="86"/>
      <c r="L182" s="86"/>
      <c r="M182" s="86"/>
      <c r="N182" s="86"/>
    </row>
    <row r="183" spans="2:14" ht="12" customHeight="1">
      <c r="B183" s="132" t="s">
        <v>12</v>
      </c>
      <c r="C183" s="133"/>
      <c r="D183" s="133"/>
      <c r="E183" s="134"/>
      <c r="G183" s="223" t="s">
        <v>107</v>
      </c>
      <c r="H183" s="224"/>
      <c r="I183" s="143"/>
      <c r="J183" s="223" t="s">
        <v>108</v>
      </c>
      <c r="K183" s="224"/>
      <c r="L183" s="143"/>
      <c r="M183" s="221" t="s">
        <v>109</v>
      </c>
      <c r="N183" s="222"/>
    </row>
    <row r="184" spans="2:14">
      <c r="B184" s="147" t="s">
        <v>112</v>
      </c>
      <c r="C184" s="147" t="s">
        <v>110</v>
      </c>
      <c r="D184" s="147"/>
      <c r="E184" s="147" t="s">
        <v>98</v>
      </c>
      <c r="G184" s="87" t="s">
        <v>498</v>
      </c>
      <c r="H184" s="87" t="s">
        <v>100</v>
      </c>
      <c r="I184" s="143"/>
      <c r="J184" s="87" t="s">
        <v>498</v>
      </c>
      <c r="K184" s="87" t="s">
        <v>100</v>
      </c>
      <c r="L184" s="143"/>
      <c r="M184" s="87" t="s">
        <v>498</v>
      </c>
      <c r="N184" s="87" t="s">
        <v>100</v>
      </c>
    </row>
    <row r="185" spans="2:14">
      <c r="B185" s="160">
        <v>78</v>
      </c>
      <c r="C185" s="91" t="s">
        <v>594</v>
      </c>
      <c r="D185" s="91" t="s">
        <v>570</v>
      </c>
      <c r="E185" s="91"/>
      <c r="G185" s="145"/>
      <c r="H185" s="104"/>
      <c r="I185" s="86"/>
      <c r="J185" s="145"/>
      <c r="K185" s="104"/>
      <c r="L185" s="86"/>
      <c r="M185" s="145"/>
      <c r="N185" s="104"/>
    </row>
    <row r="186" spans="2:14">
      <c r="B186" s="160">
        <v>79</v>
      </c>
      <c r="C186" s="91" t="s">
        <v>594</v>
      </c>
      <c r="D186" s="91" t="s">
        <v>675</v>
      </c>
      <c r="E186" s="91" t="s">
        <v>58</v>
      </c>
      <c r="G186" s="104"/>
      <c r="H186" s="104"/>
      <c r="I186" s="86"/>
      <c r="J186" s="104"/>
      <c r="K186" s="104"/>
      <c r="L186" s="86"/>
      <c r="M186" s="104"/>
      <c r="N186" s="104"/>
    </row>
    <row r="187" spans="2:14">
      <c r="B187" s="160">
        <v>80</v>
      </c>
      <c r="C187" s="91" t="s">
        <v>595</v>
      </c>
      <c r="D187" s="91" t="s">
        <v>570</v>
      </c>
      <c r="E187" s="91"/>
      <c r="G187" s="145"/>
      <c r="H187" s="104"/>
      <c r="I187" s="86"/>
      <c r="J187" s="145"/>
      <c r="K187" s="104"/>
      <c r="L187" s="86"/>
      <c r="M187" s="145"/>
      <c r="N187" s="104"/>
    </row>
    <row r="188" spans="2:14">
      <c r="B188" s="160">
        <v>81</v>
      </c>
      <c r="C188" s="91" t="s">
        <v>595</v>
      </c>
      <c r="D188" s="91" t="s">
        <v>676</v>
      </c>
      <c r="E188" s="91" t="s">
        <v>58</v>
      </c>
      <c r="G188" s="104"/>
      <c r="H188" s="104"/>
      <c r="I188" s="86"/>
      <c r="J188" s="104"/>
      <c r="K188" s="104"/>
      <c r="L188" s="86"/>
      <c r="M188" s="104"/>
      <c r="N188" s="104"/>
    </row>
    <row r="189" spans="2:14">
      <c r="B189" s="160">
        <v>82</v>
      </c>
      <c r="C189" s="91" t="s">
        <v>674</v>
      </c>
      <c r="D189" s="91" t="s">
        <v>570</v>
      </c>
      <c r="E189" s="91"/>
      <c r="G189" s="145"/>
      <c r="H189" s="104"/>
      <c r="I189" s="86"/>
      <c r="J189" s="145"/>
      <c r="K189" s="104"/>
      <c r="L189" s="86"/>
      <c r="M189" s="145"/>
      <c r="N189" s="104"/>
    </row>
    <row r="190" spans="2:14">
      <c r="B190" s="160">
        <v>83</v>
      </c>
      <c r="C190" s="91" t="s">
        <v>674</v>
      </c>
      <c r="D190" s="91" t="s">
        <v>677</v>
      </c>
      <c r="E190" s="91" t="s">
        <v>58</v>
      </c>
      <c r="G190" s="104"/>
      <c r="H190" s="104"/>
      <c r="I190" s="86"/>
      <c r="J190" s="104"/>
      <c r="K190" s="104"/>
      <c r="L190" s="86"/>
      <c r="M190" s="104"/>
      <c r="N190" s="104"/>
    </row>
    <row r="191" spans="2:14">
      <c r="G191" s="86"/>
      <c r="H191" s="86"/>
      <c r="I191" s="86"/>
      <c r="J191" s="86"/>
      <c r="K191" s="86"/>
      <c r="L191" s="86"/>
      <c r="M191" s="86"/>
      <c r="N191" s="86"/>
    </row>
    <row r="192" spans="2:14">
      <c r="B192" s="135" t="s">
        <v>6</v>
      </c>
      <c r="C192" s="136"/>
      <c r="D192" s="137"/>
      <c r="G192" s="223" t="s">
        <v>107</v>
      </c>
      <c r="H192" s="224"/>
      <c r="I192" s="143"/>
      <c r="J192" s="223" t="s">
        <v>108</v>
      </c>
      <c r="K192" s="224"/>
      <c r="L192" s="86"/>
      <c r="M192" s="221" t="s">
        <v>109</v>
      </c>
      <c r="N192" s="222"/>
    </row>
    <row r="193" spans="2:14">
      <c r="B193" s="138" t="s">
        <v>112</v>
      </c>
      <c r="C193" s="138" t="s">
        <v>110</v>
      </c>
      <c r="D193" s="138" t="s">
        <v>98</v>
      </c>
      <c r="G193" s="87" t="s">
        <v>498</v>
      </c>
      <c r="H193" s="87" t="s">
        <v>100</v>
      </c>
      <c r="I193" s="143"/>
      <c r="J193" s="87" t="s">
        <v>498</v>
      </c>
      <c r="K193" s="87" t="s">
        <v>100</v>
      </c>
      <c r="L193" s="143"/>
      <c r="M193" s="87" t="s">
        <v>498</v>
      </c>
      <c r="N193" s="87" t="s">
        <v>100</v>
      </c>
    </row>
    <row r="194" spans="2:14">
      <c r="B194" s="105">
        <v>84</v>
      </c>
      <c r="C194" s="105" t="s">
        <v>696</v>
      </c>
      <c r="D194" s="91" t="s">
        <v>488</v>
      </c>
      <c r="G194" s="104">
        <v>10</v>
      </c>
      <c r="H194" s="104"/>
      <c r="I194" s="86"/>
      <c r="J194" s="104"/>
      <c r="K194" s="104"/>
      <c r="L194" s="86"/>
      <c r="M194" s="104"/>
      <c r="N194" s="104"/>
    </row>
    <row r="195" spans="2:14">
      <c r="B195" s="105">
        <v>85</v>
      </c>
      <c r="C195" s="105" t="s">
        <v>697</v>
      </c>
      <c r="D195" s="91" t="s">
        <v>488</v>
      </c>
      <c r="G195" s="104"/>
      <c r="H195" s="104"/>
      <c r="I195" s="86"/>
      <c r="J195" s="104"/>
      <c r="K195" s="104"/>
      <c r="L195" s="86"/>
      <c r="M195" s="104"/>
      <c r="N195" s="104"/>
    </row>
    <row r="196" spans="2:14">
      <c r="B196" s="105">
        <v>86</v>
      </c>
      <c r="C196" s="105" t="s">
        <v>698</v>
      </c>
      <c r="D196" s="91" t="s">
        <v>488</v>
      </c>
      <c r="G196" s="104"/>
      <c r="H196" s="104"/>
      <c r="I196" s="86"/>
      <c r="J196" s="104"/>
      <c r="K196" s="104"/>
      <c r="L196" s="86"/>
      <c r="M196" s="104"/>
      <c r="N196" s="104"/>
    </row>
    <row r="197" spans="2:14">
      <c r="B197" s="105">
        <v>87</v>
      </c>
      <c r="C197" s="105" t="s">
        <v>699</v>
      </c>
      <c r="D197" s="91" t="s">
        <v>488</v>
      </c>
      <c r="G197" s="104"/>
      <c r="H197" s="104"/>
      <c r="I197" s="86"/>
      <c r="J197" s="104"/>
      <c r="K197" s="104"/>
      <c r="L197" s="86"/>
      <c r="M197" s="104"/>
      <c r="N197" s="104"/>
    </row>
    <row r="198" spans="2:14">
      <c r="B198" s="105">
        <v>88</v>
      </c>
      <c r="C198" s="105" t="s">
        <v>700</v>
      </c>
      <c r="D198" s="91" t="s">
        <v>488</v>
      </c>
      <c r="E198" s="1"/>
      <c r="G198" s="104"/>
      <c r="H198" s="104"/>
      <c r="I198" s="86"/>
      <c r="J198" s="104"/>
      <c r="K198" s="104"/>
      <c r="L198" s="86"/>
      <c r="M198" s="104"/>
      <c r="N198" s="104"/>
    </row>
    <row r="199" spans="2:14">
      <c r="B199" s="105">
        <v>89</v>
      </c>
      <c r="C199" s="105" t="s">
        <v>701</v>
      </c>
      <c r="D199" s="91" t="s">
        <v>488</v>
      </c>
      <c r="E199" s="1"/>
      <c r="G199" s="104"/>
      <c r="H199" s="104"/>
      <c r="I199" s="86"/>
      <c r="J199" s="104"/>
      <c r="K199" s="104"/>
      <c r="L199" s="86"/>
      <c r="M199" s="104"/>
      <c r="N199" s="104"/>
    </row>
    <row r="200" spans="2:14">
      <c r="B200" s="105">
        <v>90</v>
      </c>
      <c r="C200" s="105" t="s">
        <v>702</v>
      </c>
      <c r="D200" s="91" t="s">
        <v>488</v>
      </c>
      <c r="E200" s="1"/>
      <c r="G200" s="104"/>
      <c r="H200" s="104"/>
      <c r="I200" s="86"/>
      <c r="J200" s="104"/>
      <c r="K200" s="104"/>
      <c r="L200" s="86"/>
      <c r="M200" s="104"/>
      <c r="N200" s="104"/>
    </row>
    <row r="201" spans="2:14">
      <c r="B201" s="105">
        <v>91</v>
      </c>
      <c r="C201" s="105" t="s">
        <v>703</v>
      </c>
      <c r="D201" s="91" t="s">
        <v>488</v>
      </c>
      <c r="E201" s="1"/>
      <c r="G201" s="104"/>
      <c r="H201" s="104"/>
      <c r="I201" s="86"/>
      <c r="J201" s="104"/>
      <c r="K201" s="104"/>
      <c r="L201" s="86"/>
      <c r="M201" s="104"/>
      <c r="N201" s="104"/>
    </row>
    <row r="202" spans="2:14">
      <c r="B202" s="105">
        <v>92</v>
      </c>
      <c r="C202" s="105" t="s">
        <v>704</v>
      </c>
      <c r="D202" s="91" t="s">
        <v>488</v>
      </c>
      <c r="E202" s="1"/>
      <c r="G202" s="104"/>
      <c r="H202" s="104"/>
      <c r="I202" s="86"/>
      <c r="J202" s="104"/>
      <c r="K202" s="104"/>
      <c r="L202" s="86"/>
      <c r="M202" s="104"/>
      <c r="N202" s="104"/>
    </row>
    <row r="203" spans="2:14">
      <c r="B203" s="105">
        <v>93</v>
      </c>
      <c r="C203" s="105" t="s">
        <v>705</v>
      </c>
      <c r="D203" s="91" t="s">
        <v>488</v>
      </c>
      <c r="E203" s="1"/>
      <c r="G203" s="104"/>
      <c r="H203" s="104"/>
      <c r="I203" s="86"/>
      <c r="J203" s="104"/>
      <c r="K203" s="104"/>
      <c r="L203" s="86"/>
      <c r="M203" s="104"/>
      <c r="N203" s="104"/>
    </row>
    <row r="204" spans="2:14">
      <c r="B204" s="105">
        <v>94</v>
      </c>
      <c r="C204" s="105" t="s">
        <v>706</v>
      </c>
      <c r="D204" s="91" t="s">
        <v>488</v>
      </c>
      <c r="E204" s="1"/>
      <c r="G204" s="104"/>
      <c r="H204" s="104"/>
      <c r="I204" s="86"/>
      <c r="J204" s="104"/>
      <c r="K204" s="104"/>
      <c r="L204" s="86"/>
      <c r="M204" s="104"/>
      <c r="N204" s="104"/>
    </row>
    <row r="205" spans="2:14">
      <c r="B205" s="105">
        <v>95</v>
      </c>
      <c r="C205" s="105" t="s">
        <v>707</v>
      </c>
      <c r="D205" s="91" t="s">
        <v>488</v>
      </c>
      <c r="E205" s="1"/>
      <c r="G205" s="104"/>
      <c r="H205" s="104"/>
      <c r="I205" s="86"/>
      <c r="J205" s="104"/>
      <c r="K205" s="104"/>
      <c r="L205" s="86"/>
      <c r="M205" s="104"/>
      <c r="N205" s="104"/>
    </row>
    <row r="206" spans="2:14">
      <c r="B206" s="105">
        <v>96</v>
      </c>
      <c r="C206" s="105" t="s">
        <v>708</v>
      </c>
      <c r="D206" s="91" t="s">
        <v>488</v>
      </c>
      <c r="E206" s="1"/>
      <c r="G206" s="104"/>
      <c r="H206" s="104"/>
      <c r="I206" s="86"/>
      <c r="J206" s="104"/>
      <c r="K206" s="104"/>
      <c r="L206" s="86"/>
      <c r="M206" s="104"/>
      <c r="N206" s="104"/>
    </row>
    <row r="207" spans="2:14">
      <c r="B207" s="105">
        <v>97</v>
      </c>
      <c r="C207" s="105" t="s">
        <v>709</v>
      </c>
      <c r="D207" s="91" t="s">
        <v>488</v>
      </c>
      <c r="E207" s="1"/>
      <c r="G207" s="104"/>
      <c r="H207" s="104"/>
      <c r="I207" s="86"/>
      <c r="J207" s="104"/>
      <c r="K207" s="104"/>
      <c r="L207" s="86"/>
      <c r="M207" s="104"/>
      <c r="N207" s="104"/>
    </row>
    <row r="208" spans="2:14">
      <c r="B208" s="105">
        <v>98</v>
      </c>
      <c r="C208" s="105" t="s">
        <v>710</v>
      </c>
      <c r="D208" s="91" t="s">
        <v>488</v>
      </c>
      <c r="E208" s="1"/>
      <c r="G208" s="104"/>
      <c r="H208" s="104"/>
      <c r="I208" s="86"/>
      <c r="J208" s="104"/>
      <c r="K208" s="104"/>
      <c r="L208" s="86"/>
      <c r="M208" s="104"/>
      <c r="N208" s="104"/>
    </row>
    <row r="209" spans="2:14">
      <c r="B209" s="105">
        <v>99</v>
      </c>
      <c r="C209" s="105" t="s">
        <v>714</v>
      </c>
      <c r="D209" s="91" t="s">
        <v>488</v>
      </c>
      <c r="E209" s="1"/>
      <c r="G209" s="104"/>
      <c r="H209" s="104"/>
      <c r="I209" s="86"/>
      <c r="J209" s="104"/>
      <c r="K209" s="104"/>
      <c r="L209" s="86"/>
      <c r="M209" s="104"/>
      <c r="N209" s="104"/>
    </row>
    <row r="210" spans="2:14">
      <c r="B210" s="105">
        <v>100</v>
      </c>
      <c r="C210" s="105" t="s">
        <v>719</v>
      </c>
      <c r="D210" s="91" t="s">
        <v>488</v>
      </c>
      <c r="E210" s="1"/>
      <c r="G210" s="104"/>
      <c r="H210" s="104"/>
      <c r="I210" s="86"/>
      <c r="J210" s="104"/>
      <c r="K210" s="104"/>
      <c r="L210" s="86"/>
      <c r="M210" s="104"/>
      <c r="N210" s="104"/>
    </row>
    <row r="211" spans="2:14">
      <c r="B211" s="105">
        <v>101</v>
      </c>
      <c r="C211" s="105" t="s">
        <v>715</v>
      </c>
      <c r="D211" s="91" t="s">
        <v>488</v>
      </c>
      <c r="E211" s="1"/>
      <c r="G211" s="104"/>
      <c r="H211" s="104"/>
      <c r="I211" s="86"/>
      <c r="J211" s="104"/>
      <c r="K211" s="104"/>
      <c r="L211" s="86"/>
      <c r="M211" s="104"/>
      <c r="N211" s="104"/>
    </row>
    <row r="212" spans="2:14">
      <c r="B212" s="105">
        <v>102</v>
      </c>
      <c r="C212" s="105" t="s">
        <v>716</v>
      </c>
      <c r="D212" s="91" t="s">
        <v>488</v>
      </c>
      <c r="E212" s="1"/>
      <c r="G212" s="104"/>
      <c r="H212" s="104"/>
      <c r="I212" s="86"/>
      <c r="J212" s="104"/>
      <c r="K212" s="104"/>
      <c r="L212" s="86"/>
      <c r="M212" s="104"/>
      <c r="N212" s="104"/>
    </row>
    <row r="213" spans="2:14">
      <c r="B213" s="105">
        <v>103</v>
      </c>
      <c r="C213" s="105" t="s">
        <v>717</v>
      </c>
      <c r="D213" s="91" t="s">
        <v>488</v>
      </c>
      <c r="E213" s="1"/>
      <c r="G213" s="104"/>
      <c r="H213" s="104"/>
      <c r="I213" s="86"/>
      <c r="J213" s="104"/>
      <c r="K213" s="104"/>
      <c r="L213" s="86"/>
      <c r="M213" s="104"/>
      <c r="N213" s="104"/>
    </row>
    <row r="214" spans="2:14">
      <c r="B214" s="105">
        <v>104</v>
      </c>
      <c r="C214" s="105" t="s">
        <v>718</v>
      </c>
      <c r="D214" s="91" t="s">
        <v>488</v>
      </c>
      <c r="E214" s="1"/>
      <c r="G214" s="104"/>
      <c r="H214" s="104"/>
      <c r="I214" s="86"/>
      <c r="J214" s="104"/>
      <c r="K214" s="104"/>
      <c r="L214" s="86"/>
      <c r="M214" s="104"/>
      <c r="N214" s="104"/>
    </row>
    <row r="215" spans="2:14">
      <c r="B215" s="105">
        <v>105</v>
      </c>
      <c r="C215" s="105" t="s">
        <v>713</v>
      </c>
      <c r="D215" s="91" t="s">
        <v>488</v>
      </c>
      <c r="E215" s="1"/>
      <c r="G215" s="104"/>
      <c r="H215" s="104"/>
      <c r="I215" s="86"/>
      <c r="J215" s="104"/>
      <c r="K215" s="104"/>
      <c r="L215" s="86"/>
      <c r="M215" s="104"/>
      <c r="N215" s="104"/>
    </row>
    <row r="216" spans="2:14">
      <c r="B216" s="105">
        <v>106</v>
      </c>
      <c r="C216" s="105" t="s">
        <v>712</v>
      </c>
      <c r="D216" s="91" t="s">
        <v>488</v>
      </c>
      <c r="E216" s="1"/>
      <c r="G216" s="104"/>
      <c r="H216" s="104"/>
      <c r="I216" s="86"/>
      <c r="J216" s="104"/>
      <c r="K216" s="104"/>
      <c r="L216" s="86"/>
      <c r="M216" s="104"/>
      <c r="N216" s="104"/>
    </row>
    <row r="217" spans="2:14">
      <c r="B217" s="105">
        <v>107</v>
      </c>
      <c r="C217" s="105" t="s">
        <v>711</v>
      </c>
      <c r="D217" s="91" t="s">
        <v>488</v>
      </c>
      <c r="E217" s="1"/>
      <c r="G217" s="104"/>
      <c r="H217" s="104"/>
      <c r="I217" s="86"/>
      <c r="J217" s="104"/>
      <c r="K217" s="104"/>
      <c r="L217" s="86"/>
      <c r="M217" s="104"/>
      <c r="N217" s="104"/>
    </row>
    <row r="218" spans="2:14">
      <c r="B218" s="105">
        <v>108</v>
      </c>
      <c r="C218" s="105" t="s">
        <v>720</v>
      </c>
      <c r="D218" s="91" t="s">
        <v>488</v>
      </c>
      <c r="E218" s="1"/>
      <c r="G218" s="104"/>
      <c r="H218" s="104"/>
      <c r="I218" s="86"/>
      <c r="J218" s="104"/>
      <c r="K218" s="104"/>
      <c r="L218" s="86"/>
      <c r="M218" s="104"/>
      <c r="N218" s="104"/>
    </row>
    <row r="219" spans="2:14">
      <c r="G219" s="86"/>
      <c r="H219" s="86"/>
      <c r="I219" s="86"/>
      <c r="J219" s="86"/>
      <c r="K219" s="86"/>
      <c r="L219" s="86"/>
      <c r="M219" s="86"/>
      <c r="N219" s="86"/>
    </row>
    <row r="220" spans="2:14">
      <c r="B220" s="132" t="s">
        <v>336</v>
      </c>
      <c r="C220" s="133"/>
      <c r="D220" s="133"/>
      <c r="E220" s="1"/>
      <c r="G220" s="223" t="s">
        <v>107</v>
      </c>
      <c r="H220" s="224"/>
      <c r="I220" s="143"/>
      <c r="J220" s="223" t="s">
        <v>108</v>
      </c>
      <c r="K220" s="224"/>
      <c r="L220" s="143"/>
      <c r="M220" s="221" t="s">
        <v>109</v>
      </c>
      <c r="N220" s="222"/>
    </row>
    <row r="221" spans="2:14">
      <c r="B221" s="108" t="s">
        <v>112</v>
      </c>
      <c r="C221" s="108" t="s">
        <v>110</v>
      </c>
      <c r="D221" s="108" t="s">
        <v>98</v>
      </c>
      <c r="E221" s="1"/>
      <c r="G221" s="87" t="s">
        <v>498</v>
      </c>
      <c r="H221" s="87" t="s">
        <v>100</v>
      </c>
      <c r="I221" s="143"/>
      <c r="J221" s="87" t="s">
        <v>498</v>
      </c>
      <c r="K221" s="87" t="s">
        <v>100</v>
      </c>
      <c r="L221" s="143"/>
      <c r="M221" s="87" t="s">
        <v>498</v>
      </c>
      <c r="N221" s="87" t="s">
        <v>100</v>
      </c>
    </row>
    <row r="222" spans="2:14">
      <c r="B222" s="160">
        <v>109</v>
      </c>
      <c r="C222" s="91" t="s">
        <v>359</v>
      </c>
      <c r="D222" s="91" t="s">
        <v>113</v>
      </c>
      <c r="G222" s="104"/>
      <c r="H222" s="104"/>
      <c r="I222" s="86"/>
      <c r="J222" s="104"/>
      <c r="K222" s="104"/>
      <c r="L222" s="86"/>
      <c r="M222" s="104"/>
      <c r="N222" s="104"/>
    </row>
    <row r="223" spans="2:14">
      <c r="B223" s="160">
        <v>110</v>
      </c>
      <c r="C223" s="91" t="s">
        <v>360</v>
      </c>
      <c r="D223" s="91" t="s">
        <v>113</v>
      </c>
      <c r="G223" s="104"/>
      <c r="H223" s="104"/>
      <c r="I223" s="86"/>
      <c r="J223" s="104"/>
      <c r="K223" s="104"/>
      <c r="L223" s="86"/>
      <c r="M223" s="104"/>
      <c r="N223" s="104"/>
    </row>
    <row r="224" spans="2:14">
      <c r="B224" s="160">
        <v>111</v>
      </c>
      <c r="C224" s="91" t="s">
        <v>361</v>
      </c>
      <c r="D224" s="91" t="s">
        <v>113</v>
      </c>
      <c r="G224" s="104"/>
      <c r="H224" s="104"/>
      <c r="I224" s="86"/>
      <c r="J224" s="104"/>
      <c r="K224" s="104"/>
      <c r="L224" s="86"/>
      <c r="M224" s="104"/>
      <c r="N224" s="104"/>
    </row>
    <row r="225" spans="2:14">
      <c r="B225" s="160">
        <v>112</v>
      </c>
      <c r="C225" s="91" t="s">
        <v>281</v>
      </c>
      <c r="D225" s="91" t="str">
        <f>IFERROR(VLOOKUP('General Information'!$D$6, Validations!$L$2:$M$8, 2,FALSE), "")</f>
        <v>€/ha</v>
      </c>
      <c r="G225" s="104"/>
      <c r="H225" s="104"/>
      <c r="I225" s="86"/>
      <c r="J225" s="104"/>
      <c r="K225" s="104"/>
      <c r="L225" s="86"/>
      <c r="M225" s="104"/>
      <c r="N225" s="104"/>
    </row>
    <row r="226" spans="2:14">
      <c r="B226" s="160">
        <v>113</v>
      </c>
      <c r="C226" s="91" t="s">
        <v>609</v>
      </c>
      <c r="D226" s="91" t="s">
        <v>105</v>
      </c>
      <c r="G226" s="104"/>
      <c r="H226" s="104"/>
      <c r="I226" s="86"/>
      <c r="J226" s="104"/>
      <c r="K226" s="104"/>
      <c r="L226" s="86"/>
      <c r="M226" s="104"/>
      <c r="N226" s="104"/>
    </row>
    <row r="227" spans="2:14">
      <c r="B227" s="160">
        <v>114</v>
      </c>
      <c r="C227" s="91" t="s">
        <v>363</v>
      </c>
      <c r="D227" s="91" t="s">
        <v>105</v>
      </c>
      <c r="G227" s="104"/>
      <c r="H227" s="104"/>
      <c r="I227" s="86"/>
      <c r="J227" s="104"/>
      <c r="K227" s="104"/>
      <c r="L227" s="86"/>
      <c r="M227" s="104"/>
      <c r="N227" s="104"/>
    </row>
    <row r="228" spans="2:14">
      <c r="B228" s="160">
        <v>115</v>
      </c>
      <c r="C228" s="91" t="s">
        <v>364</v>
      </c>
      <c r="D228" s="91" t="s">
        <v>365</v>
      </c>
      <c r="G228" s="104"/>
      <c r="H228" s="104"/>
      <c r="I228" s="86"/>
      <c r="J228" s="104"/>
      <c r="K228" s="104"/>
      <c r="L228" s="86"/>
      <c r="M228" s="104"/>
      <c r="N228" s="104"/>
    </row>
    <row r="229" spans="2:14">
      <c r="G229" s="86"/>
      <c r="H229" s="86"/>
      <c r="I229" s="86"/>
      <c r="J229" s="86"/>
      <c r="K229" s="86"/>
      <c r="L229" s="86"/>
      <c r="M229" s="86"/>
      <c r="N229" s="86"/>
    </row>
    <row r="230" spans="2:14">
      <c r="B230" s="124" t="s">
        <v>278</v>
      </c>
      <c r="C230" s="125"/>
      <c r="D230" s="125"/>
      <c r="E230" s="139"/>
      <c r="G230" s="223" t="s">
        <v>107</v>
      </c>
      <c r="H230" s="224"/>
      <c r="I230" s="143"/>
      <c r="J230" s="223" t="s">
        <v>108</v>
      </c>
      <c r="K230" s="224"/>
      <c r="L230" s="143"/>
      <c r="M230" s="221" t="s">
        <v>109</v>
      </c>
      <c r="N230" s="222"/>
    </row>
    <row r="231" spans="2:14">
      <c r="B231" s="127" t="s">
        <v>112</v>
      </c>
      <c r="C231" s="127" t="s">
        <v>110</v>
      </c>
      <c r="D231" s="127" t="s">
        <v>98</v>
      </c>
      <c r="E231" s="140"/>
      <c r="G231" s="87" t="s">
        <v>498</v>
      </c>
      <c r="H231" s="87" t="s">
        <v>100</v>
      </c>
      <c r="I231" s="143"/>
      <c r="J231" s="87" t="s">
        <v>498</v>
      </c>
      <c r="K231" s="87" t="s">
        <v>100</v>
      </c>
      <c r="L231" s="143"/>
      <c r="M231" s="87" t="s">
        <v>498</v>
      </c>
      <c r="N231" s="87" t="s">
        <v>100</v>
      </c>
    </row>
    <row r="232" spans="2:14">
      <c r="B232" s="160">
        <v>116</v>
      </c>
      <c r="C232" s="91" t="s">
        <v>559</v>
      </c>
      <c r="D232" s="91" t="s">
        <v>113</v>
      </c>
      <c r="G232" s="104"/>
      <c r="H232" s="104"/>
      <c r="I232" s="86"/>
      <c r="J232" s="104"/>
      <c r="K232" s="104"/>
      <c r="L232" s="86"/>
      <c r="M232" s="104"/>
      <c r="N232" s="104"/>
    </row>
    <row r="233" spans="2:14">
      <c r="B233" s="160">
        <v>117</v>
      </c>
      <c r="C233" s="91" t="s">
        <v>114</v>
      </c>
      <c r="D233" s="91" t="s">
        <v>113</v>
      </c>
      <c r="G233" s="104"/>
      <c r="H233" s="104"/>
      <c r="I233" s="86"/>
      <c r="J233" s="104"/>
      <c r="K233" s="104"/>
      <c r="L233" s="86"/>
      <c r="M233" s="104"/>
      <c r="N233" s="104"/>
    </row>
    <row r="234" spans="2:14">
      <c r="B234" s="160">
        <v>118</v>
      </c>
      <c r="C234" s="91" t="s">
        <v>124</v>
      </c>
      <c r="D234" s="91" t="s">
        <v>113</v>
      </c>
      <c r="G234" s="104"/>
      <c r="H234" s="104"/>
      <c r="I234" s="86"/>
      <c r="J234" s="104"/>
      <c r="K234" s="104"/>
      <c r="L234" s="86"/>
      <c r="M234" s="104"/>
      <c r="N234" s="104"/>
    </row>
    <row r="235" spans="2:14">
      <c r="B235" s="160">
        <v>119</v>
      </c>
      <c r="C235" s="91" t="s">
        <v>131</v>
      </c>
      <c r="D235" s="91" t="s">
        <v>113</v>
      </c>
      <c r="G235" s="104"/>
      <c r="H235" s="104"/>
      <c r="I235" s="86"/>
      <c r="J235" s="104"/>
      <c r="K235" s="104"/>
      <c r="L235" s="86"/>
      <c r="M235" s="104"/>
      <c r="N235" s="104"/>
    </row>
    <row r="236" spans="2:14">
      <c r="B236" s="160">
        <v>120</v>
      </c>
      <c r="C236" s="91" t="s">
        <v>130</v>
      </c>
      <c r="D236" s="91" t="s">
        <v>62</v>
      </c>
      <c r="G236" s="104"/>
      <c r="H236" s="104"/>
      <c r="I236" s="86"/>
      <c r="J236" s="104"/>
      <c r="K236" s="104"/>
      <c r="L236" s="86"/>
      <c r="M236" s="104"/>
      <c r="N236" s="104"/>
    </row>
    <row r="237" spans="2:14">
      <c r="B237" s="160">
        <v>121</v>
      </c>
      <c r="C237" s="91" t="s">
        <v>327</v>
      </c>
      <c r="D237" s="92" t="s">
        <v>113</v>
      </c>
      <c r="G237" s="104"/>
      <c r="H237" s="104"/>
      <c r="I237" s="86"/>
      <c r="J237" s="104"/>
      <c r="K237" s="104"/>
      <c r="L237" s="86"/>
      <c r="M237" s="104"/>
      <c r="N237" s="104"/>
    </row>
    <row r="238" spans="2:14" ht="18">
      <c r="C238" s="141"/>
      <c r="G238" s="86"/>
      <c r="H238" s="86"/>
      <c r="I238" s="86"/>
      <c r="J238" s="86"/>
      <c r="K238" s="86"/>
      <c r="L238" s="86"/>
      <c r="M238" s="86"/>
      <c r="N238" s="86"/>
    </row>
    <row r="239" spans="2:14">
      <c r="B239" s="116" t="s">
        <v>279</v>
      </c>
      <c r="C239" s="117"/>
      <c r="D239" s="118"/>
      <c r="E239" s="12"/>
      <c r="G239" s="223" t="s">
        <v>107</v>
      </c>
      <c r="H239" s="224"/>
      <c r="I239" s="143"/>
      <c r="J239" s="223" t="s">
        <v>108</v>
      </c>
      <c r="K239" s="224"/>
      <c r="L239" s="143"/>
      <c r="M239" s="221" t="s">
        <v>109</v>
      </c>
      <c r="N239" s="222"/>
    </row>
    <row r="240" spans="2:14">
      <c r="B240" s="119" t="s">
        <v>112</v>
      </c>
      <c r="C240" s="119" t="s">
        <v>110</v>
      </c>
      <c r="D240" s="119" t="s">
        <v>98</v>
      </c>
      <c r="E240" s="18"/>
      <c r="G240" s="87" t="s">
        <v>498</v>
      </c>
      <c r="H240" s="87" t="s">
        <v>100</v>
      </c>
      <c r="I240" s="143"/>
      <c r="J240" s="87" t="s">
        <v>498</v>
      </c>
      <c r="K240" s="87" t="s">
        <v>100</v>
      </c>
      <c r="L240" s="143"/>
      <c r="M240" s="87" t="s">
        <v>498</v>
      </c>
      <c r="N240" s="87" t="s">
        <v>100</v>
      </c>
    </row>
    <row r="241" spans="2:14">
      <c r="B241" s="160">
        <v>122</v>
      </c>
      <c r="C241" s="91" t="s">
        <v>132</v>
      </c>
      <c r="D241" s="91" t="s">
        <v>113</v>
      </c>
      <c r="G241" s="104"/>
      <c r="H241" s="104"/>
      <c r="I241" s="86"/>
      <c r="J241" s="104"/>
      <c r="K241" s="104"/>
      <c r="L241" s="86"/>
      <c r="M241" s="104"/>
      <c r="N241" s="104"/>
    </row>
    <row r="242" spans="2:14">
      <c r="B242" s="160">
        <v>123</v>
      </c>
      <c r="C242" s="91" t="s">
        <v>115</v>
      </c>
      <c r="D242" s="91" t="s">
        <v>113</v>
      </c>
      <c r="G242" s="104"/>
      <c r="H242" s="104"/>
      <c r="I242" s="86"/>
      <c r="J242" s="104"/>
      <c r="K242" s="104"/>
      <c r="L242" s="86"/>
      <c r="M242" s="104"/>
      <c r="N242" s="104"/>
    </row>
    <row r="243" spans="2:14">
      <c r="B243" s="160">
        <v>124</v>
      </c>
      <c r="C243" s="91" t="s">
        <v>133</v>
      </c>
      <c r="D243" s="91" t="s">
        <v>60</v>
      </c>
      <c r="G243" s="104"/>
      <c r="H243" s="104"/>
      <c r="I243" s="86"/>
      <c r="J243" s="104"/>
      <c r="K243" s="104"/>
      <c r="L243" s="86"/>
      <c r="M243" s="104"/>
      <c r="N243" s="104"/>
    </row>
    <row r="244" spans="2:14">
      <c r="B244" s="160">
        <v>125</v>
      </c>
      <c r="C244" s="91" t="s">
        <v>277</v>
      </c>
      <c r="D244" s="91" t="s">
        <v>113</v>
      </c>
      <c r="G244" s="104"/>
      <c r="H244" s="104"/>
      <c r="I244" s="86"/>
      <c r="J244" s="104"/>
      <c r="K244" s="104"/>
      <c r="L244" s="86"/>
      <c r="M244" s="104"/>
      <c r="N244" s="104"/>
    </row>
    <row r="245" spans="2:14">
      <c r="B245" s="160">
        <v>126</v>
      </c>
      <c r="C245" s="91" t="s">
        <v>134</v>
      </c>
      <c r="D245" s="91" t="s">
        <v>113</v>
      </c>
      <c r="G245" s="104"/>
      <c r="H245" s="104"/>
      <c r="I245" s="86"/>
      <c r="J245" s="104"/>
      <c r="K245" s="104"/>
      <c r="L245" s="86"/>
      <c r="M245" s="104"/>
      <c r="N245" s="104"/>
    </row>
    <row r="246" spans="2:14">
      <c r="B246" s="160">
        <v>127</v>
      </c>
      <c r="C246" s="91" t="s">
        <v>135</v>
      </c>
      <c r="D246" s="91" t="s">
        <v>113</v>
      </c>
      <c r="G246" s="104"/>
      <c r="H246" s="104"/>
      <c r="I246" s="86"/>
      <c r="J246" s="104"/>
      <c r="K246" s="104"/>
      <c r="L246" s="86"/>
      <c r="M246" s="104"/>
      <c r="N246" s="104"/>
    </row>
    <row r="247" spans="2:14">
      <c r="G247" s="86"/>
      <c r="H247" s="86"/>
      <c r="I247" s="86"/>
      <c r="J247" s="86"/>
      <c r="K247" s="86"/>
      <c r="L247" s="86"/>
      <c r="M247" s="86"/>
      <c r="N247" s="86"/>
    </row>
    <row r="248" spans="2:14">
      <c r="B248" s="135" t="s">
        <v>116</v>
      </c>
      <c r="C248" s="136"/>
      <c r="D248" s="137"/>
      <c r="E248" s="12"/>
      <c r="G248" s="223" t="s">
        <v>107</v>
      </c>
      <c r="H248" s="224"/>
      <c r="I248" s="143"/>
      <c r="J248" s="223" t="s">
        <v>108</v>
      </c>
      <c r="K248" s="224"/>
      <c r="L248" s="143"/>
      <c r="M248" s="221" t="s">
        <v>109</v>
      </c>
      <c r="N248" s="222"/>
    </row>
    <row r="249" spans="2:14">
      <c r="B249" s="138" t="s">
        <v>112</v>
      </c>
      <c r="C249" s="138" t="s">
        <v>110</v>
      </c>
      <c r="D249" s="138" t="s">
        <v>98</v>
      </c>
      <c r="E249" s="18"/>
      <c r="G249" s="87" t="s">
        <v>498</v>
      </c>
      <c r="H249" s="87" t="s">
        <v>100</v>
      </c>
      <c r="I249" s="143"/>
      <c r="J249" s="87" t="s">
        <v>498</v>
      </c>
      <c r="K249" s="87" t="s">
        <v>100</v>
      </c>
      <c r="L249" s="143"/>
      <c r="M249" s="87" t="s">
        <v>498</v>
      </c>
      <c r="N249" s="87" t="s">
        <v>100</v>
      </c>
    </row>
    <row r="250" spans="2:14">
      <c r="B250" s="160">
        <v>128</v>
      </c>
      <c r="C250" s="142" t="s">
        <v>417</v>
      </c>
      <c r="D250" s="142" t="s">
        <v>88</v>
      </c>
      <c r="G250" s="104">
        <v>213.2</v>
      </c>
      <c r="H250" s="104"/>
      <c r="I250" s="86"/>
      <c r="J250" s="104"/>
      <c r="K250" s="104"/>
      <c r="L250" s="86"/>
      <c r="M250" s="104"/>
      <c r="N250" s="104"/>
    </row>
    <row r="251" spans="2:14" ht="18">
      <c r="B251" s="160">
        <v>129</v>
      </c>
      <c r="C251" s="91" t="s">
        <v>117</v>
      </c>
      <c r="D251" s="91" t="s">
        <v>786</v>
      </c>
      <c r="G251" s="104"/>
      <c r="H251" s="104"/>
      <c r="I251" s="86"/>
      <c r="J251" s="104"/>
      <c r="K251" s="104"/>
      <c r="L251" s="86"/>
      <c r="M251" s="104"/>
      <c r="N251" s="104"/>
    </row>
    <row r="252" spans="2:14" ht="15" customHeight="1">
      <c r="B252" s="160">
        <v>130</v>
      </c>
      <c r="C252" s="91" t="s">
        <v>118</v>
      </c>
      <c r="D252" s="91" t="s">
        <v>785</v>
      </c>
      <c r="G252" s="104"/>
      <c r="H252" s="104"/>
      <c r="I252" s="86"/>
      <c r="J252" s="104"/>
      <c r="K252" s="104"/>
      <c r="L252" s="86"/>
      <c r="M252" s="104"/>
      <c r="N252" s="104"/>
    </row>
    <row r="253" spans="2:14" ht="15" customHeight="1">
      <c r="B253" s="160">
        <v>131</v>
      </c>
      <c r="C253" s="91" t="s">
        <v>520</v>
      </c>
      <c r="D253" s="91" t="s">
        <v>113</v>
      </c>
      <c r="G253" s="104"/>
      <c r="H253" s="104"/>
      <c r="I253" s="86"/>
      <c r="J253" s="104"/>
      <c r="K253" s="104"/>
      <c r="L253" s="86"/>
      <c r="M253" s="104"/>
      <c r="N253" s="104"/>
    </row>
    <row r="254" spans="2:14">
      <c r="B254" s="160">
        <v>132</v>
      </c>
      <c r="C254" s="91" t="s">
        <v>119</v>
      </c>
      <c r="D254" s="91" t="s">
        <v>355</v>
      </c>
      <c r="G254" s="104"/>
      <c r="H254" s="104"/>
      <c r="I254" s="86"/>
      <c r="J254" s="104"/>
      <c r="K254" s="104"/>
      <c r="L254" s="86"/>
      <c r="M254" s="104"/>
      <c r="N254" s="104"/>
    </row>
    <row r="255" spans="2:14">
      <c r="B255" s="160">
        <v>133</v>
      </c>
      <c r="C255" s="91" t="s">
        <v>120</v>
      </c>
      <c r="D255" s="91" t="s">
        <v>68</v>
      </c>
      <c r="G255" s="104"/>
      <c r="H255" s="104"/>
      <c r="I255" s="86"/>
      <c r="J255" s="104"/>
      <c r="K255" s="104"/>
      <c r="L255" s="86"/>
      <c r="M255" s="104"/>
      <c r="N255" s="104"/>
    </row>
    <row r="256" spans="2:14">
      <c r="B256" s="160">
        <v>134</v>
      </c>
      <c r="C256" s="91" t="s">
        <v>523</v>
      </c>
      <c r="D256" s="91" t="s">
        <v>88</v>
      </c>
      <c r="G256" s="104"/>
      <c r="H256" s="104"/>
      <c r="I256" s="86"/>
      <c r="J256" s="104"/>
      <c r="K256" s="104"/>
      <c r="L256" s="86"/>
      <c r="M256" s="104"/>
      <c r="N256" s="104"/>
    </row>
    <row r="258" spans="3:4">
      <c r="C258" s="186" t="s">
        <v>729</v>
      </c>
      <c r="D258" s="186">
        <v>97.5</v>
      </c>
    </row>
  </sheetData>
  <sheetProtection selectLockedCells="1"/>
  <mergeCells count="55">
    <mergeCell ref="G220:H220"/>
    <mergeCell ref="J220:K220"/>
    <mergeCell ref="M220:N220"/>
    <mergeCell ref="G230:H230"/>
    <mergeCell ref="J230:K230"/>
    <mergeCell ref="M230:N230"/>
    <mergeCell ref="G2:H6"/>
    <mergeCell ref="B8:E8"/>
    <mergeCell ref="G12:H12"/>
    <mergeCell ref="G13:H13"/>
    <mergeCell ref="G8:H8"/>
    <mergeCell ref="G9:H9"/>
    <mergeCell ref="G10:H10"/>
    <mergeCell ref="G11:H11"/>
    <mergeCell ref="G18:H18"/>
    <mergeCell ref="G19:H19"/>
    <mergeCell ref="G14:H14"/>
    <mergeCell ref="G15:H15"/>
    <mergeCell ref="G16:H16"/>
    <mergeCell ref="G17:H17"/>
    <mergeCell ref="G20:H20"/>
    <mergeCell ref="G22:H22"/>
    <mergeCell ref="J22:K22"/>
    <mergeCell ref="M22:N22"/>
    <mergeCell ref="G31:H31"/>
    <mergeCell ref="J31:K31"/>
    <mergeCell ref="M31:N31"/>
    <mergeCell ref="B45:E45"/>
    <mergeCell ref="G45:H45"/>
    <mergeCell ref="J45:K45"/>
    <mergeCell ref="M45:N45"/>
    <mergeCell ref="G64:H64"/>
    <mergeCell ref="J64:K64"/>
    <mergeCell ref="M64:N64"/>
    <mergeCell ref="G54:H54"/>
    <mergeCell ref="J54:K54"/>
    <mergeCell ref="M54:N54"/>
    <mergeCell ref="G97:H97"/>
    <mergeCell ref="J97:K97"/>
    <mergeCell ref="M97:N97"/>
    <mergeCell ref="G170:H170"/>
    <mergeCell ref="J170:K170"/>
    <mergeCell ref="M170:N170"/>
    <mergeCell ref="G183:H183"/>
    <mergeCell ref="J183:K183"/>
    <mergeCell ref="M183:N183"/>
    <mergeCell ref="G192:H192"/>
    <mergeCell ref="J192:K192"/>
    <mergeCell ref="M192:N192"/>
    <mergeCell ref="G239:H239"/>
    <mergeCell ref="J239:K239"/>
    <mergeCell ref="M239:N239"/>
    <mergeCell ref="G248:H248"/>
    <mergeCell ref="J248:K248"/>
    <mergeCell ref="M248:N248"/>
  </mergeCells>
  <phoneticPr fontId="2" type="noConversion"/>
  <dataValidations count="11">
    <dataValidation type="decimal" allowBlank="1" showInputMessage="1" showErrorMessage="1" sqref="E15" xr:uid="{BEBE22B3-84D4-4EB3-9555-8C3DF4A18D04}">
      <formula1>0</formula1>
      <formula2>1000000000</formula2>
    </dataValidation>
    <dataValidation type="decimal" allowBlank="1" showInputMessage="1" showErrorMessage="1" sqref="J226:J227 M117:M168 M110:M112 M226:M227 E12:E14 E16 G138:G168 J103:J105 J110:J112 J117:J168 M103:M105 G226:G227 G131:G134 G103:G105 G110:G113 G124:G126 G122 G115 G117:G120" xr:uid="{78F8EBBB-B9F5-9E43-8726-A36369A9F3E7}">
      <formula1>0</formula1>
      <formula2>100</formula2>
    </dataValidation>
    <dataValidation type="whole" allowBlank="1" showInputMessage="1" showErrorMessage="1" sqref="E11 E19 E17" xr:uid="{1AD19AC6-7B6B-4393-A0FD-FA825EF856F6}">
      <formula1>1</formula1>
      <formula2>1000000000000</formula2>
    </dataValidation>
    <dataValidation type="decimal" allowBlank="1" showInputMessage="1" showErrorMessage="1" sqref="E10 E18 E20" xr:uid="{2F7690DE-BC78-433C-943D-2F1A94F93FFC}">
      <formula1>0</formula1>
      <formula2>1000000</formula2>
    </dataValidation>
    <dataValidation type="textLength" allowBlank="1" showInputMessage="1" showErrorMessage="1" sqref="N241:N246 H24:H29 K24:K29 N24:N29 H33:H43 K33:K43 N33:N43 H47:H52 K47:K52 K56:K62 H56:H62 N47:N52 N56:N62 H66:H96 K66:K96 K99:K168 G10:H20 N66:N96 N99:N168 H99:H168 K172:K182 N172:N182 N250:N256 H185:H191 K185:K191 H194:H218 K194:K218 N194:N218 H222:H228 K222:K228 N222:N228 H232:H237 K232:K237 N232:N237 H241:H246 K241:K246 K250:K256 H250:H256 N185:N191 H172:H182 G136" xr:uid="{209536F5-1869-2949-B556-1717D11567E1}">
      <formula1>1</formula1>
      <formula2>1000</formula2>
    </dataValidation>
    <dataValidation type="decimal" allowBlank="1" showInputMessage="1" showErrorMessage="1" sqref="M24:M29 G179 J33:J43 M190 J24:J29 M33:M43 G48 G194:G218 G33:G43 J48 J50 J52 M52 G177 J56:J62 M48 M50 M56:M62 M188 G68 J68 J71 J74:J96 M68 M71 M74:M96 G181 G83:G96 G71 J102 J109 J116 M116 G175 J175 G190 M194:M218 M175 M102 M109 G137 G173 J177:J181 J173 M177:M181 M173 J188 G52 J194:J218 G186 G188 J186 J190 M186 G50 G56:G62 G74 G24:G29 G102 G109 G130" xr:uid="{E71BD53F-68C8-E246-B385-2D6CB363B4EA}">
      <formula1>0</formula1>
      <formula2>10000000000000</formula2>
    </dataValidation>
    <dataValidation type="textLength" allowBlank="1" showInputMessage="1" showErrorMessage="1" sqref="J99:J100 J106:J107 J113:J114 G51 G75:G80 G66 J47 J49 J51 M47 M49 M51 M106:M107 M113:M114 J66 J69 J72 M66 M69 M72 G69 G47 G72 M99:M100 G49 G135 G99:G100 G121 G114 G106:G107 G127:G128" xr:uid="{54F605EA-1750-9C4B-BBC5-F317723D1D71}">
      <formula1>1</formula1>
      <formula2>50</formula2>
    </dataValidation>
    <dataValidation type="whole" allowBlank="1" showInputMessage="1" showErrorMessage="1" sqref="J101 J108 J115 M101 M115 M108 J67 J70 J73 M67 M70 M73 G70 G73 G67 G82 G101 G108 G129" xr:uid="{6A85C208-492D-3F43-A1FC-D6B7AEA8BDD9}">
      <formula1>0</formula1>
      <formula2>100</formula2>
    </dataValidation>
    <dataValidation type="decimal" allowBlank="1" showInputMessage="1" showErrorMessage="1" sqref="J250:J256 G228 M236 G236 J236 M225 M250:M256 J225 J228 M228 G225 G250:G256" xr:uid="{42A37D42-8B06-E74E-AC3B-423268F34ED5}">
      <formula1>0</formula1>
      <formula2>100000000</formula2>
    </dataValidation>
    <dataValidation type="textLength" allowBlank="1" showInputMessage="1" showErrorMessage="1" sqref="M174 G174 J174 J185 G185 G172 G176 J172 J176 M172 M176 M185 G187 G189 J187 J189 M187 M189 G178 G180" xr:uid="{C6F51758-46F0-BA46-A611-743E8FC3CC62}">
      <formula1>0</formula1>
      <formula2>100</formula2>
    </dataValidation>
    <dataValidation type="whole" allowBlank="1" showInputMessage="1" showErrorMessage="1" sqref="J232:J235 M241:M246 J222:J224 J237 M222:M224 G232:G235 G237 M232:M235 M237 G222:G224 J241:J246 G241:G246" xr:uid="{4C570F8F-9A85-044F-A23B-1ADEE2A84777}">
      <formula1>0</formula1>
      <formula2>10000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953BF2C-47F4-435D-807B-C8866E64827D}">
          <x14:formula1>
            <xm:f>Validations!$F$2:$F$3</xm:f>
          </x14:formula1>
          <xm:sqref>E102 E109</xm:sqref>
        </x14:dataValidation>
        <x14:dataValidation type="list" allowBlank="1" showInputMessage="1" showErrorMessage="1" xr:uid="{E6A1696E-DD80-4C84-85E3-08B91580727F}">
          <x14:formula1>
            <xm:f>Validations!$G$2:$G$3</xm:f>
          </x14:formula1>
          <xm:sqref>E100 E107 E114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79678-5166-9E4B-93EB-DD1F0DF3C8F7}">
  <dimension ref="A1:M49"/>
  <sheetViews>
    <sheetView zoomScale="90" zoomScaleNormal="175" workbookViewId="0">
      <selection activeCell="A3" sqref="A3"/>
    </sheetView>
  </sheetViews>
  <sheetFormatPr defaultColWidth="11.25" defaultRowHeight="15.75"/>
  <cols>
    <col min="1" max="1" width="21.25" customWidth="1"/>
    <col min="2" max="2" width="31.25" bestFit="1" customWidth="1"/>
    <col min="3" max="3" width="18.5" customWidth="1"/>
    <col min="4" max="4" width="13.25" customWidth="1"/>
    <col min="5" max="5" width="32.25" style="4" customWidth="1"/>
    <col min="6" max="6" width="35.75" bestFit="1" customWidth="1"/>
    <col min="7" max="7" width="36" customWidth="1"/>
    <col min="8" max="8" width="22.5" customWidth="1"/>
    <col min="9" max="10" width="26.75" customWidth="1"/>
    <col min="11" max="11" width="20.75" customWidth="1"/>
    <col min="12" max="12" width="25.25" customWidth="1"/>
    <col min="13" max="13" width="25" style="21" customWidth="1"/>
    <col min="15" max="15" width="22.25" customWidth="1"/>
  </cols>
  <sheetData>
    <row r="1" spans="1:13" s="4" customFormat="1">
      <c r="A1" s="48" t="s">
        <v>181</v>
      </c>
      <c r="M1" s="40"/>
    </row>
    <row r="2" spans="1:13" s="4" customFormat="1" ht="19.899999999999999" customHeight="1">
      <c r="A2" s="49" t="s">
        <v>166</v>
      </c>
      <c r="B2" s="49" t="s">
        <v>138</v>
      </c>
      <c r="C2" s="49" t="s">
        <v>139</v>
      </c>
      <c r="D2" s="49" t="s">
        <v>140</v>
      </c>
      <c r="E2" s="49" t="s">
        <v>195</v>
      </c>
      <c r="F2" s="49" t="s">
        <v>194</v>
      </c>
      <c r="G2" s="52"/>
    </row>
    <row r="3" spans="1:13" s="24" customFormat="1" ht="79.900000000000006" customHeight="1">
      <c r="A3" s="35" t="s">
        <v>0</v>
      </c>
      <c r="B3" s="36" t="s">
        <v>141</v>
      </c>
      <c r="C3" s="37" t="s">
        <v>157</v>
      </c>
      <c r="D3" s="38" t="str">
        <f>IFERROR(VLOOKUP('General Information'!$D$6, Validations!$L$2:$M$8, 2,FALSE), "")</f>
        <v>€/ha</v>
      </c>
      <c r="E3" s="24">
        <f>('Parcel 1 with DATSs'!G29*'General Information'!D32)/(IF('General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3" s="39" t="s">
        <v>428</v>
      </c>
      <c r="G3" s="41"/>
    </row>
    <row r="4" spans="1:13" s="4" customFormat="1" ht="79.900000000000006" customHeight="1">
      <c r="A4" s="35" t="s">
        <v>167</v>
      </c>
      <c r="B4" s="36" t="s">
        <v>144</v>
      </c>
      <c r="C4" s="37" t="s">
        <v>157</v>
      </c>
      <c r="D4" s="38" t="str">
        <f>IFERROR(VLOOKUP('General Information'!$D$6, Validations!$L$2:$M$8, 2,FALSE), "")</f>
        <v>€/ha</v>
      </c>
      <c r="E4" s="24">
        <f>'Parcel 1 with DATSs'!G43*'General Information'!D33/(IF('General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4" s="39" t="s">
        <v>429</v>
      </c>
      <c r="G4" s="41"/>
    </row>
    <row r="5" spans="1:13" s="4" customFormat="1" ht="63">
      <c r="A5" s="35" t="s">
        <v>168</v>
      </c>
      <c r="B5" s="46" t="s">
        <v>161</v>
      </c>
      <c r="C5" s="37" t="s">
        <v>157</v>
      </c>
      <c r="D5" s="38" t="str">
        <f>IFERROR(VLOOKUP('General Information'!$D$6, Validations!$L$2:$M$8, 2,FALSE), "")</f>
        <v>€/ha</v>
      </c>
      <c r="E5" s="24">
        <f>'Parcel 1 with DATSs'!G62*'General Information'!D38/(IF('General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2.5609756097560976</v>
      </c>
      <c r="F5" s="39" t="s">
        <v>430</v>
      </c>
      <c r="G5" s="41"/>
    </row>
    <row r="6" spans="1:13" s="4" customFormat="1" ht="132" customHeight="1">
      <c r="A6" s="35" t="s">
        <v>177</v>
      </c>
      <c r="B6" s="46" t="s">
        <v>178</v>
      </c>
      <c r="C6" s="37" t="s">
        <v>157</v>
      </c>
      <c r="D6" s="38" t="str">
        <f>IFERROR(VLOOKUP('General Information'!$D$6, Validations!$L$2:$M$8, 2,FALSE), "")</f>
        <v>€/ha</v>
      </c>
      <c r="E6" s="24">
        <f>('Parcel 1 with DATSs'!G67*'Parcel 1 with DATSs'!G68*'General Information'!D43)+
('Parcel 1 with DATSs'!G70*'Parcel 1 with DATSs'!G71*'General Information'!D44)+
('Parcel 1 with DATSs'!G73*'Parcel 1 with DATSs'!G74*'General Information'!D45)+
('Parcel 1 with DATSs'!G76*'Parcel 1 with DATSs'!G77*'General Information'!D46)+
('Parcel 1 with DATSs'!G79*'Parcel 1 with DATSs'!G80*'General Information'!D47)+
('Parcel 1 with DATSs'!G82*'Parcel 1 with DATSs'!G83*'General Information'!D48)+
('Parcel 1 with DATSs'!G85*'Parcel 1 with DATSs'!G86*'General Information'!D49)+
('Parcel 1 with DATSs'!G88*'Parcel 1 with DATSs'!G89*'General Information'!D50)+
('Parcel 1 with DATSs'!G91*'Parcel 1 with DATSs'!G92*'General Information'!D51)+
('Parcel 1 with DATSs'!G94*'Parcel 1 with DATSs'!G95*'General Information'!D52)</f>
        <v>0</v>
      </c>
      <c r="F6" s="39" t="s">
        <v>420</v>
      </c>
      <c r="G6" s="41"/>
    </row>
    <row r="7" spans="1:13" s="4" customFormat="1" ht="133.9" customHeight="1">
      <c r="A7" s="35" t="s">
        <v>179</v>
      </c>
      <c r="B7" s="46" t="s">
        <v>180</v>
      </c>
      <c r="C7" s="37" t="s">
        <v>157</v>
      </c>
      <c r="D7" s="38" t="str">
        <f>IFERROR(VLOOKUP('General Information'!$D$6, Validations!$L$2:$M$8, 2,FALSE), "")</f>
        <v>€/ha</v>
      </c>
      <c r="E7" s="24">
        <f>('Parcel 1 with DATSs'!G101*'Parcel 1 with DATSs'!G102*'General Information'!D54)+
('Parcel 1 with DATSs'!G108*'Parcel 1 with DATSs'!G109*'General Information'!D55)+
('Parcel 1 with DATSs'!G115*'Parcel 1 with DATSs'!G116*'General Information'!D56)+
('Parcel 1 with DATSs'!G122*'Parcel 1 with DATSs'!G123*'General Information'!D57)+
('Parcel 1 with DATSs'!G129*'Parcel 1 with DATSs'!G130*'General Information'!D58)+
('Parcel 1 with DATSs'!G136*'Parcel 1 with DATSs'!G137*'General Information'!D59)+
('Parcel 1 with DATSs'!G143*'Parcel 1 with DATSs'!G144*'General Information'!D60)+
('Parcel 1 with DATSs'!G150*'Parcel 1 with DATSs'!G151*'General Information'!D61)+
('Parcel 1 with DATSs'!G157*'Parcel 1 with DATSs'!G158*'General Information'!D62)+
('Parcel 1 with DATSs'!G164*'Parcel 1 with DATSs'!G165*'General Information'!D63)</f>
        <v>1371.47</v>
      </c>
      <c r="F7" s="39" t="s">
        <v>421</v>
      </c>
      <c r="G7" s="41"/>
    </row>
    <row r="8" spans="1:13" s="4" customFormat="1" ht="133.9" customHeight="1">
      <c r="A8" s="35" t="s">
        <v>9</v>
      </c>
      <c r="B8" s="46" t="s">
        <v>218</v>
      </c>
      <c r="C8" s="37" t="s">
        <v>157</v>
      </c>
      <c r="D8" s="38" t="str">
        <f>IFERROR(VLOOKUP('General Information'!$D$6, Validations!$L$2:$M$8, 2,FALSE), "")</f>
        <v>€/ha</v>
      </c>
      <c r="E8" s="24">
        <f>(('General Information'!D65*'Parcel 1 with DATSs'!G173)+('General Information'!D66*'Parcel 1 with DATSs'!G175)+('General Information'!D69*'Parcel 1 with DATSs'!G177))/(IF('General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8" s="39" t="s">
        <v>368</v>
      </c>
      <c r="G8" s="41"/>
    </row>
    <row r="9" spans="1:13" s="4" customFormat="1" ht="133.9" customHeight="1">
      <c r="A9" s="35" t="s">
        <v>12</v>
      </c>
      <c r="B9" s="46" t="s">
        <v>219</v>
      </c>
      <c r="C9" s="37" t="s">
        <v>157</v>
      </c>
      <c r="D9" s="38" t="str">
        <f>IFERROR(VLOOKUP('General Information'!$D$6, Validations!$L$2:$M$8, 2,FALSE), "")</f>
        <v>€/ha</v>
      </c>
      <c r="E9" s="24">
        <f>(('General Information'!D71*'Parcel 1 with DATSs'!G186)+('General Information'!D72*'Parcel 1 with DATSs'!G188)+('General Information'!D73*'Parcel 1 with DATSs'!G190))/(IF('General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9" s="39" t="s">
        <v>386</v>
      </c>
      <c r="G9" s="41"/>
      <c r="H9" s="52"/>
      <c r="I9" s="52"/>
      <c r="J9" s="52"/>
    </row>
    <row r="10" spans="1:13" s="4" customFormat="1" ht="52.9" customHeight="1">
      <c r="A10" s="35" t="s">
        <v>193</v>
      </c>
      <c r="B10" s="46" t="s">
        <v>172</v>
      </c>
      <c r="C10" s="37" t="s">
        <v>157</v>
      </c>
      <c r="D10" s="38" t="str">
        <f>IFERROR(VLOOKUP('General Information'!$D$6, Validations!$L$2:$M$8, 2,FALSE), "")</f>
        <v>€/ha</v>
      </c>
      <c r="E10" s="24">
        <f>'Parcel 1 with DATSs'!G194*'General Information'!D39/'Parcel 1 with DATSs'!E10</f>
        <v>134.14634146341464</v>
      </c>
      <c r="F10" s="39" t="s">
        <v>369</v>
      </c>
      <c r="G10" s="41"/>
    </row>
    <row r="11" spans="1:13" s="4" customFormat="1" ht="58.9" customHeight="1">
      <c r="A11" s="35" t="s">
        <v>193</v>
      </c>
      <c r="B11" s="46" t="s">
        <v>521</v>
      </c>
      <c r="C11" s="37" t="s">
        <v>157</v>
      </c>
      <c r="D11" s="38" t="str">
        <f>IFERROR(VLOOKUP('General Information'!$D$6, Validations!$L$2:$M$8, 2,FALSE), "")</f>
        <v>€/ha</v>
      </c>
      <c r="E11" s="24">
        <f>'Parcel 1 with DATSs'!G195*'General Information'!D39/'Parcel 1 with DATSs'!E10</f>
        <v>0</v>
      </c>
      <c r="F11" s="39" t="s">
        <v>366</v>
      </c>
      <c r="G11" s="41"/>
    </row>
    <row r="12" spans="1:13" s="4" customFormat="1" ht="64.150000000000006" customHeight="1">
      <c r="A12" s="35" t="s">
        <v>193</v>
      </c>
      <c r="B12" s="46" t="s">
        <v>169</v>
      </c>
      <c r="C12" s="37" t="s">
        <v>157</v>
      </c>
      <c r="D12" s="38" t="str">
        <f>IFERROR(VLOOKUP('General Information'!$D$6, Validations!$L$2:$M$8, 2,FALSE), "")</f>
        <v>€/ha</v>
      </c>
      <c r="E12" s="24">
        <f>'Parcel 1 with DATSs'!G196*'General Information'!D39/'Parcel 1 with DATSs'!E10</f>
        <v>0</v>
      </c>
      <c r="F12" s="39" t="s">
        <v>370</v>
      </c>
      <c r="G12" s="41"/>
    </row>
    <row r="13" spans="1:13" s="4" customFormat="1" ht="75" customHeight="1">
      <c r="A13" s="35" t="s">
        <v>193</v>
      </c>
      <c r="B13" s="46" t="s">
        <v>174</v>
      </c>
      <c r="C13" s="37" t="s">
        <v>157</v>
      </c>
      <c r="D13" s="38" t="str">
        <f>IFERROR(VLOOKUP('General Information'!$D$6, Validations!$L$2:$M$8, 2,FALSE), "")</f>
        <v>€/ha</v>
      </c>
      <c r="E13" s="24">
        <f>'Parcel 1 with DATSs'!G197*'General Information'!D39/'Parcel 1 with DATSs'!E10</f>
        <v>0</v>
      </c>
      <c r="F13" s="39" t="s">
        <v>371</v>
      </c>
      <c r="G13" s="41"/>
    </row>
    <row r="14" spans="1:13" s="4" customFormat="1" ht="57" customHeight="1">
      <c r="A14" s="35" t="s">
        <v>193</v>
      </c>
      <c r="B14" s="46" t="s">
        <v>175</v>
      </c>
      <c r="C14" s="37" t="s">
        <v>157</v>
      </c>
      <c r="D14" s="38" t="str">
        <f>IFERROR(VLOOKUP('General Information'!$D$6, Validations!$L$2:$M$8, 2,FALSE), "")</f>
        <v>€/ha</v>
      </c>
      <c r="E14" s="24">
        <f>'Parcel 1 with DATSs'!G198*'General Information'!D39/'Parcel 1 with DATSs'!E10</f>
        <v>0</v>
      </c>
      <c r="F14" s="39" t="s">
        <v>372</v>
      </c>
      <c r="G14" s="41"/>
    </row>
    <row r="15" spans="1:13" s="4" customFormat="1" ht="55.9" customHeight="1">
      <c r="A15" s="35" t="s">
        <v>193</v>
      </c>
      <c r="B15" s="46" t="s">
        <v>176</v>
      </c>
      <c r="C15" s="37" t="s">
        <v>157</v>
      </c>
      <c r="D15" s="38" t="str">
        <f>IFERROR(VLOOKUP('General Information'!$D$6, Validations!$L$2:$M$8, 2,FALSE), "")</f>
        <v>€/ha</v>
      </c>
      <c r="E15" s="24">
        <f>'Parcel 1 with DATSs'!G199*'General Information'!D39/'Parcel 1 with DATSs'!E10</f>
        <v>0</v>
      </c>
      <c r="F15" s="39" t="s">
        <v>367</v>
      </c>
      <c r="G15" s="41"/>
    </row>
    <row r="16" spans="1:13" s="4" customFormat="1" ht="55.9" customHeight="1">
      <c r="A16" s="35" t="s">
        <v>193</v>
      </c>
      <c r="B16" s="46" t="s">
        <v>196</v>
      </c>
      <c r="C16" s="37" t="s">
        <v>157</v>
      </c>
      <c r="D16" s="38" t="str">
        <f>IFERROR(VLOOKUP('General Information'!$D$6, Validations!$L$2:$M$8, 2,FALSE), "")</f>
        <v>€/ha</v>
      </c>
      <c r="E16" s="24">
        <f>'Parcel 1 with DATSs'!G200*'General Information'!D39/'Parcel 1 with DATSs'!E10</f>
        <v>0</v>
      </c>
      <c r="F16" s="39" t="s">
        <v>373</v>
      </c>
      <c r="G16" s="41"/>
    </row>
    <row r="17" spans="1:7" s="4" customFormat="1" ht="55.9" customHeight="1">
      <c r="A17" s="35" t="s">
        <v>193</v>
      </c>
      <c r="B17" s="46" t="s">
        <v>197</v>
      </c>
      <c r="C17" s="37" t="s">
        <v>157</v>
      </c>
      <c r="D17" s="38" t="str">
        <f>IFERROR(VLOOKUP('General Information'!$D$6, Validations!$L$2:$M$8, 2,FALSE), "")</f>
        <v>€/ha</v>
      </c>
      <c r="E17" s="24" t="e">
        <f>'Parcel 1 with DATSs'!G201*'General Information'!D39/'Parcel 1 with DATSs'!G256</f>
        <v>#DIV/0!</v>
      </c>
      <c r="F17" s="39" t="s">
        <v>350</v>
      </c>
      <c r="G17" s="41"/>
    </row>
    <row r="18" spans="1:7" s="4" customFormat="1" ht="55.9" customHeight="1">
      <c r="A18" s="35" t="s">
        <v>193</v>
      </c>
      <c r="B18" s="46" t="s">
        <v>522</v>
      </c>
      <c r="C18" s="37" t="s">
        <v>157</v>
      </c>
      <c r="D18" s="38" t="str">
        <f>IFERROR(VLOOKUP('General Information'!$D$6, Validations!$L$2:$M$8, 2,FALSE), "")</f>
        <v>€/ha</v>
      </c>
      <c r="E18" s="24">
        <f>'Parcel 1 with DATSs'!G202*'General Information'!D39/(IF('General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18" s="39" t="s">
        <v>351</v>
      </c>
      <c r="G18" s="41"/>
    </row>
    <row r="19" spans="1:7" s="4" customFormat="1" ht="55.9" customHeight="1">
      <c r="A19" s="35" t="s">
        <v>193</v>
      </c>
      <c r="B19" s="46" t="s">
        <v>198</v>
      </c>
      <c r="C19" s="37" t="s">
        <v>157</v>
      </c>
      <c r="D19" s="38" t="str">
        <f>IFERROR(VLOOKUP('General Information'!$D$6, Validations!$L$2:$M$8, 2,FALSE), "")</f>
        <v>€/ha</v>
      </c>
      <c r="E19" s="24">
        <f>'Parcel 1 with DATSs'!G203*'General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19" s="39" t="s">
        <v>352</v>
      </c>
      <c r="G19" s="41"/>
    </row>
    <row r="20" spans="1:7" s="4" customFormat="1" ht="55.9" customHeight="1">
      <c r="A20" s="35" t="s">
        <v>193</v>
      </c>
      <c r="B20" s="46" t="s">
        <v>199</v>
      </c>
      <c r="C20" s="37" t="s">
        <v>157</v>
      </c>
      <c r="D20" s="38" t="str">
        <f>IFERROR(VLOOKUP('General Information'!$D$6, Validations!$L$2:$M$8, 2,FALSE), "")</f>
        <v>€/ha</v>
      </c>
      <c r="E20" s="24">
        <f>'Parcel 1 with DATSs'!G204*'General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0" s="39" t="s">
        <v>353</v>
      </c>
      <c r="G20" s="41"/>
    </row>
    <row r="21" spans="1:7" s="4" customFormat="1" ht="55.9" customHeight="1">
      <c r="A21" s="35" t="s">
        <v>193</v>
      </c>
      <c r="B21" s="46" t="s">
        <v>200</v>
      </c>
      <c r="C21" s="37" t="s">
        <v>157</v>
      </c>
      <c r="D21" s="38" t="str">
        <f>IFERROR(VLOOKUP('General Information'!$D$6, Validations!$L$2:$M$8, 2,FALSE), "")</f>
        <v>€/ha</v>
      </c>
      <c r="E21" s="24">
        <f>'Parcel 1 with DATSs'!G205*'General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1" s="39" t="s">
        <v>374</v>
      </c>
      <c r="G21" s="41"/>
    </row>
    <row r="22" spans="1:7" s="4" customFormat="1" ht="55.9" customHeight="1">
      <c r="A22" s="35" t="s">
        <v>193</v>
      </c>
      <c r="B22" s="46" t="s">
        <v>201</v>
      </c>
      <c r="C22" s="37" t="s">
        <v>157</v>
      </c>
      <c r="D22" s="38" t="str">
        <f>IFERROR(VLOOKUP('General Information'!$D$6, Validations!$L$2:$M$8, 2,FALSE), "")</f>
        <v>€/ha</v>
      </c>
      <c r="E22" s="24">
        <f>'Parcel 1 with DATSs'!G206*'General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2" s="39" t="s">
        <v>375</v>
      </c>
      <c r="G22" s="41"/>
    </row>
    <row r="23" spans="1:7" s="4" customFormat="1" ht="55.9" customHeight="1">
      <c r="A23" s="35" t="s">
        <v>193</v>
      </c>
      <c r="B23" s="46" t="s">
        <v>202</v>
      </c>
      <c r="C23" s="37" t="s">
        <v>157</v>
      </c>
      <c r="D23" s="38" t="str">
        <f>IFERROR(VLOOKUP('General Information'!$D$6, Validations!$L$2:$M$8, 2,FALSE), "")</f>
        <v>€/ha</v>
      </c>
      <c r="E23" s="24">
        <f>'Parcel 1 with DATSs'!G207*'General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3" s="39" t="s">
        <v>376</v>
      </c>
      <c r="G23" s="41"/>
    </row>
    <row r="24" spans="1:7" s="4" customFormat="1" ht="55.9" customHeight="1">
      <c r="A24" s="35" t="s">
        <v>193</v>
      </c>
      <c r="B24" s="46" t="s">
        <v>203</v>
      </c>
      <c r="C24" s="37" t="s">
        <v>157</v>
      </c>
      <c r="D24" s="38" t="str">
        <f>IFERROR(VLOOKUP('General Information'!$D$6, Validations!$L$2:$M$8, 2,FALSE), "")</f>
        <v>€/ha</v>
      </c>
      <c r="E24" s="24">
        <f>'Parcel 1 with DATSs'!G208*'General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4" s="39" t="s">
        <v>377</v>
      </c>
      <c r="G24" s="41"/>
    </row>
    <row r="25" spans="1:7" s="4" customFormat="1" ht="55.9" customHeight="1">
      <c r="A25" s="35" t="s">
        <v>193</v>
      </c>
      <c r="B25" s="46" t="s">
        <v>204</v>
      </c>
      <c r="C25" s="37" t="s">
        <v>157</v>
      </c>
      <c r="D25" s="38" t="str">
        <f>IFERROR(VLOOKUP('General Information'!$D$6, Validations!$L$2:$M$8, 2,FALSE), "")</f>
        <v>€/ha</v>
      </c>
      <c r="E25" s="24">
        <f>'Parcel 1 with DATSs'!G209*'General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5" s="39" t="s">
        <v>378</v>
      </c>
      <c r="G25" s="41"/>
    </row>
    <row r="26" spans="1:7" s="4" customFormat="1" ht="55.9" customHeight="1">
      <c r="A26" s="35" t="s">
        <v>193</v>
      </c>
      <c r="B26" s="46" t="s">
        <v>418</v>
      </c>
      <c r="C26" s="37" t="s">
        <v>157</v>
      </c>
      <c r="D26" s="38" t="str">
        <f>IFERROR(VLOOKUP('General Information'!$D$6, Validations!$L$2:$M$8, 2,FALSE), "")</f>
        <v>€/ha</v>
      </c>
      <c r="E26" s="24">
        <f>'Parcel 1 with DATSs'!G210*'General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6" s="39" t="s">
        <v>419</v>
      </c>
      <c r="G26" s="41"/>
    </row>
    <row r="27" spans="1:7" s="4" customFormat="1" ht="55.9" customHeight="1">
      <c r="A27" s="35" t="s">
        <v>193</v>
      </c>
      <c r="B27" s="46" t="s">
        <v>205</v>
      </c>
      <c r="C27" s="37" t="s">
        <v>157</v>
      </c>
      <c r="D27" s="38" t="str">
        <f>IFERROR(VLOOKUP('General Information'!$D$6, Validations!$L$2:$M$8, 2,FALSE), "")</f>
        <v>€/ha</v>
      </c>
      <c r="E27" s="24">
        <f>'Parcel 1 with DATSs'!G211*'General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7" s="39" t="s">
        <v>379</v>
      </c>
      <c r="G27" s="41"/>
    </row>
    <row r="28" spans="1:7" s="4" customFormat="1" ht="55.9" customHeight="1">
      <c r="A28" s="35" t="s">
        <v>193</v>
      </c>
      <c r="B28" s="46" t="s">
        <v>206</v>
      </c>
      <c r="C28" s="37" t="s">
        <v>157</v>
      </c>
      <c r="D28" s="38" t="str">
        <f>IFERROR(VLOOKUP('General Information'!$D$6, Validations!$L$2:$M$8, 2,FALSE), "")</f>
        <v>€/ha</v>
      </c>
      <c r="E28" s="24">
        <f>'Parcel 1 with DATSs'!G212*'General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8" s="39" t="s">
        <v>380</v>
      </c>
      <c r="G28" s="41"/>
    </row>
    <row r="29" spans="1:7" s="4" customFormat="1" ht="55.9" customHeight="1">
      <c r="A29" s="35" t="s">
        <v>193</v>
      </c>
      <c r="B29" s="46" t="s">
        <v>207</v>
      </c>
      <c r="C29" s="37" t="s">
        <v>157</v>
      </c>
      <c r="D29" s="38" t="str">
        <f>IFERROR(VLOOKUP('General Information'!$D$6, Validations!$L$2:$M$8, 2,FALSE), "")</f>
        <v>€/ha</v>
      </c>
      <c r="E29" s="24" t="e">
        <f>'Parcel 1 with DATSs'!G213*'General Information'!D39/'Parcel 1 with DATSs'!G255</f>
        <v>#DIV/0!</v>
      </c>
      <c r="F29" s="39" t="s">
        <v>381</v>
      </c>
      <c r="G29" s="41"/>
    </row>
    <row r="30" spans="1:7" s="4" customFormat="1" ht="70.150000000000006" customHeight="1">
      <c r="A30" s="35" t="s">
        <v>193</v>
      </c>
      <c r="B30" s="46" t="s">
        <v>208</v>
      </c>
      <c r="C30" s="37" t="s">
        <v>157</v>
      </c>
      <c r="D30" s="38" t="str">
        <f>IFERROR(VLOOKUP('General Information'!$D$6, Validations!$L$2:$M$8, 2,FALSE), "")</f>
        <v>€/ha</v>
      </c>
      <c r="E30" s="24" t="e">
        <f>'Parcel 1 with DATSs'!G214*'General Information'!D39/'Parcel 1 with DATSs'!G254</f>
        <v>#DIV/0!</v>
      </c>
      <c r="F30" s="39" t="s">
        <v>382</v>
      </c>
      <c r="G30" s="41"/>
    </row>
    <row r="31" spans="1:7" s="4" customFormat="1" ht="70.150000000000006" customHeight="1">
      <c r="A31" s="35" t="s">
        <v>193</v>
      </c>
      <c r="B31" s="46" t="s">
        <v>209</v>
      </c>
      <c r="C31" s="37" t="s">
        <v>157</v>
      </c>
      <c r="D31" s="38" t="str">
        <f>IFERROR(VLOOKUP('General Information'!$D$6, Validations!$L$2:$M$8, 2,FALSE), "")</f>
        <v>€/ha</v>
      </c>
      <c r="E31" s="24" t="e">
        <f>'Parcel 1 with DATSs'!G215*'General Information'!D39/'Parcel 1 with DATSs'!G254</f>
        <v>#DIV/0!</v>
      </c>
      <c r="F31" s="39" t="s">
        <v>383</v>
      </c>
      <c r="G31" s="41"/>
    </row>
    <row r="32" spans="1:7" s="4" customFormat="1" ht="70.150000000000006" customHeight="1">
      <c r="A32" s="35" t="s">
        <v>193</v>
      </c>
      <c r="B32" s="46" t="s">
        <v>423</v>
      </c>
      <c r="C32" s="37" t="s">
        <v>157</v>
      </c>
      <c r="D32" s="38" t="str">
        <f>IFERROR(VLOOKUP('General Information'!$D$6, Validations!$L$2:$M$8, 2,FALSE), "")</f>
        <v>€/ha</v>
      </c>
      <c r="E32" s="24">
        <f>'Parcel 1 with DATSs'!G216*'General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32" s="39" t="s">
        <v>384</v>
      </c>
      <c r="G32" s="41"/>
    </row>
    <row r="33" spans="1:13" s="4" customFormat="1" ht="70.150000000000006" customHeight="1">
      <c r="A33" s="35" t="s">
        <v>193</v>
      </c>
      <c r="B33" s="46" t="s">
        <v>346</v>
      </c>
      <c r="C33" s="37" t="s">
        <v>157</v>
      </c>
      <c r="D33" s="38" t="str">
        <f>IFERROR(VLOOKUP('General Information'!$D$6, Validations!$L$2:$M$8, 2,FALSE), "")</f>
        <v>€/ha</v>
      </c>
      <c r="E33" s="24">
        <f>'Parcel 1 with DATSs'!G217*'General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33" s="39" t="s">
        <v>385</v>
      </c>
      <c r="G33" s="41"/>
    </row>
    <row r="34" spans="1:13" s="4" customFormat="1" ht="64.900000000000006" customHeight="1">
      <c r="A34" s="35" t="s">
        <v>193</v>
      </c>
      <c r="B34" s="46" t="s">
        <v>596</v>
      </c>
      <c r="C34" s="37" t="s">
        <v>157</v>
      </c>
      <c r="D34" s="38" t="str">
        <f>IFERROR(VLOOKUP('General Information'!$D$6, Validations!$L$2:$M$8, 2,FALSE), "")</f>
        <v>€/ha</v>
      </c>
      <c r="E34" s="24">
        <f>'Parcel 1 with DATSs'!G218*'General Information'!$D$39/(IF('General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34" s="39" t="s">
        <v>387</v>
      </c>
      <c r="G34" s="41"/>
    </row>
    <row r="35" spans="1:13" s="4" customFormat="1" ht="63">
      <c r="A35" s="35" t="s">
        <v>503</v>
      </c>
      <c r="B35" s="47" t="s">
        <v>431</v>
      </c>
      <c r="C35" s="37" t="s">
        <v>157</v>
      </c>
      <c r="D35" s="38" t="str">
        <f>IFERROR(VLOOKUP('General Information'!$D$6, Validations!$L$2:$M$8, 2,FALSE), "")</f>
        <v>€/ha</v>
      </c>
      <c r="E35" s="24">
        <f>_xlfn.AGGREGATE(9,6,E3:E34)</f>
        <v>1508.1773170731708</v>
      </c>
      <c r="F35" s="39" t="s">
        <v>388</v>
      </c>
      <c r="G35" s="41"/>
    </row>
    <row r="36" spans="1:13" ht="61.15" customHeight="1">
      <c r="A36" s="42" t="s">
        <v>505</v>
      </c>
      <c r="B36" s="43" t="s">
        <v>504</v>
      </c>
      <c r="C36" s="37" t="s">
        <v>157</v>
      </c>
      <c r="D36" s="38" t="str">
        <f>IFERROR(VLOOKUP('General Information'!$D$6, Validations!$L$2:$M$8, 2,FALSE), "")</f>
        <v>€/ha</v>
      </c>
      <c r="E36" s="24">
        <f>(('General Information'!D23+'General Information'!D24)+('General Information'!H23+'General Information'!H24)+('General Information'!L23+'General Information'!L24))/(IF('General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73.170731707317074</v>
      </c>
      <c r="F36" s="39" t="s">
        <v>389</v>
      </c>
      <c r="G36" s="41"/>
      <c r="M36"/>
    </row>
    <row r="37" spans="1:13" ht="61.15" customHeight="1">
      <c r="A37" s="42" t="s">
        <v>505</v>
      </c>
      <c r="B37" s="43" t="s">
        <v>354</v>
      </c>
      <c r="C37" s="37" t="s">
        <v>157</v>
      </c>
      <c r="D37" s="38" t="str">
        <f>IFERROR(VLOOKUP('General Information'!$D$6, Validations!$L$2:$M$8, 2,FALSE), "")</f>
        <v>€/ha</v>
      </c>
      <c r="E37" s="24">
        <f>'General Information'!D27/(IF('General Information'!D6="crop",'Parcel 1 with DATSs'!E10,IF('General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37" s="39" t="s">
        <v>390</v>
      </c>
      <c r="G37" s="41"/>
      <c r="M37"/>
    </row>
    <row r="38" spans="1:13" ht="31.9" customHeight="1">
      <c r="A38" s="53"/>
      <c r="B38" s="3"/>
      <c r="C38" s="53"/>
      <c r="D38" s="1"/>
      <c r="E38" s="24"/>
      <c r="F38" s="32"/>
      <c r="G38" s="58"/>
      <c r="M38"/>
    </row>
    <row r="39" spans="1:13" s="4" customFormat="1">
      <c r="A39" s="48" t="s">
        <v>182</v>
      </c>
      <c r="C39" s="53"/>
      <c r="F39" s="32"/>
      <c r="M39" s="40"/>
    </row>
    <row r="40" spans="1:13" s="4" customFormat="1" ht="19.899999999999999" customHeight="1">
      <c r="A40" s="49" t="s">
        <v>358</v>
      </c>
      <c r="B40" s="49" t="s">
        <v>138</v>
      </c>
      <c r="C40" s="49" t="s">
        <v>139</v>
      </c>
      <c r="D40" s="49" t="s">
        <v>140</v>
      </c>
      <c r="E40" s="49" t="s">
        <v>195</v>
      </c>
      <c r="F40" s="49" t="s">
        <v>194</v>
      </c>
      <c r="G40" s="52"/>
    </row>
    <row r="41" spans="1:13" ht="61.15" customHeight="1">
      <c r="A41" s="42" t="s">
        <v>116</v>
      </c>
      <c r="B41" s="43" t="s">
        <v>597</v>
      </c>
      <c r="C41" s="37" t="s">
        <v>157</v>
      </c>
      <c r="D41" s="45" t="s">
        <v>143</v>
      </c>
      <c r="E41" s="24">
        <f>'Parcel 1 with DATSs'!G250/'Parcel 1 with DATSs'!E10*'General Information'!$D$41</f>
        <v>12070.000000000002</v>
      </c>
      <c r="F41" s="39" t="s">
        <v>183</v>
      </c>
      <c r="G41" s="41"/>
      <c r="M41"/>
    </row>
    <row r="42" spans="1:13" ht="61.15" customHeight="1">
      <c r="A42" s="42" t="s">
        <v>116</v>
      </c>
      <c r="B42" s="43" t="s">
        <v>598</v>
      </c>
      <c r="C42" s="37" t="s">
        <v>157</v>
      </c>
      <c r="D42" s="45" t="str">
        <f>IFERROR(VLOOKUP('General Information'!$D$6, Validations!$L$2:$M$8, 2,FALSE), "")</f>
        <v>€/ha</v>
      </c>
      <c r="E42" s="24">
        <f>('Parcel 1 with DATSs'!G251*'General Information'!$D$41/(IF('General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DATSs'!G256))))))))*1000</f>
        <v>0</v>
      </c>
      <c r="F42" s="39" t="s">
        <v>220</v>
      </c>
      <c r="G42" s="41"/>
      <c r="M42"/>
    </row>
    <row r="43" spans="1:13" ht="61.15" customHeight="1">
      <c r="A43" s="42" t="s">
        <v>116</v>
      </c>
      <c r="B43" s="43" t="s">
        <v>599</v>
      </c>
      <c r="C43" s="37" t="s">
        <v>157</v>
      </c>
      <c r="D43" s="45" t="str">
        <f>IFERROR(VLOOKUP('General Information'!$D$6, Validations!$L$2:$M$8, 2,FALSE), "")</f>
        <v>€/ha</v>
      </c>
      <c r="E43" s="24">
        <f>('Parcel 1 with DATSs'!G252*'General Information'!D41/(IF('General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DATSs'!G256))))))))/10</f>
        <v>0</v>
      </c>
      <c r="F43" s="39" t="s">
        <v>221</v>
      </c>
      <c r="G43" s="41"/>
      <c r="M43"/>
    </row>
    <row r="44" spans="1:13" ht="61.15" customHeight="1">
      <c r="A44" s="42" t="s">
        <v>116</v>
      </c>
      <c r="B44" s="43" t="s">
        <v>600</v>
      </c>
      <c r="C44" s="37" t="s">
        <v>157</v>
      </c>
      <c r="D44" s="45" t="s">
        <v>562</v>
      </c>
      <c r="E44" s="24" t="e">
        <f>'Parcel 1 with DATSs'!G254*'General Information'!$H$41/'Parcel 1 with DATSs'!E20</f>
        <v>#DIV/0!</v>
      </c>
      <c r="F44" s="39" t="s">
        <v>222</v>
      </c>
      <c r="G44" s="41"/>
      <c r="M44"/>
    </row>
    <row r="45" spans="1:13" ht="61.15" customHeight="1">
      <c r="A45" s="42" t="s">
        <v>116</v>
      </c>
      <c r="B45" s="43" t="s">
        <v>601</v>
      </c>
      <c r="C45" s="37" t="s">
        <v>157</v>
      </c>
      <c r="D45" s="45" t="s">
        <v>563</v>
      </c>
      <c r="E45" s="24" t="e">
        <f>'Parcel 1 with DATSs'!G255*'General Information'!$H$41/'Parcel 1 with DATSs'!E19</f>
        <v>#DIV/0!</v>
      </c>
      <c r="F45" s="39" t="s">
        <v>223</v>
      </c>
      <c r="G45" s="41"/>
      <c r="M45"/>
    </row>
    <row r="46" spans="1:13" ht="61.15" customHeight="1">
      <c r="A46" s="42" t="s">
        <v>116</v>
      </c>
      <c r="B46" s="43" t="s">
        <v>602</v>
      </c>
      <c r="C46" s="37" t="s">
        <v>157</v>
      </c>
      <c r="D46" s="45" t="s">
        <v>462</v>
      </c>
      <c r="E46" s="24">
        <f>'Parcel 1 with DATSs'!G256*'General Information'!D41</f>
        <v>0</v>
      </c>
      <c r="F46" s="39"/>
      <c r="G46" s="41"/>
      <c r="M46"/>
    </row>
    <row r="47" spans="1:13" ht="61.15" customHeight="1">
      <c r="A47" s="42" t="s">
        <v>357</v>
      </c>
      <c r="B47" s="43" t="s">
        <v>281</v>
      </c>
      <c r="C47" s="37" t="s">
        <v>157</v>
      </c>
      <c r="D47" s="45" t="str">
        <f>IFERROR(VLOOKUP('General Information'!$D$6, Validations!$L$2:$M$8, 2,FALSE), "")</f>
        <v>€/ha</v>
      </c>
      <c r="E47" s="24">
        <f>'Parcel 1 with DATSs'!G225</f>
        <v>0</v>
      </c>
      <c r="F47" s="43" t="s">
        <v>281</v>
      </c>
      <c r="M47"/>
    </row>
    <row r="48" spans="1:13" ht="31.9" customHeight="1">
      <c r="A48" s="53"/>
      <c r="B48" s="3"/>
      <c r="C48" s="34"/>
      <c r="D48" s="1"/>
      <c r="E48" s="24"/>
      <c r="F48" s="32"/>
      <c r="G48" s="58"/>
      <c r="M48"/>
    </row>
    <row r="49" spans="1:13" ht="25.9" customHeight="1">
      <c r="A49" s="53"/>
      <c r="B49" s="53"/>
      <c r="C49" s="54"/>
      <c r="D49" s="53"/>
      <c r="E49" s="53"/>
      <c r="F49" s="53"/>
      <c r="M49"/>
    </row>
  </sheetData>
  <phoneticPr fontId="2" type="noConversion"/>
  <conditionalFormatting sqref="C2:C37 C40:C49">
    <cfRule type="containsText" dxfId="191" priority="6" operator="containsText" text="Without DATs">
      <formula>NOT(ISERROR(SEARCH("Without DATs",C2)))</formula>
    </cfRule>
  </conditionalFormatting>
  <conditionalFormatting sqref="C3:C37 C41:C49">
    <cfRule type="containsText" dxfId="190" priority="7" operator="containsText" text="With DATs">
      <formula>NOT(ISERROR(SEARCH("With DATs",C3)))</formula>
    </cfRule>
    <cfRule type="containsText" dxfId="189" priority="8" operator="containsText" text="With out DATs">
      <formula>NOT(ISERROR(SEARCH("With out DATs",C3)))</formula>
    </cfRule>
    <cfRule type="containsText" dxfId="188" priority="9" operator="containsText" text="TO-BE">
      <formula>NOT(ISERROR(SEARCH("TO-BE",C3)))</formula>
    </cfRule>
    <cfRule type="containsText" dxfId="187" priority="10" operator="containsText" text="AS-IS">
      <formula>NOT(ISERROR(SEARCH("AS-IS",C3)))</formula>
    </cfRule>
  </conditionalFormatting>
  <conditionalFormatting sqref="D1 D50:D1048576">
    <cfRule type="containsText" dxfId="186" priority="33" operator="containsText" text="Without DATs">
      <formula>NOT(ISERROR(SEARCH("Without DATs",D1)))</formula>
    </cfRule>
  </conditionalFormatting>
  <conditionalFormatting sqref="D39">
    <cfRule type="containsText" dxfId="185" priority="81" operator="containsText" text="Without DATs">
      <formula>NOT(ISERROR(SEARCH("Without DATs",D39)))</formula>
    </cfRule>
  </conditionalFormatting>
  <conditionalFormatting sqref="G3:G35 G37:G39 G41:G46 G48:G1048576">
    <cfRule type="cellIs" dxfId="184" priority="42" operator="lessThan">
      <formula>0</formula>
    </cfRule>
    <cfRule type="cellIs" dxfId="183" priority="43" operator="greaterThan">
      <formula>0</formula>
    </cfRule>
  </conditionalFormatting>
  <conditionalFormatting sqref="I9">
    <cfRule type="containsText" dxfId="182" priority="69" operator="containsText" text="Without DATs">
      <formula>NOT(ISERROR(SEARCH("Without DATs",I9)))</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615DC-441F-B64F-BA7D-AF39B5EA85C5}">
  <dimension ref="A1:M49"/>
  <sheetViews>
    <sheetView zoomScale="65" zoomScaleNormal="110" workbookViewId="0">
      <selection activeCell="A3" sqref="A3"/>
    </sheetView>
  </sheetViews>
  <sheetFormatPr defaultColWidth="11.25" defaultRowHeight="15.75"/>
  <cols>
    <col min="1" max="1" width="21.25" customWidth="1"/>
    <col min="2" max="2" width="31.25" bestFit="1" customWidth="1"/>
    <col min="3" max="3" width="18.5" customWidth="1"/>
    <col min="4" max="4" width="13.25" customWidth="1"/>
    <col min="5" max="5" width="32.25" style="4" customWidth="1"/>
    <col min="6" max="6" width="35.75" bestFit="1" customWidth="1"/>
    <col min="7" max="7" width="36" customWidth="1"/>
    <col min="8" max="8" width="22.5" customWidth="1"/>
    <col min="9" max="10" width="26.75" customWidth="1"/>
    <col min="11" max="11" width="20.75" customWidth="1"/>
    <col min="12" max="12" width="25.25" customWidth="1"/>
    <col min="13" max="13" width="25" style="21" customWidth="1"/>
    <col min="15" max="15" width="22.25" customWidth="1"/>
  </cols>
  <sheetData>
    <row r="1" spans="1:13" s="4" customFormat="1">
      <c r="A1" s="48" t="s">
        <v>181</v>
      </c>
      <c r="M1" s="40"/>
    </row>
    <row r="2" spans="1:13" s="4" customFormat="1" ht="19.899999999999999" customHeight="1">
      <c r="A2" s="49" t="s">
        <v>166</v>
      </c>
      <c r="B2" s="49" t="s">
        <v>138</v>
      </c>
      <c r="C2" s="49" t="s">
        <v>139</v>
      </c>
      <c r="D2" s="49" t="s">
        <v>140</v>
      </c>
      <c r="E2" s="49" t="s">
        <v>195</v>
      </c>
      <c r="F2" s="49" t="s">
        <v>194</v>
      </c>
    </row>
    <row r="3" spans="1:13" s="24" customFormat="1" ht="79.900000000000006" customHeight="1">
      <c r="A3" s="35" t="s">
        <v>0</v>
      </c>
      <c r="B3" s="36" t="s">
        <v>141</v>
      </c>
      <c r="C3" s="37" t="s">
        <v>142</v>
      </c>
      <c r="D3" s="38" t="str">
        <f>IFERROR(VLOOKUP('General Information'!$D$6, Validations!$L$2:$M$8, 2,FALSE), "")</f>
        <v>€/ha</v>
      </c>
      <c r="E3" s="24">
        <f>('Parcel 1 without DATSs'!G29*'General Information'!H32)/(IF('General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3" s="39" t="s">
        <v>428</v>
      </c>
      <c r="G3" s="41"/>
    </row>
    <row r="4" spans="1:13" s="4" customFormat="1" ht="79.900000000000006" customHeight="1">
      <c r="A4" s="35" t="s">
        <v>167</v>
      </c>
      <c r="B4" s="36" t="s">
        <v>144</v>
      </c>
      <c r="C4" s="37" t="s">
        <v>142</v>
      </c>
      <c r="D4" s="38" t="str">
        <f>IFERROR(VLOOKUP('General Information'!$D$6, Validations!$L$2:$M$8, 2,FALSE), "")</f>
        <v>€/ha</v>
      </c>
      <c r="E4" s="24">
        <f>'Parcel 1 without DATSs'!G43*'General Information'!H33/(IF('General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4" s="39" t="s">
        <v>429</v>
      </c>
    </row>
    <row r="5" spans="1:13" s="4" customFormat="1" ht="63">
      <c r="A5" s="35" t="s">
        <v>168</v>
      </c>
      <c r="B5" s="46" t="s">
        <v>161</v>
      </c>
      <c r="C5" s="37" t="s">
        <v>142</v>
      </c>
      <c r="D5" s="38" t="str">
        <f>IFERROR(VLOOKUP('General Information'!$D$6, Validations!$L$2:$M$8, 2,FALSE), "")</f>
        <v>€/ha</v>
      </c>
      <c r="E5" s="24">
        <f>'Parcel 1 without DATSs'!G62*'General Information'!H38/(IF('General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2.5609756097560976</v>
      </c>
      <c r="F5" s="39" t="s">
        <v>430</v>
      </c>
    </row>
    <row r="6" spans="1:13" s="4" customFormat="1" ht="132" customHeight="1">
      <c r="A6" s="35" t="s">
        <v>177</v>
      </c>
      <c r="B6" s="46" t="s">
        <v>178</v>
      </c>
      <c r="C6" s="37" t="s">
        <v>142</v>
      </c>
      <c r="D6" s="38" t="str">
        <f>IFERROR(VLOOKUP('General Information'!$D$6, Validations!$L$2:$M$8, 2,FALSE), "")</f>
        <v>€/ha</v>
      </c>
      <c r="E6" s="24">
        <f>('Parcel 1 without DATSs'!G67*'Parcel 1 without DATSs'!G68*'General Information'!H43)+
('Parcel 1 without DATSs'!G70*'Parcel 1 without DATSs'!G71*'General Information'!H44)+
('Parcel 1 without DATSs'!G73*'Parcel 1 without DATSs'!G74*'General Information'!H45)+
('Parcel 1 without DATSs'!G76*'Parcel 1 without DATSs'!G77*'General Information'!H46)+
('Parcel 1 without DATSs'!G79*'Parcel 1 without DATSs'!G80*'General Information'!H47)+
('Parcel 1 without DATSs'!G82*'Parcel 1 without DATSs'!G83*'General Information'!H48)+
('Parcel 1 without DATSs'!G85*'Parcel 1 without DATSs'!G86*'General Information'!H49)+
('Parcel 1 without DATSs'!G88*'Parcel 1 without DATSs'!G89*'General Information'!H50)+
('Parcel 1 without DATSs'!G91*'Parcel 1 without DATSs'!G92*'General Information'!H51)+
('Parcel 1 without DATSs'!G94*'Parcel 1 without DATSs'!G95*'General Information'!H52)</f>
        <v>0</v>
      </c>
      <c r="F6" s="39" t="s">
        <v>420</v>
      </c>
    </row>
    <row r="7" spans="1:13" s="4" customFormat="1" ht="133.9" customHeight="1">
      <c r="A7" s="35" t="s">
        <v>179</v>
      </c>
      <c r="B7" s="46" t="s">
        <v>180</v>
      </c>
      <c r="C7" s="37" t="s">
        <v>142</v>
      </c>
      <c r="D7" s="38" t="str">
        <f>IFERROR(VLOOKUP('General Information'!$D$6, Validations!$L$2:$M$8, 2,FALSE), "")</f>
        <v>€/ha</v>
      </c>
      <c r="E7" s="24">
        <f>('Parcel 1 without DATSs'!G101*'Parcel 1 without DATSs'!G102*'General Information'!H54)+
('Parcel 1 without DATSs'!G108*'Parcel 1 without DATSs'!G109*'General Information'!H55)+
('Parcel 1 without DATSs'!G115*'Parcel 1 without DATSs'!G116*'General Information'!H56)+
('Parcel 1 without DATSs'!G122*'Parcel 1 without DATSs'!G123*'General Information'!H57)+
('Parcel 1 without DATSs'!G129*'Parcel 1 without DATSs'!G130*'General Information'!H58)+
('Parcel 1 without DATSs'!G136*'Parcel 1 without DATSs'!G137*'General Information'!H59)+
('Parcel 1 without DATSs'!G143*'Parcel 1 without DATSs'!G144*'General Information'!H60)+
('Parcel 1 without DATSs'!G150*'Parcel 1 without DATSs'!G151*'General Information'!H61)+
('Parcel 1 without DATSs'!G157*'Parcel 1 without DATSs'!G158*'General Information'!H62)+
('Parcel 1 without DATSs'!G164*'Parcel 1 without DATSs'!G165*'General Information'!H63)</f>
        <v>1371.47</v>
      </c>
      <c r="F7" s="39" t="s">
        <v>421</v>
      </c>
    </row>
    <row r="8" spans="1:13" s="4" customFormat="1" ht="133.9" customHeight="1">
      <c r="A8" s="35" t="s">
        <v>9</v>
      </c>
      <c r="B8" s="46" t="s">
        <v>218</v>
      </c>
      <c r="C8" s="37" t="s">
        <v>142</v>
      </c>
      <c r="D8" s="38" t="str">
        <f>IFERROR(VLOOKUP('General Information'!$D$6, Validations!$L$2:$M$8, 2,FALSE), "")</f>
        <v>€/ha</v>
      </c>
      <c r="E8" s="24">
        <f>('General Information'!H65*'Parcel 1 without DATSs'!G173+'General Information'!H66*'Parcel 1 without DATSs'!G175+'General Information'!H69*'Parcel 1 without DATSs'!G177)/(IF('General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8" s="39" t="s">
        <v>368</v>
      </c>
    </row>
    <row r="9" spans="1:13" s="4" customFormat="1" ht="133.9" customHeight="1">
      <c r="A9" s="35" t="s">
        <v>12</v>
      </c>
      <c r="B9" s="46" t="s">
        <v>219</v>
      </c>
      <c r="C9" s="37" t="s">
        <v>142</v>
      </c>
      <c r="D9" s="38" t="str">
        <f>IFERROR(VLOOKUP('General Information'!$D$6, Validations!$L$2:$M$8, 2,FALSE), "")</f>
        <v>€/ha</v>
      </c>
      <c r="E9" s="24">
        <f>('General Information'!H71*'Parcel 1 without DATSs'!G186+'General Information'!H72*'Parcel 1 without DATSs'!G188+'General Information'!H73*'Parcel 1 without DATSs'!G190)/(IF('General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9" s="39" t="s">
        <v>386</v>
      </c>
      <c r="G9" s="52"/>
      <c r="H9" s="52"/>
      <c r="I9" s="52"/>
      <c r="J9" s="52"/>
    </row>
    <row r="10" spans="1:13" s="4" customFormat="1" ht="52.9" customHeight="1">
      <c r="A10" s="35" t="s">
        <v>193</v>
      </c>
      <c r="B10" s="46" t="s">
        <v>172</v>
      </c>
      <c r="C10" s="37" t="s">
        <v>142</v>
      </c>
      <c r="D10" s="38" t="str">
        <f>IFERROR(VLOOKUP('General Information'!$D$6, Validations!$L$2:$M$8, 2,FALSE), "")</f>
        <v>€/ha</v>
      </c>
      <c r="E10" s="24">
        <f>'Parcel 1 without DATSs'!G194*'General Information'!H39/'Parcel 1 without DATSs'!E10</f>
        <v>121.95121951219514</v>
      </c>
      <c r="F10" s="39" t="s">
        <v>369</v>
      </c>
    </row>
    <row r="11" spans="1:13" s="4" customFormat="1" ht="58.9" customHeight="1">
      <c r="A11" s="35" t="s">
        <v>193</v>
      </c>
      <c r="B11" s="46" t="s">
        <v>173</v>
      </c>
      <c r="C11" s="37" t="s">
        <v>142</v>
      </c>
      <c r="D11" s="38" t="str">
        <f>IFERROR(VLOOKUP('General Information'!$D$6, Validations!$L$2:$M$8, 2,FALSE), "")</f>
        <v>€/ha</v>
      </c>
      <c r="E11" s="24">
        <f>'Parcel 1 without DATSs'!G195*'General Information'!H39/'Parcel 1 without DATSs'!E10</f>
        <v>0</v>
      </c>
      <c r="F11" s="39" t="s">
        <v>366</v>
      </c>
    </row>
    <row r="12" spans="1:13" s="4" customFormat="1" ht="64.150000000000006" customHeight="1">
      <c r="A12" s="35" t="s">
        <v>193</v>
      </c>
      <c r="B12" s="46" t="s">
        <v>169</v>
      </c>
      <c r="C12" s="37" t="s">
        <v>142</v>
      </c>
      <c r="D12" s="38" t="str">
        <f>IFERROR(VLOOKUP('General Information'!$D$6, Validations!$L$2:$M$8, 2,FALSE), "")</f>
        <v>€/ha</v>
      </c>
      <c r="E12" s="24">
        <f>'Parcel 1 without DATSs'!G196*'General Information'!H39/'Parcel 1 without DATSs'!E10</f>
        <v>0</v>
      </c>
      <c r="F12" s="39" t="s">
        <v>370</v>
      </c>
    </row>
    <row r="13" spans="1:13" s="4" customFormat="1" ht="75" customHeight="1">
      <c r="A13" s="35" t="s">
        <v>193</v>
      </c>
      <c r="B13" s="46" t="s">
        <v>174</v>
      </c>
      <c r="C13" s="37" t="s">
        <v>142</v>
      </c>
      <c r="D13" s="38" t="str">
        <f>IFERROR(VLOOKUP('General Information'!$D$6, Validations!$L$2:$M$8, 2,FALSE), "")</f>
        <v>€/ha</v>
      </c>
      <c r="E13" s="24">
        <f>'Parcel 1 without DATSs'!G197*'General Information'!H39/'Parcel 1 without DATSs'!E10</f>
        <v>0</v>
      </c>
      <c r="F13" s="39" t="s">
        <v>371</v>
      </c>
    </row>
    <row r="14" spans="1:13" s="4" customFormat="1" ht="57" customHeight="1">
      <c r="A14" s="35" t="s">
        <v>193</v>
      </c>
      <c r="B14" s="46" t="s">
        <v>175</v>
      </c>
      <c r="C14" s="37" t="s">
        <v>142</v>
      </c>
      <c r="D14" s="38" t="str">
        <f>IFERROR(VLOOKUP('General Information'!$D$6, Validations!$L$2:$M$8, 2,FALSE), "")</f>
        <v>€/ha</v>
      </c>
      <c r="E14" s="24">
        <f>'Parcel 1 without DATSs'!G198*'General Information'!H39/'Parcel 1 without DATSs'!E10</f>
        <v>0</v>
      </c>
      <c r="F14" s="39" t="s">
        <v>372</v>
      </c>
    </row>
    <row r="15" spans="1:13" s="4" customFormat="1" ht="55.9" customHeight="1">
      <c r="A15" s="35" t="s">
        <v>193</v>
      </c>
      <c r="B15" s="46" t="s">
        <v>176</v>
      </c>
      <c r="C15" s="37" t="s">
        <v>142</v>
      </c>
      <c r="D15" s="38" t="str">
        <f>IFERROR(VLOOKUP('General Information'!$D$6, Validations!$L$2:$M$8, 2,FALSE), "")</f>
        <v>€/ha</v>
      </c>
      <c r="E15" s="24">
        <f>'Parcel 1 without DATSs'!G199*'General Information'!H39/'Parcel 1 without DATSs'!E10</f>
        <v>0</v>
      </c>
      <c r="F15" s="39" t="s">
        <v>367</v>
      </c>
    </row>
    <row r="16" spans="1:13" s="4" customFormat="1" ht="55.9" customHeight="1">
      <c r="A16" s="35" t="s">
        <v>193</v>
      </c>
      <c r="B16" s="46" t="s">
        <v>290</v>
      </c>
      <c r="C16" s="37" t="s">
        <v>142</v>
      </c>
      <c r="D16" s="38" t="str">
        <f>IFERROR(VLOOKUP('General Information'!$D$6, Validations!$L$2:$M$8, 2,FALSE), "")</f>
        <v>€/ha</v>
      </c>
      <c r="E16" s="24">
        <f>'Parcel 1 without DATSs'!G200*'General Information'!H39/'Parcel 1 without DATSs'!E10</f>
        <v>0</v>
      </c>
      <c r="F16" s="39" t="s">
        <v>373</v>
      </c>
    </row>
    <row r="17" spans="1:7" s="4" customFormat="1" ht="55.9" customHeight="1">
      <c r="A17" s="35" t="s">
        <v>193</v>
      </c>
      <c r="B17" s="46" t="s">
        <v>197</v>
      </c>
      <c r="C17" s="37" t="s">
        <v>142</v>
      </c>
      <c r="D17" s="38" t="str">
        <f>IFERROR(VLOOKUP('General Information'!$D$6, Validations!$L$2:$M$8, 2,FALSE), "")</f>
        <v>€/ha</v>
      </c>
      <c r="E17" s="24">
        <f>'Parcel 1 without DATSs'!G201*'General Information'!H39/'Parcel 1 without DATSs'!E10</f>
        <v>0</v>
      </c>
      <c r="F17" s="39" t="s">
        <v>350</v>
      </c>
    </row>
    <row r="18" spans="1:7" s="4" customFormat="1" ht="55.9" customHeight="1">
      <c r="A18" s="35" t="s">
        <v>193</v>
      </c>
      <c r="B18" s="46" t="s">
        <v>522</v>
      </c>
      <c r="C18" s="37" t="s">
        <v>142</v>
      </c>
      <c r="D18" s="38" t="str">
        <f>IFERROR(VLOOKUP('General Information'!$D$6, Validations!$L$2:$M$8, 2,FALSE), "")</f>
        <v>€/ha</v>
      </c>
      <c r="E18" s="24">
        <f>'Parcel 1 without DATSs'!G202*'General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18" s="39" t="s">
        <v>351</v>
      </c>
    </row>
    <row r="19" spans="1:7" s="4" customFormat="1" ht="55.9" customHeight="1">
      <c r="A19" s="35" t="s">
        <v>193</v>
      </c>
      <c r="B19" s="46" t="s">
        <v>198</v>
      </c>
      <c r="C19" s="37" t="s">
        <v>142</v>
      </c>
      <c r="D19" s="38" t="str">
        <f>IFERROR(VLOOKUP('General Information'!$D$6, Validations!$L$2:$M$8, 2,FALSE), "")</f>
        <v>€/ha</v>
      </c>
      <c r="E19" s="24">
        <f>'Parcel 1 without DATSs'!G203*'General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19" s="39" t="s">
        <v>352</v>
      </c>
    </row>
    <row r="20" spans="1:7" s="4" customFormat="1" ht="55.9" customHeight="1">
      <c r="A20" s="35" t="s">
        <v>193</v>
      </c>
      <c r="B20" s="46" t="s">
        <v>280</v>
      </c>
      <c r="C20" s="37" t="s">
        <v>142</v>
      </c>
      <c r="D20" s="38" t="str">
        <f>IFERROR(VLOOKUP('General Information'!$D$6, Validations!$L$2:$M$8, 2,FALSE), "")</f>
        <v>€/ha</v>
      </c>
      <c r="E20" s="24">
        <f>'Parcel 1 without DATSs'!G204*'General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0" s="39" t="s">
        <v>353</v>
      </c>
    </row>
    <row r="21" spans="1:7" s="4" customFormat="1" ht="55.9" customHeight="1">
      <c r="A21" s="35" t="s">
        <v>193</v>
      </c>
      <c r="B21" s="46" t="s">
        <v>200</v>
      </c>
      <c r="C21" s="37" t="s">
        <v>142</v>
      </c>
      <c r="D21" s="38" t="str">
        <f>IFERROR(VLOOKUP('General Information'!$D$6, Validations!$L$2:$M$8, 2,FALSE), "")</f>
        <v>€/ha</v>
      </c>
      <c r="E21" s="24">
        <f>'Parcel 1 without DATSs'!G205*'General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1" s="39" t="s">
        <v>374</v>
      </c>
    </row>
    <row r="22" spans="1:7" s="4" customFormat="1" ht="55.9" customHeight="1">
      <c r="A22" s="35" t="s">
        <v>193</v>
      </c>
      <c r="B22" s="46" t="s">
        <v>201</v>
      </c>
      <c r="C22" s="37" t="s">
        <v>142</v>
      </c>
      <c r="D22" s="38" t="str">
        <f>IFERROR(VLOOKUP('General Information'!$D$6, Validations!$L$2:$M$8, 2,FALSE), "")</f>
        <v>€/ha</v>
      </c>
      <c r="E22" s="24">
        <f>'Parcel 1 without DATSs'!G206*'General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2" s="39" t="s">
        <v>375</v>
      </c>
    </row>
    <row r="23" spans="1:7" s="4" customFormat="1" ht="55.9" customHeight="1">
      <c r="A23" s="35" t="s">
        <v>193</v>
      </c>
      <c r="B23" s="46" t="s">
        <v>202</v>
      </c>
      <c r="C23" s="37" t="s">
        <v>142</v>
      </c>
      <c r="D23" s="38" t="str">
        <f>IFERROR(VLOOKUP('General Information'!$D$6, Validations!$L$2:$M$8, 2,FALSE), "")</f>
        <v>€/ha</v>
      </c>
      <c r="E23" s="24">
        <f>'Parcel 1 without DATSs'!G207*'General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3" s="39" t="s">
        <v>376</v>
      </c>
    </row>
    <row r="24" spans="1:7" s="4" customFormat="1" ht="55.9" customHeight="1">
      <c r="A24" s="35" t="s">
        <v>193</v>
      </c>
      <c r="B24" s="46" t="s">
        <v>203</v>
      </c>
      <c r="C24" s="37" t="s">
        <v>142</v>
      </c>
      <c r="D24" s="38" t="str">
        <f>IFERROR(VLOOKUP('General Information'!$D$6, Validations!$L$2:$M$8, 2,FALSE), "")</f>
        <v>€/ha</v>
      </c>
      <c r="E24" s="24">
        <f>'Parcel 1 without DATSs'!G208*'General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4" s="39" t="s">
        <v>377</v>
      </c>
    </row>
    <row r="25" spans="1:7" s="4" customFormat="1" ht="55.9" customHeight="1">
      <c r="A25" s="35" t="s">
        <v>193</v>
      </c>
      <c r="B25" s="46" t="s">
        <v>204</v>
      </c>
      <c r="C25" s="37" t="s">
        <v>142</v>
      </c>
      <c r="D25" s="38" t="str">
        <f>IFERROR(VLOOKUP('General Information'!$D$6, Validations!$L$2:$M$8, 2,FALSE), "")</f>
        <v>€/ha</v>
      </c>
      <c r="E25" s="24">
        <f>'Parcel 1 without DATSs'!G209*'General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5" s="39" t="s">
        <v>378</v>
      </c>
    </row>
    <row r="26" spans="1:7" s="4" customFormat="1" ht="55.9" customHeight="1">
      <c r="A26" s="35" t="s">
        <v>193</v>
      </c>
      <c r="B26" s="46" t="s">
        <v>418</v>
      </c>
      <c r="C26" s="37" t="s">
        <v>142</v>
      </c>
      <c r="D26" s="38" t="str">
        <f>IFERROR(VLOOKUP('General Information'!$D$6, Validations!$L$2:$M$8, 2,FALSE), "")</f>
        <v>€/ha</v>
      </c>
      <c r="E26" s="24">
        <f>'Parcel 1 without DATSs'!G210*'General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6" s="39" t="s">
        <v>419</v>
      </c>
      <c r="G26" s="41"/>
    </row>
    <row r="27" spans="1:7" s="4" customFormat="1" ht="55.9" customHeight="1">
      <c r="A27" s="35" t="s">
        <v>193</v>
      </c>
      <c r="B27" s="46" t="s">
        <v>205</v>
      </c>
      <c r="C27" s="37" t="s">
        <v>142</v>
      </c>
      <c r="D27" s="38" t="str">
        <f>IFERROR(VLOOKUP('General Information'!$D$6, Validations!$L$2:$M$8, 2,FALSE), "")</f>
        <v>€/ha</v>
      </c>
      <c r="E27" s="24">
        <f>'Parcel 1 without DATSs'!G211*'General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7" s="39" t="s">
        <v>379</v>
      </c>
    </row>
    <row r="28" spans="1:7" s="4" customFormat="1" ht="55.9" customHeight="1">
      <c r="A28" s="35" t="s">
        <v>193</v>
      </c>
      <c r="B28" s="46" t="s">
        <v>206</v>
      </c>
      <c r="C28" s="37" t="s">
        <v>142</v>
      </c>
      <c r="D28" s="38" t="str">
        <f>IFERROR(VLOOKUP('General Information'!$D$6, Validations!$L$2:$M$8, 2,FALSE), "")</f>
        <v>€/ha</v>
      </c>
      <c r="E28" s="24">
        <f>'Parcel 1 without DATSs'!G212*'General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28" s="39" t="s">
        <v>380</v>
      </c>
    </row>
    <row r="29" spans="1:7" s="4" customFormat="1" ht="55.9" customHeight="1">
      <c r="A29" s="35" t="s">
        <v>193</v>
      </c>
      <c r="B29" s="46" t="s">
        <v>207</v>
      </c>
      <c r="C29" s="37" t="s">
        <v>142</v>
      </c>
      <c r="D29" s="38" t="str">
        <f>IFERROR(VLOOKUP('General Information'!$D$6, Validations!$L$2:$M$8, 2,FALSE), "")</f>
        <v>€/ha</v>
      </c>
      <c r="E29" s="24" t="e">
        <f>'Parcel 1 without DATSs'!G213*'General Information'!H39/'Parcel 1 without DATSs'!E19</f>
        <v>#DIV/0!</v>
      </c>
      <c r="F29" s="39" t="s">
        <v>381</v>
      </c>
    </row>
    <row r="30" spans="1:7" s="4" customFormat="1" ht="70.150000000000006" customHeight="1">
      <c r="A30" s="35" t="s">
        <v>193</v>
      </c>
      <c r="B30" s="46" t="s">
        <v>208</v>
      </c>
      <c r="C30" s="37" t="s">
        <v>142</v>
      </c>
      <c r="D30" s="38" t="str">
        <f>IFERROR(VLOOKUP('General Information'!$D$6, Validations!$L$2:$M$8, 2,FALSE), "")</f>
        <v>€/ha</v>
      </c>
      <c r="E30" s="24" t="e">
        <f>'Parcel 1 without DATSs'!G214*'General Information'!H39/'Parcel 1 without DATSs'!G254</f>
        <v>#DIV/0!</v>
      </c>
      <c r="F30" s="39" t="s">
        <v>382</v>
      </c>
    </row>
    <row r="31" spans="1:7" s="4" customFormat="1" ht="70.150000000000006" customHeight="1">
      <c r="A31" s="35" t="s">
        <v>193</v>
      </c>
      <c r="B31" s="46" t="s">
        <v>209</v>
      </c>
      <c r="C31" s="37" t="s">
        <v>142</v>
      </c>
      <c r="D31" s="38" t="str">
        <f>IFERROR(VLOOKUP('General Information'!$D$6, Validations!$L$2:$M$8, 2,FALSE), "")</f>
        <v>€/ha</v>
      </c>
      <c r="E31" s="24" t="e">
        <f>'Parcel 1 without DATSs'!G215*'General Information'!H39/'Parcel 1 without DATSs'!G254</f>
        <v>#DIV/0!</v>
      </c>
      <c r="F31" s="39" t="s">
        <v>383</v>
      </c>
    </row>
    <row r="32" spans="1:7" s="4" customFormat="1" ht="70.150000000000006" customHeight="1">
      <c r="A32" s="35" t="s">
        <v>193</v>
      </c>
      <c r="B32" s="46" t="s">
        <v>422</v>
      </c>
      <c r="C32" s="37" t="s">
        <v>142</v>
      </c>
      <c r="D32" s="38" t="str">
        <f>IFERROR(VLOOKUP('General Information'!$D$6, Validations!$L$2:$M$8, 2,FALSE), "")</f>
        <v>€/ha</v>
      </c>
      <c r="E32" s="24">
        <f>'Parcel 1 without DATSs'!G216*'General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32" s="39" t="s">
        <v>384</v>
      </c>
      <c r="G32" s="41"/>
    </row>
    <row r="33" spans="1:13" s="4" customFormat="1" ht="70.150000000000006" customHeight="1">
      <c r="A33" s="35" t="s">
        <v>193</v>
      </c>
      <c r="B33" s="46" t="s">
        <v>346</v>
      </c>
      <c r="C33" s="37" t="s">
        <v>142</v>
      </c>
      <c r="D33" s="38" t="str">
        <f>IFERROR(VLOOKUP('General Information'!$D$6, Validations!$L$2:$M$8, 2,FALSE), "")</f>
        <v>€/ha</v>
      </c>
      <c r="E33" s="24">
        <f>'Parcel 1 without DATSs'!G217*'General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33" s="39" t="s">
        <v>385</v>
      </c>
      <c r="G33" s="41"/>
    </row>
    <row r="34" spans="1:13" s="4" customFormat="1" ht="64.900000000000006" customHeight="1">
      <c r="A34" s="35" t="s">
        <v>193</v>
      </c>
      <c r="B34" s="46" t="s">
        <v>596</v>
      </c>
      <c r="C34" s="37" t="s">
        <v>142</v>
      </c>
      <c r="D34" s="38" t="str">
        <f>IFERROR(VLOOKUP('General Information'!$D$6, Validations!$L$2:$M$8, 2,FALSE), "")</f>
        <v>€/ha</v>
      </c>
      <c r="E34" s="24">
        <f>'Parcel 1 without DATSs'!G218*'General Information'!H39/(IF('General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34" s="39" t="s">
        <v>387</v>
      </c>
    </row>
    <row r="35" spans="1:13" s="4" customFormat="1" ht="63">
      <c r="A35" s="35" t="s">
        <v>503</v>
      </c>
      <c r="B35" s="47" t="s">
        <v>431</v>
      </c>
      <c r="C35" s="37" t="s">
        <v>142</v>
      </c>
      <c r="D35" s="38" t="str">
        <f>IFERROR(VLOOKUP('General Information'!$D$6, Validations!$L$2:$M$8, 2,FALSE), "")</f>
        <v>€/ha</v>
      </c>
      <c r="E35" s="24">
        <f>_xlfn.AGGREGATE(9,6,E3:E34)</f>
        <v>1495.9821951219512</v>
      </c>
      <c r="F35" s="39" t="s">
        <v>388</v>
      </c>
    </row>
    <row r="36" spans="1:13" ht="61.15" customHeight="1">
      <c r="A36" s="42" t="s">
        <v>296</v>
      </c>
      <c r="B36" s="43" t="s">
        <v>297</v>
      </c>
      <c r="C36" s="37" t="s">
        <v>142</v>
      </c>
      <c r="D36" s="38"/>
      <c r="E36" s="24">
        <v>0</v>
      </c>
      <c r="F36" s="39"/>
      <c r="G36" s="41"/>
      <c r="M36"/>
    </row>
    <row r="37" spans="1:13" ht="61.15" customHeight="1">
      <c r="A37" s="42" t="s">
        <v>296</v>
      </c>
      <c r="B37" s="43" t="s">
        <v>354</v>
      </c>
      <c r="C37" s="37" t="s">
        <v>142</v>
      </c>
      <c r="D37" s="38"/>
      <c r="E37" s="24">
        <v>0</v>
      </c>
      <c r="F37" s="39"/>
      <c r="G37" s="41"/>
      <c r="M37"/>
    </row>
    <row r="38" spans="1:13" ht="31.9" customHeight="1">
      <c r="A38" s="53"/>
      <c r="B38" s="3"/>
      <c r="C38" s="34"/>
      <c r="D38" s="1"/>
      <c r="E38" s="24"/>
      <c r="F38" s="32"/>
      <c r="G38" s="58"/>
      <c r="M38"/>
    </row>
    <row r="39" spans="1:13" s="4" customFormat="1">
      <c r="A39" s="48" t="s">
        <v>182</v>
      </c>
      <c r="F39" s="32"/>
      <c r="M39" s="40"/>
    </row>
    <row r="40" spans="1:13" s="4" customFormat="1" ht="19.899999999999999" customHeight="1">
      <c r="A40" s="49" t="s">
        <v>358</v>
      </c>
      <c r="B40" s="49" t="s">
        <v>138</v>
      </c>
      <c r="C40" s="49" t="s">
        <v>139</v>
      </c>
      <c r="D40" s="49" t="s">
        <v>140</v>
      </c>
      <c r="E40" s="49" t="s">
        <v>195</v>
      </c>
      <c r="F40" s="49" t="s">
        <v>194</v>
      </c>
    </row>
    <row r="41" spans="1:13" ht="61.15" customHeight="1">
      <c r="A41" s="42" t="s">
        <v>116</v>
      </c>
      <c r="B41" s="43" t="s">
        <v>597</v>
      </c>
      <c r="C41" s="44" t="s">
        <v>142</v>
      </c>
      <c r="D41" s="45" t="s">
        <v>143</v>
      </c>
      <c r="E41" s="24">
        <f>'Parcel 1 without DATSs'!G250/'Parcel 1 without DATSs'!E10*'General Information'!H41</f>
        <v>8840</v>
      </c>
      <c r="F41" s="39" t="s">
        <v>183</v>
      </c>
      <c r="M41"/>
    </row>
    <row r="42" spans="1:13" ht="61.15" customHeight="1">
      <c r="A42" s="42" t="s">
        <v>116</v>
      </c>
      <c r="B42" s="43" t="s">
        <v>598</v>
      </c>
      <c r="C42" s="44" t="s">
        <v>142</v>
      </c>
      <c r="D42" s="45" t="str">
        <f>IFERROR(VLOOKUP('General Information'!$D$6, Validations!$L$2:$M$8, 2,FALSE), "")</f>
        <v>€/ha</v>
      </c>
      <c r="E42" s="24">
        <f>('Parcel 1 without DATSs'!G251*'General Information'!H41/(IF('General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DATSs'!G256))))))))*1000</f>
        <v>0</v>
      </c>
      <c r="F42" s="39" t="s">
        <v>220</v>
      </c>
      <c r="M42"/>
    </row>
    <row r="43" spans="1:13" ht="61.15" customHeight="1">
      <c r="A43" s="42" t="s">
        <v>116</v>
      </c>
      <c r="B43" s="43" t="s">
        <v>599</v>
      </c>
      <c r="C43" s="44" t="s">
        <v>142</v>
      </c>
      <c r="D43" s="45" t="str">
        <f>IFERROR(VLOOKUP('General Information'!$D$6, Validations!$L$2:$M$8, 2,FALSE), "")</f>
        <v>€/ha</v>
      </c>
      <c r="E43" s="24">
        <f>('Parcel 1 without DATSs'!G252*'General Information'!H41/(IF('General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DATSs'!G256))))))))/10</f>
        <v>0</v>
      </c>
      <c r="F43" s="39" t="s">
        <v>221</v>
      </c>
      <c r="M43"/>
    </row>
    <row r="44" spans="1:13" ht="61.15" customHeight="1">
      <c r="A44" s="42" t="s">
        <v>116</v>
      </c>
      <c r="B44" s="43" t="s">
        <v>600</v>
      </c>
      <c r="C44" s="44" t="s">
        <v>142</v>
      </c>
      <c r="D44" s="45" t="s">
        <v>562</v>
      </c>
      <c r="E44" s="24" t="e">
        <f>'Parcel 1 without DATSs'!G254*'General Information'!H41/'Parcel 1 without DATSs'!E20</f>
        <v>#DIV/0!</v>
      </c>
      <c r="F44" s="39" t="s">
        <v>222</v>
      </c>
      <c r="M44"/>
    </row>
    <row r="45" spans="1:13" ht="61.15" customHeight="1">
      <c r="A45" s="42" t="s">
        <v>116</v>
      </c>
      <c r="B45" s="43" t="s">
        <v>601</v>
      </c>
      <c r="C45" s="44" t="s">
        <v>142</v>
      </c>
      <c r="D45" s="45" t="s">
        <v>563</v>
      </c>
      <c r="E45" s="24" t="e">
        <f>'Parcel 1 without DATSs'!G255/'Parcel 1 without DATSs'!E19*'General Information'!H41</f>
        <v>#DIV/0!</v>
      </c>
      <c r="F45" s="39" t="s">
        <v>223</v>
      </c>
      <c r="M45"/>
    </row>
    <row r="46" spans="1:13" ht="61.15" customHeight="1">
      <c r="A46" s="42" t="s">
        <v>116</v>
      </c>
      <c r="B46" s="43" t="s">
        <v>602</v>
      </c>
      <c r="C46" s="44" t="s">
        <v>142</v>
      </c>
      <c r="D46" s="45" t="s">
        <v>462</v>
      </c>
      <c r="E46" s="24">
        <f>'Parcel 1 without DATSs'!G256*'General Information'!H41</f>
        <v>0</v>
      </c>
      <c r="F46" s="39"/>
      <c r="M46"/>
    </row>
    <row r="47" spans="1:13" ht="61.15" customHeight="1">
      <c r="A47" s="42" t="s">
        <v>357</v>
      </c>
      <c r="B47" s="43" t="s">
        <v>281</v>
      </c>
      <c r="C47" s="44" t="s">
        <v>142</v>
      </c>
      <c r="D47" s="45" t="str">
        <f>IFERROR(VLOOKUP('General Information'!$D$6, Validations!$L$2:$M$8, 2,FALSE), "")</f>
        <v>€/ha</v>
      </c>
      <c r="E47" s="24">
        <f>'Parcel 1 without DATSs'!G225</f>
        <v>0</v>
      </c>
      <c r="F47" s="43" t="s">
        <v>281</v>
      </c>
      <c r="M47"/>
    </row>
    <row r="48" spans="1:13" ht="61.15" customHeight="1">
      <c r="A48" s="53"/>
      <c r="B48" s="3"/>
      <c r="C48" s="54"/>
      <c r="D48" s="1"/>
      <c r="E48" s="24"/>
      <c r="F48" s="32"/>
      <c r="M48"/>
    </row>
    <row r="49" spans="1:13" ht="30" customHeight="1">
      <c r="A49" s="53"/>
      <c r="B49" s="3"/>
      <c r="C49" s="54"/>
      <c r="D49" s="53"/>
      <c r="E49" s="24"/>
      <c r="F49" s="32"/>
      <c r="M49"/>
    </row>
  </sheetData>
  <conditionalFormatting sqref="C2:C38 C40:C49">
    <cfRule type="containsText" dxfId="181" priority="112" operator="containsText" text="Without DATs">
      <formula>NOT(ISERROR(SEARCH("Without DATs",C2)))</formula>
    </cfRule>
  </conditionalFormatting>
  <conditionalFormatting sqref="C3:C38 C41:C49">
    <cfRule type="containsText" dxfId="180" priority="23" operator="containsText" text="With DATs">
      <formula>NOT(ISERROR(SEARCH("With DATs",C3)))</formula>
    </cfRule>
    <cfRule type="containsText" dxfId="179" priority="24" operator="containsText" text="With out DATs">
      <formula>NOT(ISERROR(SEARCH("With out DATs",C3)))</formula>
    </cfRule>
    <cfRule type="containsText" dxfId="178" priority="25" operator="containsText" text="TO-BE">
      <formula>NOT(ISERROR(SEARCH("TO-BE",C3)))</formula>
    </cfRule>
    <cfRule type="containsText" dxfId="177" priority="26" operator="containsText" text="AS-IS">
      <formula>NOT(ISERROR(SEARCH("AS-IS",C3)))</formula>
    </cfRule>
  </conditionalFormatting>
  <conditionalFormatting sqref="D1 D50:D1048576">
    <cfRule type="containsText" dxfId="176" priority="1" operator="containsText" text="Without DATs">
      <formula>NOT(ISERROR(SEARCH("Without DATs",D1)))</formula>
    </cfRule>
  </conditionalFormatting>
  <conditionalFormatting sqref="D39">
    <cfRule type="containsText" dxfId="175" priority="2" operator="containsText" text="Without DATs">
      <formula>NOT(ISERROR(SEARCH("Without DATs",D39)))</formula>
    </cfRule>
  </conditionalFormatting>
  <conditionalFormatting sqref="G26">
    <cfRule type="cellIs" dxfId="174" priority="8" operator="lessThan">
      <formula>0</formula>
    </cfRule>
    <cfRule type="cellIs" dxfId="173" priority="9" operator="greaterThan">
      <formula>0</formula>
    </cfRule>
  </conditionalFormatting>
  <conditionalFormatting sqref="G32:G33">
    <cfRule type="cellIs" dxfId="172" priority="20" operator="lessThan">
      <formula>0</formula>
    </cfRule>
    <cfRule type="cellIs" dxfId="171" priority="21" operator="greaterThan">
      <formula>0</formula>
    </cfRule>
  </conditionalFormatting>
  <conditionalFormatting sqref="G36:G38">
    <cfRule type="cellIs" dxfId="170" priority="28" operator="lessThan">
      <formula>0</formula>
    </cfRule>
    <cfRule type="cellIs" dxfId="169" priority="29" operator="greaterThan">
      <formula>0</formula>
    </cfRule>
  </conditionalFormatting>
  <conditionalFormatting sqref="G50:G1048576">
    <cfRule type="cellIs" dxfId="168" priority="58" operator="lessThan">
      <formula>0</formula>
    </cfRule>
    <cfRule type="cellIs" dxfId="167" priority="59" operator="greaterThan">
      <formula>0</formula>
    </cfRule>
  </conditionalFormatting>
  <conditionalFormatting sqref="I9">
    <cfRule type="containsText" dxfId="166" priority="94" operator="containsText" text="Without DATs">
      <formula>NOT(ISERROR(SEARCH("Without DATs",I9)))</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A8134-1FCE-9F4D-8F3E-A29C58584939}">
  <dimension ref="A1:M108"/>
  <sheetViews>
    <sheetView zoomScale="77" zoomScaleNormal="80" workbookViewId="0">
      <selection activeCell="A10" sqref="A10"/>
    </sheetView>
  </sheetViews>
  <sheetFormatPr defaultColWidth="11.25" defaultRowHeight="15.75"/>
  <cols>
    <col min="1" max="1" width="24.5" customWidth="1"/>
    <col min="2" max="2" width="31.25" bestFit="1" customWidth="1"/>
    <col min="3" max="3" width="18.5" customWidth="1"/>
    <col min="4" max="4" width="13.25" customWidth="1"/>
    <col min="5" max="5" width="32.25" style="4" customWidth="1"/>
    <col min="6" max="6" width="35.75" bestFit="1" customWidth="1"/>
    <col min="7" max="7" width="36" customWidth="1"/>
    <col min="8" max="8" width="22.5" customWidth="1"/>
    <col min="9" max="10" width="26.75" customWidth="1"/>
    <col min="11" max="11" width="20.75" customWidth="1"/>
    <col min="12" max="12" width="25.25" customWidth="1"/>
    <col min="13" max="13" width="25" style="21" customWidth="1"/>
    <col min="15" max="15" width="22.25" customWidth="1"/>
  </cols>
  <sheetData>
    <row r="1" spans="1:13" s="4" customFormat="1">
      <c r="A1" s="71" t="s">
        <v>337</v>
      </c>
      <c r="F1" s="32"/>
      <c r="M1" s="40"/>
    </row>
    <row r="2" spans="1:13" s="4" customFormat="1" ht="19.899999999999999" customHeight="1">
      <c r="A2" s="49"/>
      <c r="B2" s="49" t="s">
        <v>138</v>
      </c>
      <c r="C2" s="49" t="s">
        <v>139</v>
      </c>
      <c r="D2" s="49" t="s">
        <v>140</v>
      </c>
      <c r="E2" s="49" t="s">
        <v>195</v>
      </c>
      <c r="F2" s="49" t="s">
        <v>194</v>
      </c>
    </row>
    <row r="3" spans="1:13" ht="61.15" customHeight="1">
      <c r="A3" s="35"/>
      <c r="B3" s="43" t="s">
        <v>527</v>
      </c>
      <c r="C3" s="37" t="s">
        <v>157</v>
      </c>
      <c r="D3" s="45" t="s">
        <v>316</v>
      </c>
      <c r="E3" s="24">
        <f>'Parcel 1 with DATSs'!G250/'Parcel 1 with DATSs'!E10</f>
        <v>71.000000000000014</v>
      </c>
      <c r="F3" s="39" t="s">
        <v>395</v>
      </c>
      <c r="M3"/>
    </row>
    <row r="4" spans="1:13" ht="61.15" customHeight="1">
      <c r="A4" s="35"/>
      <c r="B4" s="43" t="s">
        <v>399</v>
      </c>
      <c r="C4" s="37" t="s">
        <v>157</v>
      </c>
      <c r="D4" s="45" t="s">
        <v>315</v>
      </c>
      <c r="E4" s="24">
        <f>'Parcel 1 with DATSs'!G250/SUM('Parcel 1 with DATSs'!G194:G218)</f>
        <v>26.463636363636365</v>
      </c>
      <c r="F4" s="39" t="s">
        <v>308</v>
      </c>
      <c r="M4"/>
    </row>
    <row r="5" spans="1:13" ht="61.15" customHeight="1">
      <c r="A5" s="35"/>
      <c r="B5" s="43" t="s">
        <v>400</v>
      </c>
      <c r="C5" s="37" t="s">
        <v>157</v>
      </c>
      <c r="D5" s="45" t="s">
        <v>531</v>
      </c>
      <c r="E5" s="24">
        <f>'Parcel 1 with DATSs'!G251/SUM('Parcel 1 with DATSs'!G194:G218)</f>
        <v>0</v>
      </c>
      <c r="F5" s="39" t="s">
        <v>308</v>
      </c>
      <c r="M5"/>
    </row>
    <row r="6" spans="1:13" ht="61.15" customHeight="1">
      <c r="A6" s="35"/>
      <c r="B6" s="43" t="s">
        <v>401</v>
      </c>
      <c r="C6" s="37" t="s">
        <v>157</v>
      </c>
      <c r="D6" s="45" t="s">
        <v>530</v>
      </c>
      <c r="E6" s="24">
        <f>'Parcel 1 with DATSs'!G252/SUM('Parcel 1 with DATSs'!G194:G218)</f>
        <v>0</v>
      </c>
      <c r="F6" s="39" t="s">
        <v>308</v>
      </c>
      <c r="M6"/>
    </row>
    <row r="7" spans="1:13" ht="61.15" customHeight="1">
      <c r="A7" s="35"/>
      <c r="B7" s="43" t="s">
        <v>402</v>
      </c>
      <c r="C7" s="37" t="s">
        <v>157</v>
      </c>
      <c r="D7" s="45" t="s">
        <v>532</v>
      </c>
      <c r="E7" s="24">
        <f>'Parcel 1 with DATSs'!G254/SUM('Parcel 1 with DATSs'!G194:G218)</f>
        <v>0</v>
      </c>
      <c r="F7" s="39" t="s">
        <v>308</v>
      </c>
      <c r="G7" s="41"/>
      <c r="M7"/>
    </row>
    <row r="8" spans="1:13" ht="61.15" customHeight="1">
      <c r="A8" s="35"/>
      <c r="B8" s="43" t="s">
        <v>403</v>
      </c>
      <c r="C8" s="37" t="s">
        <v>157</v>
      </c>
      <c r="D8" s="45" t="s">
        <v>533</v>
      </c>
      <c r="E8" s="24">
        <f>'Parcel 1 with DATSs'!G255/SUM('Parcel 1 with DATSs'!G194:G218)</f>
        <v>0</v>
      </c>
      <c r="F8" s="39" t="s">
        <v>308</v>
      </c>
      <c r="G8" s="41"/>
      <c r="M8"/>
    </row>
    <row r="9" spans="1:13" ht="61.15" customHeight="1">
      <c r="A9" s="35"/>
      <c r="B9" s="43" t="s">
        <v>603</v>
      </c>
      <c r="C9" s="37" t="s">
        <v>157</v>
      </c>
      <c r="D9" s="45" t="s">
        <v>604</v>
      </c>
      <c r="E9" s="24">
        <f>'Parcel 1 with DATSs'!G256/SUM('Parcel 1 with DATSs'!G194:G218)</f>
        <v>0</v>
      </c>
      <c r="F9" s="39"/>
      <c r="G9" s="41"/>
      <c r="M9"/>
    </row>
    <row r="10" spans="1:13" ht="61.15" customHeight="1">
      <c r="A10" s="35"/>
      <c r="B10" s="43" t="s">
        <v>309</v>
      </c>
      <c r="C10" s="37" t="s">
        <v>157</v>
      </c>
      <c r="D10" s="45" t="s">
        <v>605</v>
      </c>
      <c r="E10" s="24" t="e">
        <f>'Parcel 1 with DATSs'!G251/'Parcel 1 with DATSs'!E17/365</f>
        <v>#DIV/0!</v>
      </c>
      <c r="F10" s="39" t="s">
        <v>310</v>
      </c>
      <c r="G10" s="41"/>
      <c r="M10"/>
    </row>
    <row r="11" spans="1:13" ht="61.15" customHeight="1">
      <c r="A11" s="35"/>
      <c r="B11" s="43" t="s">
        <v>314</v>
      </c>
      <c r="C11" s="37" t="s">
        <v>157</v>
      </c>
      <c r="D11" s="45" t="s">
        <v>608</v>
      </c>
      <c r="E11" s="24" t="e">
        <f>'Parcel 1 with DATSs'!G252/'Parcel 1 with DATSs'!E17/365</f>
        <v>#DIV/0!</v>
      </c>
      <c r="F11" s="39" t="s">
        <v>393</v>
      </c>
      <c r="G11" s="41"/>
      <c r="M11"/>
    </row>
    <row r="12" spans="1:13" ht="61.15" customHeight="1">
      <c r="A12" s="35"/>
      <c r="B12" s="43" t="s">
        <v>311</v>
      </c>
      <c r="C12" s="37" t="s">
        <v>157</v>
      </c>
      <c r="D12" s="45" t="s">
        <v>528</v>
      </c>
      <c r="E12" s="24" t="e">
        <f>'Parcel 1 with DATSs'!G255/'Parcel 1 with DATSs'!E19</f>
        <v>#DIV/0!</v>
      </c>
      <c r="F12" s="39" t="s">
        <v>392</v>
      </c>
      <c r="G12" s="41"/>
      <c r="M12"/>
    </row>
    <row r="13" spans="1:13" ht="61.15" customHeight="1">
      <c r="A13" s="35"/>
      <c r="B13" s="43" t="s">
        <v>312</v>
      </c>
      <c r="C13" s="37" t="s">
        <v>157</v>
      </c>
      <c r="D13" s="45" t="s">
        <v>529</v>
      </c>
      <c r="E13" s="24" t="e">
        <f>'Parcel 1 with DATSs'!G254/'Parcel 1 with DATSs'!E20</f>
        <v>#DIV/0!</v>
      </c>
      <c r="F13" s="39" t="s">
        <v>313</v>
      </c>
      <c r="G13" s="41"/>
      <c r="M13"/>
    </row>
    <row r="14" spans="1:13" ht="25.9" customHeight="1">
      <c r="A14" s="53"/>
      <c r="B14" s="3"/>
      <c r="C14" s="54"/>
      <c r="D14" s="1"/>
      <c r="E14" s="24"/>
      <c r="M14"/>
    </row>
    <row r="15" spans="1:13" s="4" customFormat="1" ht="37.9" customHeight="1">
      <c r="A15" s="71" t="s">
        <v>338</v>
      </c>
      <c r="F15" s="32"/>
      <c r="M15" s="40"/>
    </row>
    <row r="16" spans="1:13" s="4" customFormat="1" ht="19.899999999999999" customHeight="1">
      <c r="A16" s="49"/>
      <c r="B16" s="49" t="s">
        <v>138</v>
      </c>
      <c r="C16" s="49" t="s">
        <v>139</v>
      </c>
      <c r="D16" s="49" t="s">
        <v>140</v>
      </c>
      <c r="E16" s="49" t="s">
        <v>195</v>
      </c>
      <c r="F16" s="49" t="s">
        <v>194</v>
      </c>
    </row>
    <row r="17" spans="1:13" ht="61.15" customHeight="1">
      <c r="A17" s="35"/>
      <c r="B17" s="43" t="s">
        <v>318</v>
      </c>
      <c r="C17" s="37" t="s">
        <v>157</v>
      </c>
      <c r="D17" s="45" t="s">
        <v>105</v>
      </c>
      <c r="E17" s="24" t="e">
        <f>('Parcel 1 with DATSs'!G202/SUM('Parcel 1 with DATSs'!G201:G204))*100</f>
        <v>#DIV/0!</v>
      </c>
      <c r="F17" s="39" t="s">
        <v>319</v>
      </c>
      <c r="G17" s="41"/>
      <c r="M17"/>
    </row>
    <row r="18" spans="1:13" ht="61.15" customHeight="1">
      <c r="A18" s="69"/>
      <c r="B18" s="43" t="s">
        <v>320</v>
      </c>
      <c r="C18" s="37" t="s">
        <v>157</v>
      </c>
      <c r="D18" s="45" t="s">
        <v>105</v>
      </c>
      <c r="E18" s="24" t="e">
        <f>('Parcel 1 with DATSs'!G222/'Parcel 1 with DATSs'!G223)*100</f>
        <v>#DIV/0!</v>
      </c>
      <c r="F18" s="39" t="s">
        <v>321</v>
      </c>
      <c r="G18" s="41"/>
      <c r="M18"/>
    </row>
    <row r="19" spans="1:13" ht="61.15" customHeight="1">
      <c r="A19" s="35"/>
      <c r="B19" s="43" t="s">
        <v>322</v>
      </c>
      <c r="C19" s="37" t="s">
        <v>157</v>
      </c>
      <c r="D19" s="45" t="s">
        <v>113</v>
      </c>
      <c r="E19" s="24">
        <f>'Parcel 1 with DATSs'!G224</f>
        <v>0</v>
      </c>
      <c r="F19" s="39" t="s">
        <v>322</v>
      </c>
      <c r="G19" s="41"/>
      <c r="M19"/>
    </row>
    <row r="20" spans="1:13" ht="25.9" customHeight="1">
      <c r="A20" s="53"/>
      <c r="B20" s="3"/>
      <c r="C20" s="54"/>
      <c r="D20" s="1"/>
      <c r="E20" s="32"/>
      <c r="M20"/>
    </row>
    <row r="21" spans="1:13" s="4" customFormat="1">
      <c r="A21" s="48" t="s">
        <v>323</v>
      </c>
      <c r="F21" s="32"/>
      <c r="M21" s="40"/>
    </row>
    <row r="22" spans="1:13" s="4" customFormat="1" ht="19.899999999999999" customHeight="1">
      <c r="A22" s="49" t="s">
        <v>166</v>
      </c>
      <c r="B22" s="49" t="s">
        <v>138</v>
      </c>
      <c r="C22" s="49" t="s">
        <v>139</v>
      </c>
      <c r="D22" s="49" t="s">
        <v>140</v>
      </c>
      <c r="E22" s="49" t="s">
        <v>195</v>
      </c>
      <c r="F22" s="49" t="s">
        <v>194</v>
      </c>
    </row>
    <row r="23" spans="1:13" ht="61.15" customHeight="1">
      <c r="A23" s="35"/>
      <c r="B23" s="43" t="s">
        <v>324</v>
      </c>
      <c r="C23" s="37" t="s">
        <v>157</v>
      </c>
      <c r="D23" s="45"/>
      <c r="E23" s="41"/>
      <c r="F23" s="39"/>
      <c r="G23" s="41"/>
      <c r="M23"/>
    </row>
    <row r="24" spans="1:13" ht="61.15" customHeight="1">
      <c r="A24" s="35"/>
      <c r="B24" s="43" t="s">
        <v>362</v>
      </c>
      <c r="C24" s="37" t="s">
        <v>157</v>
      </c>
      <c r="D24" s="45" t="s">
        <v>105</v>
      </c>
      <c r="E24" s="24">
        <f>'Parcel 1 with DATSs'!G226</f>
        <v>0</v>
      </c>
      <c r="F24" s="39"/>
      <c r="G24" s="41"/>
      <c r="M24"/>
    </row>
    <row r="25" spans="1:13" ht="61.15" customHeight="1">
      <c r="A25" s="35"/>
      <c r="B25" s="43" t="s">
        <v>363</v>
      </c>
      <c r="C25" s="37" t="s">
        <v>157</v>
      </c>
      <c r="D25" s="45" t="s">
        <v>105</v>
      </c>
      <c r="E25" s="24">
        <f>'Parcel 1 with DATSs'!G227</f>
        <v>0</v>
      </c>
      <c r="F25" s="39"/>
      <c r="G25" s="41"/>
      <c r="M25"/>
    </row>
    <row r="26" spans="1:13" ht="61.15" customHeight="1">
      <c r="A26" s="35"/>
      <c r="B26" s="43" t="s">
        <v>364</v>
      </c>
      <c r="C26" s="37" t="s">
        <v>157</v>
      </c>
      <c r="D26" s="45" t="s">
        <v>365</v>
      </c>
      <c r="E26" s="24">
        <f>'Parcel 1 with DATSs'!G228</f>
        <v>0</v>
      </c>
      <c r="F26" s="39"/>
      <c r="G26" s="41"/>
      <c r="M26"/>
    </row>
    <row r="27" spans="1:13" ht="25.9" customHeight="1">
      <c r="A27" s="53"/>
      <c r="B27" s="3"/>
      <c r="C27" s="54"/>
      <c r="D27" s="1"/>
      <c r="E27" s="32"/>
      <c r="M27"/>
    </row>
    <row r="28" spans="1:13" s="24" customFormat="1" ht="33" customHeight="1" thickBot="1">
      <c r="A28" s="51" t="s">
        <v>339</v>
      </c>
      <c r="M28" s="50"/>
    </row>
    <row r="29" spans="1:13" s="24" customFormat="1" ht="19.899999999999999" customHeight="1">
      <c r="A29" s="49" t="s">
        <v>225</v>
      </c>
      <c r="B29" s="49" t="s">
        <v>145</v>
      </c>
      <c r="C29" s="49" t="s">
        <v>139</v>
      </c>
      <c r="D29" s="49" t="s">
        <v>140</v>
      </c>
      <c r="E29" s="49" t="s">
        <v>195</v>
      </c>
      <c r="F29" s="49" t="s">
        <v>146</v>
      </c>
      <c r="G29" s="52"/>
      <c r="I29" s="52"/>
      <c r="J29" s="52"/>
      <c r="K29" s="52"/>
      <c r="L29" s="52"/>
      <c r="M29" s="52"/>
    </row>
    <row r="30" spans="1:13" ht="61.15" customHeight="1">
      <c r="A30" s="35" t="s">
        <v>179</v>
      </c>
      <c r="B30" s="43" t="s">
        <v>17</v>
      </c>
      <c r="C30" s="37" t="s">
        <v>157</v>
      </c>
      <c r="D30" s="45" t="s">
        <v>147</v>
      </c>
      <c r="E30" s="24">
        <f>('Parcel 1 with DATSs'!G101*'Parcel 1 with DATSs'!G102*('Parcel 1 with DATSs'!G103/100))+
('Parcel 1 with DATSs'!G108*'Parcel 1 with DATSs'!G109*('Parcel 1 with DATSs'!G110/100))+
('Parcel 1 with DATSs'!G115*'Parcel 1 with DATSs'!G116*('Parcel 1 with DATSs'!G117/100))+
('Parcel 1 with DATSs'!G122*'Parcel 1 with DATSs'!G123*('Parcel 1 with DATSs'!G124/100))+
('Parcel 1 with DATSs'!G129*'Parcel 1 with DATSs'!G130*('Parcel 1 with DATSs'!G131/100))+
('Parcel 1 with DATSs'!G136*'Parcel 1 with DATSs'!G137*('Parcel 1 with DATSs'!G138/100))+
('Parcel 1 with DATSs'!G143*'Parcel 1 with DATSs'!G144*('Parcel 1 with DATSs'!G145/100))+
('Parcel 1 with DATSs'!G150*'Parcel 1 with DATSs'!G151*('Parcel 1 with DATSs'!G152/100))+
('Parcel 1 with DATSs'!G157*'Parcel 1 with DATSs'!G158*('Parcel 1 with DATSs'!G159/100))+
('Parcel 1 with DATSs'!G164*'Parcel 1 with DATSs'!G165*('Parcel 1 with DATSs'!G166/100))</f>
        <v>522.41200000000003</v>
      </c>
      <c r="F30" s="39" t="s">
        <v>185</v>
      </c>
      <c r="G30" s="41"/>
      <c r="H30" s="74"/>
      <c r="M30"/>
    </row>
    <row r="31" spans="1:13" ht="61.15" customHeight="1">
      <c r="A31" s="35" t="s">
        <v>179</v>
      </c>
      <c r="B31" s="43" t="s">
        <v>18</v>
      </c>
      <c r="C31" s="37" t="s">
        <v>157</v>
      </c>
      <c r="D31" s="45" t="s">
        <v>105</v>
      </c>
      <c r="E31" s="24">
        <f>((('Parcel 1 with DATSs'!G250*1000/'Parcel 1 with DATSs'!E10)*C98)/(E30)*100)</f>
        <v>40.772417172653</v>
      </c>
      <c r="F31" s="39" t="s">
        <v>534</v>
      </c>
      <c r="G31" s="75"/>
      <c r="M31"/>
    </row>
    <row r="32" spans="1:13" ht="61.15" customHeight="1">
      <c r="A32" s="35" t="s">
        <v>179</v>
      </c>
      <c r="B32" s="43" t="s">
        <v>19</v>
      </c>
      <c r="C32" s="37" t="s">
        <v>157</v>
      </c>
      <c r="D32" s="45" t="s">
        <v>147</v>
      </c>
      <c r="E32" s="24">
        <f>('Parcel 1 with DATSs'!G101*'Parcel 1 with DATSs'!G102*('Parcel 1 with DATSs'!G104/100))+
('Parcel 1 with DATSs'!G108*'Parcel 1 with DATSs'!G109*('Parcel 1 with DATSs'!G111/100))+
('Parcel 1 with DATSs'!G115*'Parcel 1 with DATSs'!G116*('Parcel 1 with DATSs'!G118/100))+
('Parcel 1 with DATSs'!G122*'Parcel 1 with DATSs'!G123*('Parcel 1 with DATSs'!G125/100))+
('Parcel 1 with DATSs'!G129*'Parcel 1 with DATSs'!G130*('Parcel 1 with DATSs'!G132/100))+
('Parcel 1 with DATSs'!G136*'Parcel 1 with DATSs'!G137*('Parcel 1 with DATSs'!G139/100))+
('Parcel 1 with DATSs'!G143*'Parcel 1 with DATSs'!G144*('Parcel 1 with DATSs'!G146/100))+
('Parcel 1 with DATSs'!G150*'Parcel 1 with DATSs'!G151*('Parcel 1 with DATSs'!G153/100))+
('Parcel 1 with DATSs'!G157*'Parcel 1 with DATSs'!G158*('Parcel 1 with DATSs'!G160/100))+
('Parcel 1 with DATSs'!G164*'Parcel 1 with DATSs'!G165*('Parcel 1 with DATSs'!G167/100))</f>
        <v>39.97</v>
      </c>
      <c r="F32" s="39" t="s">
        <v>186</v>
      </c>
      <c r="G32" s="41"/>
      <c r="M32"/>
    </row>
    <row r="33" spans="1:13" ht="61.15" customHeight="1">
      <c r="A33" s="35" t="s">
        <v>179</v>
      </c>
      <c r="B33" s="43" t="s">
        <v>20</v>
      </c>
      <c r="C33" s="37" t="s">
        <v>157</v>
      </c>
      <c r="D33" s="45" t="s">
        <v>105</v>
      </c>
      <c r="E33" s="24">
        <f>((('Parcel 1 with DATSs'!G250*1000/'Parcel 1 with DATSs'!E10)*C99)/E32*100)</f>
        <v>213.15986990242681</v>
      </c>
      <c r="F33" s="39" t="s">
        <v>535</v>
      </c>
      <c r="G33" s="41"/>
      <c r="M33"/>
    </row>
    <row r="34" spans="1:13" ht="61.15" customHeight="1">
      <c r="A34" s="35" t="s">
        <v>179</v>
      </c>
      <c r="B34" s="43" t="s">
        <v>286</v>
      </c>
      <c r="C34" s="164" t="s">
        <v>157</v>
      </c>
      <c r="D34" s="45" t="s">
        <v>105</v>
      </c>
      <c r="E34" s="165">
        <f>('Parcel 1 with DATSs'!G101*'Parcel 1 with DATSs'!G102*('Parcel 1 with DATSs'!G105/100))+
('Parcel 1 with DATSs'!G108*'Parcel 1 with DATSs'!G109*('Parcel 1 with DATSs'!G112/100))+
('Parcel 1 with DATSs'!G115*'Parcel 1 with DATSs'!G116*('Parcel 1 with DATSs'!G119/100))+
('Parcel 1 with DATSs'!G122*'Parcel 1 with DATSs'!G123*('Parcel 1 with DATSs'!G126/100))+
('Parcel 1 with DATSs'!G129*'Parcel 1 with DATSs'!G130*('Parcel 1 with DATSs'!G133/100))+
('Parcel 1 with DATSs'!G136*'Parcel 1 with DATSs'!G137*('Parcel 1 with DATSs'!G140/100))+
('Parcel 1 with DATSs'!G143*'Parcel 1 with DATSs'!G144*('Parcel 1 with DATSs'!G147/100))+
('Parcel 1 with DATSs'!G150*'Parcel 1 with DATSs'!G151*('Parcel 1 with DATSs'!G154/100))+
('Parcel 1 with DATSs'!G157*'Parcel 1 with DATSs'!G158*('Parcel 1 with DATSs'!G161/100))+
('Parcel 1 with DATSs'!G164*'Parcel 1 with DATSs'!G165*('Parcel 1 with DATSs'!G168/100))</f>
        <v>198.05199999999999</v>
      </c>
      <c r="F34" s="39" t="s">
        <v>288</v>
      </c>
      <c r="M34"/>
    </row>
    <row r="35" spans="1:13" ht="61.15" customHeight="1">
      <c r="A35" s="35" t="s">
        <v>179</v>
      </c>
      <c r="B35" s="43" t="s">
        <v>287</v>
      </c>
      <c r="C35" s="164" t="s">
        <v>157</v>
      </c>
      <c r="D35" s="45" t="s">
        <v>105</v>
      </c>
      <c r="E35" s="165">
        <f>(((('Parcel 1 with DATSs'!G250*1000)/'Parcel 1 with DATSs'!E10)*'sust. impact KPIs DATS'!C100)/E34*100)</f>
        <v>143.39668369923052</v>
      </c>
      <c r="F35" s="39" t="s">
        <v>536</v>
      </c>
      <c r="M35"/>
    </row>
    <row r="36" spans="1:13" ht="61.15" customHeight="1">
      <c r="A36" s="35" t="s">
        <v>177</v>
      </c>
      <c r="B36" s="43" t="s">
        <v>299</v>
      </c>
      <c r="C36" s="37" t="s">
        <v>157</v>
      </c>
      <c r="D36" s="45" t="s">
        <v>147</v>
      </c>
      <c r="E36" s="24">
        <f>('Parcel 1 with DATSs'!G67*'Parcel 1 with DATSs'!G68)+
('Parcel 1 with DATSs'!G70*'Parcel 1 with DATSs'!G71)+
('Parcel 1 with DATSs'!G73*'Parcel 1 with DATSs'!G74)+
('Parcel 1 with DATSs'!G76*'Parcel 1 with DATSs'!G77)+
('Parcel 1 with DATSs'!G79*'Parcel 1 with DATSs'!G80)+
('Parcel 1 with DATSs'!G82*'Parcel 1 with DATSs'!G83)+
('Parcel 1 with DATSs'!G85*'Parcel 1 with DATSs'!G86)+
('Parcel 1 with DATSs'!G88*'Parcel 1 with DATSs'!G89)+
('Parcel 1 with DATSs'!G91*'Parcel 1 with DATSs'!G92)+
('Parcel 1 with DATSs'!G94*'Parcel 1 with DATSs'!G95)</f>
        <v>0</v>
      </c>
      <c r="F36" s="39" t="s">
        <v>300</v>
      </c>
      <c r="G36" s="41"/>
      <c r="M36"/>
    </row>
    <row r="37" spans="1:13">
      <c r="A37" s="35" t="s">
        <v>0</v>
      </c>
      <c r="B37" s="43" t="s">
        <v>769</v>
      </c>
      <c r="C37" s="37" t="s">
        <v>157</v>
      </c>
      <c r="D37" s="45" t="str">
        <f>IFERROR(VLOOKUP('General Information'!$D$6, Validations!$J$2:$K$8, 2,FALSE), "")</f>
        <v>m3/ha</v>
      </c>
      <c r="E37" s="24">
        <f>'Parcel 1 with DATSs'!G29/(IF('General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318.53658536585368</v>
      </c>
      <c r="F37" s="39" t="s">
        <v>188</v>
      </c>
      <c r="G37" s="41"/>
      <c r="M37"/>
    </row>
    <row r="38" spans="1:13">
      <c r="A38" s="35" t="s">
        <v>0</v>
      </c>
      <c r="B38" s="43" t="s">
        <v>397</v>
      </c>
      <c r="C38" s="37" t="s">
        <v>157</v>
      </c>
      <c r="D38" s="45" t="s">
        <v>398</v>
      </c>
      <c r="E38" s="24"/>
      <c r="F38" s="39" t="s">
        <v>285</v>
      </c>
      <c r="G38" s="41"/>
      <c r="M38"/>
    </row>
    <row r="39" spans="1:13" ht="61.15" customHeight="1">
      <c r="A39" s="35" t="s">
        <v>0</v>
      </c>
      <c r="B39" s="43" t="s">
        <v>21</v>
      </c>
      <c r="C39" s="37" t="s">
        <v>157</v>
      </c>
      <c r="D39" s="45" t="s">
        <v>427</v>
      </c>
      <c r="E39" s="24">
        <f>(('Parcel 1 with DATSs'!G250)*1000)/(IF(('Parcel 1 with DATSs'!G24+'Parcel 1 with DATSs'!G25)&gt;0,('Parcel 1 with DATSs'!G24+'Parcel 1 with DATSs'!G25),'Parcel 1 with DATSs'!G29))</f>
        <v>222.89433384379785</v>
      </c>
      <c r="F39" s="39" t="s">
        <v>189</v>
      </c>
      <c r="M39"/>
    </row>
    <row r="40" spans="1:13" ht="31.5">
      <c r="A40" s="35" t="s">
        <v>168</v>
      </c>
      <c r="B40" s="43" t="s">
        <v>22</v>
      </c>
      <c r="C40" s="37" t="s">
        <v>157</v>
      </c>
      <c r="D40" s="45" t="str">
        <f>IFERROR(VLOOKUP('General Information'!$D$6, Validations!$W$2:$X$8, 2,FALSE), "")</f>
        <v>kWh/ha</v>
      </c>
      <c r="E40" s="24">
        <f>'Parcel 1 with DATSs'!G62/(IF('General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17.073170731707318</v>
      </c>
      <c r="F40" s="39" t="s">
        <v>406</v>
      </c>
      <c r="G40" s="41"/>
      <c r="M40"/>
    </row>
    <row r="41" spans="1:13" s="22" customFormat="1" ht="73.150000000000006" customHeight="1">
      <c r="A41" s="35" t="s">
        <v>344</v>
      </c>
      <c r="B41" s="43" t="s">
        <v>35</v>
      </c>
      <c r="C41" s="37" t="s">
        <v>157</v>
      </c>
      <c r="D41" s="45" t="s">
        <v>162</v>
      </c>
      <c r="E41" s="24" t="e">
        <f>'Parcel 1 with DATSs'!G235/'Parcel 1 with DATSs'!G236</f>
        <v>#DIV/0!</v>
      </c>
      <c r="F41" s="39" t="s">
        <v>129</v>
      </c>
      <c r="G41" s="41"/>
      <c r="H41" s="32"/>
      <c r="J41" s="32"/>
      <c r="K41" s="3"/>
      <c r="M41" s="3"/>
    </row>
    <row r="42" spans="1:13" s="22" customFormat="1" ht="73.150000000000006" customHeight="1">
      <c r="A42" s="35" t="s">
        <v>344</v>
      </c>
      <c r="B42" s="43" t="s">
        <v>407</v>
      </c>
      <c r="C42" s="37" t="s">
        <v>157</v>
      </c>
      <c r="D42" s="45" t="s">
        <v>105</v>
      </c>
      <c r="E42" s="24" t="e">
        <f>'Parcel 1 with DATSs'!G232/'Parcel 1 with DATSs'!E17*100</f>
        <v>#DIV/0!</v>
      </c>
      <c r="F42" s="39" t="s">
        <v>163</v>
      </c>
      <c r="G42" s="41"/>
      <c r="H42" s="32">
        <f>5/200*100</f>
        <v>2.5</v>
      </c>
      <c r="J42" s="32"/>
      <c r="K42" s="3"/>
      <c r="M42" s="3"/>
    </row>
    <row r="43" spans="1:13" s="22" customFormat="1" ht="73.150000000000006" customHeight="1">
      <c r="A43" s="35" t="s">
        <v>344</v>
      </c>
      <c r="B43" s="43" t="s">
        <v>408</v>
      </c>
      <c r="C43" s="37" t="s">
        <v>157</v>
      </c>
      <c r="D43" s="45" t="s">
        <v>560</v>
      </c>
      <c r="E43" s="24" t="e">
        <f>'Parcel 1 with DATSs'!G232/'Parcel 1 with DATSs'!E20</f>
        <v>#DIV/0!</v>
      </c>
      <c r="F43" s="39" t="s">
        <v>410</v>
      </c>
      <c r="G43" s="41"/>
      <c r="H43" s="32"/>
      <c r="J43" s="32"/>
      <c r="K43" s="3"/>
      <c r="M43" s="3"/>
    </row>
    <row r="44" spans="1:13" s="22" customFormat="1" ht="73.150000000000006" customHeight="1">
      <c r="A44" s="35" t="s">
        <v>344</v>
      </c>
      <c r="B44" s="43" t="s">
        <v>409</v>
      </c>
      <c r="C44" s="37" t="s">
        <v>157</v>
      </c>
      <c r="D44" s="45" t="s">
        <v>105</v>
      </c>
      <c r="E44" s="24" t="e">
        <f>'Parcel 1 with DATSs'!G232/'Parcel 1 with DATSs'!E19*100</f>
        <v>#DIV/0!</v>
      </c>
      <c r="F44" s="39" t="s">
        <v>410</v>
      </c>
      <c r="G44" s="41"/>
      <c r="H44" s="32"/>
      <c r="J44" s="32"/>
      <c r="K44" s="3"/>
      <c r="M44" s="3"/>
    </row>
    <row r="45" spans="1:13" s="22" customFormat="1" ht="73.150000000000006" customHeight="1">
      <c r="A45" s="35" t="s">
        <v>344</v>
      </c>
      <c r="B45" s="43" t="s">
        <v>36</v>
      </c>
      <c r="C45" s="37" t="s">
        <v>157</v>
      </c>
      <c r="D45" s="45" t="s">
        <v>105</v>
      </c>
      <c r="E45" s="24" t="e">
        <f>'Parcel 1 with DATSs'!G233/'Parcel 1 with DATSs'!G234</f>
        <v>#DIV/0!</v>
      </c>
      <c r="F45" s="39" t="s">
        <v>164</v>
      </c>
      <c r="G45" s="41"/>
      <c r="H45" s="32"/>
      <c r="J45" s="32"/>
      <c r="K45" s="3"/>
      <c r="M45" s="3"/>
    </row>
    <row r="46" spans="1:13" s="22" customFormat="1" ht="31.5">
      <c r="A46" s="35" t="s">
        <v>344</v>
      </c>
      <c r="B46" s="43" t="s">
        <v>325</v>
      </c>
      <c r="C46" s="70" t="s">
        <v>157</v>
      </c>
      <c r="D46" s="45" t="s">
        <v>105</v>
      </c>
      <c r="E46" s="24" t="e">
        <f>'Parcel 1 with DATSs'!G237/'Parcel 1 with DATSs'!E17</f>
        <v>#DIV/0!</v>
      </c>
      <c r="F46" s="39" t="s">
        <v>326</v>
      </c>
      <c r="H46" s="32"/>
      <c r="J46" s="32"/>
      <c r="K46" s="3"/>
      <c r="M46" s="3"/>
    </row>
    <row r="47" spans="1:13" s="22" customFormat="1">
      <c r="A47" s="35" t="s">
        <v>12</v>
      </c>
      <c r="B47" s="43" t="s">
        <v>283</v>
      </c>
      <c r="C47" s="37" t="s">
        <v>157</v>
      </c>
      <c r="D47" s="45">
        <f>IFERROR(VLOOKUP('General Information'!$D$6, Validations!$AA$2:$AB$8, 2,FALSE), "")</f>
        <v>0</v>
      </c>
      <c r="E47" s="24">
        <f>('Parcel 1 with DATSs'!G186+'Parcel 1 with DATSs'!G188+'Parcel 1 with DATSs'!G190)/(IF('General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47" s="39" t="s">
        <v>276</v>
      </c>
      <c r="H47" s="32"/>
      <c r="J47" s="32"/>
      <c r="K47" s="3"/>
      <c r="M47" s="3"/>
    </row>
    <row r="48" spans="1:13" s="22" customFormat="1">
      <c r="A48" s="35" t="s">
        <v>12</v>
      </c>
      <c r="B48" s="43" t="s">
        <v>284</v>
      </c>
      <c r="C48" s="37" t="s">
        <v>157</v>
      </c>
      <c r="D48" s="45">
        <f>IFERROR(VLOOKUP('General Information'!$D$6, Validations!$AA$2:$AB$8, 2,FALSE), "")</f>
        <v>0</v>
      </c>
      <c r="E48" s="24">
        <f>('Parcel 1 with DATSs'!G186+'Parcel 1 with DATSs'!G188+'Parcel 1 with DATSs'!G190)/(IF('General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48" s="39" t="s">
        <v>276</v>
      </c>
      <c r="H48" s="32"/>
      <c r="J48" s="32"/>
      <c r="K48" s="3"/>
      <c r="M48" s="3"/>
    </row>
    <row r="49" spans="1:13" s="22" customFormat="1">
      <c r="A49" s="35" t="s">
        <v>12</v>
      </c>
      <c r="B49" s="43" t="s">
        <v>275</v>
      </c>
      <c r="C49" s="37" t="s">
        <v>157</v>
      </c>
      <c r="D49" s="45" t="s">
        <v>561</v>
      </c>
      <c r="E49" s="24" t="e">
        <f>('Parcel 1 with DATSs'!G187+'Parcel 1 with DATSs'!G189+'Parcel 1 with DATSs'!#REF!)/'Parcel 1 with DATSs'!E20</f>
        <v>#REF!</v>
      </c>
      <c r="F49" s="39" t="s">
        <v>276</v>
      </c>
      <c r="H49" s="32"/>
      <c r="J49" s="32"/>
      <c r="K49" s="3"/>
      <c r="M49" s="3"/>
    </row>
    <row r="50" spans="1:13" s="22" customFormat="1" ht="73.150000000000006" customHeight="1">
      <c r="A50" s="35" t="s">
        <v>12</v>
      </c>
      <c r="B50" s="43" t="s">
        <v>274</v>
      </c>
      <c r="C50" s="37" t="s">
        <v>157</v>
      </c>
      <c r="D50" s="45" t="s">
        <v>486</v>
      </c>
      <c r="E50" s="24" t="e">
        <f>('Parcel 1 with DATSs'!G187+'Parcel 1 with DATSs'!G189+'Parcel 1 with DATSs'!#REF!)/'Parcel 1 with DATSs'!E19</f>
        <v>#REF!</v>
      </c>
      <c r="F50" s="39" t="s">
        <v>276</v>
      </c>
      <c r="H50" s="32"/>
      <c r="J50" s="32"/>
      <c r="K50" s="3"/>
      <c r="M50" s="3"/>
    </row>
    <row r="51" spans="1:13" ht="61.15" customHeight="1">
      <c r="A51" s="35" t="s">
        <v>167</v>
      </c>
      <c r="B51" s="43" t="s">
        <v>23</v>
      </c>
      <c r="C51" s="37" t="s">
        <v>157</v>
      </c>
      <c r="D51" s="45" t="str">
        <f>IFERROR(VLOOKUP('General Information'!$D$6, Validations!$AA$2:$AC$8, 3,FALSE), "")</f>
        <v>kg CO2 eq/ha</v>
      </c>
      <c r="E51" s="24">
        <f>('Parcel 1 with DATSs'!G43*'sust. impact KPIs DATS'!C94*'sust. impact KPIs DATS'!C95)/(IF('General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51" s="39" t="s">
        <v>191</v>
      </c>
      <c r="G51" s="41"/>
      <c r="M51"/>
    </row>
    <row r="52" spans="1:13" ht="61.15" customHeight="1">
      <c r="A52" s="35" t="s">
        <v>167</v>
      </c>
      <c r="B52" s="43" t="s">
        <v>302</v>
      </c>
      <c r="C52" s="37" t="s">
        <v>157</v>
      </c>
      <c r="D52" s="45" t="s">
        <v>226</v>
      </c>
      <c r="E52" s="24">
        <f>'Parcel 1 with DATSs'!G43/'Parcel 1 with DATSs'!E10</f>
        <v>0</v>
      </c>
      <c r="F52" s="39" t="s">
        <v>328</v>
      </c>
      <c r="M52"/>
    </row>
    <row r="53" spans="1:13" ht="61.15" customHeight="1">
      <c r="A53" s="35" t="s">
        <v>167</v>
      </c>
      <c r="B53" s="43" t="s">
        <v>303</v>
      </c>
      <c r="C53" s="37" t="s">
        <v>157</v>
      </c>
      <c r="D53" s="45" t="str">
        <f>IFERROR(VLOOKUP('General Information'!$D$6, Validations!$AA$2:$AD$8, 4,FALSE), "")</f>
        <v>l/ha</v>
      </c>
      <c r="E53" s="24" t="e">
        <f>'Parcel 1 with DATSs'!G43/'Parcel 1 with DATSs'!E17</f>
        <v>#DIV/0!</v>
      </c>
      <c r="F53" s="39" t="s">
        <v>329</v>
      </c>
      <c r="M53"/>
    </row>
    <row r="54" spans="1:13" ht="61.15" customHeight="1">
      <c r="A54" s="35" t="s">
        <v>167</v>
      </c>
      <c r="B54" s="43" t="s">
        <v>304</v>
      </c>
      <c r="C54" s="37" t="s">
        <v>157</v>
      </c>
      <c r="D54" s="45" t="s">
        <v>331</v>
      </c>
      <c r="E54" s="24" t="e">
        <f>'Parcel 1 with DATSs'!G43/'Parcel 1 with DATSs'!E20</f>
        <v>#DIV/0!</v>
      </c>
      <c r="F54" s="39" t="s">
        <v>330</v>
      </c>
      <c r="M54"/>
    </row>
    <row r="55" spans="1:13" ht="61.15" customHeight="1">
      <c r="A55" s="35" t="s">
        <v>167</v>
      </c>
      <c r="B55" s="43" t="s">
        <v>305</v>
      </c>
      <c r="C55" s="37" t="s">
        <v>157</v>
      </c>
      <c r="D55" s="45" t="s">
        <v>455</v>
      </c>
      <c r="E55" s="24" t="e">
        <f>'Parcel 1 with DATSs'!G43/'Parcel 1 with DATSs'!E19</f>
        <v>#DIV/0!</v>
      </c>
      <c r="F55" s="39" t="s">
        <v>333</v>
      </c>
      <c r="M55"/>
    </row>
    <row r="56" spans="1:13" s="22" customFormat="1" ht="19.899999999999999" customHeight="1">
      <c r="B56" s="2"/>
      <c r="C56" s="23"/>
      <c r="D56" s="27"/>
      <c r="E56" s="24"/>
      <c r="F56" s="55" t="s">
        <v>192</v>
      </c>
      <c r="G56" s="55"/>
      <c r="H56" s="28" t="s">
        <v>151</v>
      </c>
      <c r="I56" s="55"/>
      <c r="J56" s="28" t="s">
        <v>152</v>
      </c>
      <c r="K56" s="28"/>
      <c r="L56" s="28" t="s">
        <v>412</v>
      </c>
    </row>
    <row r="57" spans="1:13" s="53" customFormat="1" ht="73.150000000000006" customHeight="1">
      <c r="A57" s="35" t="s">
        <v>179</v>
      </c>
      <c r="B57" s="42" t="s">
        <v>24</v>
      </c>
      <c r="C57" s="37" t="s">
        <v>157</v>
      </c>
      <c r="D57" s="42" t="s">
        <v>149</v>
      </c>
      <c r="E57" s="80">
        <f>(G57+I57+K57)*C90*C91</f>
        <v>3079.3366375200003</v>
      </c>
      <c r="F57" s="39" t="s">
        <v>150</v>
      </c>
      <c r="G57" s="84">
        <f>E30*C77</f>
        <v>5.2241200000000001</v>
      </c>
      <c r="H57" s="39" t="s">
        <v>415</v>
      </c>
      <c r="I57" s="84">
        <f>((((IF('Parcel 1 with DATSs'!G100="Mineral",'Parcel 1 with DATSs'!G101*'Parcel 1 with DATSs'!G102*'Parcel 1 with DATSs'!G103/100,0))+
(IF('Parcel 1 with DATSs'!G107="Mineral",'Parcel 1 with DATSs'!G108*'Parcel 1 with DATSs'!G109*'Parcel 1 with DATSs'!G110/100,0))+
(IF('Parcel 1 with DATSs'!G114="Mineral",'Parcel 1 with DATSs'!G115*'Parcel 1 with DATSs'!G116*'Parcel 1 with DATSs'!G117/100,0))+
(IF('Parcel 1 with DATSs'!G121="Mineral",'Parcel 1 with DATSs'!G122*'Parcel 1 with DATSs'!G123*'Parcel 1 with DATSs'!G124/100,0))+
(IF('Parcel 1 with DATSs'!G128="Mineral",'Parcel 1 with DATSs'!G129*'Parcel 1 with DATSs'!G130*'Parcel 1 with DATSs'!G131/100,0))+
(IF('Parcel 1 with DATSs'!G135="Mineral",'Parcel 1 with DATSs'!G136*'Parcel 1 with DATSs'!G137*'Parcel 1 with DATSs'!G138/100,0))+
(IF('Parcel 1 with DATSs'!G142="Mineral",'Parcel 1 with DATSs'!G143*'Parcel 1 with DATSs'!G144*'Parcel 1 with DATSs'!G145/100,0))+
(IF('Parcel 1 with DATSs'!G149="Mineral",'Parcel 1 with DATSs'!G150*'Parcel 1 with DATSs'!G151*'Parcel 1 with DATSs'!G152/100,0))+
(IF('Parcel 1 with DATSs'!G156="Mineral",'Parcel 1 with DATSs'!G157*'Parcel 1 with DATSs'!G158*'Parcel 1 with DATSs'!G159/100,0))+
(IF('Parcel 1 with DATSs'!G163="Mineral",'Parcel 1 with DATSs'!G164*'Parcel 1 with DATSs'!G165*'Parcel 1 with DATSs'!G166/100,0)))
*'sust. impact KPIs DATS'!C85) + (((IF('Parcel 1 with DATSs'!G100="Organic",'Parcel 1 with DATSs'!G101*'Parcel 1 with DATSs'!G102*'Parcel 1 with DATSs'!G103/100,0))+
(IF('Parcel 1 with DATSs'!G107="Organic",'Parcel 1 with DATSs'!G108*'Parcel 1 with DATSs'!G109*'Parcel 1 with DATSs'!G110/100,0))+
(IF('Parcel 1 with DATSs'!G114="Organic",'Parcel 1 with DATSs'!G115*'Parcel 1 with DATSs'!G116*'Parcel 1 with DATSs'!G117/100,0))+
(IF('Parcel 1 with DATSs'!G121="Organic",'Parcel 1 with DATSs'!G122*'Parcel 1 with DATSs'!G123*'Parcel 1 with DATSs'!G124/100,0))+
(IF('Parcel 1 with DATSs'!G128="Organic",'Parcel 1 with DATSs'!G129*'Parcel 1 with DATSs'!G130*'Parcel 1 with DATSs'!G131/100,0))+
(IF('Parcel 1 with DATSs'!G135="Organic",'Parcel 1 with DATSs'!G136*'Parcel 1 with DATSs'!G137*'Parcel 1 with DATSs'!G138/100,0))+
(IF('Parcel 1 with DATSs'!G142="Organic",'Parcel 1 with DATSs'!G143*'Parcel 1 with DATSs'!G144*'Parcel 1 with DATSs'!G145/100,0))+
(IF('Parcel 1 with DATSs'!G149="Organic",'Parcel 1 with DATSs'!G150*'Parcel 1 with DATSs'!G151*'Parcel 1 with DATSs'!G152/100,0))+
(IF('Parcel 1 with DATSs'!G156="Organic",'Parcel 1 with DATSs'!G157*'Parcel 1 with DATSs'!G158*'Parcel 1 with DATSs'!G159/100,0))+
(IF('Parcel 1 with DATSs'!G163="Organic",'Parcel 1 with DATSs'!G164*'Parcel 1 with DATSs'!G165*'Parcel 1 with DATSs'!G166/100,0)))
*'sust. impact KPIs DATS'!C86))
*'sust. impact KPIs DATS'!C82</f>
        <v>0.57465320000000009</v>
      </c>
      <c r="J57" s="39" t="s">
        <v>414</v>
      </c>
      <c r="K57" s="83">
        <f>E30*C87*C89</f>
        <v>1.3791676800000001</v>
      </c>
      <c r="L57" s="39" t="s">
        <v>413</v>
      </c>
      <c r="M57" s="3"/>
    </row>
    <row r="58" spans="1:13" s="22" customFormat="1" ht="19.899999999999999" customHeight="1">
      <c r="A58" s="35" t="s">
        <v>617</v>
      </c>
      <c r="B58" s="42" t="s">
        <v>619</v>
      </c>
      <c r="C58" s="37" t="s">
        <v>157</v>
      </c>
      <c r="D58" s="42" t="str">
        <f>D51</f>
        <v>kg CO2 eq/ha</v>
      </c>
      <c r="E58" s="56">
        <f>E57+E51</f>
        <v>3079.3366375200003</v>
      </c>
      <c r="F58" s="3"/>
      <c r="G58" s="3"/>
      <c r="H58" s="3"/>
      <c r="I58" s="3">
        <f>IF(ISERR((((('Parcel 1 with DATSs'!G101*'Parcel 1 with DATSs'!G102*100/'Parcel 1 with DATSs'!G103)+('Parcel 1 with DATSs'!G108*'Parcel 1 with DATSs'!G109*100/'Parcel 1 with DATSs'!G110))*'sust. impact KPIs DATS'!C85)+(('Parcel 1 with DATSs'!G115*'Parcel 1 with DATSs'!G116*100/'Parcel 1 with DATSs'!G117)*'sust. impact KPIs DATS'!C86))*C82),0,(((('Parcel 1 with DATSs'!G101*'Parcel 1 with DATSs'!G102*100/'Parcel 1 with DATSs'!G103)+('Parcel 1 with DATSs'!G108*'Parcel 1 with DATSs'!G109*100/'Parcel 1 with DATSs'!G110))*'sust. impact KPIs DATS'!C85)+(('Parcel 1 with DATSs'!G115*'Parcel 1 with DATSs'!G116*100/'Parcel 1 with DATSs'!G117)*'sust. impact KPIs DATS'!C86))*C82)</f>
        <v>0</v>
      </c>
      <c r="J58" s="3"/>
      <c r="K58" s="3"/>
      <c r="L58" s="3"/>
      <c r="M58" s="3"/>
    </row>
    <row r="59" spans="1:13" ht="16.5" thickBot="1">
      <c r="A59" s="29" t="s">
        <v>340</v>
      </c>
      <c r="B59" s="22"/>
      <c r="C59" s="22"/>
      <c r="D59" s="22"/>
      <c r="E59" s="24"/>
      <c r="F59" s="22"/>
      <c r="G59" s="22"/>
      <c r="H59" s="22"/>
      <c r="I59" s="22"/>
      <c r="J59" s="22"/>
      <c r="K59" s="22"/>
      <c r="L59" s="22"/>
      <c r="M59" s="23"/>
    </row>
    <row r="60" spans="1:13">
      <c r="A60" s="49"/>
      <c r="B60" s="49" t="s">
        <v>145</v>
      </c>
      <c r="C60" s="49" t="s">
        <v>139</v>
      </c>
      <c r="D60" s="49" t="s">
        <v>140</v>
      </c>
      <c r="E60" s="49" t="s">
        <v>195</v>
      </c>
      <c r="F60" s="49" t="s">
        <v>146</v>
      </c>
      <c r="G60" s="31"/>
      <c r="H60" s="31"/>
      <c r="I60" s="31"/>
      <c r="J60" s="31"/>
      <c r="K60" s="31"/>
      <c r="M60"/>
    </row>
    <row r="61" spans="1:13" ht="31.5">
      <c r="A61" s="42"/>
      <c r="B61" s="43" t="s">
        <v>25</v>
      </c>
      <c r="C61" s="30" t="s">
        <v>157</v>
      </c>
      <c r="D61" s="45" t="s">
        <v>158</v>
      </c>
      <c r="E61" s="24" t="e">
        <f>'General Information'!D25/'General Information'!D14</f>
        <v>#DIV/0!</v>
      </c>
      <c r="F61" s="39" t="s">
        <v>159</v>
      </c>
      <c r="G61" s="25"/>
      <c r="H61" s="3"/>
      <c r="I61" s="23"/>
      <c r="J61" s="26"/>
      <c r="K61" s="3"/>
      <c r="M61"/>
    </row>
    <row r="62" spans="1:13" ht="31.5">
      <c r="A62" s="42"/>
      <c r="B62" s="43" t="s">
        <v>26</v>
      </c>
      <c r="C62" s="37" t="s">
        <v>157</v>
      </c>
      <c r="D62" s="45" t="str">
        <f>IFERROR(VLOOKUP('General Information'!$D$6, Validations!$L$2:$N$8, 3,FALSE), "")</f>
        <v>h/ha</v>
      </c>
      <c r="E62" s="24" cm="1">
        <f t="array" ref="E62">(SUM(SUMIFS('Parcel 1 with DATSs'!G194:G218,'Parcel 1 with DATSs'!C194:C218,'Analysis DATS vs. NO DATS'!C12:C36,'Analysis DATS vs. NO DATS'!I12:I36,1)))/(IF('General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2.6829268292682928</v>
      </c>
      <c r="F62" s="39" t="s">
        <v>721</v>
      </c>
      <c r="G62" s="25"/>
      <c r="H62" s="3"/>
      <c r="I62" s="23"/>
      <c r="J62" s="26"/>
      <c r="K62" s="3"/>
      <c r="M62"/>
    </row>
    <row r="63" spans="1:13" ht="31.5">
      <c r="A63" s="42"/>
      <c r="B63" s="43" t="s">
        <v>27</v>
      </c>
      <c r="C63" s="37" t="s">
        <v>157</v>
      </c>
      <c r="D63" s="45" t="s">
        <v>153</v>
      </c>
      <c r="E63" s="24" t="e">
        <f>'Parcel 1 with DATSs'!G241/'Parcel 1 with DATSs'!G243</f>
        <v>#DIV/0!</v>
      </c>
      <c r="F63" s="39" t="s">
        <v>154</v>
      </c>
      <c r="G63" s="25"/>
      <c r="H63" s="3"/>
      <c r="I63" s="23"/>
      <c r="J63" s="26"/>
      <c r="K63" s="3"/>
      <c r="M63"/>
    </row>
    <row r="64" spans="1:13" ht="47.25">
      <c r="A64" s="42"/>
      <c r="B64" s="43" t="s">
        <v>28</v>
      </c>
      <c r="C64" s="37" t="s">
        <v>157</v>
      </c>
      <c r="D64" s="45" t="s">
        <v>105</v>
      </c>
      <c r="E64" s="24" t="e">
        <f>'Parcel 1 with DATSs'!G242/'Parcel 1 with DATSs'!G243</f>
        <v>#DIV/0!</v>
      </c>
      <c r="F64" s="39" t="s">
        <v>155</v>
      </c>
      <c r="G64" s="25"/>
      <c r="H64" s="3"/>
      <c r="I64" s="23"/>
      <c r="J64" s="26"/>
      <c r="K64" s="3"/>
      <c r="M64"/>
    </row>
    <row r="65" spans="1:13" ht="31.5">
      <c r="A65" s="42"/>
      <c r="B65" s="43" t="s">
        <v>29</v>
      </c>
      <c r="C65" s="37" t="s">
        <v>157</v>
      </c>
      <c r="D65" s="45" t="s">
        <v>105</v>
      </c>
      <c r="E65" s="24" t="e">
        <f>'Parcel 1 with DATSs'!G245/'Parcel 1 with DATSs'!G246</f>
        <v>#DIV/0!</v>
      </c>
      <c r="F65" s="39" t="s">
        <v>156</v>
      </c>
      <c r="G65" s="25"/>
      <c r="H65" s="3"/>
      <c r="I65" s="23"/>
      <c r="J65" s="26"/>
      <c r="K65" s="3"/>
      <c r="M65"/>
    </row>
    <row r="67" spans="1:13">
      <c r="E67" s="180" cm="1">
        <f t="array" ref="E67">SUM(SUMIFS('Parcel 1 with DATSs'!G194:G218,'Parcel 1 with DATSs'!C194:C218,'Analysis DATS vs. NO DATS'!C12:C36,'Analysis DATS vs. NO DATS'!I12:I36,1))</f>
        <v>11</v>
      </c>
    </row>
    <row r="74" spans="1:13">
      <c r="A74" s="59"/>
      <c r="B74" s="65" t="s">
        <v>228</v>
      </c>
      <c r="C74" s="66"/>
      <c r="D74" s="59" t="s">
        <v>295</v>
      </c>
      <c r="E74" s="59"/>
      <c r="F74" s="59"/>
      <c r="M74"/>
    </row>
    <row r="75" spans="1:13">
      <c r="A75" s="67" t="s">
        <v>229</v>
      </c>
      <c r="B75" s="68" t="s">
        <v>140</v>
      </c>
      <c r="C75" s="68" t="s">
        <v>99</v>
      </c>
      <c r="D75" s="68" t="s">
        <v>230</v>
      </c>
      <c r="E75" s="59"/>
      <c r="F75" s="59"/>
      <c r="M75"/>
    </row>
    <row r="76" spans="1:13">
      <c r="A76" s="60" t="s">
        <v>231</v>
      </c>
      <c r="B76" s="59"/>
      <c r="C76" s="59"/>
      <c r="D76" s="59"/>
      <c r="E76" s="59"/>
      <c r="F76" s="59"/>
      <c r="M76"/>
    </row>
    <row r="77" spans="1:13">
      <c r="A77" s="148" t="s">
        <v>232</v>
      </c>
      <c r="B77" s="149" t="s">
        <v>233</v>
      </c>
      <c r="C77" s="149">
        <v>0.01</v>
      </c>
      <c r="D77" s="148" t="s">
        <v>234</v>
      </c>
      <c r="E77" s="59"/>
      <c r="F77" s="59"/>
      <c r="M77"/>
    </row>
    <row r="78" spans="1:13">
      <c r="A78" s="59" t="s">
        <v>235</v>
      </c>
      <c r="B78" s="61" t="s">
        <v>233</v>
      </c>
      <c r="C78" s="61">
        <v>1.6E-2</v>
      </c>
      <c r="D78" s="59" t="s">
        <v>236</v>
      </c>
      <c r="E78" s="59"/>
      <c r="F78" s="59"/>
      <c r="M78"/>
    </row>
    <row r="79" spans="1:13">
      <c r="A79" s="59" t="s">
        <v>237</v>
      </c>
      <c r="B79" s="61" t="s">
        <v>233</v>
      </c>
      <c r="C79" s="61">
        <v>6.0000000000000001E-3</v>
      </c>
      <c r="D79" s="59" t="s">
        <v>238</v>
      </c>
      <c r="E79" s="59"/>
      <c r="F79" s="59"/>
      <c r="M79"/>
    </row>
    <row r="80" spans="1:13">
      <c r="A80" s="59" t="s">
        <v>239</v>
      </c>
      <c r="B80" s="61" t="s">
        <v>233</v>
      </c>
      <c r="C80" s="61">
        <v>6.0000000000000001E-3</v>
      </c>
      <c r="D80" s="59" t="s">
        <v>240</v>
      </c>
      <c r="E80" s="59"/>
      <c r="F80" s="59"/>
      <c r="M80"/>
    </row>
    <row r="81" spans="1:13">
      <c r="A81" s="60" t="s">
        <v>241</v>
      </c>
      <c r="B81" s="59"/>
      <c r="C81" s="59"/>
      <c r="D81" s="59"/>
      <c r="E81" s="59"/>
      <c r="F81" s="59"/>
      <c r="M81"/>
    </row>
    <row r="82" spans="1:13">
      <c r="A82" s="148" t="s">
        <v>242</v>
      </c>
      <c r="B82" s="149" t="s">
        <v>243</v>
      </c>
      <c r="C82" s="149">
        <v>0.01</v>
      </c>
      <c r="D82" s="148" t="s">
        <v>244</v>
      </c>
      <c r="E82" s="59"/>
      <c r="F82" s="59"/>
      <c r="M82"/>
    </row>
    <row r="83" spans="1:13">
      <c r="A83" s="59" t="s">
        <v>245</v>
      </c>
      <c r="B83" s="61" t="s">
        <v>243</v>
      </c>
      <c r="C83" s="61">
        <v>1.4E-2</v>
      </c>
      <c r="D83" s="59" t="s">
        <v>246</v>
      </c>
      <c r="E83" s="59"/>
      <c r="F83" s="59"/>
      <c r="M83"/>
    </row>
    <row r="84" spans="1:13">
      <c r="A84" s="59" t="s">
        <v>247</v>
      </c>
      <c r="B84" s="61" t="s">
        <v>243</v>
      </c>
      <c r="C84" s="61">
        <v>5.0000000000000001E-3</v>
      </c>
      <c r="D84" s="59" t="s">
        <v>248</v>
      </c>
      <c r="E84" s="59"/>
      <c r="F84" s="59"/>
      <c r="M84"/>
    </row>
    <row r="85" spans="1:13">
      <c r="A85" s="148" t="s">
        <v>249</v>
      </c>
      <c r="B85" s="149" t="s">
        <v>250</v>
      </c>
      <c r="C85" s="149">
        <v>0.11</v>
      </c>
      <c r="D85" s="148" t="s">
        <v>251</v>
      </c>
      <c r="E85" s="59"/>
      <c r="F85" s="59"/>
      <c r="M85"/>
    </row>
    <row r="86" spans="1:13">
      <c r="A86" s="148" t="s">
        <v>252</v>
      </c>
      <c r="B86" s="149" t="s">
        <v>250</v>
      </c>
      <c r="C86" s="149">
        <v>0.21</v>
      </c>
      <c r="D86" s="148" t="s">
        <v>253</v>
      </c>
      <c r="E86" s="59"/>
      <c r="F86" s="59"/>
      <c r="M86"/>
    </row>
    <row r="87" spans="1:13">
      <c r="A87" s="148" t="s">
        <v>254</v>
      </c>
      <c r="B87" s="149" t="s">
        <v>255</v>
      </c>
      <c r="C87" s="149">
        <v>0.24</v>
      </c>
      <c r="D87" s="148" t="s">
        <v>256</v>
      </c>
      <c r="E87" s="59"/>
      <c r="F87" s="59"/>
      <c r="M87"/>
    </row>
    <row r="88" spans="1:13">
      <c r="A88" s="59" t="s">
        <v>257</v>
      </c>
      <c r="B88" s="61" t="s">
        <v>255</v>
      </c>
      <c r="C88" s="61">
        <v>0</v>
      </c>
      <c r="D88" s="59" t="s">
        <v>258</v>
      </c>
      <c r="E88" s="59"/>
      <c r="F88" s="59"/>
      <c r="M88"/>
    </row>
    <row r="89" spans="1:13">
      <c r="A89" s="148" t="s">
        <v>259</v>
      </c>
      <c r="B89" s="148" t="s">
        <v>260</v>
      </c>
      <c r="C89" s="149">
        <v>1.0999999999999999E-2</v>
      </c>
      <c r="D89" s="148" t="s">
        <v>261</v>
      </c>
      <c r="E89" s="148"/>
      <c r="F89" s="59"/>
      <c r="M89"/>
    </row>
    <row r="90" spans="1:13">
      <c r="A90" s="148" t="s">
        <v>262</v>
      </c>
      <c r="B90" s="149" t="s">
        <v>263</v>
      </c>
      <c r="C90" s="148">
        <f>44/28</f>
        <v>1.5714285714285714</v>
      </c>
      <c r="D90" s="148" t="s">
        <v>264</v>
      </c>
      <c r="E90" s="148"/>
      <c r="F90" s="59"/>
      <c r="M90"/>
    </row>
    <row r="91" spans="1:13">
      <c r="A91" s="148" t="s">
        <v>265</v>
      </c>
      <c r="B91" s="148"/>
      <c r="C91" s="155">
        <v>273</v>
      </c>
      <c r="D91" s="148" t="s">
        <v>416</v>
      </c>
      <c r="E91" s="148"/>
      <c r="F91" s="59"/>
      <c r="M91"/>
    </row>
    <row r="92" spans="1:13">
      <c r="A92" s="59"/>
      <c r="B92" s="59"/>
      <c r="C92" s="59"/>
      <c r="D92" s="59"/>
      <c r="E92" s="59"/>
      <c r="F92" s="59"/>
      <c r="M92"/>
    </row>
    <row r="93" spans="1:13">
      <c r="A93" s="67" t="s">
        <v>266</v>
      </c>
      <c r="B93" s="59"/>
      <c r="C93" s="59"/>
      <c r="D93" s="59"/>
      <c r="E93" s="59"/>
      <c r="F93" s="59"/>
      <c r="M93"/>
    </row>
    <row r="94" spans="1:13">
      <c r="A94" s="148" t="s">
        <v>267</v>
      </c>
      <c r="B94" s="149" t="s">
        <v>610</v>
      </c>
      <c r="C94" s="148">
        <v>35.9</v>
      </c>
      <c r="D94" s="148" t="s">
        <v>269</v>
      </c>
      <c r="E94" s="59"/>
      <c r="F94" s="59"/>
      <c r="M94"/>
    </row>
    <row r="95" spans="1:13">
      <c r="A95" s="148" t="s">
        <v>270</v>
      </c>
      <c r="B95" s="149" t="s">
        <v>271</v>
      </c>
      <c r="C95" s="148">
        <v>7.4099999999999999E-2</v>
      </c>
      <c r="D95" s="148" t="s">
        <v>272</v>
      </c>
      <c r="E95" s="59"/>
      <c r="F95" s="59"/>
      <c r="M95"/>
    </row>
    <row r="96" spans="1:13">
      <c r="A96" s="59"/>
      <c r="B96" s="59"/>
      <c r="C96" s="59"/>
      <c r="D96" s="59"/>
      <c r="E96" s="59"/>
      <c r="F96" s="59"/>
      <c r="M96"/>
    </row>
    <row r="97" spans="1:13">
      <c r="A97" s="67" t="s">
        <v>432</v>
      </c>
      <c r="B97" s="64"/>
      <c r="C97" s="59"/>
      <c r="D97" s="59"/>
      <c r="E97" s="59"/>
      <c r="F97" s="59"/>
      <c r="M97"/>
    </row>
    <row r="98" spans="1:13">
      <c r="A98" s="150" t="str">
        <f>'General Information'!D7</f>
        <v xml:space="preserve">Onion </v>
      </c>
      <c r="B98" s="150" t="s">
        <v>424</v>
      </c>
      <c r="C98" s="153">
        <f>IFERROR(VLOOKUP('General Information'!$D$7, Validations!$P$2:$Q$18, 2,FALSE), "")</f>
        <v>3.0000000000000001E-3</v>
      </c>
      <c r="D98" s="59"/>
      <c r="E98" s="59"/>
      <c r="F98" s="59"/>
      <c r="M98"/>
    </row>
    <row r="99" spans="1:13">
      <c r="A99" s="150" t="str">
        <f>'General Information'!D7</f>
        <v xml:space="preserve">Onion </v>
      </c>
      <c r="B99" s="154" t="s">
        <v>425</v>
      </c>
      <c r="C99" s="150">
        <f>IFERROR(VLOOKUP('General Information'!$D$7, Validations!$R$2:$S$18, 2,FALSE), "")</f>
        <v>1.1999999999999999E-3</v>
      </c>
      <c r="D99" s="59"/>
      <c r="E99" s="59"/>
      <c r="F99" s="59"/>
      <c r="M99"/>
    </row>
    <row r="100" spans="1:13" ht="25.9" customHeight="1">
      <c r="A100" s="150" t="str">
        <f>'General Information'!D7</f>
        <v xml:space="preserve">Onion </v>
      </c>
      <c r="B100" s="154" t="s">
        <v>426</v>
      </c>
      <c r="C100" s="150">
        <f>IFERROR(VLOOKUP('General Information'!$D$7, Validations!$T$2:$U$18, 2,FALSE), "")</f>
        <v>4.0000000000000001E-3</v>
      </c>
      <c r="D100" s="63"/>
      <c r="E100" s="63"/>
      <c r="F100" s="63"/>
    </row>
    <row r="101" spans="1:13">
      <c r="A101" s="62"/>
      <c r="B101" s="76"/>
      <c r="C101" s="62"/>
      <c r="D101" s="62"/>
      <c r="E101" s="62"/>
      <c r="F101" s="62"/>
    </row>
    <row r="102" spans="1:13">
      <c r="A102" s="62"/>
      <c r="B102" s="76"/>
      <c r="C102" s="62"/>
      <c r="D102" s="62"/>
      <c r="E102" s="62"/>
      <c r="F102" s="62"/>
    </row>
    <row r="103" spans="1:13">
      <c r="A103" s="63"/>
      <c r="B103" s="77"/>
      <c r="C103" s="63"/>
      <c r="D103" s="63"/>
      <c r="E103" s="63"/>
      <c r="F103" s="63"/>
    </row>
    <row r="104" spans="1:13">
      <c r="A104" s="62"/>
      <c r="B104" s="77"/>
      <c r="C104" s="63"/>
      <c r="D104" s="62"/>
      <c r="E104" s="62"/>
      <c r="F104" s="62"/>
    </row>
    <row r="105" spans="1:13">
      <c r="A105" s="62"/>
      <c r="B105" s="77"/>
      <c r="C105" s="63"/>
      <c r="D105" s="62"/>
      <c r="E105" s="62"/>
      <c r="F105" s="62"/>
    </row>
    <row r="106" spans="1:13">
      <c r="A106" s="63"/>
      <c r="B106" s="77"/>
      <c r="C106" s="63"/>
      <c r="D106" s="62"/>
      <c r="E106" s="63"/>
      <c r="F106" s="63"/>
    </row>
    <row r="107" spans="1:13">
      <c r="A107" s="62"/>
      <c r="B107" s="62"/>
      <c r="C107" s="62"/>
      <c r="D107" s="62"/>
      <c r="E107" s="62"/>
      <c r="F107" s="62"/>
    </row>
    <row r="108" spans="1:13">
      <c r="A108" s="62"/>
      <c r="B108" s="62"/>
      <c r="C108" s="62"/>
      <c r="D108" s="62"/>
      <c r="E108" s="62"/>
      <c r="F108" s="62"/>
    </row>
  </sheetData>
  <conditionalFormatting sqref="C2:C14">
    <cfRule type="containsText" dxfId="165" priority="45" operator="containsText" text="Without DATs">
      <formula>NOT(ISERROR(SEARCH("Without DATs",C2)))</formula>
    </cfRule>
  </conditionalFormatting>
  <conditionalFormatting sqref="C3:C13 C30:C58">
    <cfRule type="containsText" dxfId="164" priority="40" operator="containsText" text="Without DATs">
      <formula>NOT(ISERROR(SEARCH("Without DATs",C3)))</formula>
    </cfRule>
    <cfRule type="containsText" dxfId="163" priority="44" operator="containsText" text="AS-IS">
      <formula>NOT(ISERROR(SEARCH("AS-IS",C3)))</formula>
    </cfRule>
    <cfRule type="containsText" dxfId="162" priority="43" operator="containsText" text="TO-BE">
      <formula>NOT(ISERROR(SEARCH("TO-BE",C3)))</formula>
    </cfRule>
    <cfRule type="containsText" dxfId="161" priority="42" operator="containsText" text="With out DATs">
      <formula>NOT(ISERROR(SEARCH("With out DATs",C3)))</formula>
    </cfRule>
    <cfRule type="containsText" dxfId="160" priority="41" operator="containsText" text="With DATs">
      <formula>NOT(ISERROR(SEARCH("With DATs",C3)))</formula>
    </cfRule>
  </conditionalFormatting>
  <conditionalFormatting sqref="C14">
    <cfRule type="containsText" dxfId="159" priority="179" operator="containsText" text="AS-IS">
      <formula>NOT(ISERROR(SEARCH("AS-IS",C14)))</formula>
    </cfRule>
    <cfRule type="containsText" dxfId="158" priority="177" operator="containsText" text="With out DATs">
      <formula>NOT(ISERROR(SEARCH("With out DATs",C14)))</formula>
    </cfRule>
    <cfRule type="containsText" dxfId="157" priority="176" operator="containsText" text="With DATs">
      <formula>NOT(ISERROR(SEARCH("With DATs",C14)))</formula>
    </cfRule>
    <cfRule type="containsText" dxfId="156" priority="178" operator="containsText" text="TO-BE">
      <formula>NOT(ISERROR(SEARCH("TO-BE",C14)))</formula>
    </cfRule>
  </conditionalFormatting>
  <conditionalFormatting sqref="C17:C20">
    <cfRule type="containsText" dxfId="155" priority="21" operator="containsText" text="Without DATs">
      <formula>NOT(ISERROR(SEARCH("Without DATs",C17)))</formula>
    </cfRule>
    <cfRule type="containsText" dxfId="154" priority="22" operator="containsText" text="With DATs">
      <formula>NOT(ISERROR(SEARCH("With DATs",C17)))</formula>
    </cfRule>
    <cfRule type="containsText" dxfId="153" priority="23" operator="containsText" text="With out DATs">
      <formula>NOT(ISERROR(SEARCH("With out DATs",C17)))</formula>
    </cfRule>
    <cfRule type="containsText" dxfId="152" priority="24" operator="containsText" text="TO-BE">
      <formula>NOT(ISERROR(SEARCH("TO-BE",C17)))</formula>
    </cfRule>
    <cfRule type="containsText" dxfId="151" priority="25" operator="containsText" text="AS-IS">
      <formula>NOT(ISERROR(SEARCH("AS-IS",C17)))</formula>
    </cfRule>
  </conditionalFormatting>
  <conditionalFormatting sqref="C22:C27">
    <cfRule type="containsText" dxfId="150" priority="20" operator="containsText" text="Without DATs">
      <formula>NOT(ISERROR(SEARCH("Without DATs",C22)))</formula>
    </cfRule>
  </conditionalFormatting>
  <conditionalFormatting sqref="C23:C26 C16:C19">
    <cfRule type="containsText" dxfId="149" priority="36" operator="containsText" text="Without DATs">
      <formula>NOT(ISERROR(SEARCH("Without DATs",C16)))</formula>
    </cfRule>
  </conditionalFormatting>
  <conditionalFormatting sqref="C23:C27">
    <cfRule type="containsText" dxfId="148" priority="27" operator="containsText" text="With DATs">
      <formula>NOT(ISERROR(SEARCH("With DATs",C23)))</formula>
    </cfRule>
    <cfRule type="containsText" dxfId="147" priority="30" operator="containsText" text="AS-IS">
      <formula>NOT(ISERROR(SEARCH("AS-IS",C23)))</formula>
    </cfRule>
    <cfRule type="containsText" dxfId="146" priority="29" operator="containsText" text="TO-BE">
      <formula>NOT(ISERROR(SEARCH("TO-BE",C23)))</formula>
    </cfRule>
    <cfRule type="containsText" dxfId="145" priority="28" operator="containsText" text="With out DATs">
      <formula>NOT(ISERROR(SEARCH("With out DATs",C23)))</formula>
    </cfRule>
  </conditionalFormatting>
  <conditionalFormatting sqref="C30:C50 A29:D29 F29 A60:D60 F60">
    <cfRule type="containsText" dxfId="144" priority="142" operator="containsText" text="Without DATs">
      <formula>NOT(ISERROR(SEARCH("Without DATs",A29)))</formula>
    </cfRule>
  </conditionalFormatting>
  <conditionalFormatting sqref="C57:C58">
    <cfRule type="containsText" dxfId="143" priority="134" operator="containsText" text="Without DATs">
      <formula>NOT(ISERROR(SEARCH("Without DATs",C57)))</formula>
    </cfRule>
  </conditionalFormatting>
  <conditionalFormatting sqref="C61:C65">
    <cfRule type="containsText" dxfId="142" priority="117" operator="containsText" text="TO-BE">
      <formula>NOT(ISERROR(SEARCH("TO-BE",C61)))</formula>
    </cfRule>
    <cfRule type="containsText" dxfId="141" priority="118" operator="containsText" text="AS-IS">
      <formula>NOT(ISERROR(SEARCH("AS-IS",C61)))</formula>
    </cfRule>
    <cfRule type="containsText" dxfId="140" priority="116" operator="containsText" text="With out DATs">
      <formula>NOT(ISERROR(SEARCH("With out DATs",C61)))</formula>
    </cfRule>
    <cfRule type="containsText" dxfId="139" priority="115" operator="containsText" text="With DATs">
      <formula>NOT(ISERROR(SEARCH("With DATs",C61)))</formula>
    </cfRule>
    <cfRule type="containsText" dxfId="138" priority="114" operator="containsText" text="Without DATs">
      <formula>NOT(ISERROR(SEARCH("Without DATs",C61)))</formula>
    </cfRule>
  </conditionalFormatting>
  <conditionalFormatting sqref="C62:C65">
    <cfRule type="containsText" dxfId="137" priority="129" operator="containsText" text="Without DATs">
      <formula>NOT(ISERROR(SEARCH("Without DATs",C62)))</formula>
    </cfRule>
  </conditionalFormatting>
  <conditionalFormatting sqref="D1">
    <cfRule type="containsText" dxfId="136" priority="103" operator="containsText" text="Without DATs">
      <formula>NOT(ISERROR(SEARCH("Without DATs",D1)))</formula>
    </cfRule>
  </conditionalFormatting>
  <conditionalFormatting sqref="D15">
    <cfRule type="containsText" dxfId="135" priority="39" operator="containsText" text="Without DATs">
      <formula>NOT(ISERROR(SEARCH("Without DATs",D15)))</formula>
    </cfRule>
  </conditionalFormatting>
  <conditionalFormatting sqref="D21">
    <cfRule type="containsText" dxfId="134" priority="19" operator="containsText" text="Without DATs">
      <formula>NOT(ISERROR(SEARCH("Without DATs",D21)))</formula>
    </cfRule>
  </conditionalFormatting>
  <conditionalFormatting sqref="D66:D100 D107:D1048576">
    <cfRule type="containsText" dxfId="133" priority="97" operator="containsText" text="Without DATs">
      <formula>NOT(ISERROR(SEARCH("Without DATs",D66)))</formula>
    </cfRule>
  </conditionalFormatting>
  <conditionalFormatting sqref="E23">
    <cfRule type="cellIs" dxfId="132" priority="2" operator="greaterThan">
      <formula>0</formula>
    </cfRule>
    <cfRule type="cellIs" dxfId="131" priority="1" operator="lessThan">
      <formula>0</formula>
    </cfRule>
  </conditionalFormatting>
  <conditionalFormatting sqref="F56:L56">
    <cfRule type="containsText" dxfId="130" priority="105" operator="containsText" text="With DATs">
      <formula>NOT(ISERROR(SEARCH("With DATs",F56)))</formula>
    </cfRule>
    <cfRule type="containsText" dxfId="129" priority="106" operator="containsText" text="With out DATs">
      <formula>NOT(ISERROR(SEARCH("With out DATs",F56)))</formula>
    </cfRule>
    <cfRule type="containsText" dxfId="128" priority="107" operator="containsText" text="TO-BE">
      <formula>NOT(ISERROR(SEARCH("TO-BE",F56)))</formula>
    </cfRule>
    <cfRule type="containsText" dxfId="127" priority="108" operator="containsText" text="AS-IS">
      <formula>NOT(ISERROR(SEARCH("AS-IS",F56)))</formula>
    </cfRule>
    <cfRule type="containsText" dxfId="126" priority="104" operator="containsText" text="Without DATs">
      <formula>NOT(ISERROR(SEARCH("Without DATs",F56)))</formula>
    </cfRule>
  </conditionalFormatting>
  <conditionalFormatting sqref="G7:G13">
    <cfRule type="cellIs" dxfId="125" priority="48" operator="greaterThan">
      <formula>0</formula>
    </cfRule>
    <cfRule type="cellIs" dxfId="124" priority="47" operator="lessThan">
      <formula>0</formula>
    </cfRule>
  </conditionalFormatting>
  <conditionalFormatting sqref="G17:G19 G23:G26">
    <cfRule type="cellIs" dxfId="123" priority="38" operator="greaterThan">
      <formula>0</formula>
    </cfRule>
    <cfRule type="cellIs" dxfId="122" priority="37" operator="lessThan">
      <formula>0</formula>
    </cfRule>
  </conditionalFormatting>
  <conditionalFormatting sqref="G28 G30:G33 G36:G38 G40:G45 G51">
    <cfRule type="cellIs" dxfId="121" priority="127" operator="lessThan">
      <formula>0</formula>
    </cfRule>
    <cfRule type="cellIs" dxfId="120" priority="128" operator="greaterThan">
      <formula>0</formula>
    </cfRule>
  </conditionalFormatting>
  <conditionalFormatting sqref="G58:G1048576">
    <cfRule type="cellIs" dxfId="119" priority="98" operator="lessThan">
      <formula>0</formula>
    </cfRule>
    <cfRule type="cellIs" dxfId="118" priority="99" operator="greaterThan">
      <formula>0</formula>
    </cfRule>
  </conditionalFormatting>
  <conditionalFormatting sqref="G61:G65 I61:I65">
    <cfRule type="containsText" dxfId="117" priority="144" operator="containsText" text="Without DATs">
      <formula>NOT(ISERROR(SEARCH("Without DATs",G61)))</formula>
    </cfRule>
    <cfRule type="containsText" dxfId="116" priority="145" operator="containsText" text="With DATs">
      <formula>NOT(ISERROR(SEARCH("With DATs",G61)))</formula>
    </cfRule>
    <cfRule type="containsText" dxfId="115" priority="146" operator="containsText" text="With out DATs">
      <formula>NOT(ISERROR(SEARCH("With out DATs",G61)))</formula>
    </cfRule>
    <cfRule type="containsText" dxfId="114" priority="147" operator="containsText" text="TO-BE">
      <formula>NOT(ISERROR(SEARCH("TO-BE",G61)))</formula>
    </cfRule>
    <cfRule type="containsText" dxfId="113" priority="148" operator="containsText" text="AS-IS">
      <formula>NOT(ISERROR(SEARCH("AS-IS",G61)))</formula>
    </cfRule>
  </conditionalFormatting>
  <conditionalFormatting sqref="M28:M29 K60:K65">
    <cfRule type="containsText" dxfId="112" priority="150" operator="containsText" text="Without DATs">
      <formula>NOT(ISERROR(SEARCH("Without DATs",K28)))</formula>
    </cfRule>
    <cfRule type="containsText" dxfId="111" priority="151" operator="containsText" text="With DATs">
      <formula>NOT(ISERROR(SEARCH("With DATs",K28)))</formula>
    </cfRule>
    <cfRule type="containsText" dxfId="110" priority="152" operator="containsText" text="With out DATs">
      <formula>NOT(ISERROR(SEARCH("With out DATs",K28)))</formula>
    </cfRule>
    <cfRule type="containsText" dxfId="109" priority="153" operator="containsText" text="TO-BE">
      <formula>NOT(ISERROR(SEARCH("TO-BE",K28)))</formula>
    </cfRule>
    <cfRule type="containsText" dxfId="108" priority="154" operator="containsText" text="AS-IS">
      <formula>NOT(ISERROR(SEARCH("AS-IS",K28)))</formula>
    </cfRule>
  </conditionalFormatting>
  <conditionalFormatting sqref="M41:M50">
    <cfRule type="containsText" dxfId="107" priority="76" operator="containsText" text="AS-IS">
      <formula>NOT(ISERROR(SEARCH("AS-IS",M41)))</formula>
    </cfRule>
    <cfRule type="containsText" dxfId="106" priority="73" operator="containsText" text="With DATs">
      <formula>NOT(ISERROR(SEARCH("With DATs",M41)))</formula>
    </cfRule>
    <cfRule type="containsText" dxfId="105" priority="75" operator="containsText" text="TO-BE">
      <formula>NOT(ISERROR(SEARCH("TO-BE",M41)))</formula>
    </cfRule>
    <cfRule type="containsText" dxfId="104" priority="74" operator="containsText" text="With out DATs">
      <formula>NOT(ISERROR(SEARCH("With out DATs",M41)))</formula>
    </cfRule>
    <cfRule type="containsText" dxfId="103" priority="67" operator="containsText" text="Without DATs">
      <formula>NOT(ISERROR(SEARCH("Without DATs",M41)))</formula>
    </cfRule>
  </conditionalFormatting>
  <conditionalFormatting sqref="M57:M59">
    <cfRule type="containsText" dxfId="102" priority="137" operator="containsText" text="Without DATs">
      <formula>NOT(ISERROR(SEARCH("Without DATs",M57)))</formula>
    </cfRule>
    <cfRule type="containsText" dxfId="101" priority="138" operator="containsText" text="With DATs">
      <formula>NOT(ISERROR(SEARCH("With DATs",M57)))</formula>
    </cfRule>
    <cfRule type="containsText" dxfId="100" priority="139" operator="containsText" text="With out DATs">
      <formula>NOT(ISERROR(SEARCH("With out DATs",M57)))</formula>
    </cfRule>
    <cfRule type="containsText" dxfId="99" priority="141" operator="containsText" text="AS-IS">
      <formula>NOT(ISERROR(SEARCH("AS-IS",M57)))</formula>
    </cfRule>
    <cfRule type="containsText" dxfId="98" priority="140" operator="containsText" text="TO-BE">
      <formula>NOT(ISERROR(SEARCH("TO-BE",M57)))</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7EAC-2DB7-A944-BCDA-D3C1A0C6AEE9}">
  <dimension ref="A1:M108"/>
  <sheetViews>
    <sheetView zoomScale="80" zoomScaleNormal="80" workbookViewId="0">
      <selection activeCell="A8" sqref="A8"/>
    </sheetView>
  </sheetViews>
  <sheetFormatPr defaultColWidth="11.25" defaultRowHeight="15.75"/>
  <cols>
    <col min="1" max="1" width="21.25" customWidth="1"/>
    <col min="2" max="2" width="31.25" bestFit="1" customWidth="1"/>
    <col min="3" max="3" width="18.5" customWidth="1"/>
    <col min="4" max="4" width="13.25" customWidth="1"/>
    <col min="5" max="5" width="32.25" style="4" customWidth="1"/>
    <col min="6" max="6" width="35.75" bestFit="1" customWidth="1"/>
    <col min="7" max="7" width="36" customWidth="1"/>
    <col min="8" max="8" width="22.5" customWidth="1"/>
    <col min="9" max="10" width="26.75" customWidth="1"/>
    <col min="11" max="11" width="20.75" customWidth="1"/>
    <col min="12" max="12" width="25.25" customWidth="1"/>
    <col min="13" max="13" width="25" style="21" customWidth="1"/>
    <col min="15" max="15" width="22.25" customWidth="1"/>
  </cols>
  <sheetData>
    <row r="1" spans="1:13" s="4" customFormat="1">
      <c r="A1" s="48" t="s">
        <v>282</v>
      </c>
      <c r="F1" s="32"/>
      <c r="M1" s="40"/>
    </row>
    <row r="2" spans="1:13" s="4" customFormat="1" ht="19.899999999999999" customHeight="1">
      <c r="A2" s="49" t="s">
        <v>166</v>
      </c>
      <c r="B2" s="49" t="s">
        <v>138</v>
      </c>
      <c r="C2" s="49" t="s">
        <v>139</v>
      </c>
      <c r="D2" s="49" t="s">
        <v>140</v>
      </c>
      <c r="E2" s="49" t="s">
        <v>195</v>
      </c>
      <c r="F2" s="49" t="s">
        <v>194</v>
      </c>
    </row>
    <row r="3" spans="1:13" ht="61.15" customHeight="1">
      <c r="A3" s="35"/>
      <c r="B3" s="43" t="s">
        <v>307</v>
      </c>
      <c r="C3" s="44" t="s">
        <v>142</v>
      </c>
      <c r="D3" s="45" t="s">
        <v>483</v>
      </c>
      <c r="E3" s="24">
        <f>'Parcel 1 without DATSs'!G250/'Parcel 1 without DATSs'!E10</f>
        <v>52</v>
      </c>
      <c r="F3" s="39" t="s">
        <v>395</v>
      </c>
      <c r="G3" s="41"/>
      <c r="M3"/>
    </row>
    <row r="4" spans="1:13" ht="61.15" customHeight="1">
      <c r="A4" s="35"/>
      <c r="B4" s="43" t="s">
        <v>399</v>
      </c>
      <c r="C4" s="44" t="s">
        <v>142</v>
      </c>
      <c r="D4" s="45" t="s">
        <v>604</v>
      </c>
      <c r="E4" s="24">
        <f>'Parcel 1 without DATSs'!G250/SUM('Parcel 1 without DATSs'!G194:G218)</f>
        <v>21.32</v>
      </c>
      <c r="F4" s="39" t="s">
        <v>308</v>
      </c>
      <c r="M4"/>
    </row>
    <row r="5" spans="1:13" ht="61.15" customHeight="1">
      <c r="A5" s="35"/>
      <c r="B5" s="43" t="s">
        <v>400</v>
      </c>
      <c r="C5" s="44" t="s">
        <v>142</v>
      </c>
      <c r="D5" s="45" t="s">
        <v>404</v>
      </c>
      <c r="E5" s="24">
        <f>'Parcel 1 without DATSs'!G251/SUM('Parcel 1 without DATSs'!G194:G218)</f>
        <v>0</v>
      </c>
      <c r="F5" s="39" t="s">
        <v>308</v>
      </c>
      <c r="M5"/>
    </row>
    <row r="6" spans="1:13" ht="61.15" customHeight="1">
      <c r="A6" s="35"/>
      <c r="B6" s="43" t="s">
        <v>401</v>
      </c>
      <c r="C6" s="44" t="s">
        <v>142</v>
      </c>
      <c r="D6" s="45" t="s">
        <v>405</v>
      </c>
      <c r="E6" s="24">
        <f>'Parcel 1 without DATSs'!G252/SUM('Parcel 1 without DATSs'!G194:G218)</f>
        <v>0</v>
      </c>
      <c r="F6" s="39" t="s">
        <v>308</v>
      </c>
      <c r="M6"/>
    </row>
    <row r="7" spans="1:13" ht="61.15" customHeight="1">
      <c r="A7" s="35"/>
      <c r="B7" s="43" t="s">
        <v>402</v>
      </c>
      <c r="C7" s="44" t="s">
        <v>142</v>
      </c>
      <c r="D7" s="45" t="s">
        <v>532</v>
      </c>
      <c r="E7" s="24">
        <f>'Parcel 1 without DATSs'!G254/SUM('Parcel 1 without DATSs'!G194:G218)</f>
        <v>0</v>
      </c>
      <c r="F7" s="39" t="s">
        <v>308</v>
      </c>
      <c r="G7" s="41"/>
      <c r="M7"/>
    </row>
    <row r="8" spans="1:13" ht="61.15" customHeight="1">
      <c r="A8" s="35"/>
      <c r="B8" s="43" t="s">
        <v>403</v>
      </c>
      <c r="C8" s="44" t="s">
        <v>142</v>
      </c>
      <c r="D8" s="45" t="s">
        <v>405</v>
      </c>
      <c r="E8" s="24">
        <f>'Parcel 1 without DATSs'!G255/SUM('Parcel 1 without DATSs'!G194:G218)</f>
        <v>0</v>
      </c>
      <c r="F8" s="39" t="s">
        <v>308</v>
      </c>
      <c r="G8" s="41"/>
      <c r="M8"/>
    </row>
    <row r="9" spans="1:13" ht="61.15" customHeight="1">
      <c r="A9" s="35"/>
      <c r="B9" s="43" t="s">
        <v>603</v>
      </c>
      <c r="C9" s="44" t="s">
        <v>142</v>
      </c>
      <c r="D9" s="45" t="s">
        <v>604</v>
      </c>
      <c r="E9" s="24">
        <f>'Parcel 1 without DATSs'!G256/SUM('Parcel 1 without DATSs'!G194:G218)</f>
        <v>0</v>
      </c>
      <c r="F9" s="39"/>
      <c r="G9" s="41"/>
      <c r="M9"/>
    </row>
    <row r="10" spans="1:13" ht="61.15" customHeight="1">
      <c r="A10" s="35"/>
      <c r="B10" s="43" t="s">
        <v>309</v>
      </c>
      <c r="C10" s="44" t="s">
        <v>142</v>
      </c>
      <c r="D10" s="45" t="s">
        <v>605</v>
      </c>
      <c r="E10" s="24" t="e">
        <f>'Parcel 1 without DATSs'!G251/'Parcel 1 without DATSs'!E17/365</f>
        <v>#DIV/0!</v>
      </c>
      <c r="F10" s="39" t="s">
        <v>310</v>
      </c>
      <c r="G10" s="41"/>
      <c r="M10"/>
    </row>
    <row r="11" spans="1:13" ht="61.15" customHeight="1">
      <c r="A11" s="35"/>
      <c r="B11" s="43" t="s">
        <v>314</v>
      </c>
      <c r="C11" s="44" t="s">
        <v>142</v>
      </c>
      <c r="D11" s="45" t="s">
        <v>394</v>
      </c>
      <c r="E11" s="24" t="e">
        <f>'Parcel 1 without DATSs'!G252/'Parcel 1 without DATSs'!E17/365</f>
        <v>#DIV/0!</v>
      </c>
      <c r="F11" s="39" t="s">
        <v>393</v>
      </c>
      <c r="G11" s="41"/>
      <c r="M11"/>
    </row>
    <row r="12" spans="1:13" ht="61.15" customHeight="1">
      <c r="A12" s="35"/>
      <c r="B12" s="43" t="s">
        <v>311</v>
      </c>
      <c r="C12" s="44" t="s">
        <v>142</v>
      </c>
      <c r="D12" s="45" t="s">
        <v>391</v>
      </c>
      <c r="E12" s="24" t="e">
        <f>'Parcel 1 without DATSs'!G255/'Parcel 1 without DATSs'!E19</f>
        <v>#DIV/0!</v>
      </c>
      <c r="F12" s="39" t="s">
        <v>392</v>
      </c>
      <c r="G12" s="41"/>
      <c r="M12"/>
    </row>
    <row r="13" spans="1:13" ht="61.15" customHeight="1">
      <c r="A13" s="35"/>
      <c r="B13" s="43" t="s">
        <v>312</v>
      </c>
      <c r="C13" s="44" t="s">
        <v>142</v>
      </c>
      <c r="D13" s="45" t="s">
        <v>529</v>
      </c>
      <c r="E13" s="24" t="e">
        <f>'Parcel 1 without DATSs'!G254/'Parcel 1 without DATSs'!E20</f>
        <v>#DIV/0!</v>
      </c>
      <c r="F13" s="39" t="s">
        <v>313</v>
      </c>
      <c r="G13" s="41"/>
      <c r="M13"/>
    </row>
    <row r="14" spans="1:13" ht="25.9" customHeight="1">
      <c r="A14" s="53"/>
      <c r="B14" s="3"/>
      <c r="C14" s="54"/>
      <c r="D14" s="1"/>
      <c r="E14" s="32"/>
      <c r="M14"/>
    </row>
    <row r="15" spans="1:13" s="4" customFormat="1">
      <c r="A15" s="48" t="s">
        <v>317</v>
      </c>
      <c r="F15" s="32"/>
      <c r="M15" s="40"/>
    </row>
    <row r="16" spans="1:13" s="4" customFormat="1" ht="19.899999999999999" customHeight="1">
      <c r="A16" s="49" t="s">
        <v>166</v>
      </c>
      <c r="B16" s="49" t="s">
        <v>138</v>
      </c>
      <c r="C16" s="49" t="s">
        <v>139</v>
      </c>
      <c r="D16" s="49" t="s">
        <v>140</v>
      </c>
      <c r="E16" s="49" t="s">
        <v>195</v>
      </c>
      <c r="F16" s="49" t="s">
        <v>194</v>
      </c>
    </row>
    <row r="17" spans="1:13" ht="61.15" customHeight="1">
      <c r="A17" s="35"/>
      <c r="B17" s="43" t="s">
        <v>318</v>
      </c>
      <c r="C17" s="44" t="s">
        <v>142</v>
      </c>
      <c r="D17" s="45" t="s">
        <v>105</v>
      </c>
      <c r="E17" s="24" t="e">
        <f>('Parcel 1 without DATSs'!G202/SUM('Parcel 1 without DATSs'!G201:G204))*100</f>
        <v>#DIV/0!</v>
      </c>
      <c r="F17" s="39" t="s">
        <v>335</v>
      </c>
      <c r="G17" s="41"/>
      <c r="M17"/>
    </row>
    <row r="18" spans="1:13" ht="61.15" customHeight="1">
      <c r="A18" s="69"/>
      <c r="B18" s="43" t="s">
        <v>320</v>
      </c>
      <c r="C18" s="44" t="s">
        <v>142</v>
      </c>
      <c r="D18" s="45" t="s">
        <v>105</v>
      </c>
      <c r="E18" s="24" t="e">
        <f>('Parcel 1 without DATSs'!G222/'Parcel 1 without DATSs'!G223)*100</f>
        <v>#DIV/0!</v>
      </c>
      <c r="F18" s="39" t="s">
        <v>321</v>
      </c>
      <c r="G18" s="41"/>
      <c r="M18"/>
    </row>
    <row r="19" spans="1:13" ht="61.15" customHeight="1">
      <c r="A19" s="35"/>
      <c r="B19" s="43" t="s">
        <v>322</v>
      </c>
      <c r="C19" s="44" t="s">
        <v>142</v>
      </c>
      <c r="D19" s="45" t="s">
        <v>113</v>
      </c>
      <c r="E19" s="24">
        <f>'Parcel 1 without DATSs'!G224</f>
        <v>0</v>
      </c>
      <c r="F19" s="39" t="s">
        <v>322</v>
      </c>
      <c r="G19" s="41"/>
      <c r="M19"/>
    </row>
    <row r="20" spans="1:13" ht="25.9" customHeight="1">
      <c r="A20" s="53"/>
      <c r="B20" s="3"/>
      <c r="C20" s="54"/>
      <c r="D20" s="1"/>
      <c r="E20" s="32"/>
      <c r="M20"/>
    </row>
    <row r="21" spans="1:13" s="4" customFormat="1">
      <c r="A21" s="48" t="s">
        <v>323</v>
      </c>
      <c r="F21" s="32"/>
      <c r="M21" s="40"/>
    </row>
    <row r="22" spans="1:13" s="4" customFormat="1" ht="19.899999999999999" customHeight="1">
      <c r="A22" s="49" t="s">
        <v>166</v>
      </c>
      <c r="B22" s="49" t="s">
        <v>138</v>
      </c>
      <c r="C22" s="49" t="s">
        <v>139</v>
      </c>
      <c r="D22" s="49" t="s">
        <v>140</v>
      </c>
      <c r="E22" s="49" t="s">
        <v>195</v>
      </c>
      <c r="F22" s="49" t="s">
        <v>194</v>
      </c>
    </row>
    <row r="23" spans="1:13" ht="61.15" customHeight="1">
      <c r="A23" s="69"/>
      <c r="B23" s="43" t="s">
        <v>324</v>
      </c>
      <c r="C23" s="44" t="s">
        <v>142</v>
      </c>
      <c r="D23" s="45"/>
      <c r="E23" s="24"/>
      <c r="F23" s="45"/>
      <c r="G23" s="41"/>
      <c r="M23"/>
    </row>
    <row r="24" spans="1:13" ht="61.15" customHeight="1">
      <c r="A24" s="35"/>
      <c r="B24" s="43" t="s">
        <v>362</v>
      </c>
      <c r="C24" s="44" t="s">
        <v>142</v>
      </c>
      <c r="D24" s="45" t="s">
        <v>105</v>
      </c>
      <c r="E24" s="24">
        <f>'Parcel 1 without DATSs'!G226</f>
        <v>0</v>
      </c>
      <c r="F24" s="39"/>
      <c r="G24" s="41"/>
      <c r="M24"/>
    </row>
    <row r="25" spans="1:13" ht="61.15" customHeight="1">
      <c r="A25" s="35"/>
      <c r="B25" s="43" t="s">
        <v>363</v>
      </c>
      <c r="C25" s="44" t="s">
        <v>142</v>
      </c>
      <c r="D25" s="45" t="s">
        <v>105</v>
      </c>
      <c r="E25" s="24">
        <f>'Parcel 1 without DATSs'!G227</f>
        <v>0</v>
      </c>
      <c r="F25" s="39"/>
      <c r="G25" s="41"/>
      <c r="M25"/>
    </row>
    <row r="26" spans="1:13" ht="61.15" customHeight="1">
      <c r="A26" s="35"/>
      <c r="B26" s="43" t="s">
        <v>364</v>
      </c>
      <c r="C26" s="44" t="s">
        <v>142</v>
      </c>
      <c r="D26" s="45" t="s">
        <v>365</v>
      </c>
      <c r="E26" s="24">
        <f>'Parcel 1 without DATSs'!G228</f>
        <v>0</v>
      </c>
      <c r="F26" s="39"/>
      <c r="G26" s="41"/>
      <c r="M26"/>
    </row>
    <row r="27" spans="1:13" ht="25.9" customHeight="1">
      <c r="A27" s="53"/>
      <c r="B27" s="3"/>
      <c r="C27" s="54"/>
      <c r="D27" s="53"/>
      <c r="E27" s="53"/>
      <c r="F27" s="53"/>
      <c r="M27"/>
    </row>
    <row r="28" spans="1:13" s="24" customFormat="1" ht="33" customHeight="1" thickBot="1">
      <c r="A28" s="51" t="s">
        <v>224</v>
      </c>
      <c r="M28" s="50"/>
    </row>
    <row r="29" spans="1:13" s="24" customFormat="1" ht="19.899999999999999" customHeight="1">
      <c r="A29" s="49" t="s">
        <v>225</v>
      </c>
      <c r="B29" s="49" t="s">
        <v>145</v>
      </c>
      <c r="C29" s="49" t="s">
        <v>139</v>
      </c>
      <c r="D29" s="49" t="s">
        <v>140</v>
      </c>
      <c r="E29" s="49" t="s">
        <v>195</v>
      </c>
      <c r="F29" s="49" t="s">
        <v>146</v>
      </c>
      <c r="G29" s="33"/>
      <c r="I29" s="52"/>
      <c r="J29" s="52"/>
      <c r="K29" s="52"/>
      <c r="L29" s="52"/>
      <c r="M29" s="52"/>
    </row>
    <row r="30" spans="1:13" ht="61.15" customHeight="1">
      <c r="A30" s="35" t="s">
        <v>179</v>
      </c>
      <c r="B30" s="43" t="s">
        <v>17</v>
      </c>
      <c r="C30" s="44" t="s">
        <v>142</v>
      </c>
      <c r="D30" s="45" t="s">
        <v>147</v>
      </c>
      <c r="E30" s="24">
        <f>('Parcel 1 without DATSs'!G101*'Parcel 1 without DATSs'!G102*('Parcel 1 without DATSs'!G103/100))+
('Parcel 1 without DATSs'!G108*'Parcel 1 without DATSs'!G109*('Parcel 1 without DATSs'!G110/100))+
('Parcel 1 without DATSs'!G115*'Parcel 1 without DATSs'!G116*('Parcel 1 without DATSs'!G117/100))+
('Parcel 1 without DATSs'!G122*'Parcel 1 without DATSs'!G123*('Parcel 1 without DATSs'!G124/100))+
('Parcel 1 without DATSs'!G129*'Parcel 1 without DATSs'!G130*('Parcel 1 without DATSs'!G131/100))+
('Parcel 1 without DATSs'!G136*'Parcel 1 without DATSs'!G137*('Parcel 1 without DATSs'!G138/100))+
('Parcel 1 without DATSs'!G143*'Parcel 1 without DATSs'!G144*('Parcel 1 without DATSs'!G145/100))+
('Parcel 1 without DATSs'!G150*'Parcel 1 without DATSs'!G151*('Parcel 1 without DATSs'!G152/100))+
('Parcel 1 without DATSs'!G157*'Parcel 1 without DATSs'!G158*('Parcel 1 without DATSs'!G159/100))+
('Parcel 1 without DATSs'!G164*'Parcel 1 without DATSs'!G165*('Parcel 1 without DATSs'!G166/100))</f>
        <v>522.41200000000003</v>
      </c>
      <c r="F30" s="39" t="s">
        <v>185</v>
      </c>
      <c r="M30"/>
    </row>
    <row r="31" spans="1:13" ht="61.15" customHeight="1">
      <c r="A31" s="35" t="s">
        <v>179</v>
      </c>
      <c r="B31" s="43" t="s">
        <v>18</v>
      </c>
      <c r="C31" s="44" t="s">
        <v>142</v>
      </c>
      <c r="D31" s="45" t="s">
        <v>105</v>
      </c>
      <c r="E31" s="24">
        <f>(('Parcel 1 without DATSs'!G250*1000/'Parcel 1 without DATSs'!E10)*'sust. impact KPIs NO DATS'!C98)/E30*100</f>
        <v>29.861488633492346</v>
      </c>
      <c r="F31" s="39" t="s">
        <v>184</v>
      </c>
      <c r="M31"/>
    </row>
    <row r="32" spans="1:13" ht="61.15" customHeight="1">
      <c r="A32" s="35" t="s">
        <v>179</v>
      </c>
      <c r="B32" s="43" t="s">
        <v>19</v>
      </c>
      <c r="C32" s="44" t="s">
        <v>142</v>
      </c>
      <c r="D32" s="45" t="s">
        <v>147</v>
      </c>
      <c r="E32" s="24">
        <f>('Parcel 1 without DATSs'!G101*'Parcel 1 without DATSs'!G102*('Parcel 1 without DATSs'!G104/100))+
('Parcel 1 without DATSs'!G108*'Parcel 1 without DATSs'!G109*('Parcel 1 without DATSs'!G111/100))+
('Parcel 1 without DATSs'!G115*'Parcel 1 without DATSs'!G116*('Parcel 1 without DATSs'!G118/100))+
('Parcel 1 without DATSs'!G122*'Parcel 1 without DATSs'!G123*('Parcel 1 without DATSs'!G125/100))+
('Parcel 1 without DATSs'!G129*'Parcel 1 without DATSs'!G130*('Parcel 1 without DATSs'!G132/100))+
('Parcel 1 without DATSs'!G136*'Parcel 1 without DATSs'!G137*('Parcel 1 without DATSs'!G139/100))+
('Parcel 1 without DATSs'!G143*'Parcel 1 without DATSs'!G144*('Parcel 1 without DATSs'!G146/100))+
('Parcel 1 without DATSs'!G150*'Parcel 1 without DATSs'!G151*('Parcel 1 without DATSs'!G153/100))+
('Parcel 1 without DATSs'!G157*'Parcel 1 without DATSs'!G158*('Parcel 1 without DATSs'!G160/100))+
('Parcel 1 without DATSs'!G164*'Parcel 1 without DATSs'!G165*('Parcel 1 without DATSs'!G167/100))</f>
        <v>39.97</v>
      </c>
      <c r="F32" s="39" t="s">
        <v>186</v>
      </c>
      <c r="M32"/>
    </row>
    <row r="33" spans="1:13" ht="61.15" customHeight="1">
      <c r="A33" s="35" t="s">
        <v>179</v>
      </c>
      <c r="B33" s="43" t="s">
        <v>20</v>
      </c>
      <c r="C33" s="44" t="s">
        <v>142</v>
      </c>
      <c r="D33" s="45" t="s">
        <v>105</v>
      </c>
      <c r="E33" s="24">
        <f>(('Parcel 1 without DATSs'!G250*1000/'Parcel 1 without DATSs'!E10)*'sust. impact KPIs NO DATS'!C99)/E32*100</f>
        <v>156.11708781586191</v>
      </c>
      <c r="F33" s="39" t="s">
        <v>187</v>
      </c>
      <c r="M33"/>
    </row>
    <row r="34" spans="1:13" ht="61.15" customHeight="1">
      <c r="A34" s="35" t="s">
        <v>179</v>
      </c>
      <c r="B34" s="43" t="s">
        <v>298</v>
      </c>
      <c r="C34" s="166" t="s">
        <v>142</v>
      </c>
      <c r="D34" s="45" t="s">
        <v>147</v>
      </c>
      <c r="E34" s="165">
        <f>('Parcel 1 without DATSs'!G101*'Parcel 1 without DATSs'!G102*('Parcel 1 without DATSs'!G105/100))+
('Parcel 1 without DATSs'!G108*'Parcel 1 without DATSs'!G109*('Parcel 1 without DATSs'!G112/100))+
('Parcel 1 without DATSs'!G115*'Parcel 1 without DATSs'!G116*('Parcel 1 without DATSs'!G119/100))+
('Parcel 1 without DATSs'!G122*'Parcel 1 without DATSs'!G123*('Parcel 1 without DATSs'!G126/100))+
('Parcel 1 without DATSs'!G129*'Parcel 1 without DATSs'!G130*('Parcel 1 without DATSs'!G133/100))+
('Parcel 1 without DATSs'!G136*'Parcel 1 without DATSs'!G137*('Parcel 1 without DATSs'!G140/100))+
('Parcel 1 without DATSs'!G143*'Parcel 1 without DATSs'!G144*('Parcel 1 without DATSs'!G147/100))+
('Parcel 1 without DATSs'!G150*'Parcel 1 without DATSs'!G151*('Parcel 1 without DATSs'!G154/100))+
('Parcel 1 without DATSs'!G157*'Parcel 1 without DATSs'!G158*('Parcel 1 without DATSs'!G161/100))+
('Parcel 1 without DATSs'!G164*'Parcel 1 without DATSs'!G165*('Parcel 1 without DATSs'!G168/100))</f>
        <v>198.05199999999999</v>
      </c>
      <c r="F34" s="39" t="s">
        <v>288</v>
      </c>
      <c r="M34"/>
    </row>
    <row r="35" spans="1:13" ht="61.15" customHeight="1">
      <c r="A35" s="35" t="s">
        <v>179</v>
      </c>
      <c r="B35" s="43" t="s">
        <v>287</v>
      </c>
      <c r="C35" s="166" t="s">
        <v>142</v>
      </c>
      <c r="D35" s="45" t="s">
        <v>105</v>
      </c>
      <c r="E35" s="165">
        <f>(('Parcel 1 without DATSs'!G250*1000/'Parcel 1 without DATSs'!E10)*'sust. impact KPIs NO DATS'!C100)/E34*100</f>
        <v>105.02292327267588</v>
      </c>
      <c r="F35" s="39" t="s">
        <v>289</v>
      </c>
      <c r="M35"/>
    </row>
    <row r="36" spans="1:13" ht="61.15" customHeight="1">
      <c r="A36" s="35" t="s">
        <v>177</v>
      </c>
      <c r="B36" s="43" t="s">
        <v>396</v>
      </c>
      <c r="C36" s="44" t="s">
        <v>142</v>
      </c>
      <c r="D36" s="45" t="s">
        <v>147</v>
      </c>
      <c r="E36" s="24">
        <f>('Parcel 1 without DATSs'!G67*'Parcel 1 without DATSs'!G68)+
('Parcel 1 without DATSs'!G70*'Parcel 1 without DATSs'!G71)+
('Parcel 1 without DATSs'!G73*'Parcel 1 without DATSs'!G74)+
('Parcel 1 without DATSs'!G76*'Parcel 1 without DATSs'!G77)+
('Parcel 1 without DATSs'!G79*'Parcel 1 without DATSs'!G80)+
('Parcel 1 without DATSs'!G82*'Parcel 1 without DATSs'!G83)+
('Parcel 1 without DATSs'!G85*'Parcel 1 without DATSs'!G86)+
('Parcel 1 without DATSs'!G88*'Parcel 1 without DATSs'!G89)+
('Parcel 1 without DATSs'!G91*'Parcel 1 without DATSs'!G92)+
('Parcel 1 without DATSs'!G94*'Parcel 1 without DATSs'!G95)</f>
        <v>0</v>
      </c>
      <c r="F36" s="39" t="s">
        <v>301</v>
      </c>
      <c r="M36"/>
    </row>
    <row r="37" spans="1:13" ht="61.15" customHeight="1">
      <c r="A37" s="35" t="s">
        <v>0</v>
      </c>
      <c r="B37" s="43" t="s">
        <v>769</v>
      </c>
      <c r="C37" s="44" t="s">
        <v>142</v>
      </c>
      <c r="D37" s="45" t="str">
        <f>IFERROR(VLOOKUP('General Information'!$D$6, Validations!$J$2:$K$8, 2,FALSE), "")</f>
        <v>m3/ha</v>
      </c>
      <c r="E37" s="24">
        <f>'Parcel 1 without DATSs'!G29/(IF('General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888.29268292682934</v>
      </c>
      <c r="F37" s="39" t="s">
        <v>188</v>
      </c>
      <c r="M37"/>
    </row>
    <row r="38" spans="1:13">
      <c r="A38" s="35" t="s">
        <v>0</v>
      </c>
      <c r="B38" s="43" t="s">
        <v>397</v>
      </c>
      <c r="C38" s="44" t="s">
        <v>142</v>
      </c>
      <c r="D38" s="45" t="s">
        <v>398</v>
      </c>
      <c r="E38" s="24"/>
      <c r="F38" s="39" t="s">
        <v>285</v>
      </c>
      <c r="M38"/>
    </row>
    <row r="39" spans="1:13" ht="61.15" customHeight="1">
      <c r="A39" s="35" t="s">
        <v>0</v>
      </c>
      <c r="B39" s="43" t="s">
        <v>21</v>
      </c>
      <c r="C39" s="44" t="s">
        <v>142</v>
      </c>
      <c r="D39" s="45" t="s">
        <v>427</v>
      </c>
      <c r="E39" s="24">
        <f>(('Parcel 1 without DATSs'!G250)*1000)/(IF(('Parcel 1 without DATSs'!G24+'Parcel 1 without DATSs'!G25)&gt;0,('Parcel 1 without DATSs'!G24+'Parcel 1 without DATSs'!G25),'Parcel 1 without DATSs'!G29))</f>
        <v>58.539264140582098</v>
      </c>
      <c r="F39" s="39" t="s">
        <v>189</v>
      </c>
      <c r="M39"/>
    </row>
    <row r="40" spans="1:13" ht="61.15" customHeight="1">
      <c r="A40" s="35" t="s">
        <v>168</v>
      </c>
      <c r="B40" s="43" t="s">
        <v>22</v>
      </c>
      <c r="C40" s="44" t="s">
        <v>142</v>
      </c>
      <c r="D40" s="45" t="str">
        <f>IFERROR(VLOOKUP('General Information'!$D$6, Validations!$W$2:$X$8, 2,FALSE), "")</f>
        <v>kWh/ha</v>
      </c>
      <c r="E40" s="24">
        <f>'Parcel 1 without DATSs'!G62/(IF('General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17.073170731707318</v>
      </c>
      <c r="F40" s="39" t="s">
        <v>190</v>
      </c>
      <c r="M40"/>
    </row>
    <row r="41" spans="1:13" s="22" customFormat="1" ht="73.150000000000006" customHeight="1">
      <c r="A41" s="35" t="s">
        <v>344</v>
      </c>
      <c r="B41" s="43" t="s">
        <v>35</v>
      </c>
      <c r="C41" s="44" t="s">
        <v>142</v>
      </c>
      <c r="D41" s="45" t="s">
        <v>162</v>
      </c>
      <c r="E41" s="24" t="e">
        <f>'Parcel 1 without DATSs'!G235/'Parcel 1 without DATSs'!G236</f>
        <v>#DIV/0!</v>
      </c>
      <c r="F41" s="39" t="s">
        <v>129</v>
      </c>
      <c r="H41" s="32"/>
      <c r="J41" s="32"/>
      <c r="K41" s="3"/>
      <c r="M41" s="3"/>
    </row>
    <row r="42" spans="1:13" s="22" customFormat="1" ht="73.150000000000006" customHeight="1">
      <c r="A42" s="35" t="s">
        <v>344</v>
      </c>
      <c r="B42" s="43" t="s">
        <v>411</v>
      </c>
      <c r="C42" s="44" t="s">
        <v>142</v>
      </c>
      <c r="D42" s="45" t="s">
        <v>105</v>
      </c>
      <c r="E42" s="24" t="e">
        <f>'Parcel 1 without DATSs'!G232/'Parcel 1 without DATSs'!E17*100</f>
        <v>#DIV/0!</v>
      </c>
      <c r="F42" s="39" t="s">
        <v>163</v>
      </c>
      <c r="H42" s="32"/>
      <c r="J42" s="32"/>
      <c r="K42" s="3"/>
      <c r="M42" s="3"/>
    </row>
    <row r="43" spans="1:13" s="22" customFormat="1" ht="73.150000000000006" customHeight="1">
      <c r="A43" s="35" t="s">
        <v>344</v>
      </c>
      <c r="B43" s="43" t="s">
        <v>408</v>
      </c>
      <c r="C43" s="44" t="s">
        <v>142</v>
      </c>
      <c r="D43" s="45" t="s">
        <v>105</v>
      </c>
      <c r="E43" s="24" t="e">
        <f>'Parcel 1 without DATSs'!G232/'Parcel 1 without DATSs'!E20</f>
        <v>#DIV/0!</v>
      </c>
      <c r="F43" s="39" t="s">
        <v>410</v>
      </c>
      <c r="G43" s="41"/>
      <c r="H43" s="32"/>
      <c r="J43" s="32"/>
      <c r="K43" s="3"/>
      <c r="M43" s="3"/>
    </row>
    <row r="44" spans="1:13" s="22" customFormat="1" ht="73.150000000000006" customHeight="1">
      <c r="A44" s="35" t="s">
        <v>344</v>
      </c>
      <c r="B44" s="43" t="s">
        <v>409</v>
      </c>
      <c r="C44" s="44" t="s">
        <v>142</v>
      </c>
      <c r="D44" s="45" t="s">
        <v>105</v>
      </c>
      <c r="E44" s="24" t="e">
        <f>'Parcel 1 without DATSs'!G232/'Parcel 1 without DATSs'!E19*100</f>
        <v>#DIV/0!</v>
      </c>
      <c r="F44" s="39" t="s">
        <v>410</v>
      </c>
      <c r="G44" s="41"/>
      <c r="H44" s="32"/>
      <c r="J44" s="32"/>
      <c r="K44" s="3"/>
      <c r="M44" s="3"/>
    </row>
    <row r="45" spans="1:13" s="22" customFormat="1" ht="73.150000000000006" customHeight="1">
      <c r="A45" s="35" t="s">
        <v>344</v>
      </c>
      <c r="B45" s="43" t="s">
        <v>36</v>
      </c>
      <c r="C45" s="44" t="s">
        <v>142</v>
      </c>
      <c r="D45" s="45" t="s">
        <v>105</v>
      </c>
      <c r="E45" s="24" t="e">
        <f>'Parcel 1 without DATSs'!G233/'Parcel 1 without DATSs'!G234</f>
        <v>#DIV/0!</v>
      </c>
      <c r="F45" s="39" t="s">
        <v>164</v>
      </c>
      <c r="H45" s="32"/>
      <c r="J45" s="32"/>
      <c r="K45" s="3"/>
      <c r="M45" s="3"/>
    </row>
    <row r="46" spans="1:13" s="22" customFormat="1" ht="73.150000000000006" customHeight="1">
      <c r="A46" s="35" t="s">
        <v>344</v>
      </c>
      <c r="B46" s="43" t="s">
        <v>325</v>
      </c>
      <c r="C46" s="44" t="s">
        <v>142</v>
      </c>
      <c r="D46" s="45" t="s">
        <v>105</v>
      </c>
      <c r="E46" s="24" t="e">
        <f>'Parcel 1 without DATSs'!G237/'Parcel 1 without DATSs'!E17</f>
        <v>#DIV/0!</v>
      </c>
      <c r="F46" s="39" t="s">
        <v>326</v>
      </c>
      <c r="H46" s="32"/>
      <c r="J46" s="32"/>
      <c r="K46" s="3"/>
      <c r="M46" s="3"/>
    </row>
    <row r="47" spans="1:13" s="22" customFormat="1" ht="73.150000000000006" customHeight="1">
      <c r="A47" s="35" t="s">
        <v>12</v>
      </c>
      <c r="B47" s="43" t="s">
        <v>283</v>
      </c>
      <c r="C47" s="44" t="s">
        <v>142</v>
      </c>
      <c r="D47" s="45">
        <f>IFERROR(VLOOKUP('General Information'!$D$6, Validations!$AA$2:$AB$8, 2,FALSE), "")</f>
        <v>0</v>
      </c>
      <c r="E47" s="24">
        <f>('Parcel 1 without DATSs'!G186+'Parcel 1 without DATSs'!G188+'Parcel 1 without DATSs'!G190)/(IF('General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47" s="39" t="s">
        <v>276</v>
      </c>
      <c r="H47" s="32"/>
      <c r="J47" s="32"/>
      <c r="K47" s="3"/>
      <c r="M47" s="3"/>
    </row>
    <row r="48" spans="1:13" s="22" customFormat="1" ht="73.150000000000006" customHeight="1">
      <c r="A48" s="35" t="s">
        <v>12</v>
      </c>
      <c r="B48" s="43" t="s">
        <v>284</v>
      </c>
      <c r="C48" s="44" t="s">
        <v>142</v>
      </c>
      <c r="D48" s="45">
        <f>IFERROR(VLOOKUP('General Information'!$D$6, Validations!$AA$2:$AB$8, 2,FALSE), "")</f>
        <v>0</v>
      </c>
      <c r="E48" s="24">
        <f>('Parcel 1 without DATSs'!G186+'Parcel 1 without DATSs'!G188+'Parcel 1 without DATSs'!G190)/(IF('General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48" s="39" t="s">
        <v>276</v>
      </c>
      <c r="H48" s="32"/>
      <c r="J48" s="32"/>
      <c r="K48" s="3"/>
      <c r="M48" s="3"/>
    </row>
    <row r="49" spans="1:13" s="22" customFormat="1" ht="73.150000000000006" customHeight="1">
      <c r="A49" s="35" t="s">
        <v>12</v>
      </c>
      <c r="B49" s="43" t="s">
        <v>275</v>
      </c>
      <c r="C49" s="44" t="s">
        <v>142</v>
      </c>
      <c r="D49" s="45" t="s">
        <v>561</v>
      </c>
      <c r="E49" s="24" t="e">
        <f>('Parcel 1 without DATSs'!G186+'Parcel 1 without DATSs'!G188+'Parcel 1 without DATSs'!G190)/'Parcel 1 without DATSs'!E20</f>
        <v>#DIV/0!</v>
      </c>
      <c r="F49" s="39" t="s">
        <v>276</v>
      </c>
      <c r="H49" s="32"/>
      <c r="J49" s="32"/>
      <c r="K49" s="3"/>
      <c r="M49" s="3"/>
    </row>
    <row r="50" spans="1:13" s="22" customFormat="1" ht="73.150000000000006" customHeight="1">
      <c r="A50" s="35" t="s">
        <v>12</v>
      </c>
      <c r="B50" s="43" t="s">
        <v>274</v>
      </c>
      <c r="C50" s="44" t="s">
        <v>142</v>
      </c>
      <c r="D50" s="45" t="s">
        <v>486</v>
      </c>
      <c r="E50" s="24" t="e">
        <f>('Parcel 1 without DATSs'!G186+'Parcel 1 without DATSs'!G188+'Parcel 1 without DATSs'!G190)/'Parcel 1 without DATSs'!E19</f>
        <v>#DIV/0!</v>
      </c>
      <c r="F50" s="39" t="s">
        <v>276</v>
      </c>
      <c r="H50" s="32"/>
      <c r="J50" s="32"/>
      <c r="K50" s="3"/>
      <c r="M50" s="3"/>
    </row>
    <row r="51" spans="1:13" ht="61.15" customHeight="1">
      <c r="A51" s="35" t="s">
        <v>167</v>
      </c>
      <c r="B51" s="43" t="s">
        <v>23</v>
      </c>
      <c r="C51" s="44" t="s">
        <v>142</v>
      </c>
      <c r="D51" s="45" t="str">
        <f>IFERROR(VLOOKUP('General Information'!$D$6, Validations!$AA$2:$AC$8, 3,FALSE), "")</f>
        <v>kg CO2 eq/ha</v>
      </c>
      <c r="E51" s="24">
        <f>('Parcel 1 without DATSs'!G43*'sust. impact KPIs NO DATS'!C94*'sust. impact KPIs NO DATS'!C95)/(IF('General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0</v>
      </c>
      <c r="F51" s="39" t="s">
        <v>191</v>
      </c>
      <c r="H51">
        <f>6.2*100/31</f>
        <v>20</v>
      </c>
      <c r="M51"/>
    </row>
    <row r="52" spans="1:13" ht="61.15" customHeight="1">
      <c r="A52" s="35" t="s">
        <v>167</v>
      </c>
      <c r="B52" s="43" t="s">
        <v>302</v>
      </c>
      <c r="C52" s="44" t="s">
        <v>142</v>
      </c>
      <c r="D52" s="45" t="s">
        <v>226</v>
      </c>
      <c r="E52" s="24">
        <f>'Parcel 1 without DATSs'!G43/'Parcel 1 without DATSs'!E10</f>
        <v>0</v>
      </c>
      <c r="F52" s="39" t="s">
        <v>328</v>
      </c>
      <c r="M52"/>
    </row>
    <row r="53" spans="1:13" ht="61.15" customHeight="1">
      <c r="A53" s="35" t="s">
        <v>167</v>
      </c>
      <c r="B53" s="43" t="s">
        <v>303</v>
      </c>
      <c r="C53" s="44" t="s">
        <v>142</v>
      </c>
      <c r="D53" s="45" t="str">
        <f>IFERROR(VLOOKUP('General Information'!$D$6, Validations!$AA$2:$AD$8, 4,FALSE), "")</f>
        <v>l/ha</v>
      </c>
      <c r="E53" s="24" t="e">
        <f>'Parcel 1 without DATSs'!G43/'Parcel 1 without DATSs'!E17</f>
        <v>#DIV/0!</v>
      </c>
      <c r="F53" s="39" t="s">
        <v>334</v>
      </c>
      <c r="M53"/>
    </row>
    <row r="54" spans="1:13" ht="61.15" customHeight="1">
      <c r="A54" s="35" t="s">
        <v>167</v>
      </c>
      <c r="B54" s="43" t="s">
        <v>304</v>
      </c>
      <c r="C54" s="44" t="s">
        <v>142</v>
      </c>
      <c r="D54" s="45" t="s">
        <v>331</v>
      </c>
      <c r="E54" s="24" t="e">
        <f>'Parcel 1 without DATSs'!G43/'Parcel 1 without DATSs'!E20</f>
        <v>#DIV/0!</v>
      </c>
      <c r="F54" s="39" t="s">
        <v>330</v>
      </c>
      <c r="M54"/>
    </row>
    <row r="55" spans="1:13" ht="61.15" customHeight="1">
      <c r="A55" s="35" t="s">
        <v>167</v>
      </c>
      <c r="B55" s="43" t="s">
        <v>305</v>
      </c>
      <c r="C55" s="44" t="s">
        <v>142</v>
      </c>
      <c r="D55" s="45" t="s">
        <v>332</v>
      </c>
      <c r="E55" s="24" t="e">
        <f>'Parcel 1 without DATSs'!G43/'Parcel 1 without DATSs'!E19</f>
        <v>#DIV/0!</v>
      </c>
      <c r="F55" s="39" t="s">
        <v>333</v>
      </c>
      <c r="M55"/>
    </row>
    <row r="56" spans="1:13" s="22" customFormat="1" ht="19.899999999999999" customHeight="1">
      <c r="B56" s="2"/>
      <c r="C56" s="23"/>
      <c r="D56" s="27"/>
      <c r="E56" s="24"/>
      <c r="F56" s="55" t="s">
        <v>192</v>
      </c>
      <c r="G56" s="55"/>
      <c r="H56" s="28" t="s">
        <v>151</v>
      </c>
      <c r="I56" s="55"/>
      <c r="J56" s="28" t="s">
        <v>152</v>
      </c>
      <c r="K56" s="28"/>
      <c r="L56" s="28"/>
    </row>
    <row r="57" spans="1:13" s="22" customFormat="1" ht="73.150000000000006" customHeight="1">
      <c r="A57" s="35" t="s">
        <v>179</v>
      </c>
      <c r="B57" s="43" t="s">
        <v>24</v>
      </c>
      <c r="C57" s="44" t="s">
        <v>142</v>
      </c>
      <c r="D57" s="42" t="s">
        <v>149</v>
      </c>
      <c r="E57" s="24">
        <f>(G57+I57+K57)*C90*C91</f>
        <v>3079.3366375200003</v>
      </c>
      <c r="F57" s="39" t="s">
        <v>150</v>
      </c>
      <c r="G57" s="22">
        <f>E30*C77</f>
        <v>5.2241200000000001</v>
      </c>
      <c r="H57" s="39" t="s">
        <v>415</v>
      </c>
      <c r="I57" s="22">
        <f>((((IF('Parcel 1 without DATSs'!G100="Mineral",'Parcel 1 without DATSs'!G101*'Parcel 1 without DATSs'!G102*'Parcel 1 without DATSs'!G103/100,0)) +
(IF('Parcel 1 without DATSs'!G107="Mineral",'Parcel 1 without DATSs'!G108*'Parcel 1 without DATSs'!G109*'Parcel 1 without DATSs'!G110/100,0)) +
(IF('Parcel 1 without DATSs'!G114="Mineral",'Parcel 1 without DATSs'!G115*'Parcel 1 without DATSs'!G116*'Parcel 1 without DATSs'!G117/100,0)) +
(IF('Parcel 1 without DATSs'!G121="Mineral",'Parcel 1 without DATSs'!G122*'Parcel 1 without DATSs'!G123*'Parcel 1 without DATSs'!G124/100,0)) +
(IF('Parcel 1 without DATSs'!G128="Mineral",'Parcel 1 without DATSs'!G129*'Parcel 1 without DATSs'!G130*'Parcel 1 without DATSs'!G131/100,0)) +
(IF('Parcel 1 without DATSs'!G135="Mineral",'Parcel 1 without DATSs'!G136*'Parcel 1 without DATSs'!G137*'Parcel 1 without DATSs'!G138/100,0)) +
(IF('Parcel 1 without DATSs'!G142="Mineral",'Parcel 1 without DATSs'!G143*'Parcel 1 without DATSs'!G144*'Parcel 1 without DATSs'!G145/100,0)) +
(IF('Parcel 1 without DATSs'!G149="Mineral",'Parcel 1 without DATSs'!G150*'Parcel 1 without DATSs'!G151*'Parcel 1 without DATSs'!G152/100,0)) +
(IF('Parcel 1 without DATSs'!G156="Mineral",'Parcel 1 without DATSs'!G157*'Parcel 1 without DATSs'!G158*'Parcel 1 without DATSs'!G159/100,0)) +
(IF('Parcel 1 without DATSs'!G163="Mineral",'Parcel 1 without DATSs'!G164*'Parcel 1 without DATSs'!G165*'Parcel 1 without DATSs'!G166/100,0)))*'sust. impact KPIs DATS'!C85) +
(((IF('Parcel 1 without DATSs'!G100="Organic",'Parcel 1 without DATSs'!G101*'Parcel 1 without DATSs'!G102*'Parcel 1 without DATSs'!G103/100,0)) +
(IF('Parcel 1 without DATSs'!G107="Organic",'Parcel 1 without DATSs'!G108*'Parcel 1 without DATSs'!G109*'Parcel 1 without DATSs'!G110/100,0)) +
(IF('Parcel 1 without DATSs'!G114="Organic",'Parcel 1 without DATSs'!G115*'Parcel 1 without DATSs'!G116*'Parcel 1 without DATSs'!G117/100,0)) +
(IF('Parcel 1 without DATSs'!G121="Organic",'Parcel 1 without DATSs'!G122*'Parcel 1 without DATSs'!G123*'Parcel 1 without DATSs'!G124/100,0)) +
(IF('Parcel 1 without DATSs'!G128="Organic",'Parcel 1 without DATSs'!G129*'Parcel 1 without DATSs'!G130*'Parcel 1 without DATSs'!G131/100,0)) +
(IF('Parcel 1 without DATSs'!G135="Organic",'Parcel 1 without DATSs'!G136*'Parcel 1 without DATSs'!G137*'Parcel 1 without DATSs'!G138/100,0)) +
(IF('Parcel 1 without DATSs'!G142="Organic",'Parcel 1 without DATSs'!G143*'Parcel 1 without DATSs'!G144*'Parcel 1 without DATSs'!G145/100,0)) +
(IF('Parcel 1 without DATSs'!G149="Organic",'Parcel 1 without DATSs'!G150*'Parcel 1 without DATSs'!G151*'Parcel 1 without DATSs'!G152/100,0)) +
(IF('Parcel 1 without DATSs'!G156="Organic",'Parcel 1 without DATSs'!G157*'Parcel 1 without DATSs'!G158*'Parcel 1 without DATSs'!G159/100,0)) +
(IF('Parcel 1 without DATSs'!G163="Organic",'Parcel 1 without DATSs'!G164*'Parcel 1 without DATSs'!G165*'Parcel 1 without DATSs'!G166/100,0)))*'sust. impact KPIs DATS'!C86))
*'sust. impact KPIs DATS'!C82</f>
        <v>0.57465320000000009</v>
      </c>
      <c r="J57" s="39" t="s">
        <v>414</v>
      </c>
      <c r="K57" s="22">
        <f>E30*C87*C89</f>
        <v>1.3791676800000001</v>
      </c>
      <c r="L57" s="39" t="s">
        <v>413</v>
      </c>
      <c r="M57" s="3"/>
    </row>
    <row r="58" spans="1:13" s="22" customFormat="1" ht="19.899999999999999" customHeight="1">
      <c r="A58" s="35" t="s">
        <v>617</v>
      </c>
      <c r="B58" s="43" t="s">
        <v>619</v>
      </c>
      <c r="C58" s="44" t="s">
        <v>142</v>
      </c>
      <c r="D58" s="42" t="str">
        <f>D51</f>
        <v>kg CO2 eq/ha</v>
      </c>
      <c r="E58" s="56">
        <f>E57+E51</f>
        <v>3079.3366375200003</v>
      </c>
      <c r="F58" s="3"/>
      <c r="G58" s="3"/>
      <c r="H58" s="3"/>
      <c r="I58" s="3"/>
      <c r="J58" s="3"/>
      <c r="L58" s="3"/>
      <c r="M58" s="3"/>
    </row>
    <row r="59" spans="1:13" ht="16.5" thickBot="1">
      <c r="A59" s="29" t="s">
        <v>227</v>
      </c>
      <c r="B59" s="22"/>
      <c r="C59" s="22"/>
      <c r="D59" s="22"/>
      <c r="E59" s="24"/>
      <c r="F59" s="22"/>
      <c r="G59" s="22"/>
      <c r="H59" s="22"/>
      <c r="I59" s="22"/>
      <c r="J59" s="22"/>
      <c r="K59" s="3"/>
      <c r="L59" s="22"/>
      <c r="M59" s="23"/>
    </row>
    <row r="60" spans="1:13">
      <c r="A60" s="49"/>
      <c r="B60" s="49" t="s">
        <v>145</v>
      </c>
      <c r="C60" s="49" t="s">
        <v>139</v>
      </c>
      <c r="D60" s="49" t="s">
        <v>140</v>
      </c>
      <c r="E60" s="49" t="s">
        <v>195</v>
      </c>
      <c r="F60" s="49" t="s">
        <v>146</v>
      </c>
      <c r="G60" s="31"/>
      <c r="H60" s="31"/>
      <c r="I60" s="31"/>
      <c r="J60" s="31"/>
      <c r="K60" s="31"/>
      <c r="M60"/>
    </row>
    <row r="62" spans="1:13" ht="31.5">
      <c r="A62" s="42"/>
      <c r="B62" s="43" t="s">
        <v>26</v>
      </c>
      <c r="C62" s="57" t="s">
        <v>142</v>
      </c>
      <c r="D62" s="45" t="str">
        <f>IFERROR(VLOOKUP('General Information'!$D$6, Validations!$L$2:$N$8, 3,FALSE), "")</f>
        <v>h/ha</v>
      </c>
      <c r="E62" s="24" cm="1">
        <f t="array" ref="E62">(SUM(SUMIFS('Parcel 1 without DATSs'!G194:G218,'Parcel 1 without DATSs'!C194:C218,'Analysis DATS vs. NO DATS'!C12:C36,'Analysis DATS vs. NO DATS'!I12:I36,1)))/(IF('General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2.4390243902439028</v>
      </c>
      <c r="F62" s="39" t="s">
        <v>722</v>
      </c>
      <c r="G62" s="25">
        <f>(SUM('Parcel 1 without DATSs'!G194:G218))/(IF('General Information'!D6="crop",'Parcel 1 without DATSs'!E10,IF('General Information'!D6="milk",'Parcel 1 without DATSs'!G251,IF('General Information'!D6="meat",'Parcel 1 without DATSs'!G252,IF('General Information'!D6="animal",'Parcel 1 without DATSs'!G253,IF('General Information'!D6="oyster",'Parcel 1 without DATSs'!G254,IF('General Information'!D6="honey",'Parcel 1 without DATSs'!G255,'Parcel 1 without DATSs'!G256)))))))</f>
        <v>2.4390243902439028</v>
      </c>
      <c r="H62" s="3"/>
      <c r="I62" s="23"/>
      <c r="J62" s="26"/>
      <c r="K62" s="3"/>
      <c r="M62"/>
    </row>
    <row r="63" spans="1:13" ht="31.5">
      <c r="A63" s="42"/>
      <c r="B63" s="43" t="s">
        <v>27</v>
      </c>
      <c r="C63" s="57" t="s">
        <v>142</v>
      </c>
      <c r="D63" s="45" t="s">
        <v>153</v>
      </c>
      <c r="E63" s="24" t="e">
        <f>'Parcel 1 without DATSs'!G241/'Parcel 1 without DATSs'!G243</f>
        <v>#DIV/0!</v>
      </c>
      <c r="F63" s="39" t="s">
        <v>154</v>
      </c>
      <c r="G63" s="25"/>
      <c r="H63" s="3"/>
      <c r="I63" s="23"/>
      <c r="J63" s="26"/>
      <c r="K63" s="3"/>
      <c r="M63"/>
    </row>
    <row r="64" spans="1:13" ht="47.25">
      <c r="A64" s="42"/>
      <c r="B64" s="43" t="s">
        <v>28</v>
      </c>
      <c r="C64" s="57" t="s">
        <v>142</v>
      </c>
      <c r="D64" s="45" t="s">
        <v>105</v>
      </c>
      <c r="E64" s="24" t="e">
        <f>'Parcel 1 without DATSs'!G242/'Parcel 1 without DATSs'!G243</f>
        <v>#DIV/0!</v>
      </c>
      <c r="F64" s="39" t="s">
        <v>155</v>
      </c>
      <c r="G64" s="25"/>
      <c r="H64" s="3"/>
      <c r="I64" s="23"/>
      <c r="J64" s="26"/>
      <c r="K64" s="3"/>
      <c r="M64"/>
    </row>
    <row r="65" spans="1:13" ht="31.5">
      <c r="A65" s="42"/>
      <c r="B65" s="43" t="s">
        <v>29</v>
      </c>
      <c r="C65" s="57" t="s">
        <v>142</v>
      </c>
      <c r="D65" s="45" t="s">
        <v>105</v>
      </c>
      <c r="E65" s="24" t="e">
        <f>'Parcel 1 without DATSs'!G245/'Parcel 1 without DATSs'!G246</f>
        <v>#DIV/0!</v>
      </c>
      <c r="F65" s="39" t="s">
        <v>156</v>
      </c>
      <c r="G65" s="25"/>
      <c r="H65" s="3"/>
      <c r="I65" s="23"/>
      <c r="J65" s="26"/>
      <c r="K65" s="3"/>
      <c r="M65"/>
    </row>
    <row r="74" spans="1:13">
      <c r="A74" s="59"/>
      <c r="B74" s="65" t="s">
        <v>228</v>
      </c>
      <c r="C74" s="66"/>
      <c r="D74" s="59" t="s">
        <v>295</v>
      </c>
      <c r="E74" s="59"/>
      <c r="F74" s="59"/>
      <c r="M74"/>
    </row>
    <row r="75" spans="1:13">
      <c r="A75" s="67" t="s">
        <v>229</v>
      </c>
      <c r="B75" s="68" t="s">
        <v>140</v>
      </c>
      <c r="C75" s="68" t="s">
        <v>99</v>
      </c>
      <c r="D75" s="68" t="s">
        <v>230</v>
      </c>
      <c r="E75" s="59"/>
      <c r="F75" s="59"/>
      <c r="M75"/>
    </row>
    <row r="76" spans="1:13">
      <c r="A76" s="60" t="s">
        <v>231</v>
      </c>
      <c r="B76" s="59"/>
      <c r="C76" s="59"/>
      <c r="D76" s="59"/>
      <c r="E76" s="59"/>
      <c r="F76" s="59"/>
      <c r="M76"/>
    </row>
    <row r="77" spans="1:13">
      <c r="A77" s="148" t="s">
        <v>232</v>
      </c>
      <c r="B77" s="149" t="s">
        <v>233</v>
      </c>
      <c r="C77" s="149">
        <v>0.01</v>
      </c>
      <c r="D77" s="148" t="s">
        <v>234</v>
      </c>
      <c r="E77" s="148"/>
      <c r="F77" s="59"/>
      <c r="M77"/>
    </row>
    <row r="78" spans="1:13">
      <c r="A78" s="59" t="s">
        <v>235</v>
      </c>
      <c r="B78" s="61" t="s">
        <v>233</v>
      </c>
      <c r="C78" s="61">
        <v>1.6E-2</v>
      </c>
      <c r="D78" s="59" t="s">
        <v>236</v>
      </c>
      <c r="E78" s="59"/>
      <c r="F78" s="59"/>
      <c r="M78"/>
    </row>
    <row r="79" spans="1:13">
      <c r="A79" s="59" t="s">
        <v>237</v>
      </c>
      <c r="B79" s="61" t="s">
        <v>233</v>
      </c>
      <c r="C79" s="61">
        <v>6.0000000000000001E-3</v>
      </c>
      <c r="D79" s="59" t="s">
        <v>238</v>
      </c>
      <c r="E79" s="59"/>
      <c r="F79" s="59"/>
      <c r="M79"/>
    </row>
    <row r="80" spans="1:13">
      <c r="A80" s="59" t="s">
        <v>239</v>
      </c>
      <c r="B80" s="61" t="s">
        <v>233</v>
      </c>
      <c r="C80" s="61">
        <v>6.0000000000000001E-3</v>
      </c>
      <c r="D80" s="59" t="s">
        <v>240</v>
      </c>
      <c r="E80" s="59"/>
      <c r="F80" s="59"/>
      <c r="M80"/>
    </row>
    <row r="81" spans="1:13">
      <c r="A81" s="60" t="s">
        <v>241</v>
      </c>
      <c r="B81" s="59"/>
      <c r="C81" s="59"/>
      <c r="D81" s="59"/>
      <c r="E81" s="59"/>
      <c r="F81" s="59"/>
      <c r="M81"/>
    </row>
    <row r="82" spans="1:13">
      <c r="A82" s="148" t="s">
        <v>242</v>
      </c>
      <c r="B82" s="149" t="s">
        <v>243</v>
      </c>
      <c r="C82" s="149">
        <v>0.01</v>
      </c>
      <c r="D82" s="148" t="s">
        <v>244</v>
      </c>
      <c r="E82" s="148"/>
      <c r="F82" s="59"/>
      <c r="M82"/>
    </row>
    <row r="83" spans="1:13">
      <c r="A83" s="59" t="s">
        <v>245</v>
      </c>
      <c r="B83" s="61" t="s">
        <v>243</v>
      </c>
      <c r="C83" s="61">
        <v>1.4E-2</v>
      </c>
      <c r="D83" s="59" t="s">
        <v>246</v>
      </c>
      <c r="E83" s="59"/>
      <c r="F83" s="59"/>
      <c r="M83"/>
    </row>
    <row r="84" spans="1:13">
      <c r="A84" s="59" t="s">
        <v>247</v>
      </c>
      <c r="B84" s="61" t="s">
        <v>243</v>
      </c>
      <c r="C84" s="61">
        <v>5.0000000000000001E-3</v>
      </c>
      <c r="D84" s="59" t="s">
        <v>248</v>
      </c>
      <c r="E84" s="59"/>
      <c r="F84" s="59"/>
      <c r="M84"/>
    </row>
    <row r="85" spans="1:13">
      <c r="A85" s="148" t="s">
        <v>249</v>
      </c>
      <c r="B85" s="149" t="s">
        <v>250</v>
      </c>
      <c r="C85" s="149">
        <v>0.11</v>
      </c>
      <c r="D85" s="148" t="s">
        <v>251</v>
      </c>
      <c r="E85" s="148"/>
      <c r="F85" s="59"/>
      <c r="M85"/>
    </row>
    <row r="86" spans="1:13">
      <c r="A86" s="148" t="s">
        <v>252</v>
      </c>
      <c r="B86" s="149" t="s">
        <v>250</v>
      </c>
      <c r="C86" s="149">
        <v>0.21</v>
      </c>
      <c r="D86" s="148" t="s">
        <v>253</v>
      </c>
      <c r="E86" s="148"/>
      <c r="F86" s="59"/>
      <c r="M86"/>
    </row>
    <row r="87" spans="1:13">
      <c r="A87" s="148" t="s">
        <v>254</v>
      </c>
      <c r="B87" s="149" t="s">
        <v>255</v>
      </c>
      <c r="C87" s="149">
        <v>0.24</v>
      </c>
      <c r="D87" s="148" t="s">
        <v>256</v>
      </c>
      <c r="E87" s="59"/>
      <c r="F87" s="59"/>
      <c r="M87"/>
    </row>
    <row r="88" spans="1:13">
      <c r="A88" s="59" t="s">
        <v>257</v>
      </c>
      <c r="B88" s="61" t="s">
        <v>255</v>
      </c>
      <c r="C88" s="61">
        <v>0</v>
      </c>
      <c r="D88" s="59" t="s">
        <v>258</v>
      </c>
      <c r="E88" s="59"/>
      <c r="F88" s="59"/>
      <c r="M88"/>
    </row>
    <row r="89" spans="1:13">
      <c r="A89" s="148" t="s">
        <v>259</v>
      </c>
      <c r="B89" s="148" t="s">
        <v>260</v>
      </c>
      <c r="C89" s="149">
        <v>1.0999999999999999E-2</v>
      </c>
      <c r="D89" s="148" t="s">
        <v>261</v>
      </c>
      <c r="E89" s="148"/>
      <c r="F89" s="59"/>
      <c r="M89"/>
    </row>
    <row r="90" spans="1:13">
      <c r="A90" s="148" t="s">
        <v>262</v>
      </c>
      <c r="B90" s="149" t="s">
        <v>263</v>
      </c>
      <c r="C90" s="148">
        <f>44/28</f>
        <v>1.5714285714285714</v>
      </c>
      <c r="D90" s="148" t="s">
        <v>264</v>
      </c>
      <c r="E90" s="148"/>
      <c r="F90" s="59"/>
      <c r="M90"/>
    </row>
    <row r="91" spans="1:13">
      <c r="A91" s="148" t="s">
        <v>265</v>
      </c>
      <c r="B91" s="148"/>
      <c r="C91" s="149">
        <v>273</v>
      </c>
      <c r="D91" s="148" t="s">
        <v>416</v>
      </c>
      <c r="E91" s="148"/>
      <c r="F91" s="59"/>
      <c r="M91"/>
    </row>
    <row r="92" spans="1:13">
      <c r="A92" s="59"/>
      <c r="B92" s="59"/>
      <c r="C92" s="59"/>
      <c r="D92" s="59"/>
      <c r="E92" s="59"/>
      <c r="F92" s="59"/>
      <c r="M92"/>
    </row>
    <row r="93" spans="1:13">
      <c r="A93" s="67" t="s">
        <v>266</v>
      </c>
      <c r="B93" s="59"/>
      <c r="C93" s="59"/>
      <c r="D93" s="59"/>
      <c r="E93" s="59"/>
      <c r="F93" s="59"/>
      <c r="M93"/>
    </row>
    <row r="94" spans="1:13">
      <c r="A94" s="148" t="s">
        <v>267</v>
      </c>
      <c r="B94" s="149" t="s">
        <v>268</v>
      </c>
      <c r="C94" s="148">
        <v>35.9</v>
      </c>
      <c r="D94" s="148" t="s">
        <v>269</v>
      </c>
      <c r="E94" s="59"/>
      <c r="F94" s="59"/>
      <c r="M94"/>
    </row>
    <row r="95" spans="1:13">
      <c r="A95" s="148" t="s">
        <v>270</v>
      </c>
      <c r="B95" s="149" t="s">
        <v>271</v>
      </c>
      <c r="C95" s="148">
        <v>7.4099999999999999E-2</v>
      </c>
      <c r="D95" s="148" t="s">
        <v>272</v>
      </c>
      <c r="E95" s="59"/>
      <c r="F95" s="59"/>
      <c r="M95"/>
    </row>
    <row r="96" spans="1:13">
      <c r="A96" s="59"/>
      <c r="B96" s="59"/>
      <c r="C96" s="59"/>
      <c r="D96" s="59"/>
      <c r="E96" s="59"/>
      <c r="F96" s="59"/>
      <c r="M96"/>
    </row>
    <row r="97" spans="1:13">
      <c r="A97" s="67" t="s">
        <v>432</v>
      </c>
      <c r="B97" s="64"/>
      <c r="C97" s="59"/>
      <c r="D97" s="59"/>
      <c r="E97" s="59"/>
      <c r="F97" s="59"/>
      <c r="M97"/>
    </row>
    <row r="98" spans="1:13">
      <c r="A98" s="150" t="str">
        <f>'General Information'!D7</f>
        <v xml:space="preserve">Onion </v>
      </c>
      <c r="B98" s="151" t="s">
        <v>424</v>
      </c>
      <c r="C98" s="150">
        <f>IFERROR(VLOOKUP('General Information'!$D$7, Validations!$P$2:$Q$18, 2,FALSE), "")</f>
        <v>3.0000000000000001E-3</v>
      </c>
      <c r="D98" s="59"/>
      <c r="E98" s="59"/>
      <c r="F98" s="59"/>
      <c r="M98"/>
    </row>
    <row r="99" spans="1:13">
      <c r="A99" s="150" t="str">
        <f>'General Information'!D7</f>
        <v xml:space="preserve">Onion </v>
      </c>
      <c r="B99" s="152" t="s">
        <v>425</v>
      </c>
      <c r="C99" s="150">
        <f>IFERROR(VLOOKUP('General Information'!$D$7, Validations!$R$2:$S$18, 2,FALSE), "")</f>
        <v>1.1999999999999999E-3</v>
      </c>
      <c r="D99" s="59"/>
      <c r="E99" s="59"/>
      <c r="F99" s="59"/>
      <c r="M99"/>
    </row>
    <row r="100" spans="1:13">
      <c r="A100" s="150" t="str">
        <f>'General Information'!D7</f>
        <v xml:space="preserve">Onion </v>
      </c>
      <c r="B100" s="152" t="s">
        <v>426</v>
      </c>
      <c r="C100" s="150">
        <f>IFERROR(VLOOKUP('General Information'!$D$7, Validations!$T$2:$U$18, 2,FALSE), "")</f>
        <v>4.0000000000000001E-3</v>
      </c>
      <c r="D100" s="59"/>
      <c r="E100" s="63"/>
      <c r="F100" s="59"/>
    </row>
    <row r="101" spans="1:13">
      <c r="A101" s="62"/>
      <c r="B101" s="76"/>
      <c r="C101" s="62"/>
      <c r="D101" s="62"/>
      <c r="E101" s="62"/>
      <c r="F101" s="62"/>
    </row>
    <row r="102" spans="1:13">
      <c r="A102" s="62"/>
      <c r="B102" s="76"/>
      <c r="C102" s="62"/>
      <c r="D102" s="62"/>
      <c r="E102" s="62"/>
      <c r="F102" s="62"/>
    </row>
    <row r="103" spans="1:13">
      <c r="A103" s="63"/>
      <c r="B103" s="77"/>
      <c r="C103" s="63"/>
      <c r="D103" s="63"/>
      <c r="E103" s="63"/>
      <c r="F103" s="63"/>
    </row>
    <row r="104" spans="1:13">
      <c r="A104" s="62"/>
      <c r="B104" s="77"/>
      <c r="C104" s="63"/>
      <c r="D104" s="62"/>
      <c r="E104" s="62"/>
      <c r="F104" s="62"/>
    </row>
    <row r="105" spans="1:13">
      <c r="A105" s="62"/>
      <c r="B105" s="77"/>
      <c r="C105" s="63"/>
      <c r="D105" s="62"/>
      <c r="E105" s="62"/>
      <c r="F105" s="62"/>
    </row>
    <row r="106" spans="1:13">
      <c r="A106" s="63"/>
      <c r="B106" s="77"/>
      <c r="C106" s="63"/>
      <c r="D106" s="62"/>
      <c r="E106" s="63"/>
      <c r="F106" s="63"/>
    </row>
    <row r="107" spans="1:13">
      <c r="A107" s="62"/>
      <c r="B107" s="62"/>
      <c r="C107" s="62"/>
      <c r="D107" s="62"/>
      <c r="E107" s="62"/>
      <c r="F107" s="62"/>
    </row>
    <row r="108" spans="1:13">
      <c r="A108" s="62"/>
      <c r="B108" s="62"/>
      <c r="C108" s="62"/>
      <c r="D108" s="62"/>
      <c r="E108" s="62"/>
      <c r="F108" s="62"/>
    </row>
  </sheetData>
  <conditionalFormatting sqref="A29:D29 F29 A60:D60 F60 D61 D66:D68">
    <cfRule type="containsText" dxfId="97" priority="148" operator="containsText" text="Without DATs">
      <formula>NOT(ISERROR(SEARCH("Without DATs",A29)))</formula>
    </cfRule>
  </conditionalFormatting>
  <conditionalFormatting sqref="C2:C14 C16:C20 C22:C27">
    <cfRule type="containsText" dxfId="96" priority="40" operator="containsText" text="Without DATs">
      <formula>NOT(ISERROR(SEARCH("Without DATs",C2)))</formula>
    </cfRule>
  </conditionalFormatting>
  <conditionalFormatting sqref="C3:C13 C17:C19">
    <cfRule type="containsText" dxfId="95" priority="38" operator="containsText" text="TO-BE">
      <formula>NOT(ISERROR(SEARCH("TO-BE",C3)))</formula>
    </cfRule>
    <cfRule type="containsText" dxfId="94" priority="39" operator="containsText" text="AS-IS">
      <formula>NOT(ISERROR(SEARCH("AS-IS",C3)))</formula>
    </cfRule>
    <cfRule type="containsText" dxfId="93" priority="36" operator="containsText" text="With DATs">
      <formula>NOT(ISERROR(SEARCH("With DATs",C3)))</formula>
    </cfRule>
    <cfRule type="containsText" dxfId="92" priority="37" operator="containsText" text="With out DATs">
      <formula>NOT(ISERROR(SEARCH("With out DATs",C3)))</formula>
    </cfRule>
  </conditionalFormatting>
  <conditionalFormatting sqref="C14">
    <cfRule type="containsText" dxfId="91" priority="76" operator="containsText" text="AS-IS">
      <formula>NOT(ISERROR(SEARCH("AS-IS",C14)))</formula>
    </cfRule>
    <cfRule type="containsText" dxfId="90" priority="75" operator="containsText" text="TO-BE">
      <formula>NOT(ISERROR(SEARCH("TO-BE",C14)))</formula>
    </cfRule>
    <cfRule type="containsText" dxfId="89" priority="74" operator="containsText" text="With out DATs">
      <formula>NOT(ISERROR(SEARCH("With out DATs",C14)))</formula>
    </cfRule>
    <cfRule type="containsText" dxfId="88" priority="73" operator="containsText" text="With DATs">
      <formula>NOT(ISERROR(SEARCH("With DATs",C14)))</formula>
    </cfRule>
  </conditionalFormatting>
  <conditionalFormatting sqref="C20">
    <cfRule type="containsText" dxfId="87" priority="50" operator="containsText" text="With DATs">
      <formula>NOT(ISERROR(SEARCH("With DATs",C20)))</formula>
    </cfRule>
    <cfRule type="containsText" dxfId="86" priority="51" operator="containsText" text="With out DATs">
      <formula>NOT(ISERROR(SEARCH("With out DATs",C20)))</formula>
    </cfRule>
    <cfRule type="containsText" dxfId="85" priority="52" operator="containsText" text="TO-BE">
      <formula>NOT(ISERROR(SEARCH("TO-BE",C20)))</formula>
    </cfRule>
    <cfRule type="containsText" dxfId="84" priority="53" operator="containsText" text="AS-IS">
      <formula>NOT(ISERROR(SEARCH("AS-IS",C20)))</formula>
    </cfRule>
  </conditionalFormatting>
  <conditionalFormatting sqref="C23:C27 C30:C58">
    <cfRule type="containsText" dxfId="83" priority="156" operator="containsText" text="With out DATs">
      <formula>NOT(ISERROR(SEARCH("With out DATs",C23)))</formula>
    </cfRule>
    <cfRule type="containsText" dxfId="82" priority="158" operator="containsText" text="AS-IS">
      <formula>NOT(ISERROR(SEARCH("AS-IS",C23)))</formula>
    </cfRule>
    <cfRule type="containsText" dxfId="81" priority="157" operator="containsText" text="TO-BE">
      <formula>NOT(ISERROR(SEARCH("TO-BE",C23)))</formula>
    </cfRule>
  </conditionalFormatting>
  <conditionalFormatting sqref="C30:C58 C23:C27">
    <cfRule type="containsText" dxfId="80" priority="155" operator="containsText" text="With DATs">
      <formula>NOT(ISERROR(SEARCH("With DATs",C23)))</formula>
    </cfRule>
  </conditionalFormatting>
  <conditionalFormatting sqref="C30:C58">
    <cfRule type="containsText" dxfId="79" priority="100" operator="containsText" text="Without DATs">
      <formula>NOT(ISERROR(SEARCH("Without DATs",C30)))</formula>
    </cfRule>
  </conditionalFormatting>
  <conditionalFormatting sqref="C41:C50">
    <cfRule type="containsText" dxfId="78" priority="138" operator="containsText" text="With DATs">
      <formula>NOT(ISERROR(SEARCH("With DATs",C41)))</formula>
    </cfRule>
    <cfRule type="containsText" dxfId="77" priority="139" operator="containsText" text="With out DATs">
      <formula>NOT(ISERROR(SEARCH("With out DATs",C41)))</formula>
    </cfRule>
    <cfRule type="containsText" dxfId="76" priority="140" operator="containsText" text="TO-BE">
      <formula>NOT(ISERROR(SEARCH("TO-BE",C41)))</formula>
    </cfRule>
    <cfRule type="containsText" dxfId="75" priority="141" operator="containsText" text="AS-IS">
      <formula>NOT(ISERROR(SEARCH("AS-IS",C41)))</formula>
    </cfRule>
  </conditionalFormatting>
  <conditionalFormatting sqref="C62:C65">
    <cfRule type="containsText" dxfId="74" priority="149" operator="containsText" text="With DATs">
      <formula>NOT(ISERROR(SEARCH("With DATs",C62)))</formula>
    </cfRule>
    <cfRule type="containsText" dxfId="73" priority="150" operator="containsText" text="With out DATs">
      <formula>NOT(ISERROR(SEARCH("With out DATs",C62)))</formula>
    </cfRule>
    <cfRule type="containsText" dxfId="72" priority="151" operator="containsText" text="TO-BE">
      <formula>NOT(ISERROR(SEARCH("TO-BE",C62)))</formula>
    </cfRule>
    <cfRule type="containsText" dxfId="71" priority="152" operator="containsText" text="AS-IS">
      <formula>NOT(ISERROR(SEARCH("AS-IS",C62)))</formula>
    </cfRule>
    <cfRule type="containsText" dxfId="70" priority="153" operator="containsText" text="Without DATs">
      <formula>NOT(ISERROR(SEARCH("Without DATs",C62)))</formula>
    </cfRule>
  </conditionalFormatting>
  <conditionalFormatting sqref="D1">
    <cfRule type="containsText" dxfId="69" priority="71" operator="containsText" text="Without DATs">
      <formula>NOT(ISERROR(SEARCH("Without DATs",D1)))</formula>
    </cfRule>
  </conditionalFormatting>
  <conditionalFormatting sqref="D15">
    <cfRule type="containsText" dxfId="68" priority="62" operator="containsText" text="Without DATs">
      <formula>NOT(ISERROR(SEARCH("Without DATs",D15)))</formula>
    </cfRule>
  </conditionalFormatting>
  <conditionalFormatting sqref="D21">
    <cfRule type="containsText" dxfId="67" priority="47" operator="containsText" text="Without DATs">
      <formula>NOT(ISERROR(SEARCH("Without DATs",D21)))</formula>
    </cfRule>
  </conditionalFormatting>
  <conditionalFormatting sqref="D74:D100">
    <cfRule type="containsText" dxfId="66" priority="25" operator="containsText" text="Without DATs">
      <formula>NOT(ISERROR(SEARCH("Without DATs",D74)))</formula>
    </cfRule>
  </conditionalFormatting>
  <conditionalFormatting sqref="D107:D1048576">
    <cfRule type="containsText" dxfId="65" priority="3" operator="containsText" text="Without DATs">
      <formula>NOT(ISERROR(SEARCH("Without DATs",D107)))</formula>
    </cfRule>
  </conditionalFormatting>
  <conditionalFormatting sqref="F56:L56 M57:M59 K60 G62:G65 I62:I65 K62:K65">
    <cfRule type="containsText" dxfId="64" priority="143" operator="containsText" text="Without DATs">
      <formula>NOT(ISERROR(SEARCH("Without DATs",F56)))</formula>
    </cfRule>
    <cfRule type="containsText" dxfId="63" priority="147" operator="containsText" text="AS-IS">
      <formula>NOT(ISERROR(SEARCH("AS-IS",F56)))</formula>
    </cfRule>
    <cfRule type="containsText" dxfId="62" priority="146" operator="containsText" text="TO-BE">
      <formula>NOT(ISERROR(SEARCH("TO-BE",F56)))</formula>
    </cfRule>
    <cfRule type="containsText" dxfId="61" priority="145" operator="containsText" text="With out DATs">
      <formula>NOT(ISERROR(SEARCH("With out DATs",F56)))</formula>
    </cfRule>
    <cfRule type="containsText" dxfId="60" priority="144" operator="containsText" text="With DATs">
      <formula>NOT(ISERROR(SEARCH("With DATs",F56)))</formula>
    </cfRule>
  </conditionalFormatting>
  <conditionalFormatting sqref="G3 G66:G68">
    <cfRule type="cellIs" dxfId="59" priority="70" operator="greaterThan">
      <formula>0</formula>
    </cfRule>
    <cfRule type="cellIs" dxfId="58" priority="69" operator="lessThan">
      <formula>0</formula>
    </cfRule>
  </conditionalFormatting>
  <conditionalFormatting sqref="G7:G13">
    <cfRule type="cellIs" dxfId="57" priority="23" operator="lessThan">
      <formula>0</formula>
    </cfRule>
    <cfRule type="cellIs" dxfId="56" priority="24" operator="greaterThan">
      <formula>0</formula>
    </cfRule>
  </conditionalFormatting>
  <conditionalFormatting sqref="G17:G19">
    <cfRule type="cellIs" dxfId="55" priority="61" operator="greaterThan">
      <formula>0</formula>
    </cfRule>
    <cfRule type="cellIs" dxfId="54" priority="60" operator="lessThan">
      <formula>0</formula>
    </cfRule>
  </conditionalFormatting>
  <conditionalFormatting sqref="G23:G26">
    <cfRule type="cellIs" dxfId="53" priority="35" operator="greaterThan">
      <formula>0</formula>
    </cfRule>
    <cfRule type="cellIs" dxfId="52" priority="34" operator="lessThan">
      <formula>0</formula>
    </cfRule>
  </conditionalFormatting>
  <conditionalFormatting sqref="G43:G44">
    <cfRule type="cellIs" dxfId="51" priority="14" operator="lessThan">
      <formula>0</formula>
    </cfRule>
    <cfRule type="cellIs" dxfId="50" priority="15" operator="greaterThan">
      <formula>0</formula>
    </cfRule>
  </conditionalFormatting>
  <conditionalFormatting sqref="G61">
    <cfRule type="cellIs" dxfId="49" priority="1" operator="lessThan">
      <formula>0</formula>
    </cfRule>
    <cfRule type="cellIs" dxfId="48" priority="2" operator="greaterThan">
      <formula>0</formula>
    </cfRule>
  </conditionalFormatting>
  <conditionalFormatting sqref="G74:G1048576">
    <cfRule type="cellIs" dxfId="47" priority="27" operator="greaterThan">
      <formula>0</formula>
    </cfRule>
    <cfRule type="cellIs" dxfId="46" priority="26" operator="lessThan">
      <formula>0</formula>
    </cfRule>
  </conditionalFormatting>
  <conditionalFormatting sqref="M28:M29">
    <cfRule type="containsText" dxfId="45" priority="161" operator="containsText" text="Without DATs">
      <formula>NOT(ISERROR(SEARCH("Without DATs",M28)))</formula>
    </cfRule>
    <cfRule type="containsText" dxfId="44" priority="162" operator="containsText" text="With DATs">
      <formula>NOT(ISERROR(SEARCH("With DATs",M28)))</formula>
    </cfRule>
    <cfRule type="containsText" dxfId="43" priority="163" operator="containsText" text="With out DATs">
      <formula>NOT(ISERROR(SEARCH("With out DATs",M28)))</formula>
    </cfRule>
    <cfRule type="containsText" dxfId="42" priority="164" operator="containsText" text="TO-BE">
      <formula>NOT(ISERROR(SEARCH("TO-BE",M28)))</formula>
    </cfRule>
    <cfRule type="containsText" dxfId="41" priority="165" operator="containsText" text="AS-IS">
      <formula>NOT(ISERROR(SEARCH("AS-IS",M28)))</formula>
    </cfRule>
  </conditionalFormatting>
  <conditionalFormatting sqref="M41:M50">
    <cfRule type="containsText" dxfId="40" priority="9" operator="containsText" text="Without DATs">
      <formula>NOT(ISERROR(SEARCH("Without DATs",M41)))</formula>
    </cfRule>
    <cfRule type="containsText" dxfId="39" priority="12" operator="containsText" text="TO-BE">
      <formula>NOT(ISERROR(SEARCH("TO-BE",M41)))</formula>
    </cfRule>
    <cfRule type="containsText" dxfId="38" priority="11" operator="containsText" text="With out DATs">
      <formula>NOT(ISERROR(SEARCH("With out DATs",M41)))</formula>
    </cfRule>
    <cfRule type="containsText" dxfId="37" priority="10" operator="containsText" text="With DATs">
      <formula>NOT(ISERROR(SEARCH("With DATs",M41)))</formula>
    </cfRule>
    <cfRule type="containsText" dxfId="36" priority="13" operator="containsText" text="AS-IS">
      <formula>NOT(ISERROR(SEARCH("AS-IS",M41)))</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E756-0D0A-5B4D-BE42-51D8AB9C73A4}">
  <dimension ref="A1:AD105"/>
  <sheetViews>
    <sheetView zoomScale="95" zoomScaleNormal="110" workbookViewId="0">
      <selection activeCell="A13" sqref="A13"/>
    </sheetView>
  </sheetViews>
  <sheetFormatPr defaultColWidth="11.25" defaultRowHeight="15.75"/>
  <cols>
    <col min="1" max="1" width="21.25" bestFit="1" customWidth="1"/>
    <col min="2" max="2" width="24.25" bestFit="1" customWidth="1"/>
    <col min="3" max="3" width="35.75" bestFit="1" customWidth="1"/>
    <col min="4" max="4" width="18.5" customWidth="1"/>
    <col min="5" max="6" width="13.25" customWidth="1"/>
    <col min="7" max="7" width="28.125" customWidth="1"/>
    <col min="8" max="8" width="15.5" customWidth="1"/>
    <col min="9" max="9" width="13.25" style="22" customWidth="1"/>
    <col min="10" max="10" width="14.25" style="22" customWidth="1"/>
    <col min="11" max="11" width="21.375" style="22" customWidth="1"/>
    <col min="12" max="12" width="18.5" style="22" customWidth="1"/>
    <col min="13" max="13" width="17" customWidth="1"/>
    <col min="14" max="14" width="23.875" customWidth="1"/>
    <col min="15" max="15" width="25.25" customWidth="1"/>
    <col min="16" max="16" width="11.25" style="22"/>
    <col min="19" max="19" width="15.875" customWidth="1"/>
    <col min="20" max="20" width="13.25" bestFit="1" customWidth="1"/>
    <col min="21" max="22" width="13.25" customWidth="1"/>
    <col min="24" max="24" width="20.875" bestFit="1" customWidth="1"/>
    <col min="25" max="25" width="21.25" bestFit="1" customWidth="1"/>
    <col min="28" max="28" width="12.5" customWidth="1"/>
    <col min="29" max="29" width="16.375" bestFit="1" customWidth="1"/>
    <col min="30" max="30" width="16.375" customWidth="1"/>
  </cols>
  <sheetData>
    <row r="1" spans="1:30" ht="16.5" thickBot="1">
      <c r="S1" s="235" t="s">
        <v>794</v>
      </c>
      <c r="T1" s="236"/>
      <c r="U1" s="236"/>
      <c r="V1" s="236"/>
      <c r="W1" s="237"/>
      <c r="X1" s="235" t="s">
        <v>753</v>
      </c>
      <c r="Y1" s="236"/>
      <c r="Z1" s="237"/>
    </row>
    <row r="2" spans="1:30">
      <c r="A2" s="167" t="s">
        <v>679</v>
      </c>
      <c r="B2" s="167" t="s">
        <v>795</v>
      </c>
      <c r="C2" s="167" t="s">
        <v>684</v>
      </c>
      <c r="D2" s="167" t="s">
        <v>685</v>
      </c>
      <c r="E2" s="167" t="s">
        <v>759</v>
      </c>
      <c r="F2" s="168" t="s">
        <v>105</v>
      </c>
      <c r="G2" s="193" t="s">
        <v>791</v>
      </c>
      <c r="H2" s="193" t="s">
        <v>757</v>
      </c>
      <c r="I2" s="190" t="s">
        <v>758</v>
      </c>
      <c r="J2" s="191" t="s">
        <v>723</v>
      </c>
      <c r="K2" s="188" t="s">
        <v>811</v>
      </c>
      <c r="L2" s="183" t="s">
        <v>792</v>
      </c>
      <c r="M2" s="189" t="s">
        <v>783</v>
      </c>
      <c r="N2" s="189" t="s">
        <v>782</v>
      </c>
      <c r="O2" s="187" t="s">
        <v>781</v>
      </c>
      <c r="P2" s="187" t="s">
        <v>724</v>
      </c>
      <c r="Q2" s="187" t="s">
        <v>796</v>
      </c>
      <c r="S2" s="183" t="s">
        <v>751</v>
      </c>
      <c r="T2" s="184" t="s">
        <v>752</v>
      </c>
      <c r="U2" s="184" t="s">
        <v>793</v>
      </c>
      <c r="V2" s="184" t="s">
        <v>724</v>
      </c>
      <c r="W2" s="184" t="s">
        <v>796</v>
      </c>
      <c r="X2" s="184" t="s">
        <v>679</v>
      </c>
      <c r="Y2" s="168" t="s">
        <v>679</v>
      </c>
      <c r="Z2" s="168" t="s">
        <v>725</v>
      </c>
      <c r="AB2" s="93" t="s">
        <v>760</v>
      </c>
      <c r="AC2" s="93" t="s">
        <v>761</v>
      </c>
      <c r="AD2" s="93" t="s">
        <v>762</v>
      </c>
    </row>
    <row r="3" spans="1:30">
      <c r="A3" t="s">
        <v>678</v>
      </c>
      <c r="B3" s="42" t="s">
        <v>682</v>
      </c>
      <c r="C3" s="43" t="s">
        <v>750</v>
      </c>
      <c r="D3" s="45" t="str">
        <f>'Cost-revenue DATS'!D35</f>
        <v>€/ha</v>
      </c>
      <c r="E3" s="169">
        <f>('Cost-revenue DATS'!E36-'Cost-revenue NO DATS'!E36)</f>
        <v>73.170731707317074</v>
      </c>
      <c r="F3" s="22"/>
      <c r="G3" s="22"/>
      <c r="H3" s="22"/>
      <c r="P3" s="22">
        <v>1</v>
      </c>
      <c r="Q3" s="22">
        <v>3</v>
      </c>
      <c r="S3" s="203" t="s">
        <v>435</v>
      </c>
      <c r="T3" s="194">
        <f>IFERROR((VLOOKUP("Sum of costs",C5:G38,5,FALSE)),0)</f>
        <v>-0.81519165074189726</v>
      </c>
      <c r="U3" s="194">
        <f>MIN(MAX(T3,-100),100)</f>
        <v>-0.81519165074189726</v>
      </c>
      <c r="V3" s="197">
        <v>10</v>
      </c>
      <c r="W3" s="197">
        <f t="shared" ref="W3:W9" si="0">IF(T3&gt;0,1,IF(T3=0,2,0))</f>
        <v>0</v>
      </c>
      <c r="X3" s="208" t="s">
        <v>678</v>
      </c>
      <c r="Y3" s="22"/>
      <c r="AB3" s="192">
        <v>1</v>
      </c>
      <c r="AC3" s="91" t="s">
        <v>754</v>
      </c>
      <c r="AD3" s="91" t="s">
        <v>763</v>
      </c>
    </row>
    <row r="4" spans="1:30">
      <c r="A4" t="s">
        <v>678</v>
      </c>
      <c r="B4" s="42" t="s">
        <v>682</v>
      </c>
      <c r="C4" s="43" t="s">
        <v>749</v>
      </c>
      <c r="D4" s="45" t="str">
        <f>'Cost-revenue DATS'!$D$3</f>
        <v>€/ha</v>
      </c>
      <c r="E4" s="169">
        <f>('General Information'!D20+'General Information'!H20+'General Information'!L20)/(IF('General Information'!D6="crop",'Parcel 1 with DATSs'!E10,IF('General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4" s="22"/>
      <c r="G4" s="22"/>
      <c r="H4" s="22"/>
      <c r="P4" s="22">
        <v>1</v>
      </c>
      <c r="Q4" s="22">
        <v>3</v>
      </c>
      <c r="S4" s="204" t="s">
        <v>282</v>
      </c>
      <c r="T4" s="195">
        <f t="shared" ref="T4:T9" si="1">IFERROR(AVERAGEIFS(G$5:G$99,B$5:B$99,S4,L$5:L$99,1),0)</f>
        <v>36.538461538461561</v>
      </c>
      <c r="U4" s="195">
        <f t="shared" ref="U4:U9" si="2">MIN(MAX(T4,-100),100)</f>
        <v>36.538461538461561</v>
      </c>
      <c r="V4" s="198">
        <v>12</v>
      </c>
      <c r="W4" s="198">
        <f t="shared" si="0"/>
        <v>1</v>
      </c>
      <c r="X4" s="209" t="s">
        <v>678</v>
      </c>
      <c r="Y4" s="206" t="s">
        <v>678</v>
      </c>
      <c r="Z4" s="202">
        <f>AVERAGEIF(X3:X9,Y4,T3:T9)</f>
        <v>17.861634943859833</v>
      </c>
      <c r="AB4" s="192">
        <v>0</v>
      </c>
      <c r="AC4" s="91" t="s">
        <v>755</v>
      </c>
      <c r="AD4" s="91" t="s">
        <v>764</v>
      </c>
    </row>
    <row r="5" spans="1:30">
      <c r="A5" t="s">
        <v>678</v>
      </c>
      <c r="B5" s="45" t="s">
        <v>435</v>
      </c>
      <c r="C5" s="43" t="s">
        <v>141</v>
      </c>
      <c r="D5" s="45" t="str">
        <f>'Cost-revenue DATS'!$D$3</f>
        <v>€/ha</v>
      </c>
      <c r="E5" s="169">
        <f>'Cost-revenue DATS'!E3-'Cost-revenue NO DATS'!E3</f>
        <v>0</v>
      </c>
      <c r="F5" s="169" t="e">
        <f>E5*100/'Cost-revenue NO DATS'!E3</f>
        <v>#DIV/0!</v>
      </c>
      <c r="G5" s="169" t="e">
        <f t="shared" ref="G5:G38" si="3">IF(H5=1,F5,F5*(-1))</f>
        <v>#DIV/0!</v>
      </c>
      <c r="H5" s="169">
        <v>0</v>
      </c>
      <c r="I5" s="22">
        <v>1</v>
      </c>
      <c r="P5" s="22">
        <v>2</v>
      </c>
      <c r="Q5" s="22">
        <f>IFERROR(IF(IF(H5=1,E5,-E5)&gt;0,1,IF(IF(H5=1,E5,-E5)&lt;0,0,2)),"")</f>
        <v>2</v>
      </c>
      <c r="S5" s="204" t="s">
        <v>0</v>
      </c>
      <c r="T5" s="195">
        <f t="shared" si="1"/>
        <v>64.140582097748478</v>
      </c>
      <c r="U5" s="195">
        <f t="shared" si="2"/>
        <v>64.140582097748478</v>
      </c>
      <c r="V5" s="198">
        <v>2</v>
      </c>
      <c r="W5" s="198">
        <f t="shared" si="0"/>
        <v>1</v>
      </c>
      <c r="X5" s="210" t="s">
        <v>680</v>
      </c>
      <c r="Y5" s="22"/>
      <c r="Z5" s="200"/>
      <c r="AB5" s="192">
        <v>2</v>
      </c>
      <c r="AC5" s="91" t="s">
        <v>756</v>
      </c>
      <c r="AD5" s="91" t="s">
        <v>765</v>
      </c>
    </row>
    <row r="6" spans="1:30">
      <c r="A6" t="s">
        <v>678</v>
      </c>
      <c r="B6" s="45" t="s">
        <v>435</v>
      </c>
      <c r="C6" s="43" t="s">
        <v>144</v>
      </c>
      <c r="D6" s="45" t="str">
        <f>'Cost-revenue DATS'!$D$3</f>
        <v>€/ha</v>
      </c>
      <c r="E6" s="169">
        <f>'Cost-revenue DATS'!E4-'Cost-revenue NO DATS'!E4</f>
        <v>0</v>
      </c>
      <c r="F6" s="169" t="e">
        <f>E6*100/'Cost-revenue NO DATS'!E4</f>
        <v>#DIV/0!</v>
      </c>
      <c r="G6" s="169" t="e">
        <f t="shared" si="3"/>
        <v>#DIV/0!</v>
      </c>
      <c r="H6" s="169">
        <v>0</v>
      </c>
      <c r="I6" s="22">
        <v>1</v>
      </c>
      <c r="M6" s="170"/>
      <c r="N6" s="170"/>
      <c r="P6" s="22">
        <v>3</v>
      </c>
      <c r="Q6" s="22">
        <f t="shared" ref="Q6:Q70" si="4">IFERROR(IF(IF(H6=1,E6,-E6)&gt;0,1,IF(IF(H6=1,E6,-E6)&lt;0,0,2)),"")</f>
        <v>2</v>
      </c>
      <c r="S6" s="204" t="s">
        <v>687</v>
      </c>
      <c r="T6" s="195">
        <f t="shared" si="1"/>
        <v>0</v>
      </c>
      <c r="U6" s="195">
        <f t="shared" si="2"/>
        <v>0</v>
      </c>
      <c r="V6" s="198">
        <v>6</v>
      </c>
      <c r="W6" s="198">
        <f t="shared" si="0"/>
        <v>2</v>
      </c>
      <c r="X6" s="210" t="s">
        <v>680</v>
      </c>
      <c r="Y6" s="207" t="s">
        <v>680</v>
      </c>
      <c r="Z6" s="202">
        <f>AVERAGEIF(X3:X9,Y6,T3:T9)</f>
        <v>16.035145524437119</v>
      </c>
      <c r="AB6" s="192">
        <v>3</v>
      </c>
      <c r="AC6" s="91" t="s">
        <v>766</v>
      </c>
      <c r="AD6" s="91" t="s">
        <v>767</v>
      </c>
    </row>
    <row r="7" spans="1:30">
      <c r="A7" t="s">
        <v>678</v>
      </c>
      <c r="B7" s="45" t="s">
        <v>435</v>
      </c>
      <c r="C7" s="43" t="s">
        <v>161</v>
      </c>
      <c r="D7" s="45" t="str">
        <f>'Cost-revenue DATS'!$D$3</f>
        <v>€/ha</v>
      </c>
      <c r="E7" s="169">
        <f>'Cost-revenue DATS'!E5-'Cost-revenue NO DATS'!E5</f>
        <v>0</v>
      </c>
      <c r="F7" s="169">
        <f>E7*100/'Cost-revenue NO DATS'!E5</f>
        <v>0</v>
      </c>
      <c r="G7" s="169">
        <f t="shared" si="3"/>
        <v>0</v>
      </c>
      <c r="H7" s="169">
        <v>0</v>
      </c>
      <c r="I7" s="22">
        <v>1</v>
      </c>
      <c r="P7" s="22">
        <v>4</v>
      </c>
      <c r="Q7" s="22">
        <f t="shared" si="4"/>
        <v>2</v>
      </c>
      <c r="S7" s="204" t="s">
        <v>688</v>
      </c>
      <c r="T7" s="195">
        <f t="shared" si="1"/>
        <v>0</v>
      </c>
      <c r="U7" s="195">
        <f t="shared" si="2"/>
        <v>0</v>
      </c>
      <c r="V7" s="198">
        <v>4</v>
      </c>
      <c r="W7" s="198">
        <f t="shared" si="0"/>
        <v>2</v>
      </c>
      <c r="X7" s="210" t="s">
        <v>680</v>
      </c>
      <c r="Y7" s="22"/>
      <c r="Z7" s="200"/>
    </row>
    <row r="8" spans="1:30">
      <c r="A8" t="s">
        <v>678</v>
      </c>
      <c r="B8" s="45" t="s">
        <v>435</v>
      </c>
      <c r="C8" s="43" t="s">
        <v>747</v>
      </c>
      <c r="D8" s="45" t="str">
        <f>'Cost-revenue DATS'!$D$3</f>
        <v>€/ha</v>
      </c>
      <c r="E8" s="169">
        <f>'Cost-revenue DATS'!E6-'Cost-revenue NO DATS'!E6</f>
        <v>0</v>
      </c>
      <c r="F8" s="169" t="e">
        <f>E8*100/'Cost-revenue NO DATS'!E6</f>
        <v>#DIV/0!</v>
      </c>
      <c r="G8" s="169" t="e">
        <f t="shared" si="3"/>
        <v>#DIV/0!</v>
      </c>
      <c r="H8" s="169">
        <v>0</v>
      </c>
      <c r="O8" s="182"/>
      <c r="P8" s="22">
        <v>5</v>
      </c>
      <c r="Q8" s="22">
        <f t="shared" si="4"/>
        <v>2</v>
      </c>
      <c r="S8" s="204" t="s">
        <v>689</v>
      </c>
      <c r="T8" s="195">
        <f t="shared" si="1"/>
        <v>0</v>
      </c>
      <c r="U8" s="195">
        <f t="shared" si="2"/>
        <v>0</v>
      </c>
      <c r="V8" s="198">
        <v>13</v>
      </c>
      <c r="W8" s="198">
        <f t="shared" si="0"/>
        <v>2</v>
      </c>
      <c r="X8" s="210" t="s">
        <v>680</v>
      </c>
      <c r="Y8" s="206" t="s">
        <v>681</v>
      </c>
      <c r="Z8" s="202">
        <f>AVERAGEIF(X3:X9,Y8,T3:T9)</f>
        <v>-9.9999999999999893</v>
      </c>
    </row>
    <row r="9" spans="1:30">
      <c r="A9" t="s">
        <v>678</v>
      </c>
      <c r="B9" s="45" t="s">
        <v>435</v>
      </c>
      <c r="C9" s="43" t="s">
        <v>180</v>
      </c>
      <c r="D9" s="45" t="str">
        <f>'Cost-revenue DATS'!$D$3</f>
        <v>€/ha</v>
      </c>
      <c r="E9" s="169">
        <f>'Cost-revenue DATS'!E7-'Cost-revenue NO DATS'!E7</f>
        <v>0</v>
      </c>
      <c r="F9" s="169">
        <f>E9*100/'Cost-revenue NO DATS'!E7</f>
        <v>0</v>
      </c>
      <c r="G9" s="169">
        <f t="shared" si="3"/>
        <v>0</v>
      </c>
      <c r="H9" s="169">
        <v>0</v>
      </c>
      <c r="O9" s="182"/>
      <c r="P9" s="22">
        <v>6</v>
      </c>
      <c r="Q9" s="22">
        <f t="shared" si="4"/>
        <v>2</v>
      </c>
      <c r="S9" s="205" t="s">
        <v>193</v>
      </c>
      <c r="T9" s="196">
        <f t="shared" si="1"/>
        <v>-9.9999999999999893</v>
      </c>
      <c r="U9" s="196">
        <f t="shared" si="2"/>
        <v>-9.9999999999999893</v>
      </c>
      <c r="V9" s="199">
        <v>9</v>
      </c>
      <c r="W9" s="199">
        <f t="shared" si="0"/>
        <v>0</v>
      </c>
      <c r="X9" s="211" t="s">
        <v>681</v>
      </c>
      <c r="Y9" s="201"/>
      <c r="Z9" s="200"/>
    </row>
    <row r="10" spans="1:30">
      <c r="A10" t="s">
        <v>678</v>
      </c>
      <c r="B10" s="45" t="s">
        <v>435</v>
      </c>
      <c r="C10" s="43" t="s">
        <v>218</v>
      </c>
      <c r="D10" s="45" t="str">
        <f>'Cost-revenue DATS'!$D$3</f>
        <v>€/ha</v>
      </c>
      <c r="E10" s="169">
        <f>'Cost-revenue DATS'!E8-'Cost-revenue NO DATS'!E8</f>
        <v>0</v>
      </c>
      <c r="F10" s="169" t="e">
        <f>E10*100/'Cost-revenue NO DATS'!E8</f>
        <v>#DIV/0!</v>
      </c>
      <c r="G10" s="169" t="e">
        <f t="shared" si="3"/>
        <v>#DIV/0!</v>
      </c>
      <c r="H10" s="169">
        <v>0</v>
      </c>
      <c r="O10" s="182"/>
      <c r="P10" s="22">
        <v>7</v>
      </c>
      <c r="Q10" s="22">
        <f t="shared" si="4"/>
        <v>2</v>
      </c>
    </row>
    <row r="11" spans="1:30">
      <c r="A11" t="s">
        <v>678</v>
      </c>
      <c r="B11" s="45" t="s">
        <v>435</v>
      </c>
      <c r="C11" s="43" t="s">
        <v>219</v>
      </c>
      <c r="D11" s="45" t="str">
        <f>'Cost-revenue DATS'!$D$3</f>
        <v>€/ha</v>
      </c>
      <c r="E11" s="169">
        <f>'Cost-revenue DATS'!E9-'Cost-revenue NO DATS'!E9</f>
        <v>0</v>
      </c>
      <c r="F11" s="169" t="e">
        <f>E11*100/'Cost-revenue NO DATS'!E9</f>
        <v>#DIV/0!</v>
      </c>
      <c r="G11" s="169" t="e">
        <f t="shared" si="3"/>
        <v>#DIV/0!</v>
      </c>
      <c r="H11" s="169">
        <v>0</v>
      </c>
      <c r="O11" s="182"/>
      <c r="P11" s="22">
        <v>8</v>
      </c>
      <c r="Q11" s="22">
        <f t="shared" si="4"/>
        <v>2</v>
      </c>
    </row>
    <row r="12" spans="1:30">
      <c r="A12" t="s">
        <v>678</v>
      </c>
      <c r="B12" s="45" t="s">
        <v>435</v>
      </c>
      <c r="C12" s="43" t="s">
        <v>696</v>
      </c>
      <c r="D12" s="45" t="str">
        <f>'Cost-revenue DATS'!$D$3</f>
        <v>€/ha</v>
      </c>
      <c r="E12" s="169">
        <f>'Cost-revenue DATS'!E10-'Cost-revenue NO DATS'!E10</f>
        <v>12.195121951219505</v>
      </c>
      <c r="F12" s="169">
        <f>E12*100/'Cost-revenue NO DATS'!E10</f>
        <v>9.9999999999999929</v>
      </c>
      <c r="G12" s="169">
        <f t="shared" si="3"/>
        <v>-9.9999999999999929</v>
      </c>
      <c r="H12" s="169">
        <v>0</v>
      </c>
      <c r="I12" s="22">
        <v>1</v>
      </c>
      <c r="J12" s="22">
        <v>1</v>
      </c>
      <c r="K12" s="22">
        <v>1</v>
      </c>
      <c r="L12" s="22">
        <v>1</v>
      </c>
      <c r="M12" t="s">
        <v>805</v>
      </c>
      <c r="N12" t="s">
        <v>807</v>
      </c>
      <c r="O12" t="s">
        <v>806</v>
      </c>
      <c r="P12" s="22">
        <v>9</v>
      </c>
      <c r="Q12" s="22">
        <f t="shared" si="4"/>
        <v>0</v>
      </c>
    </row>
    <row r="13" spans="1:30">
      <c r="A13" t="s">
        <v>678</v>
      </c>
      <c r="B13" s="45" t="s">
        <v>435</v>
      </c>
      <c r="C13" s="43" t="s">
        <v>697</v>
      </c>
      <c r="D13" s="45" t="str">
        <f>'Cost-revenue DATS'!$D$3</f>
        <v>€/ha</v>
      </c>
      <c r="E13" s="169">
        <f>'Cost-revenue DATS'!E11-'Cost-revenue NO DATS'!E11</f>
        <v>0</v>
      </c>
      <c r="F13" s="169" t="e">
        <f>E13*100/'Cost-revenue NO DATS'!E11</f>
        <v>#DIV/0!</v>
      </c>
      <c r="G13" s="169" t="e">
        <f t="shared" si="3"/>
        <v>#DIV/0!</v>
      </c>
      <c r="H13" s="169">
        <v>0</v>
      </c>
      <c r="O13" s="182"/>
      <c r="P13" s="22">
        <v>9</v>
      </c>
      <c r="Q13" s="22">
        <f t="shared" si="4"/>
        <v>2</v>
      </c>
    </row>
    <row r="14" spans="1:30">
      <c r="A14" t="s">
        <v>678</v>
      </c>
      <c r="B14" s="45" t="s">
        <v>435</v>
      </c>
      <c r="C14" s="43" t="s">
        <v>698</v>
      </c>
      <c r="D14" s="45" t="str">
        <f>'Cost-revenue DATS'!$D$3</f>
        <v>€/ha</v>
      </c>
      <c r="E14" s="169">
        <f>'Cost-revenue DATS'!E12-'Cost-revenue NO DATS'!E12</f>
        <v>0</v>
      </c>
      <c r="F14" s="169" t="e">
        <f>E14*100/'Cost-revenue NO DATS'!E12</f>
        <v>#DIV/0!</v>
      </c>
      <c r="G14" s="169" t="e">
        <f t="shared" si="3"/>
        <v>#DIV/0!</v>
      </c>
      <c r="H14" s="169">
        <v>0</v>
      </c>
      <c r="O14" s="182"/>
      <c r="P14" s="22">
        <v>9</v>
      </c>
      <c r="Q14" s="22">
        <f>IFERROR(IF(IF(H14=1,E14,-E14)&gt;0,1,IF(IF(H14=1,E14,-E14)&lt;0,0,2)),"")</f>
        <v>2</v>
      </c>
    </row>
    <row r="15" spans="1:30">
      <c r="A15" t="s">
        <v>678</v>
      </c>
      <c r="B15" s="45" t="s">
        <v>435</v>
      </c>
      <c r="C15" s="43" t="s">
        <v>699</v>
      </c>
      <c r="D15" s="45" t="str">
        <f>'Cost-revenue DATS'!$D$3</f>
        <v>€/ha</v>
      </c>
      <c r="E15" s="169">
        <f>'Cost-revenue DATS'!E13-'Cost-revenue NO DATS'!E13</f>
        <v>0</v>
      </c>
      <c r="F15" s="169" t="e">
        <f>E15*100/'Cost-revenue NO DATS'!E13</f>
        <v>#DIV/0!</v>
      </c>
      <c r="G15" s="169" t="e">
        <f t="shared" si="3"/>
        <v>#DIV/0!</v>
      </c>
      <c r="H15" s="169">
        <v>0</v>
      </c>
      <c r="O15" s="182"/>
      <c r="P15" s="22">
        <v>9</v>
      </c>
      <c r="Q15" s="22">
        <f t="shared" si="4"/>
        <v>2</v>
      </c>
    </row>
    <row r="16" spans="1:30">
      <c r="A16" t="s">
        <v>678</v>
      </c>
      <c r="B16" s="45" t="s">
        <v>435</v>
      </c>
      <c r="C16" s="43" t="s">
        <v>700</v>
      </c>
      <c r="D16" s="45" t="str">
        <f>'Cost-revenue DATS'!$D$3</f>
        <v>€/ha</v>
      </c>
      <c r="E16" s="169">
        <f>'Cost-revenue DATS'!E14-'Cost-revenue NO DATS'!E14</f>
        <v>0</v>
      </c>
      <c r="F16" s="169" t="e">
        <f>E16*100/'Cost-revenue NO DATS'!E14</f>
        <v>#DIV/0!</v>
      </c>
      <c r="G16" s="169" t="e">
        <f t="shared" si="3"/>
        <v>#DIV/0!</v>
      </c>
      <c r="H16" s="169">
        <v>0</v>
      </c>
      <c r="O16" s="182"/>
      <c r="P16" s="22">
        <v>9</v>
      </c>
      <c r="Q16" s="22">
        <f t="shared" si="4"/>
        <v>2</v>
      </c>
    </row>
    <row r="17" spans="1:26">
      <c r="A17" t="s">
        <v>678</v>
      </c>
      <c r="B17" s="45" t="s">
        <v>435</v>
      </c>
      <c r="C17" s="43" t="s">
        <v>701</v>
      </c>
      <c r="D17" s="45" t="str">
        <f>'Cost-revenue DATS'!$D$3</f>
        <v>€/ha</v>
      </c>
      <c r="E17" s="169">
        <f>'Cost-revenue DATS'!E15-'Cost-revenue NO DATS'!E15</f>
        <v>0</v>
      </c>
      <c r="F17" s="169" t="e">
        <f>E17*100/'Cost-revenue NO DATS'!E15</f>
        <v>#DIV/0!</v>
      </c>
      <c r="G17" s="169" t="e">
        <f t="shared" si="3"/>
        <v>#DIV/0!</v>
      </c>
      <c r="H17" s="169">
        <v>0</v>
      </c>
      <c r="I17" s="22">
        <v>1</v>
      </c>
      <c r="P17" s="22">
        <v>9</v>
      </c>
      <c r="Q17" s="22">
        <f t="shared" si="4"/>
        <v>2</v>
      </c>
      <c r="S17" s="181"/>
      <c r="T17" s="181"/>
      <c r="U17" s="181"/>
      <c r="V17" s="181"/>
      <c r="W17" s="181"/>
      <c r="X17" s="181"/>
      <c r="Y17" s="181"/>
      <c r="Z17" s="1"/>
    </row>
    <row r="18" spans="1:26">
      <c r="A18" t="s">
        <v>678</v>
      </c>
      <c r="B18" s="45" t="s">
        <v>435</v>
      </c>
      <c r="C18" s="43" t="s">
        <v>702</v>
      </c>
      <c r="D18" s="45" t="str">
        <f>'Cost-revenue DATS'!$D$3</f>
        <v>€/ha</v>
      </c>
      <c r="E18" s="169">
        <f>'Cost-revenue DATS'!E16-'Cost-revenue NO DATS'!E16</f>
        <v>0</v>
      </c>
      <c r="F18" s="169" t="e">
        <f>E18*100/'Cost-revenue NO DATS'!E16</f>
        <v>#DIV/0!</v>
      </c>
      <c r="G18" s="169" t="e">
        <f t="shared" si="3"/>
        <v>#DIV/0!</v>
      </c>
      <c r="H18" s="169">
        <v>0</v>
      </c>
      <c r="P18" s="22">
        <v>9</v>
      </c>
      <c r="Q18" s="22">
        <f t="shared" si="4"/>
        <v>2</v>
      </c>
      <c r="R18" s="182"/>
      <c r="S18" s="8"/>
      <c r="T18" s="181"/>
      <c r="U18" s="181"/>
      <c r="V18" s="181"/>
      <c r="W18" s="181"/>
      <c r="X18" s="181"/>
      <c r="Y18" s="181"/>
      <c r="Z18" s="1"/>
    </row>
    <row r="19" spans="1:26">
      <c r="A19" t="s">
        <v>678</v>
      </c>
      <c r="B19" s="45" t="s">
        <v>435</v>
      </c>
      <c r="C19" s="43" t="s">
        <v>703</v>
      </c>
      <c r="D19" s="45" t="str">
        <f>'Cost-revenue DATS'!$D$3</f>
        <v>€/ha</v>
      </c>
      <c r="E19" s="169" t="e">
        <f>'Cost-revenue DATS'!E17-'Cost-revenue NO DATS'!E17</f>
        <v>#DIV/0!</v>
      </c>
      <c r="F19" s="169" t="e">
        <f>E19*100/'Cost-revenue NO DATS'!E17</f>
        <v>#DIV/0!</v>
      </c>
      <c r="G19" s="169" t="e">
        <f t="shared" si="3"/>
        <v>#DIV/0!</v>
      </c>
      <c r="H19" s="169">
        <v>0</v>
      </c>
      <c r="O19" s="182"/>
      <c r="P19" s="22">
        <v>9</v>
      </c>
      <c r="Q19" s="22" t="str">
        <f t="shared" si="4"/>
        <v/>
      </c>
      <c r="S19" s="8"/>
      <c r="T19" s="181"/>
      <c r="U19" s="181"/>
      <c r="V19" s="181"/>
      <c r="W19" s="181"/>
      <c r="X19" s="181"/>
      <c r="Y19" s="181"/>
    </row>
    <row r="20" spans="1:26">
      <c r="A20" t="s">
        <v>678</v>
      </c>
      <c r="B20" s="45" t="s">
        <v>435</v>
      </c>
      <c r="C20" s="43" t="s">
        <v>704</v>
      </c>
      <c r="D20" s="45" t="str">
        <f>'Cost-revenue DATS'!$D$3</f>
        <v>€/ha</v>
      </c>
      <c r="E20" s="169">
        <f>'Cost-revenue DATS'!E18-'Cost-revenue NO DATS'!E18</f>
        <v>0</v>
      </c>
      <c r="F20" s="169" t="e">
        <f>E20*100/'Cost-revenue NO DATS'!E18</f>
        <v>#DIV/0!</v>
      </c>
      <c r="G20" s="169" t="e">
        <f t="shared" si="3"/>
        <v>#DIV/0!</v>
      </c>
      <c r="H20" s="169">
        <v>0</v>
      </c>
      <c r="O20" s="182"/>
      <c r="P20" s="22">
        <v>9</v>
      </c>
      <c r="Q20" s="22">
        <f t="shared" si="4"/>
        <v>2</v>
      </c>
      <c r="S20" s="181"/>
      <c r="T20" s="181"/>
      <c r="U20" s="181"/>
      <c r="V20" s="181"/>
      <c r="W20" s="181"/>
      <c r="X20" s="181"/>
      <c r="Y20" s="181"/>
      <c r="Z20" s="22"/>
    </row>
    <row r="21" spans="1:26">
      <c r="A21" t="s">
        <v>678</v>
      </c>
      <c r="B21" s="45" t="s">
        <v>435</v>
      </c>
      <c r="C21" s="43" t="s">
        <v>705</v>
      </c>
      <c r="D21" s="45" t="str">
        <f>'Cost-revenue DATS'!$D$3</f>
        <v>€/ha</v>
      </c>
      <c r="E21" s="169">
        <f>'Cost-revenue DATS'!E19-'Cost-revenue NO DATS'!E19</f>
        <v>0</v>
      </c>
      <c r="F21" s="169" t="e">
        <f>E21*100/'Cost-revenue NO DATS'!E19</f>
        <v>#DIV/0!</v>
      </c>
      <c r="G21" s="169" t="e">
        <f t="shared" si="3"/>
        <v>#DIV/0!</v>
      </c>
      <c r="H21" s="169">
        <v>0</v>
      </c>
      <c r="O21" s="182"/>
      <c r="P21" s="22">
        <v>9</v>
      </c>
      <c r="Q21" s="22">
        <f t="shared" si="4"/>
        <v>2</v>
      </c>
      <c r="S21" s="8"/>
      <c r="T21" s="181"/>
      <c r="U21" s="181"/>
      <c r="V21" s="181"/>
      <c r="W21" s="181"/>
      <c r="X21" s="181"/>
      <c r="Y21" s="181"/>
      <c r="Z21" s="22"/>
    </row>
    <row r="22" spans="1:26">
      <c r="A22" t="s">
        <v>678</v>
      </c>
      <c r="B22" s="45" t="s">
        <v>435</v>
      </c>
      <c r="C22" s="43" t="s">
        <v>706</v>
      </c>
      <c r="D22" s="45" t="str">
        <f>'Cost-revenue DATS'!$D$3</f>
        <v>€/ha</v>
      </c>
      <c r="E22" s="169">
        <f>'Cost-revenue DATS'!E20-'Cost-revenue NO DATS'!E20</f>
        <v>0</v>
      </c>
      <c r="F22" s="169" t="e">
        <f>E22*100/'Cost-revenue NO DATS'!E20</f>
        <v>#DIV/0!</v>
      </c>
      <c r="G22" s="169" t="e">
        <f t="shared" si="3"/>
        <v>#DIV/0!</v>
      </c>
      <c r="H22" s="169">
        <v>0</v>
      </c>
      <c r="O22" s="182"/>
      <c r="P22" s="22">
        <v>9</v>
      </c>
      <c r="Q22" s="22">
        <f>IFERROR(IF(IF(H22=1,E22,-E22)&gt;0,1,IF(IF(H22=1,E22,-E22)&lt;0,0,2)),"")</f>
        <v>2</v>
      </c>
      <c r="S22" s="8"/>
      <c r="T22" s="181"/>
      <c r="U22" s="181"/>
      <c r="V22" s="181"/>
      <c r="W22" s="181"/>
      <c r="X22" s="181"/>
      <c r="Y22" s="181"/>
      <c r="Z22" s="22"/>
    </row>
    <row r="23" spans="1:26">
      <c r="A23" t="s">
        <v>678</v>
      </c>
      <c r="B23" s="45" t="s">
        <v>435</v>
      </c>
      <c r="C23" s="43" t="s">
        <v>707</v>
      </c>
      <c r="D23" s="45" t="str">
        <f>'Cost-revenue DATS'!$D$3</f>
        <v>€/ha</v>
      </c>
      <c r="E23" s="169">
        <f>'Cost-revenue DATS'!E21-'Cost-revenue NO DATS'!E21</f>
        <v>0</v>
      </c>
      <c r="F23" s="169" t="e">
        <f>E23*100/'Cost-revenue NO DATS'!E21</f>
        <v>#DIV/0!</v>
      </c>
      <c r="G23" s="169" t="e">
        <f t="shared" si="3"/>
        <v>#DIV/0!</v>
      </c>
      <c r="H23" s="169">
        <v>0</v>
      </c>
      <c r="O23" s="182"/>
      <c r="P23" s="22">
        <v>9</v>
      </c>
      <c r="Q23" s="22">
        <f t="shared" si="4"/>
        <v>2</v>
      </c>
      <c r="S23" s="8"/>
      <c r="T23" s="181"/>
      <c r="U23" s="181"/>
      <c r="V23" s="181"/>
      <c r="W23" s="181"/>
      <c r="X23" s="181"/>
      <c r="Y23" s="181"/>
    </row>
    <row r="24" spans="1:26">
      <c r="A24" t="s">
        <v>678</v>
      </c>
      <c r="B24" s="45" t="s">
        <v>435</v>
      </c>
      <c r="C24" s="43" t="s">
        <v>708</v>
      </c>
      <c r="D24" s="45" t="str">
        <f>'Cost-revenue DATS'!$D$3</f>
        <v>€/ha</v>
      </c>
      <c r="E24" s="169">
        <f>'Cost-revenue DATS'!E22-'Cost-revenue NO DATS'!E22</f>
        <v>0</v>
      </c>
      <c r="F24" s="169" t="e">
        <f>E24*100/'Cost-revenue NO DATS'!E22</f>
        <v>#DIV/0!</v>
      </c>
      <c r="G24" s="169" t="e">
        <f t="shared" si="3"/>
        <v>#DIV/0!</v>
      </c>
      <c r="H24" s="169">
        <v>0</v>
      </c>
      <c r="O24" s="182"/>
      <c r="P24" s="22">
        <v>9</v>
      </c>
      <c r="Q24" s="22">
        <f t="shared" si="4"/>
        <v>2</v>
      </c>
      <c r="S24" s="181"/>
      <c r="T24" s="181"/>
      <c r="U24" s="181"/>
      <c r="V24" s="181"/>
      <c r="W24" s="181"/>
      <c r="X24" s="181"/>
      <c r="Y24" s="181"/>
      <c r="Z24" s="22"/>
    </row>
    <row r="25" spans="1:26">
      <c r="A25" t="s">
        <v>678</v>
      </c>
      <c r="B25" s="45" t="s">
        <v>435</v>
      </c>
      <c r="C25" s="43" t="s">
        <v>709</v>
      </c>
      <c r="D25" s="45" t="str">
        <f>'Cost-revenue DATS'!$D$3</f>
        <v>€/ha</v>
      </c>
      <c r="E25" s="169">
        <f>'Cost-revenue DATS'!E23-'Cost-revenue NO DATS'!E23</f>
        <v>0</v>
      </c>
      <c r="F25" s="169" t="e">
        <f>E25*100/'Cost-revenue NO DATS'!E23</f>
        <v>#DIV/0!</v>
      </c>
      <c r="G25" s="169" t="e">
        <f t="shared" si="3"/>
        <v>#DIV/0!</v>
      </c>
      <c r="H25" s="169">
        <v>0</v>
      </c>
      <c r="O25" s="182"/>
      <c r="P25" s="22">
        <v>9</v>
      </c>
      <c r="Q25" s="22">
        <f t="shared" si="4"/>
        <v>2</v>
      </c>
      <c r="S25" s="8"/>
      <c r="T25" s="181"/>
      <c r="U25" s="181"/>
      <c r="V25" s="181"/>
      <c r="W25" s="181"/>
      <c r="X25" s="181"/>
      <c r="Y25" s="181"/>
      <c r="Z25" s="22"/>
    </row>
    <row r="26" spans="1:26">
      <c r="A26" t="s">
        <v>678</v>
      </c>
      <c r="B26" s="45" t="s">
        <v>435</v>
      </c>
      <c r="C26" s="43" t="s">
        <v>710</v>
      </c>
      <c r="D26" s="45" t="str">
        <f>'Cost-revenue DATS'!$D$3</f>
        <v>€/ha</v>
      </c>
      <c r="E26" s="169">
        <f>'Cost-revenue DATS'!E24-'Cost-revenue NO DATS'!E24</f>
        <v>0</v>
      </c>
      <c r="F26" s="169" t="e">
        <f>E26*100/'Cost-revenue NO DATS'!E24</f>
        <v>#DIV/0!</v>
      </c>
      <c r="G26" s="169" t="e">
        <f t="shared" si="3"/>
        <v>#DIV/0!</v>
      </c>
      <c r="H26" s="169">
        <v>0</v>
      </c>
      <c r="J26" s="169"/>
      <c r="O26" s="182"/>
      <c r="P26" s="22">
        <v>9</v>
      </c>
      <c r="Q26" s="22">
        <f t="shared" si="4"/>
        <v>2</v>
      </c>
      <c r="S26" s="8"/>
      <c r="T26" s="181"/>
      <c r="U26" s="181"/>
      <c r="V26" s="181"/>
      <c r="W26" s="181"/>
      <c r="X26" s="181"/>
      <c r="Y26" s="181"/>
    </row>
    <row r="27" spans="1:26">
      <c r="A27" t="s">
        <v>678</v>
      </c>
      <c r="B27" s="45" t="s">
        <v>435</v>
      </c>
      <c r="C27" s="43" t="s">
        <v>714</v>
      </c>
      <c r="D27" s="45" t="str">
        <f>'Cost-revenue DATS'!$D$3</f>
        <v>€/ha</v>
      </c>
      <c r="E27" s="169">
        <f>'Cost-revenue DATS'!E25-'Cost-revenue NO DATS'!E25</f>
        <v>0</v>
      </c>
      <c r="F27" s="169" t="e">
        <f>E27*100/'Cost-revenue NO DATS'!E25</f>
        <v>#DIV/0!</v>
      </c>
      <c r="G27" s="169" t="e">
        <f t="shared" si="3"/>
        <v>#DIV/0!</v>
      </c>
      <c r="H27" s="169">
        <v>0</v>
      </c>
      <c r="O27" s="182"/>
      <c r="P27" s="22">
        <v>9</v>
      </c>
      <c r="Q27" s="22">
        <f t="shared" si="4"/>
        <v>2</v>
      </c>
      <c r="S27" s="181"/>
      <c r="T27" s="181"/>
      <c r="U27" s="181"/>
      <c r="V27" s="181"/>
      <c r="W27" s="181"/>
      <c r="X27" s="181"/>
      <c r="Y27" s="181"/>
      <c r="Z27" s="22"/>
    </row>
    <row r="28" spans="1:26">
      <c r="A28" t="s">
        <v>678</v>
      </c>
      <c r="B28" s="45" t="s">
        <v>435</v>
      </c>
      <c r="C28" s="43" t="s">
        <v>719</v>
      </c>
      <c r="D28" s="45" t="str">
        <f>'Cost-revenue DATS'!$D$3</f>
        <v>€/ha</v>
      </c>
      <c r="E28" s="169">
        <f>'Cost-revenue DATS'!E26-'Cost-revenue NO DATS'!E26</f>
        <v>0</v>
      </c>
      <c r="F28" s="169" t="e">
        <f>E28*100/'Cost-revenue NO DATS'!E26</f>
        <v>#DIV/0!</v>
      </c>
      <c r="G28" s="169" t="e">
        <f t="shared" si="3"/>
        <v>#DIV/0!</v>
      </c>
      <c r="H28" s="169">
        <v>0</v>
      </c>
      <c r="P28" s="22">
        <v>9</v>
      </c>
      <c r="Q28" s="22">
        <f t="shared" si="4"/>
        <v>2</v>
      </c>
      <c r="T28" s="181"/>
      <c r="U28" s="181"/>
      <c r="V28" s="181"/>
      <c r="W28" s="181"/>
      <c r="X28" s="181"/>
      <c r="Y28" s="181"/>
      <c r="Z28" s="22"/>
    </row>
    <row r="29" spans="1:26">
      <c r="A29" t="s">
        <v>678</v>
      </c>
      <c r="B29" s="45" t="s">
        <v>435</v>
      </c>
      <c r="C29" s="43" t="s">
        <v>715</v>
      </c>
      <c r="D29" s="45" t="str">
        <f>'Cost-revenue DATS'!$D$3</f>
        <v>€/ha</v>
      </c>
      <c r="E29" s="169">
        <f>'Cost-revenue DATS'!E27-'Cost-revenue NO DATS'!E27</f>
        <v>0</v>
      </c>
      <c r="F29" s="169" t="e">
        <f>E29*100/'Cost-revenue NO DATS'!E27</f>
        <v>#DIV/0!</v>
      </c>
      <c r="G29" s="169" t="e">
        <f t="shared" si="3"/>
        <v>#DIV/0!</v>
      </c>
      <c r="H29" s="169">
        <v>0</v>
      </c>
      <c r="P29" s="22">
        <v>9</v>
      </c>
      <c r="Q29" s="22">
        <f t="shared" si="4"/>
        <v>2</v>
      </c>
      <c r="S29" s="181"/>
      <c r="T29" s="181"/>
      <c r="U29" s="181"/>
      <c r="V29" s="181"/>
      <c r="W29" s="181"/>
      <c r="X29" s="181"/>
      <c r="Y29" s="181"/>
    </row>
    <row r="30" spans="1:26">
      <c r="A30" t="s">
        <v>678</v>
      </c>
      <c r="B30" s="45" t="s">
        <v>435</v>
      </c>
      <c r="C30" s="43" t="s">
        <v>716</v>
      </c>
      <c r="D30" s="45" t="str">
        <f>'Cost-revenue DATS'!$D$3</f>
        <v>€/ha</v>
      </c>
      <c r="E30" s="169">
        <f>'Cost-revenue DATS'!E28-'Cost-revenue NO DATS'!E28</f>
        <v>0</v>
      </c>
      <c r="F30" s="169" t="e">
        <f>E30*100/'Cost-revenue NO DATS'!E28</f>
        <v>#DIV/0!</v>
      </c>
      <c r="G30" s="169" t="e">
        <f t="shared" si="3"/>
        <v>#DIV/0!</v>
      </c>
      <c r="H30" s="169">
        <v>0</v>
      </c>
      <c r="P30" s="22">
        <v>9</v>
      </c>
      <c r="Q30" s="22">
        <f t="shared" si="4"/>
        <v>2</v>
      </c>
      <c r="S30" s="181"/>
      <c r="T30" s="181"/>
      <c r="U30" s="181"/>
      <c r="V30" s="181"/>
      <c r="W30" s="181"/>
      <c r="X30" s="181"/>
      <c r="Y30" s="181"/>
    </row>
    <row r="31" spans="1:26">
      <c r="A31" t="s">
        <v>678</v>
      </c>
      <c r="B31" s="45" t="s">
        <v>435</v>
      </c>
      <c r="C31" s="43" t="s">
        <v>717</v>
      </c>
      <c r="D31" s="45" t="s">
        <v>348</v>
      </c>
      <c r="E31" s="169" t="e">
        <f>'Cost-revenue DATS'!E29-'Cost-revenue NO DATS'!E29</f>
        <v>#DIV/0!</v>
      </c>
      <c r="F31" s="169" t="e">
        <f>E31*100/'Cost-revenue NO DATS'!E29</f>
        <v>#DIV/0!</v>
      </c>
      <c r="G31" s="169" t="e">
        <f t="shared" si="3"/>
        <v>#DIV/0!</v>
      </c>
      <c r="H31" s="169">
        <v>0</v>
      </c>
      <c r="P31" s="22">
        <v>9</v>
      </c>
      <c r="Q31" s="22" t="str">
        <f>IFERROR(IF(IF(H31=1,E31,-E31)&gt;0,1,IF(IF(H31=1,E31,-E31)&lt;0,0,2)),"")</f>
        <v/>
      </c>
      <c r="S31" s="181"/>
      <c r="T31" s="181"/>
      <c r="U31" s="181"/>
      <c r="V31" s="181"/>
      <c r="W31" s="181"/>
      <c r="X31" s="181"/>
      <c r="Y31" s="181"/>
    </row>
    <row r="32" spans="1:26">
      <c r="A32" t="s">
        <v>678</v>
      </c>
      <c r="B32" s="45" t="s">
        <v>435</v>
      </c>
      <c r="C32" s="43" t="s">
        <v>718</v>
      </c>
      <c r="D32" s="45" t="s">
        <v>349</v>
      </c>
      <c r="E32" s="169" t="e">
        <f>'Cost-revenue DATS'!E30-'Cost-revenue NO DATS'!E30</f>
        <v>#DIV/0!</v>
      </c>
      <c r="F32" s="169" t="e">
        <f>E32*100/'Cost-revenue NO DATS'!E30</f>
        <v>#DIV/0!</v>
      </c>
      <c r="G32" s="169" t="e">
        <f t="shared" si="3"/>
        <v>#DIV/0!</v>
      </c>
      <c r="H32" s="169">
        <v>0</v>
      </c>
      <c r="P32" s="22">
        <v>9</v>
      </c>
      <c r="Q32" s="22" t="str">
        <f t="shared" si="4"/>
        <v/>
      </c>
      <c r="S32" s="181"/>
      <c r="T32" s="181"/>
      <c r="U32" s="181"/>
      <c r="V32" s="181"/>
      <c r="W32" s="181"/>
      <c r="X32" s="181"/>
      <c r="Y32" s="181"/>
    </row>
    <row r="33" spans="1:25">
      <c r="A33" t="s">
        <v>678</v>
      </c>
      <c r="B33" s="45" t="s">
        <v>435</v>
      </c>
      <c r="C33" s="43" t="s">
        <v>713</v>
      </c>
      <c r="D33" s="45" t="s">
        <v>349</v>
      </c>
      <c r="E33" s="169" t="e">
        <f>'Cost-revenue DATS'!E31-'Cost-revenue NO DATS'!E31</f>
        <v>#DIV/0!</v>
      </c>
      <c r="F33" s="169" t="e">
        <f>E33*100/'Cost-revenue NO DATS'!E31</f>
        <v>#DIV/0!</v>
      </c>
      <c r="G33" s="169" t="e">
        <f t="shared" si="3"/>
        <v>#DIV/0!</v>
      </c>
      <c r="H33" s="169">
        <v>0</v>
      </c>
      <c r="P33" s="22">
        <v>9</v>
      </c>
      <c r="Q33" s="22" t="str">
        <f t="shared" si="4"/>
        <v/>
      </c>
      <c r="S33" s="181"/>
      <c r="T33" s="181"/>
      <c r="U33" s="181"/>
      <c r="V33" s="181"/>
      <c r="W33" s="181"/>
      <c r="X33" s="181"/>
      <c r="Y33" s="181"/>
    </row>
    <row r="34" spans="1:25">
      <c r="A34" t="s">
        <v>678</v>
      </c>
      <c r="B34" s="45" t="s">
        <v>435</v>
      </c>
      <c r="C34" s="43" t="s">
        <v>712</v>
      </c>
      <c r="D34" s="45" t="str">
        <f>'Cost-revenue DATS'!$D$3</f>
        <v>€/ha</v>
      </c>
      <c r="E34" s="169">
        <f>'Cost-revenue DATS'!E32-'Cost-revenue NO DATS'!E32</f>
        <v>0</v>
      </c>
      <c r="F34" s="169" t="e">
        <f>E34*100/'Cost-revenue NO DATS'!E32</f>
        <v>#DIV/0!</v>
      </c>
      <c r="G34" s="169" t="e">
        <f t="shared" si="3"/>
        <v>#DIV/0!</v>
      </c>
      <c r="H34" s="169">
        <v>0</v>
      </c>
      <c r="P34" s="22">
        <v>9</v>
      </c>
      <c r="Q34" s="22">
        <f t="shared" si="4"/>
        <v>2</v>
      </c>
      <c r="S34" s="181"/>
      <c r="T34" s="181"/>
      <c r="U34" s="181"/>
      <c r="V34" s="181"/>
      <c r="W34" s="181"/>
      <c r="X34" s="181"/>
      <c r="Y34" s="181"/>
    </row>
    <row r="35" spans="1:25">
      <c r="A35" t="s">
        <v>678</v>
      </c>
      <c r="B35" s="45" t="s">
        <v>435</v>
      </c>
      <c r="C35" s="43" t="s">
        <v>711</v>
      </c>
      <c r="D35" s="45" t="str">
        <f>'Cost-revenue DATS'!$D$3</f>
        <v>€/ha</v>
      </c>
      <c r="E35" s="169">
        <f>'Cost-revenue DATS'!E33-'Cost-revenue NO DATS'!E33</f>
        <v>0</v>
      </c>
      <c r="F35" s="169" t="e">
        <f>E35*100/'Cost-revenue NO DATS'!E33</f>
        <v>#DIV/0!</v>
      </c>
      <c r="G35" s="169" t="e">
        <f t="shared" si="3"/>
        <v>#DIV/0!</v>
      </c>
      <c r="H35" s="169">
        <v>0</v>
      </c>
      <c r="P35" s="22">
        <v>9</v>
      </c>
      <c r="Q35" s="22">
        <f t="shared" si="4"/>
        <v>2</v>
      </c>
      <c r="S35" s="181"/>
      <c r="T35" s="181"/>
      <c r="U35" s="181"/>
      <c r="V35" s="181"/>
      <c r="W35" s="181"/>
      <c r="X35" s="181"/>
      <c r="Y35" s="181"/>
    </row>
    <row r="36" spans="1:25">
      <c r="A36" t="s">
        <v>678</v>
      </c>
      <c r="B36" s="45" t="s">
        <v>435</v>
      </c>
      <c r="C36" s="43" t="s">
        <v>720</v>
      </c>
      <c r="D36" s="45" t="str">
        <f>'Cost-revenue DATS'!$D$3</f>
        <v>€/ha</v>
      </c>
      <c r="E36" s="169">
        <f>'Cost-revenue DATS'!E34-'Cost-revenue NO DATS'!E34</f>
        <v>0</v>
      </c>
      <c r="F36" s="169" t="e">
        <f>E36*100/'Cost-revenue NO DATS'!E34</f>
        <v>#DIV/0!</v>
      </c>
      <c r="G36" s="169" t="e">
        <f t="shared" si="3"/>
        <v>#DIV/0!</v>
      </c>
      <c r="H36" s="169">
        <v>0</v>
      </c>
      <c r="I36" s="22">
        <v>1</v>
      </c>
      <c r="P36" s="22">
        <v>9</v>
      </c>
      <c r="Q36" s="22">
        <f t="shared" si="4"/>
        <v>2</v>
      </c>
      <c r="S36" s="181"/>
      <c r="T36" s="181"/>
      <c r="U36" s="181"/>
      <c r="V36" s="181"/>
      <c r="W36" s="181"/>
      <c r="X36" s="181"/>
      <c r="Y36" s="181"/>
    </row>
    <row r="37" spans="1:25">
      <c r="A37" t="s">
        <v>678</v>
      </c>
      <c r="B37" s="178" t="s">
        <v>435</v>
      </c>
      <c r="C37" s="173" t="s">
        <v>683</v>
      </c>
      <c r="D37" s="178" t="str">
        <f>'Cost-revenue DATS'!D35</f>
        <v>€/ha</v>
      </c>
      <c r="E37" s="179">
        <f>SUMIF(I12:I36,1,E12:E36)</f>
        <v>12.195121951219505</v>
      </c>
      <c r="F37" s="179">
        <f>E37*100/'Cost-revenue NO DATS'!E35</f>
        <v>0.81519165074189726</v>
      </c>
      <c r="G37" s="169">
        <f t="shared" si="3"/>
        <v>-0.81519165074189726</v>
      </c>
      <c r="H37" s="169">
        <v>0</v>
      </c>
      <c r="I37" s="22">
        <v>1</v>
      </c>
      <c r="Q37" s="22">
        <f t="shared" si="4"/>
        <v>0</v>
      </c>
      <c r="S37" s="181"/>
      <c r="T37" s="181"/>
      <c r="U37" s="181"/>
      <c r="V37" s="181"/>
      <c r="W37" s="181"/>
      <c r="X37" s="181"/>
      <c r="Y37" s="181"/>
    </row>
    <row r="38" spans="1:25">
      <c r="A38" t="s">
        <v>678</v>
      </c>
      <c r="B38" s="178" t="s">
        <v>435</v>
      </c>
      <c r="C38" s="173" t="s">
        <v>434</v>
      </c>
      <c r="D38" s="178" t="str">
        <f>'Cost-revenue DATS'!D36</f>
        <v>€/ha</v>
      </c>
      <c r="E38" s="179">
        <f>SUMIF(I5:I36,1,E5:E36)</f>
        <v>12.195121951219505</v>
      </c>
      <c r="F38" s="179">
        <f>E38*100/'Cost-revenue NO DATS'!E35</f>
        <v>0.81519165074189726</v>
      </c>
      <c r="G38" s="169">
        <f t="shared" si="3"/>
        <v>-0.81519165074189726</v>
      </c>
      <c r="H38" s="169">
        <v>0</v>
      </c>
      <c r="I38" s="22">
        <v>1</v>
      </c>
      <c r="L38" s="22">
        <v>1</v>
      </c>
      <c r="P38" s="22">
        <v>10</v>
      </c>
      <c r="Q38" s="22">
        <f t="shared" si="4"/>
        <v>0</v>
      </c>
      <c r="S38" s="181"/>
      <c r="T38" s="181"/>
      <c r="U38" s="181"/>
      <c r="V38" s="181"/>
      <c r="W38" s="181"/>
      <c r="X38" s="181"/>
      <c r="Y38" s="181"/>
    </row>
    <row r="39" spans="1:25">
      <c r="A39" t="s">
        <v>678</v>
      </c>
      <c r="B39" s="172" t="s">
        <v>116</v>
      </c>
      <c r="C39" s="173" t="s">
        <v>597</v>
      </c>
      <c r="D39" s="45" t="str">
        <f>'Cost-revenue DATS'!$D$3</f>
        <v>€/ha</v>
      </c>
      <c r="E39" s="169">
        <f>'Cost-revenue DATS'!E41-'Cost-revenue NO DATS'!E41</f>
        <v>3230.0000000000018</v>
      </c>
      <c r="F39" s="169">
        <f>E39*100/'Cost-revenue NO DATS'!E41</f>
        <v>36.538461538461561</v>
      </c>
      <c r="G39" s="169">
        <f t="shared" ref="G39:G44" si="5">IF(H39=1,F39,F39*(-1))</f>
        <v>36.538461538461561</v>
      </c>
      <c r="H39" s="169">
        <v>1</v>
      </c>
      <c r="I39" s="22">
        <v>1</v>
      </c>
      <c r="J39" s="22">
        <v>1</v>
      </c>
      <c r="K39" s="22">
        <v>1</v>
      </c>
      <c r="L39" s="22">
        <v>1</v>
      </c>
      <c r="M39" t="s">
        <v>727</v>
      </c>
      <c r="N39" t="s">
        <v>728</v>
      </c>
      <c r="O39" t="s">
        <v>808</v>
      </c>
      <c r="P39" s="22">
        <v>10</v>
      </c>
      <c r="Q39" s="22">
        <f t="shared" si="4"/>
        <v>1</v>
      </c>
      <c r="S39" s="181"/>
      <c r="T39" s="181"/>
      <c r="U39" s="181"/>
      <c r="V39" s="181"/>
      <c r="W39" s="181"/>
      <c r="X39" s="181"/>
      <c r="Y39" s="181"/>
    </row>
    <row r="40" spans="1:25">
      <c r="A40" t="s">
        <v>678</v>
      </c>
      <c r="B40" s="172" t="s">
        <v>116</v>
      </c>
      <c r="C40" s="173" t="s">
        <v>598</v>
      </c>
      <c r="D40" s="45" t="str">
        <f>'Cost-revenue DATS'!$D$3</f>
        <v>€/ha</v>
      </c>
      <c r="E40" s="22">
        <f>'Cost-revenue DATS'!E42-'Cost-revenue NO DATS'!E42</f>
        <v>0</v>
      </c>
      <c r="F40" s="169" t="e">
        <f>E40*100/'Cost-revenue NO DATS'!E42</f>
        <v>#DIV/0!</v>
      </c>
      <c r="G40" s="169" t="e">
        <f t="shared" si="5"/>
        <v>#DIV/0!</v>
      </c>
      <c r="H40" s="169">
        <v>1</v>
      </c>
      <c r="P40" s="22">
        <v>10</v>
      </c>
      <c r="Q40" s="22">
        <f t="shared" si="4"/>
        <v>2</v>
      </c>
      <c r="S40" s="181"/>
      <c r="T40" s="181"/>
      <c r="U40" s="181"/>
      <c r="V40" s="181"/>
      <c r="W40" s="181"/>
      <c r="X40" s="181"/>
      <c r="Y40" s="181"/>
    </row>
    <row r="41" spans="1:25">
      <c r="A41" t="s">
        <v>678</v>
      </c>
      <c r="B41" s="172" t="s">
        <v>116</v>
      </c>
      <c r="C41" s="173" t="s">
        <v>599</v>
      </c>
      <c r="D41" s="45" t="str">
        <f>'Cost-revenue DATS'!$D$3</f>
        <v>€/ha</v>
      </c>
      <c r="E41" s="22">
        <f>'Cost-revenue DATS'!E43-'Cost-revenue NO DATS'!E43</f>
        <v>0</v>
      </c>
      <c r="F41" s="169" t="e">
        <f>E41*100/'Cost-revenue NO DATS'!E43</f>
        <v>#DIV/0!</v>
      </c>
      <c r="G41" s="169" t="e">
        <f t="shared" si="5"/>
        <v>#DIV/0!</v>
      </c>
      <c r="H41" s="169">
        <v>1</v>
      </c>
      <c r="P41" s="22">
        <v>10</v>
      </c>
      <c r="Q41" s="22">
        <f t="shared" si="4"/>
        <v>2</v>
      </c>
      <c r="S41" s="181"/>
      <c r="T41" s="181"/>
      <c r="U41" s="181"/>
      <c r="V41" s="181"/>
      <c r="W41" s="181"/>
      <c r="X41" s="181"/>
      <c r="Y41" s="181"/>
    </row>
    <row r="42" spans="1:25">
      <c r="A42" t="s">
        <v>678</v>
      </c>
      <c r="B42" s="172" t="s">
        <v>116</v>
      </c>
      <c r="C42" s="173" t="s">
        <v>600</v>
      </c>
      <c r="D42" s="45" t="str">
        <f>'Cost-revenue DATS'!$D$3</f>
        <v>€/ha</v>
      </c>
      <c r="E42" s="22" t="e">
        <f>'Cost-revenue DATS'!E44-'Cost-revenue NO DATS'!E44</f>
        <v>#DIV/0!</v>
      </c>
      <c r="F42" s="169" t="e">
        <f>E42*100/'Cost-revenue NO DATS'!E44</f>
        <v>#DIV/0!</v>
      </c>
      <c r="G42" s="169" t="e">
        <f t="shared" si="5"/>
        <v>#DIV/0!</v>
      </c>
      <c r="H42" s="169">
        <v>1</v>
      </c>
      <c r="P42" s="22">
        <v>10</v>
      </c>
      <c r="Q42" s="22" t="str">
        <f t="shared" si="4"/>
        <v/>
      </c>
      <c r="S42" s="181"/>
      <c r="T42" s="181"/>
      <c r="U42" s="181"/>
      <c r="V42" s="181"/>
      <c r="W42" s="181"/>
      <c r="X42" s="181"/>
      <c r="Y42" s="181"/>
    </row>
    <row r="43" spans="1:25">
      <c r="A43" t="s">
        <v>678</v>
      </c>
      <c r="B43" s="172" t="s">
        <v>116</v>
      </c>
      <c r="C43" s="173" t="s">
        <v>601</v>
      </c>
      <c r="D43" s="45" t="str">
        <f>'Cost-revenue DATS'!$D$3</f>
        <v>€/ha</v>
      </c>
      <c r="E43" s="22" t="e">
        <f>'Cost-revenue DATS'!E45-'Cost-revenue NO DATS'!E45</f>
        <v>#DIV/0!</v>
      </c>
      <c r="F43" s="169" t="e">
        <f>E43*100/'Cost-revenue NO DATS'!E45</f>
        <v>#DIV/0!</v>
      </c>
      <c r="G43" s="169" t="e">
        <f t="shared" si="5"/>
        <v>#DIV/0!</v>
      </c>
      <c r="H43" s="169">
        <v>1</v>
      </c>
      <c r="P43" s="22">
        <v>10</v>
      </c>
      <c r="Q43" s="22" t="str">
        <f t="shared" si="4"/>
        <v/>
      </c>
      <c r="S43" s="181"/>
      <c r="T43" s="181"/>
      <c r="U43" s="181"/>
      <c r="V43" s="181"/>
      <c r="W43" s="181"/>
      <c r="X43" s="181"/>
      <c r="Y43" s="181"/>
    </row>
    <row r="44" spans="1:25">
      <c r="A44" t="s">
        <v>678</v>
      </c>
      <c r="B44" s="172" t="s">
        <v>116</v>
      </c>
      <c r="C44" s="173" t="s">
        <v>768</v>
      </c>
      <c r="D44" s="45" t="str">
        <f>'Cost-revenue DATS'!$D$3</f>
        <v>€/ha</v>
      </c>
      <c r="E44" s="22">
        <f>'Cost-revenue DATS'!E46-'Cost-revenue NO DATS'!E46</f>
        <v>0</v>
      </c>
      <c r="F44" s="169" t="e">
        <f>E44*100/'Cost-revenue NO DATS'!E46</f>
        <v>#DIV/0!</v>
      </c>
      <c r="G44" s="169" t="e">
        <f t="shared" si="5"/>
        <v>#DIV/0!</v>
      </c>
      <c r="H44" s="169">
        <v>1</v>
      </c>
      <c r="P44" s="22">
        <v>10</v>
      </c>
      <c r="Q44" s="22">
        <f t="shared" si="4"/>
        <v>2</v>
      </c>
      <c r="S44" s="181"/>
      <c r="T44" s="181"/>
      <c r="U44" s="181"/>
      <c r="V44" s="181"/>
      <c r="W44" s="181"/>
      <c r="X44" s="181"/>
      <c r="Y44" s="181"/>
    </row>
    <row r="45" spans="1:25">
      <c r="A45" t="s">
        <v>678</v>
      </c>
      <c r="B45" s="174" t="s">
        <v>686</v>
      </c>
      <c r="C45" s="174" t="s">
        <v>433</v>
      </c>
      <c r="D45" s="174" t="str">
        <f>D38</f>
        <v>€/ha</v>
      </c>
      <c r="E45" s="179">
        <f>IF(I39=1,E39-E38,-E38)</f>
        <v>3217.8048780487825</v>
      </c>
      <c r="F45" s="22"/>
      <c r="G45" s="169"/>
      <c r="H45" s="169">
        <v>1</v>
      </c>
      <c r="Q45" s="22">
        <f t="shared" si="4"/>
        <v>1</v>
      </c>
      <c r="S45" s="181"/>
      <c r="T45" s="181"/>
      <c r="U45" s="181"/>
      <c r="V45" s="181"/>
      <c r="W45" s="181"/>
      <c r="X45" s="181"/>
      <c r="Y45" s="181"/>
    </row>
    <row r="46" spans="1:25">
      <c r="A46" t="s">
        <v>678</v>
      </c>
      <c r="B46" s="174" t="s">
        <v>686</v>
      </c>
      <c r="C46" s="174" t="s">
        <v>436</v>
      </c>
      <c r="D46" s="174" t="str">
        <f>D45</f>
        <v>€/ha</v>
      </c>
      <c r="E46" s="179">
        <f>E45-E3</f>
        <v>3144.6341463414656</v>
      </c>
      <c r="F46" s="22"/>
      <c r="G46" s="169"/>
      <c r="H46" s="169">
        <v>1</v>
      </c>
      <c r="I46" s="22">
        <v>1</v>
      </c>
      <c r="J46" s="22">
        <v>1</v>
      </c>
      <c r="K46" s="22">
        <v>1</v>
      </c>
      <c r="M46" t="s">
        <v>436</v>
      </c>
      <c r="N46" t="s">
        <v>728</v>
      </c>
      <c r="O46" t="s">
        <v>809</v>
      </c>
      <c r="P46" s="22">
        <v>10</v>
      </c>
      <c r="Q46" s="22">
        <f t="shared" si="4"/>
        <v>1</v>
      </c>
      <c r="R46">
        <v>1</v>
      </c>
      <c r="S46" s="181"/>
      <c r="T46" s="181"/>
      <c r="U46" s="181"/>
      <c r="V46" s="181"/>
      <c r="W46" s="181"/>
      <c r="X46" s="181"/>
      <c r="Y46" s="181"/>
    </row>
    <row r="47" spans="1:25">
      <c r="A47" t="s">
        <v>678</v>
      </c>
      <c r="B47" s="174" t="s">
        <v>686</v>
      </c>
      <c r="C47" s="174" t="s">
        <v>437</v>
      </c>
      <c r="D47" s="174" t="s">
        <v>780</v>
      </c>
      <c r="E47" s="212">
        <f>E4/E46</f>
        <v>0</v>
      </c>
      <c r="F47" s="22"/>
      <c r="G47" s="169"/>
      <c r="H47" s="169"/>
      <c r="I47" s="22">
        <v>1</v>
      </c>
      <c r="J47" s="22">
        <v>1</v>
      </c>
      <c r="M47" t="s">
        <v>814</v>
      </c>
      <c r="N47" t="s">
        <v>815</v>
      </c>
      <c r="P47" s="22">
        <v>11</v>
      </c>
      <c r="Q47" s="22">
        <v>2</v>
      </c>
      <c r="S47" s="181"/>
      <c r="T47" s="181"/>
      <c r="U47" s="181"/>
      <c r="V47" s="181"/>
      <c r="W47" s="181"/>
      <c r="X47" s="181"/>
      <c r="Y47" s="181"/>
    </row>
    <row r="48" spans="1:25">
      <c r="A48" t="s">
        <v>678</v>
      </c>
      <c r="B48" s="174" t="s">
        <v>686</v>
      </c>
      <c r="C48" s="174" t="s">
        <v>438</v>
      </c>
      <c r="D48" s="174" t="str">
        <f>D46</f>
        <v>€/ha</v>
      </c>
      <c r="E48" s="212"/>
      <c r="F48" s="22"/>
      <c r="Q48" s="22">
        <v>2</v>
      </c>
      <c r="S48" s="181"/>
      <c r="T48" s="181"/>
      <c r="U48" s="181"/>
      <c r="V48" s="181"/>
      <c r="W48" s="181"/>
      <c r="X48" s="181"/>
      <c r="Y48" s="181"/>
    </row>
    <row r="49" spans="1:25">
      <c r="A49" t="s">
        <v>678</v>
      </c>
      <c r="B49" s="174" t="s">
        <v>686</v>
      </c>
      <c r="C49" s="174" t="s">
        <v>439</v>
      </c>
      <c r="D49" s="174" t="str">
        <f>D48</f>
        <v>€/ha</v>
      </c>
      <c r="E49" s="212"/>
      <c r="F49" s="22"/>
      <c r="Q49" s="22">
        <v>2</v>
      </c>
      <c r="S49" s="181"/>
      <c r="T49" s="181"/>
      <c r="U49" s="181"/>
      <c r="V49" s="181"/>
      <c r="W49" s="181"/>
      <c r="X49" s="181"/>
      <c r="Y49" s="181"/>
    </row>
    <row r="50" spans="1:25">
      <c r="A50" t="s">
        <v>678</v>
      </c>
      <c r="B50" s="42" t="s">
        <v>282</v>
      </c>
      <c r="C50" s="43" t="s">
        <v>307</v>
      </c>
      <c r="D50" s="45" t="s">
        <v>316</v>
      </c>
      <c r="E50" s="169">
        <f>'sust. impact KPIs DATS'!E3-'sust. impact KPIs NO DATS'!E3</f>
        <v>19.000000000000014</v>
      </c>
      <c r="F50" s="171">
        <f>E50*100/'sust. impact KPIs NO DATS'!E3</f>
        <v>36.538461538461561</v>
      </c>
      <c r="G50" s="171">
        <f t="shared" ref="G50:G59" si="6">IF(H50=1,F50,F50*(-1))</f>
        <v>36.538461538461561</v>
      </c>
      <c r="H50" s="169">
        <v>1</v>
      </c>
      <c r="I50" s="22">
        <v>1</v>
      </c>
      <c r="J50" s="22">
        <v>1</v>
      </c>
      <c r="L50" s="22">
        <v>1</v>
      </c>
      <c r="M50" t="s">
        <v>810</v>
      </c>
      <c r="N50" t="s">
        <v>812</v>
      </c>
      <c r="Q50" s="22">
        <f t="shared" si="4"/>
        <v>1</v>
      </c>
      <c r="S50" s="181"/>
      <c r="T50" s="181"/>
      <c r="U50" s="181"/>
      <c r="V50" s="181"/>
      <c r="W50" s="181"/>
      <c r="X50" s="181"/>
      <c r="Y50" s="181"/>
    </row>
    <row r="51" spans="1:25">
      <c r="A51" t="s">
        <v>678</v>
      </c>
      <c r="B51" s="42" t="s">
        <v>282</v>
      </c>
      <c r="C51" s="43" t="s">
        <v>399</v>
      </c>
      <c r="D51" s="45" t="str">
        <f>'sust. impact KPIs DATS'!D4</f>
        <v>t / h</v>
      </c>
      <c r="E51" s="171">
        <f>'sust. impact KPIs DATS'!E4-'sust. impact KPIs NO DATS'!E4</f>
        <v>5.1436363636363645</v>
      </c>
      <c r="F51" s="171">
        <f>E51*100/'sust. impact KPIs NO DATS'!E4</f>
        <v>24.12587412587413</v>
      </c>
      <c r="G51" s="171">
        <f t="shared" si="6"/>
        <v>24.12587412587413</v>
      </c>
      <c r="H51" s="169">
        <v>1</v>
      </c>
      <c r="Q51" s="22">
        <f t="shared" si="4"/>
        <v>1</v>
      </c>
      <c r="S51" s="181"/>
      <c r="T51" s="181"/>
      <c r="U51" s="181"/>
      <c r="V51" s="181"/>
      <c r="W51" s="181"/>
      <c r="X51" s="181"/>
      <c r="Y51" s="181"/>
    </row>
    <row r="52" spans="1:25">
      <c r="A52" t="s">
        <v>678</v>
      </c>
      <c r="B52" s="42" t="s">
        <v>282</v>
      </c>
      <c r="C52" s="43" t="s">
        <v>400</v>
      </c>
      <c r="D52" s="45" t="str">
        <f>'sust. impact KPIs DATS'!D5</f>
        <v>l milk/h</v>
      </c>
      <c r="E52" s="22">
        <f>'sust. impact KPIs DATS'!E5-'sust. impact KPIs NO DATS'!E5</f>
        <v>0</v>
      </c>
      <c r="F52" s="22" t="e">
        <f>E52*100/'sust. impact KPIs NO DATS'!E5</f>
        <v>#DIV/0!</v>
      </c>
      <c r="G52" s="171" t="e">
        <f t="shared" si="6"/>
        <v>#DIV/0!</v>
      </c>
      <c r="H52" s="169">
        <v>1</v>
      </c>
      <c r="Q52" s="22">
        <f t="shared" si="4"/>
        <v>2</v>
      </c>
      <c r="S52" s="181"/>
      <c r="T52" s="181"/>
      <c r="U52" s="181"/>
      <c r="V52" s="181"/>
      <c r="W52" s="181"/>
      <c r="X52" s="181"/>
      <c r="Y52" s="181"/>
    </row>
    <row r="53" spans="1:25">
      <c r="A53" t="s">
        <v>678</v>
      </c>
      <c r="B53" s="42" t="s">
        <v>282</v>
      </c>
      <c r="C53" s="43" t="s">
        <v>401</v>
      </c>
      <c r="D53" s="45" t="str">
        <f>'sust. impact KPIs DATS'!D6</f>
        <v>kg meat/h</v>
      </c>
      <c r="E53" s="22">
        <f>'sust. impact KPIs DATS'!E6-'sust. impact KPIs NO DATS'!E6</f>
        <v>0</v>
      </c>
      <c r="F53" s="22" t="e">
        <f>E53*100/'sust. impact KPIs NO DATS'!E6</f>
        <v>#DIV/0!</v>
      </c>
      <c r="G53" s="171" t="e">
        <f t="shared" si="6"/>
        <v>#DIV/0!</v>
      </c>
      <c r="H53" s="169">
        <v>1</v>
      </c>
      <c r="Q53" s="22">
        <f t="shared" si="4"/>
        <v>2</v>
      </c>
      <c r="S53" s="181"/>
      <c r="T53" s="181"/>
      <c r="U53" s="181"/>
      <c r="V53" s="181"/>
      <c r="W53" s="181"/>
      <c r="X53" s="181"/>
      <c r="Y53" s="181"/>
    </row>
    <row r="54" spans="1:25">
      <c r="A54" t="s">
        <v>678</v>
      </c>
      <c r="B54" s="42" t="s">
        <v>282</v>
      </c>
      <c r="C54" s="43" t="s">
        <v>402</v>
      </c>
      <c r="D54" s="45" t="str">
        <f>'sust. impact KPIs DATS'!D7</f>
        <v>pieces/h</v>
      </c>
      <c r="E54" s="22">
        <f>'sust. impact KPIs DATS'!E7-'sust. impact KPIs NO DATS'!E7</f>
        <v>0</v>
      </c>
      <c r="F54" s="22" t="e">
        <f>E54*100/'sust. impact KPIs NO DATS'!E7</f>
        <v>#DIV/0!</v>
      </c>
      <c r="G54" s="171" t="e">
        <f t="shared" si="6"/>
        <v>#DIV/0!</v>
      </c>
      <c r="H54" s="169">
        <v>1</v>
      </c>
      <c r="Q54" s="22">
        <f t="shared" si="4"/>
        <v>2</v>
      </c>
      <c r="S54" s="181"/>
      <c r="T54" s="181"/>
      <c r="U54" s="181"/>
      <c r="V54" s="181"/>
      <c r="W54" s="181"/>
      <c r="X54" s="181"/>
      <c r="Y54" s="181"/>
    </row>
    <row r="55" spans="1:25">
      <c r="A55" t="s">
        <v>678</v>
      </c>
      <c r="B55" s="42" t="s">
        <v>282</v>
      </c>
      <c r="C55" s="43" t="s">
        <v>403</v>
      </c>
      <c r="D55" s="45" t="str">
        <f>'sust. impact KPIs DATS'!D8</f>
        <v>kg honey/h</v>
      </c>
      <c r="E55" s="22">
        <f>'sust. impact KPIs DATS'!E8-'sust. impact KPIs NO DATS'!E8</f>
        <v>0</v>
      </c>
      <c r="F55" s="22" t="e">
        <f>E55*100/'sust. impact KPIs NO DATS'!E8</f>
        <v>#DIV/0!</v>
      </c>
      <c r="G55" s="171" t="e">
        <f t="shared" si="6"/>
        <v>#DIV/0!</v>
      </c>
      <c r="H55" s="169">
        <v>1</v>
      </c>
      <c r="Q55" s="22">
        <f t="shared" si="4"/>
        <v>2</v>
      </c>
      <c r="S55" s="181"/>
      <c r="T55" s="181"/>
      <c r="U55" s="181"/>
      <c r="V55" s="181"/>
      <c r="W55" s="181"/>
      <c r="X55" s="181"/>
      <c r="Y55" s="181"/>
    </row>
    <row r="56" spans="1:25">
      <c r="A56" t="s">
        <v>678</v>
      </c>
      <c r="B56" s="42" t="s">
        <v>282</v>
      </c>
      <c r="C56" s="43" t="s">
        <v>309</v>
      </c>
      <c r="D56" s="45" t="s">
        <v>787</v>
      </c>
      <c r="E56" s="22" t="e">
        <f>'sust. impact KPIs DATS'!E10-'sust. impact KPIs NO DATS'!E10</f>
        <v>#DIV/0!</v>
      </c>
      <c r="F56" s="22" t="e">
        <f>E56*100/'sust. impact KPIs NO DATS'!E10</f>
        <v>#DIV/0!</v>
      </c>
      <c r="G56" s="171" t="e">
        <f t="shared" si="6"/>
        <v>#DIV/0!</v>
      </c>
      <c r="H56" s="169">
        <v>1</v>
      </c>
      <c r="Q56" s="22" t="str">
        <f t="shared" si="4"/>
        <v/>
      </c>
      <c r="S56" s="181"/>
      <c r="T56" s="181"/>
      <c r="U56" s="181"/>
      <c r="V56" s="181"/>
      <c r="W56" s="181"/>
      <c r="X56" s="181"/>
      <c r="Y56" s="181"/>
    </row>
    <row r="57" spans="1:25">
      <c r="A57" t="s">
        <v>678</v>
      </c>
      <c r="B57" s="42" t="s">
        <v>282</v>
      </c>
      <c r="C57" s="43" t="s">
        <v>314</v>
      </c>
      <c r="D57" s="45" t="s">
        <v>788</v>
      </c>
      <c r="E57" s="22" t="e">
        <f>'sust. impact KPIs DATS'!E11-'sust. impact KPIs NO DATS'!E11</f>
        <v>#DIV/0!</v>
      </c>
      <c r="F57" s="22" t="e">
        <f>E57*100/'sust. impact KPIs NO DATS'!E11</f>
        <v>#DIV/0!</v>
      </c>
      <c r="G57" s="171" t="e">
        <f t="shared" si="6"/>
        <v>#DIV/0!</v>
      </c>
      <c r="H57" s="169">
        <v>1</v>
      </c>
      <c r="Q57" s="22" t="str">
        <f t="shared" si="4"/>
        <v/>
      </c>
      <c r="S57" s="181"/>
      <c r="T57" s="181"/>
      <c r="U57" s="181"/>
      <c r="V57" s="181"/>
      <c r="W57" s="181"/>
      <c r="X57" s="181"/>
      <c r="Y57" s="181"/>
    </row>
    <row r="58" spans="1:25">
      <c r="A58" t="s">
        <v>678</v>
      </c>
      <c r="B58" s="42" t="s">
        <v>282</v>
      </c>
      <c r="C58" s="43" t="s">
        <v>311</v>
      </c>
      <c r="D58" s="45" t="s">
        <v>789</v>
      </c>
      <c r="E58" s="22" t="e">
        <f>'sust. impact KPIs DATS'!E12-'sust. impact KPIs NO DATS'!E12</f>
        <v>#DIV/0!</v>
      </c>
      <c r="F58" s="22" t="e">
        <f>E58*100/'sust. impact KPIs NO DATS'!E12</f>
        <v>#DIV/0!</v>
      </c>
      <c r="G58" s="171" t="e">
        <f t="shared" si="6"/>
        <v>#DIV/0!</v>
      </c>
      <c r="H58" s="169">
        <v>1</v>
      </c>
      <c r="Q58" s="22" t="str">
        <f t="shared" si="4"/>
        <v/>
      </c>
      <c r="S58" s="181"/>
      <c r="T58" s="181"/>
      <c r="U58" s="181"/>
      <c r="V58" s="181"/>
      <c r="W58" s="181"/>
      <c r="X58" s="181"/>
      <c r="Y58" s="181"/>
    </row>
    <row r="59" spans="1:25">
      <c r="A59" t="s">
        <v>678</v>
      </c>
      <c r="B59" s="42" t="s">
        <v>282</v>
      </c>
      <c r="C59" s="43" t="s">
        <v>312</v>
      </c>
      <c r="D59" s="45" t="s">
        <v>529</v>
      </c>
      <c r="E59" s="22" t="e">
        <f>'sust. impact KPIs DATS'!E13-'sust. impact KPIs NO DATS'!E13</f>
        <v>#DIV/0!</v>
      </c>
      <c r="F59" s="22" t="e">
        <f>E59*100/'sust. impact KPIs NO DATS'!E13</f>
        <v>#DIV/0!</v>
      </c>
      <c r="G59" s="171" t="e">
        <f t="shared" si="6"/>
        <v>#DIV/0!</v>
      </c>
      <c r="H59" s="169">
        <v>1</v>
      </c>
      <c r="Q59" s="22" t="str">
        <f t="shared" si="4"/>
        <v/>
      </c>
      <c r="S59" s="181"/>
      <c r="T59" s="181"/>
      <c r="U59" s="181"/>
      <c r="V59" s="181"/>
      <c r="W59" s="181"/>
      <c r="X59" s="181"/>
      <c r="Y59" s="181"/>
    </row>
    <row r="60" spans="1:25">
      <c r="B60" s="42" t="s">
        <v>690</v>
      </c>
      <c r="C60" s="43" t="s">
        <v>318</v>
      </c>
      <c r="D60" s="45" t="s">
        <v>105</v>
      </c>
      <c r="E60" s="22" t="e">
        <f>'sust. impact KPIs DATS'!E17-'sust. impact KPIs NO DATS'!E17</f>
        <v>#DIV/0!</v>
      </c>
      <c r="F60" s="22" t="e">
        <f>E60*100/'sust. impact KPIs NO DATS'!E17</f>
        <v>#DIV/0!</v>
      </c>
      <c r="G60" s="171" t="e">
        <f t="shared" ref="G60:G62" si="7">IF(H60=1,F60,F60*(-1))</f>
        <v>#DIV/0!</v>
      </c>
      <c r="H60" s="22">
        <v>0</v>
      </c>
      <c r="Q60" s="22" t="str">
        <f t="shared" si="4"/>
        <v/>
      </c>
    </row>
    <row r="61" spans="1:25">
      <c r="A61" t="s">
        <v>678</v>
      </c>
      <c r="B61" s="42" t="s">
        <v>690</v>
      </c>
      <c r="C61" s="43" t="s">
        <v>320</v>
      </c>
      <c r="D61" s="45" t="s">
        <v>105</v>
      </c>
      <c r="E61" s="22" t="e">
        <f>'sust. impact KPIs DATS'!E18-'sust. impact KPIs NO DATS'!E18</f>
        <v>#DIV/0!</v>
      </c>
      <c r="F61" s="22" t="e">
        <f>E61*100/'sust. impact KPIs NO DATS'!E18</f>
        <v>#DIV/0!</v>
      </c>
      <c r="G61" s="171" t="e">
        <f t="shared" si="7"/>
        <v>#DIV/0!</v>
      </c>
      <c r="H61" s="22">
        <v>1</v>
      </c>
      <c r="Q61" s="22" t="str">
        <f t="shared" si="4"/>
        <v/>
      </c>
    </row>
    <row r="62" spans="1:25">
      <c r="A62" t="s">
        <v>678</v>
      </c>
      <c r="B62" s="42" t="s">
        <v>690</v>
      </c>
      <c r="C62" s="43" t="s">
        <v>322</v>
      </c>
      <c r="D62" s="45" t="s">
        <v>113</v>
      </c>
      <c r="E62" s="22">
        <f>'sust. impact KPIs DATS'!E19-'sust. impact KPIs NO DATS'!E19</f>
        <v>0</v>
      </c>
      <c r="F62" s="22" t="e">
        <f>E62*100/'sust. impact KPIs NO DATS'!E19</f>
        <v>#DIV/0!</v>
      </c>
      <c r="G62" s="171" t="e">
        <f t="shared" si="7"/>
        <v>#DIV/0!</v>
      </c>
      <c r="H62" s="22">
        <v>0</v>
      </c>
      <c r="Q62" s="22">
        <f t="shared" si="4"/>
        <v>2</v>
      </c>
    </row>
    <row r="63" spans="1:25">
      <c r="B63" s="42" t="s">
        <v>690</v>
      </c>
      <c r="C63" s="43" t="s">
        <v>324</v>
      </c>
      <c r="D63" s="45"/>
      <c r="E63" s="22">
        <f>'sust. impact KPIs DATS'!E23-'sust. impact KPIs NO DATS'!E23</f>
        <v>0</v>
      </c>
      <c r="F63" s="22" t="e">
        <f>E63*100/'sust. impact KPIs NO DATS'!E23</f>
        <v>#DIV/0!</v>
      </c>
      <c r="G63" s="171" t="e">
        <f t="shared" ref="G63:G66" si="8">IF(H63=1,F63,F63*(-1))</f>
        <v>#DIV/0!</v>
      </c>
      <c r="H63" s="169">
        <v>1</v>
      </c>
      <c r="Q63" s="22">
        <f t="shared" si="4"/>
        <v>2</v>
      </c>
    </row>
    <row r="64" spans="1:25">
      <c r="A64" t="s">
        <v>678</v>
      </c>
      <c r="B64" s="42" t="s">
        <v>690</v>
      </c>
      <c r="C64" s="43" t="s">
        <v>362</v>
      </c>
      <c r="D64" s="45" t="s">
        <v>105</v>
      </c>
      <c r="E64" s="22">
        <f>'sust. impact KPIs DATS'!E24-'sust. impact KPIs NO DATS'!E24</f>
        <v>0</v>
      </c>
      <c r="F64" s="171"/>
      <c r="G64" s="171">
        <f t="shared" si="8"/>
        <v>0</v>
      </c>
      <c r="H64" s="169">
        <v>1</v>
      </c>
      <c r="M64" s="1"/>
      <c r="Q64" s="22">
        <f t="shared" si="4"/>
        <v>2</v>
      </c>
    </row>
    <row r="65" spans="1:17">
      <c r="A65" t="s">
        <v>678</v>
      </c>
      <c r="B65" s="42" t="s">
        <v>690</v>
      </c>
      <c r="C65" s="43" t="s">
        <v>363</v>
      </c>
      <c r="D65" s="45" t="s">
        <v>105</v>
      </c>
      <c r="E65" s="22">
        <f>'sust. impact KPIs DATS'!E25-'sust. impact KPIs NO DATS'!E25</f>
        <v>0</v>
      </c>
      <c r="F65" s="171"/>
      <c r="G65" s="171">
        <f t="shared" si="8"/>
        <v>0</v>
      </c>
      <c r="H65" s="169">
        <v>0</v>
      </c>
      <c r="Q65" s="22">
        <f t="shared" si="4"/>
        <v>2</v>
      </c>
    </row>
    <row r="66" spans="1:17">
      <c r="A66" t="s">
        <v>678</v>
      </c>
      <c r="B66" s="42" t="s">
        <v>690</v>
      </c>
      <c r="C66" s="43" t="s">
        <v>364</v>
      </c>
      <c r="D66" s="45" t="s">
        <v>365</v>
      </c>
      <c r="E66" s="22">
        <f>'sust. impact KPIs DATS'!E26-'sust. impact KPIs NO DATS'!E26</f>
        <v>0</v>
      </c>
      <c r="F66" s="171" t="e">
        <f>E66*100/'sust. impact KPIs NO DATS'!E26</f>
        <v>#DIV/0!</v>
      </c>
      <c r="G66" s="171" t="e">
        <f t="shared" si="8"/>
        <v>#DIV/0!</v>
      </c>
      <c r="H66" s="169">
        <v>1</v>
      </c>
      <c r="Q66" s="22">
        <f t="shared" si="4"/>
        <v>2</v>
      </c>
    </row>
    <row r="67" spans="1:17">
      <c r="A67" t="s">
        <v>680</v>
      </c>
      <c r="B67" s="42" t="s">
        <v>687</v>
      </c>
      <c r="C67" s="43" t="s">
        <v>17</v>
      </c>
      <c r="D67" s="45" t="s">
        <v>147</v>
      </c>
      <c r="E67" s="171">
        <f>'sust. impact KPIs DATS'!E30-'sust. impact KPIs NO DATS'!E30</f>
        <v>0</v>
      </c>
      <c r="F67" s="171">
        <f>E67*100/'sust. impact KPIs NO DATS'!E30</f>
        <v>0</v>
      </c>
      <c r="G67" s="171">
        <f t="shared" ref="G67:G94" si="9">IF(H67=1,F67,F67*(-1))</f>
        <v>0</v>
      </c>
      <c r="H67" s="169">
        <v>0</v>
      </c>
      <c r="Q67" s="22">
        <f t="shared" si="4"/>
        <v>2</v>
      </c>
    </row>
    <row r="68" spans="1:17">
      <c r="A68" t="s">
        <v>680</v>
      </c>
      <c r="B68" s="42" t="s">
        <v>687</v>
      </c>
      <c r="C68" s="43" t="s">
        <v>18</v>
      </c>
      <c r="D68" s="45" t="s">
        <v>105</v>
      </c>
      <c r="E68" s="171">
        <f>ABS('sust. impact KPIs NO DATS'!E31-100)-ABS('sust. impact KPIs DATS'!E31-100)</f>
        <v>10.910928539160658</v>
      </c>
      <c r="F68" s="22"/>
      <c r="G68" s="171">
        <f>IF(H68=1,E68,E68*(-1))</f>
        <v>10.910928539160658</v>
      </c>
      <c r="H68" s="169">
        <v>1</v>
      </c>
      <c r="Q68" s="22">
        <f t="shared" si="4"/>
        <v>1</v>
      </c>
    </row>
    <row r="69" spans="1:17">
      <c r="A69" t="s">
        <v>680</v>
      </c>
      <c r="B69" s="42" t="s">
        <v>687</v>
      </c>
      <c r="C69" s="43" t="s">
        <v>19</v>
      </c>
      <c r="D69" s="45" t="s">
        <v>147</v>
      </c>
      <c r="E69" s="171">
        <f>'sust. impact KPIs DATS'!E32-'sust. impact KPIs NO DATS'!E32</f>
        <v>0</v>
      </c>
      <c r="F69" s="171">
        <f>E69*100/'sust. impact KPIs NO DATS'!E32</f>
        <v>0</v>
      </c>
      <c r="G69" s="171">
        <f t="shared" si="9"/>
        <v>0</v>
      </c>
      <c r="H69" s="169">
        <v>0</v>
      </c>
      <c r="Q69" s="22">
        <f t="shared" si="4"/>
        <v>2</v>
      </c>
    </row>
    <row r="70" spans="1:17">
      <c r="A70" t="s">
        <v>680</v>
      </c>
      <c r="B70" s="42" t="s">
        <v>687</v>
      </c>
      <c r="C70" s="43" t="s">
        <v>20</v>
      </c>
      <c r="D70" s="45" t="s">
        <v>105</v>
      </c>
      <c r="E70" s="171">
        <f>ABS('sust. impact KPIs NO DATS'!E33-100)-ABS('sust. impact KPIs DATS'!E33-100)</f>
        <v>-57.042782086564898</v>
      </c>
      <c r="F70" s="22"/>
      <c r="G70" s="171">
        <f>IF(H70=1,E70,E70*(-1))</f>
        <v>-57.042782086564898</v>
      </c>
      <c r="H70" s="169">
        <v>1</v>
      </c>
      <c r="Q70" s="22">
        <f t="shared" si="4"/>
        <v>0</v>
      </c>
    </row>
    <row r="71" spans="1:17">
      <c r="A71" t="s">
        <v>680</v>
      </c>
      <c r="B71" s="42" t="s">
        <v>687</v>
      </c>
      <c r="C71" s="43" t="s">
        <v>298</v>
      </c>
      <c r="D71" s="45" t="s">
        <v>147</v>
      </c>
      <c r="E71" s="171">
        <f>'sust. impact KPIs DATS'!E34-'sust. impact KPIs NO DATS'!E34</f>
        <v>0</v>
      </c>
      <c r="F71" s="171">
        <f>E71*100/'sust. impact KPIs NO DATS'!E34</f>
        <v>0</v>
      </c>
      <c r="G71" s="171">
        <f t="shared" si="9"/>
        <v>0</v>
      </c>
      <c r="H71" s="169">
        <v>0</v>
      </c>
      <c r="Q71" s="22">
        <f t="shared" ref="Q71:Q105" si="10">IFERROR(IF(IF(H71=1,E71,-E71)&gt;0,1,IF(IF(H71=1,E71,-E71)&lt;0,0,2)),"")</f>
        <v>2</v>
      </c>
    </row>
    <row r="72" spans="1:17">
      <c r="A72" t="s">
        <v>680</v>
      </c>
      <c r="B72" s="42" t="s">
        <v>687</v>
      </c>
      <c r="C72" s="43" t="s">
        <v>287</v>
      </c>
      <c r="D72" s="45" t="s">
        <v>105</v>
      </c>
      <c r="E72" s="171">
        <f>ABS('sust. impact KPIs NO DATS'!E35-100)-ABS('sust. impact KPIs DATS'!E35-100)</f>
        <v>-38.373760426554639</v>
      </c>
      <c r="F72" s="22"/>
      <c r="G72" s="171">
        <f>IF(H72=1,E72,E72*(-1))</f>
        <v>-38.373760426554639</v>
      </c>
      <c r="H72" s="169">
        <v>1</v>
      </c>
      <c r="M72" s="1"/>
      <c r="Q72" s="22">
        <f t="shared" si="10"/>
        <v>0</v>
      </c>
    </row>
    <row r="73" spans="1:17">
      <c r="A73" t="s">
        <v>680</v>
      </c>
      <c r="B73" s="42" t="s">
        <v>687</v>
      </c>
      <c r="C73" s="43" t="s">
        <v>299</v>
      </c>
      <c r="D73" s="45" t="s">
        <v>147</v>
      </c>
      <c r="E73" s="171">
        <f>'sust. impact KPIs DATS'!E36-'sust. impact KPIs NO DATS'!E36</f>
        <v>0</v>
      </c>
      <c r="F73" s="171" t="e">
        <f>E73*100/'sust. impact KPIs NO DATS'!E36</f>
        <v>#DIV/0!</v>
      </c>
      <c r="G73" s="171" t="e">
        <f t="shared" si="9"/>
        <v>#DIV/0!</v>
      </c>
      <c r="H73" s="169">
        <v>0</v>
      </c>
      <c r="Q73" s="22">
        <f t="shared" si="10"/>
        <v>2</v>
      </c>
    </row>
    <row r="74" spans="1:17">
      <c r="A74" t="s">
        <v>680</v>
      </c>
      <c r="B74" s="42" t="s">
        <v>0</v>
      </c>
      <c r="C74" s="43" t="s">
        <v>769</v>
      </c>
      <c r="D74" s="45" t="str">
        <f>'sust. impact KPIs NO DATS'!D37</f>
        <v>m3/ha</v>
      </c>
      <c r="E74" s="171">
        <f>'sust. impact KPIs DATS'!E37-'sust. impact KPIs NO DATS'!E37</f>
        <v>-569.7560975609756</v>
      </c>
      <c r="F74" s="169">
        <f>E74*100/'sust. impact KPIs NO DATS'!E37</f>
        <v>-64.140582097748478</v>
      </c>
      <c r="G74" s="171">
        <f t="shared" si="9"/>
        <v>64.140582097748478</v>
      </c>
      <c r="H74" s="169">
        <v>0</v>
      </c>
      <c r="I74" s="22">
        <v>1</v>
      </c>
      <c r="J74" s="22">
        <v>1</v>
      </c>
      <c r="L74" s="22">
        <v>1</v>
      </c>
      <c r="M74" s="1" t="s">
        <v>726</v>
      </c>
      <c r="N74" t="s">
        <v>813</v>
      </c>
      <c r="Q74" s="22">
        <f t="shared" si="10"/>
        <v>1</v>
      </c>
    </row>
    <row r="75" spans="1:17">
      <c r="A75" t="s">
        <v>680</v>
      </c>
      <c r="B75" s="42" t="s">
        <v>0</v>
      </c>
      <c r="C75" s="43" t="s">
        <v>784</v>
      </c>
      <c r="D75" s="45" t="s">
        <v>306</v>
      </c>
      <c r="E75" s="171">
        <f>'sust. impact KPIs DATS'!E38-'sust. impact KPIs NO DATS'!E38</f>
        <v>0</v>
      </c>
      <c r="F75" s="171" t="e">
        <f>E75*100/'sust. impact KPIs NO DATS'!E38</f>
        <v>#DIV/0!</v>
      </c>
      <c r="G75" s="171" t="e">
        <f t="shared" si="9"/>
        <v>#DIV/0!</v>
      </c>
      <c r="H75" s="169">
        <v>0</v>
      </c>
      <c r="M75" s="1"/>
      <c r="Q75" s="22">
        <f t="shared" si="10"/>
        <v>2</v>
      </c>
    </row>
    <row r="76" spans="1:17">
      <c r="A76" t="s">
        <v>680</v>
      </c>
      <c r="B76" s="175" t="s">
        <v>0</v>
      </c>
      <c r="C76" s="43" t="s">
        <v>21</v>
      </c>
      <c r="D76" s="45" t="s">
        <v>427</v>
      </c>
      <c r="E76" s="176">
        <f>'sust. impact KPIs DATS'!E39-'sust. impact KPIs NO DATS'!E39</f>
        <v>164.35506970321575</v>
      </c>
      <c r="F76" s="177">
        <f>E76*100/'sust. impact KPIs NO DATS'!E39</f>
        <v>280.76039580633756</v>
      </c>
      <c r="G76" s="171">
        <f t="shared" si="9"/>
        <v>280.76039580633756</v>
      </c>
      <c r="H76" s="177">
        <v>1</v>
      </c>
      <c r="I76" s="22">
        <v>1</v>
      </c>
      <c r="Q76" s="22">
        <f t="shared" si="10"/>
        <v>1</v>
      </c>
    </row>
    <row r="77" spans="1:17">
      <c r="A77" t="s">
        <v>680</v>
      </c>
      <c r="B77" s="42" t="s">
        <v>688</v>
      </c>
      <c r="C77" s="43" t="s">
        <v>22</v>
      </c>
      <c r="D77" s="45" t="str">
        <f>'sust. impact KPIs NO DATS'!D40</f>
        <v>kWh/ha</v>
      </c>
      <c r="E77" s="171">
        <f>'sust. impact KPIs DATS'!E40-'sust. impact KPIs NO DATS'!E40</f>
        <v>0</v>
      </c>
      <c r="F77" s="171">
        <f>E77*100/'sust. impact KPIs NO DATS'!E40</f>
        <v>0</v>
      </c>
      <c r="G77" s="171">
        <f t="shared" si="9"/>
        <v>0</v>
      </c>
      <c r="H77" s="169">
        <v>0</v>
      </c>
      <c r="I77" s="22">
        <v>1</v>
      </c>
      <c r="Q77" s="22">
        <f t="shared" si="10"/>
        <v>2</v>
      </c>
    </row>
    <row r="78" spans="1:17">
      <c r="A78" t="s">
        <v>681</v>
      </c>
      <c r="B78" s="42" t="s">
        <v>344</v>
      </c>
      <c r="C78" s="43" t="s">
        <v>35</v>
      </c>
      <c r="D78" s="45" t="s">
        <v>162</v>
      </c>
      <c r="E78" s="171" t="e">
        <f>'sust. impact KPIs DATS'!E41-'sust. impact KPIs NO DATS'!E41</f>
        <v>#DIV/0!</v>
      </c>
      <c r="F78" s="171" t="e">
        <f>E78*100/'sust. impact KPIs NO DATS'!E41</f>
        <v>#DIV/0!</v>
      </c>
      <c r="G78" s="171" t="e">
        <f t="shared" si="9"/>
        <v>#DIV/0!</v>
      </c>
      <c r="H78" s="169">
        <v>1</v>
      </c>
      <c r="Q78" s="22" t="str">
        <f t="shared" si="10"/>
        <v/>
      </c>
    </row>
    <row r="79" spans="1:17">
      <c r="A79" t="s">
        <v>681</v>
      </c>
      <c r="B79" s="42" t="s">
        <v>344</v>
      </c>
      <c r="C79" s="43" t="s">
        <v>407</v>
      </c>
      <c r="D79" s="45" t="s">
        <v>105</v>
      </c>
      <c r="E79" s="171" t="e">
        <f>'sust. impact KPIs DATS'!E42-'sust. impact KPIs NO DATS'!E42</f>
        <v>#DIV/0!</v>
      </c>
      <c r="F79" s="171" t="e">
        <f>E79*100/'sust. impact KPIs NO DATS'!E42</f>
        <v>#DIV/0!</v>
      </c>
      <c r="G79" s="171" t="e">
        <f t="shared" si="9"/>
        <v>#DIV/0!</v>
      </c>
      <c r="H79" s="169">
        <v>0</v>
      </c>
      <c r="Q79" s="22" t="str">
        <f t="shared" si="10"/>
        <v/>
      </c>
    </row>
    <row r="80" spans="1:17">
      <c r="A80" t="s">
        <v>681</v>
      </c>
      <c r="B80" s="42" t="s">
        <v>344</v>
      </c>
      <c r="C80" s="43" t="s">
        <v>408</v>
      </c>
      <c r="D80" s="45" t="s">
        <v>105</v>
      </c>
      <c r="E80" s="171" t="e">
        <f>'sust. impact KPIs DATS'!E43-'sust. impact KPIs NO DATS'!E43</f>
        <v>#DIV/0!</v>
      </c>
      <c r="F80" s="171" t="e">
        <f>E80*100/'sust. impact KPIs NO DATS'!E43</f>
        <v>#DIV/0!</v>
      </c>
      <c r="G80" s="171" t="e">
        <f t="shared" si="9"/>
        <v>#DIV/0!</v>
      </c>
      <c r="H80" s="169">
        <v>0</v>
      </c>
      <c r="Q80" s="22" t="str">
        <f t="shared" si="10"/>
        <v/>
      </c>
    </row>
    <row r="81" spans="1:17">
      <c r="A81" t="s">
        <v>681</v>
      </c>
      <c r="B81" s="42" t="s">
        <v>344</v>
      </c>
      <c r="C81" s="43" t="s">
        <v>409</v>
      </c>
      <c r="D81" s="45" t="s">
        <v>105</v>
      </c>
      <c r="E81" s="171" t="e">
        <f>'sust. impact KPIs DATS'!E44-'sust. impact KPIs NO DATS'!E44</f>
        <v>#DIV/0!</v>
      </c>
      <c r="F81" s="171" t="e">
        <f>E81*100/'sust. impact KPIs NO DATS'!E44</f>
        <v>#DIV/0!</v>
      </c>
      <c r="G81" s="171" t="e">
        <f t="shared" si="9"/>
        <v>#DIV/0!</v>
      </c>
      <c r="H81" s="169">
        <v>0</v>
      </c>
      <c r="Q81" s="22" t="str">
        <f t="shared" si="10"/>
        <v/>
      </c>
    </row>
    <row r="82" spans="1:17">
      <c r="A82" t="s">
        <v>681</v>
      </c>
      <c r="B82" s="42" t="s">
        <v>344</v>
      </c>
      <c r="C82" s="43" t="s">
        <v>36</v>
      </c>
      <c r="D82" s="45" t="s">
        <v>105</v>
      </c>
      <c r="E82" s="171" t="e">
        <f>'sust. impact KPIs DATS'!E45-'sust. impact KPIs NO DATS'!E45</f>
        <v>#DIV/0!</v>
      </c>
      <c r="F82" s="171" t="e">
        <f>E82*100/'sust. impact KPIs NO DATS'!E45</f>
        <v>#DIV/0!</v>
      </c>
      <c r="G82" s="171" t="e">
        <f t="shared" si="9"/>
        <v>#DIV/0!</v>
      </c>
      <c r="H82" s="169">
        <v>0</v>
      </c>
      <c r="Q82" s="22" t="str">
        <f t="shared" si="10"/>
        <v/>
      </c>
    </row>
    <row r="83" spans="1:17">
      <c r="A83" t="s">
        <v>681</v>
      </c>
      <c r="B83" s="42" t="s">
        <v>344</v>
      </c>
      <c r="C83" s="43" t="s">
        <v>325</v>
      </c>
      <c r="D83" s="45" t="s">
        <v>105</v>
      </c>
      <c r="E83" s="171" t="e">
        <f>'sust. impact KPIs DATS'!E46-'sust. impact KPIs NO DATS'!E46</f>
        <v>#DIV/0!</v>
      </c>
      <c r="F83" s="171" t="e">
        <f>E83*100/'sust. impact KPIs NO DATS'!E46</f>
        <v>#DIV/0!</v>
      </c>
      <c r="G83" s="171" t="e">
        <f t="shared" si="9"/>
        <v>#DIV/0!</v>
      </c>
      <c r="H83" s="169">
        <v>0</v>
      </c>
      <c r="Q83" s="22" t="str">
        <f t="shared" si="10"/>
        <v/>
      </c>
    </row>
    <row r="84" spans="1:17">
      <c r="A84" t="s">
        <v>680</v>
      </c>
      <c r="B84" s="42" t="s">
        <v>687</v>
      </c>
      <c r="C84" s="43" t="s">
        <v>283</v>
      </c>
      <c r="D84" s="45">
        <f>'sust. impact KPIs NO DATS'!D47</f>
        <v>0</v>
      </c>
      <c r="E84" s="171">
        <f>'sust. impact KPIs DATS'!E47-'sust. impact KPIs NO DATS'!E47</f>
        <v>0</v>
      </c>
      <c r="F84" s="171" t="e">
        <f>E84*100/'sust. impact KPIs NO DATS'!E47</f>
        <v>#DIV/0!</v>
      </c>
      <c r="G84" s="171" t="e">
        <f t="shared" si="9"/>
        <v>#DIV/0!</v>
      </c>
      <c r="H84" s="169">
        <v>0</v>
      </c>
      <c r="Q84" s="22">
        <f t="shared" si="10"/>
        <v>2</v>
      </c>
    </row>
    <row r="85" spans="1:17">
      <c r="A85" t="s">
        <v>680</v>
      </c>
      <c r="B85" s="42" t="s">
        <v>687</v>
      </c>
      <c r="C85" s="43" t="s">
        <v>284</v>
      </c>
      <c r="D85" s="45">
        <f>'sust. impact KPIs NO DATS'!D48</f>
        <v>0</v>
      </c>
      <c r="E85" s="171">
        <f>'sust. impact KPIs DATS'!E48-'sust. impact KPIs NO DATS'!E48</f>
        <v>0</v>
      </c>
      <c r="F85" s="171" t="e">
        <f>E85*100/'sust. impact KPIs NO DATS'!E48</f>
        <v>#DIV/0!</v>
      </c>
      <c r="G85" s="171" t="e">
        <f t="shared" si="9"/>
        <v>#DIV/0!</v>
      </c>
      <c r="H85" s="169">
        <v>0</v>
      </c>
      <c r="Q85" s="22">
        <f t="shared" si="10"/>
        <v>2</v>
      </c>
    </row>
    <row r="86" spans="1:17">
      <c r="A86" t="s">
        <v>680</v>
      </c>
      <c r="B86" s="42" t="s">
        <v>687</v>
      </c>
      <c r="C86" s="43" t="s">
        <v>275</v>
      </c>
      <c r="D86" s="45" t="str">
        <f>'sust. impact KPIs NO DATS'!D49</f>
        <v>g/m2</v>
      </c>
      <c r="E86" s="171" t="e">
        <f>'sust. impact KPIs DATS'!E49-'sust. impact KPIs NO DATS'!E49</f>
        <v>#REF!</v>
      </c>
      <c r="F86" s="171" t="e">
        <f>E86*100/'sust. impact KPIs NO DATS'!E49</f>
        <v>#REF!</v>
      </c>
      <c r="G86" s="171" t="e">
        <f t="shared" si="9"/>
        <v>#REF!</v>
      </c>
      <c r="H86" s="169">
        <v>0</v>
      </c>
      <c r="Q86" s="22" t="str">
        <f t="shared" si="10"/>
        <v/>
      </c>
    </row>
    <row r="87" spans="1:17">
      <c r="A87" t="s">
        <v>680</v>
      </c>
      <c r="B87" s="42" t="s">
        <v>687</v>
      </c>
      <c r="C87" s="43" t="s">
        <v>274</v>
      </c>
      <c r="D87" s="45" t="str">
        <f>'sust. impact KPIs NO DATS'!D50</f>
        <v>g/beehive</v>
      </c>
      <c r="E87" s="171" t="e">
        <f>'sust. impact KPIs DATS'!E50-'sust. impact KPIs NO DATS'!E50</f>
        <v>#REF!</v>
      </c>
      <c r="F87" s="171" t="e">
        <f>E87*100/'sust. impact KPIs NO DATS'!E50</f>
        <v>#REF!</v>
      </c>
      <c r="G87" s="171" t="e">
        <f t="shared" si="9"/>
        <v>#REF!</v>
      </c>
      <c r="H87" s="169">
        <v>0</v>
      </c>
      <c r="Q87" s="22" t="str">
        <f t="shared" si="10"/>
        <v/>
      </c>
    </row>
    <row r="88" spans="1:17">
      <c r="A88" t="s">
        <v>680</v>
      </c>
      <c r="B88" s="175" t="s">
        <v>689</v>
      </c>
      <c r="C88" s="43" t="s">
        <v>23</v>
      </c>
      <c r="D88" s="45" t="str">
        <f>'sust. impact KPIs NO DATS'!D51</f>
        <v>kg CO2 eq/ha</v>
      </c>
      <c r="E88" s="176">
        <f>'sust. impact KPIs DATS'!E51-'sust. impact KPIs NO DATS'!E51</f>
        <v>0</v>
      </c>
      <c r="F88" s="177" t="e">
        <f>E88*100/'sust. impact KPIs NO DATS'!E51</f>
        <v>#DIV/0!</v>
      </c>
      <c r="G88" s="171" t="e">
        <f t="shared" si="9"/>
        <v>#DIV/0!</v>
      </c>
      <c r="H88" s="177">
        <v>0</v>
      </c>
      <c r="I88" s="22">
        <v>1</v>
      </c>
      <c r="Q88" s="22">
        <f t="shared" si="10"/>
        <v>2</v>
      </c>
    </row>
    <row r="89" spans="1:17">
      <c r="A89" t="s">
        <v>680</v>
      </c>
      <c r="B89" s="42" t="s">
        <v>688</v>
      </c>
      <c r="C89" s="43" t="s">
        <v>302</v>
      </c>
      <c r="D89" s="45" t="s">
        <v>226</v>
      </c>
      <c r="E89" s="171">
        <f>'sust. impact KPIs DATS'!E52-'sust. impact KPIs NO DATS'!E52</f>
        <v>0</v>
      </c>
      <c r="F89" s="171" t="e">
        <f>E89*100/'sust. impact KPIs NO DATS'!E52</f>
        <v>#DIV/0!</v>
      </c>
      <c r="G89" s="171" t="e">
        <f t="shared" si="9"/>
        <v>#DIV/0!</v>
      </c>
      <c r="H89" s="169">
        <v>0</v>
      </c>
      <c r="I89" s="22">
        <v>1</v>
      </c>
      <c r="Q89" s="22">
        <f t="shared" si="10"/>
        <v>2</v>
      </c>
    </row>
    <row r="90" spans="1:17">
      <c r="A90" t="s">
        <v>680</v>
      </c>
      <c r="B90" s="175" t="s">
        <v>688</v>
      </c>
      <c r="C90" s="43" t="s">
        <v>303</v>
      </c>
      <c r="D90" s="45" t="str">
        <f>'sust. impact KPIs NO DATS'!D53</f>
        <v>l/ha</v>
      </c>
      <c r="E90" s="176" t="e">
        <f>'sust. impact KPIs DATS'!E53-'sust. impact KPIs NO DATS'!E53</f>
        <v>#DIV/0!</v>
      </c>
      <c r="F90" s="177" t="e">
        <f>E90*100/'sust. impact KPIs NO DATS'!E53</f>
        <v>#DIV/0!</v>
      </c>
      <c r="G90" s="171" t="e">
        <f t="shared" si="9"/>
        <v>#DIV/0!</v>
      </c>
      <c r="H90" s="177">
        <v>0</v>
      </c>
      <c r="Q90" s="22" t="str">
        <f t="shared" si="10"/>
        <v/>
      </c>
    </row>
    <row r="91" spans="1:17">
      <c r="A91" t="s">
        <v>680</v>
      </c>
      <c r="B91" s="175" t="s">
        <v>688</v>
      </c>
      <c r="C91" s="43" t="s">
        <v>304</v>
      </c>
      <c r="D91" s="45" t="s">
        <v>331</v>
      </c>
      <c r="E91" s="176" t="e">
        <f>'sust. impact KPIs DATS'!E54-'sust. impact KPIs NO DATS'!E54</f>
        <v>#DIV/0!</v>
      </c>
      <c r="F91" s="177" t="e">
        <f>E91*100/'sust. impact KPIs NO DATS'!E54</f>
        <v>#DIV/0!</v>
      </c>
      <c r="G91" s="171" t="e">
        <f t="shared" si="9"/>
        <v>#DIV/0!</v>
      </c>
      <c r="H91" s="177">
        <v>0</v>
      </c>
      <c r="Q91" s="22" t="str">
        <f t="shared" si="10"/>
        <v/>
      </c>
    </row>
    <row r="92" spans="1:17">
      <c r="A92" t="s">
        <v>680</v>
      </c>
      <c r="B92" s="175" t="s">
        <v>688</v>
      </c>
      <c r="C92" s="43" t="s">
        <v>305</v>
      </c>
      <c r="D92" s="45" t="s">
        <v>790</v>
      </c>
      <c r="E92" s="176" t="e">
        <f>'sust. impact KPIs DATS'!E55-'sust. impact KPIs NO DATS'!E55</f>
        <v>#DIV/0!</v>
      </c>
      <c r="F92" s="177" t="e">
        <f>E92*100/'sust. impact KPIs NO DATS'!E55</f>
        <v>#DIV/0!</v>
      </c>
      <c r="G92" s="171" t="e">
        <f t="shared" si="9"/>
        <v>#DIV/0!</v>
      </c>
      <c r="H92" s="177">
        <v>0</v>
      </c>
      <c r="Q92" s="22" t="str">
        <f t="shared" si="10"/>
        <v/>
      </c>
    </row>
    <row r="93" spans="1:17">
      <c r="A93" t="s">
        <v>680</v>
      </c>
      <c r="B93" s="175" t="s">
        <v>689</v>
      </c>
      <c r="C93" s="43" t="s">
        <v>24</v>
      </c>
      <c r="D93" s="175" t="s">
        <v>149</v>
      </c>
      <c r="E93" s="176">
        <f>'sust. impact KPIs DATS'!E57-'sust. impact KPIs NO DATS'!E57</f>
        <v>0</v>
      </c>
      <c r="F93" s="177"/>
      <c r="G93" s="171">
        <f t="shared" si="9"/>
        <v>0</v>
      </c>
      <c r="H93" s="177">
        <v>0</v>
      </c>
      <c r="Q93" s="22">
        <f t="shared" si="10"/>
        <v>2</v>
      </c>
    </row>
    <row r="94" spans="1:17">
      <c r="A94" t="s">
        <v>680</v>
      </c>
      <c r="B94" s="42" t="s">
        <v>689</v>
      </c>
      <c r="C94" s="43" t="s">
        <v>618</v>
      </c>
      <c r="D94" s="45" t="str">
        <f>'sust. impact KPIs NO DATS'!D58</f>
        <v>kg CO2 eq/ha</v>
      </c>
      <c r="E94" s="171">
        <f>'sust. impact KPIs DATS'!E58-'sust. impact KPIs NO DATS'!E58</f>
        <v>0</v>
      </c>
      <c r="F94" s="171">
        <f>E94*100/'sust. impact KPIs NO DATS'!E58</f>
        <v>0</v>
      </c>
      <c r="G94" s="171">
        <f t="shared" si="9"/>
        <v>0</v>
      </c>
      <c r="H94" s="169">
        <v>0</v>
      </c>
      <c r="Q94" s="22">
        <f t="shared" si="10"/>
        <v>2</v>
      </c>
    </row>
    <row r="95" spans="1:17">
      <c r="A95" t="s">
        <v>681</v>
      </c>
      <c r="B95" s="42" t="s">
        <v>193</v>
      </c>
      <c r="C95" s="43" t="s">
        <v>25</v>
      </c>
      <c r="D95" s="45" t="s">
        <v>158</v>
      </c>
      <c r="E95" s="22" t="e">
        <f>'sust. impact KPIs DATS'!E61</f>
        <v>#DIV/0!</v>
      </c>
      <c r="F95" s="171" t="e">
        <f>E95*100/'sust. impact KPIs NO DATS'!E61</f>
        <v>#DIV/0!</v>
      </c>
      <c r="G95" s="171" t="e">
        <f t="shared" ref="G95:G99" si="11">IF(H95=1,F95,F95*(-1))</f>
        <v>#DIV/0!</v>
      </c>
      <c r="H95" s="169">
        <v>1</v>
      </c>
      <c r="Q95" s="22" t="str">
        <f t="shared" si="10"/>
        <v/>
      </c>
    </row>
    <row r="96" spans="1:17">
      <c r="A96" t="s">
        <v>681</v>
      </c>
      <c r="B96" s="42" t="s">
        <v>193</v>
      </c>
      <c r="C96" s="43" t="s">
        <v>26</v>
      </c>
      <c r="D96" s="45" t="str">
        <f>'sust. impact KPIs NO DATS'!D62</f>
        <v>h/ha</v>
      </c>
      <c r="E96" s="171">
        <f>'sust. impact KPIs DATS'!E62-'sust. impact KPIs NO DATS'!E62</f>
        <v>0.24390243902439002</v>
      </c>
      <c r="F96" s="171">
        <f>E96*100/'sust. impact KPIs NO DATS'!E62</f>
        <v>9.9999999999999893</v>
      </c>
      <c r="G96" s="171">
        <f t="shared" si="11"/>
        <v>-9.9999999999999893</v>
      </c>
      <c r="H96" s="169">
        <v>0</v>
      </c>
      <c r="I96" s="22">
        <v>1</v>
      </c>
      <c r="L96" s="22">
        <v>1</v>
      </c>
      <c r="Q96" s="22">
        <f t="shared" si="10"/>
        <v>0</v>
      </c>
    </row>
    <row r="97" spans="1:17">
      <c r="A97" t="s">
        <v>681</v>
      </c>
      <c r="B97" s="42" t="s">
        <v>193</v>
      </c>
      <c r="C97" s="43" t="s">
        <v>27</v>
      </c>
      <c r="D97" s="45" t="s">
        <v>153</v>
      </c>
      <c r="E97" s="22" t="e">
        <f>'sust. impact KPIs DATS'!E63-'sust. impact KPIs NO DATS'!E63</f>
        <v>#DIV/0!</v>
      </c>
      <c r="F97" s="22"/>
      <c r="G97" s="171">
        <f t="shared" si="11"/>
        <v>0</v>
      </c>
      <c r="H97" s="169">
        <v>0</v>
      </c>
      <c r="Q97" s="22" t="str">
        <f t="shared" si="10"/>
        <v/>
      </c>
    </row>
    <row r="98" spans="1:17">
      <c r="A98" t="s">
        <v>681</v>
      </c>
      <c r="B98" s="42" t="s">
        <v>193</v>
      </c>
      <c r="C98" s="43" t="s">
        <v>28</v>
      </c>
      <c r="D98" s="45" t="s">
        <v>105</v>
      </c>
      <c r="E98" s="22" t="e">
        <f>'sust. impact KPIs DATS'!E64-'sust. impact KPIs NO DATS'!E64</f>
        <v>#DIV/0!</v>
      </c>
      <c r="F98" s="22"/>
      <c r="G98" s="171">
        <f t="shared" si="11"/>
        <v>0</v>
      </c>
      <c r="H98" s="169">
        <v>0</v>
      </c>
      <c r="Q98" s="22" t="str">
        <f t="shared" si="10"/>
        <v/>
      </c>
    </row>
    <row r="99" spans="1:17">
      <c r="A99" t="s">
        <v>681</v>
      </c>
      <c r="B99" s="42" t="s">
        <v>193</v>
      </c>
      <c r="C99" s="43" t="s">
        <v>29</v>
      </c>
      <c r="D99" s="45" t="s">
        <v>105</v>
      </c>
      <c r="E99" s="22" t="e">
        <f>'sust. impact KPIs DATS'!E65-'sust. impact KPIs NO DATS'!E65</f>
        <v>#DIV/0!</v>
      </c>
      <c r="F99" s="22"/>
      <c r="G99" s="171">
        <f t="shared" si="11"/>
        <v>0</v>
      </c>
      <c r="H99" s="169">
        <v>1</v>
      </c>
      <c r="Q99" s="22" t="str">
        <f t="shared" si="10"/>
        <v/>
      </c>
    </row>
    <row r="100" spans="1:17">
      <c r="Q100" s="22">
        <f t="shared" si="10"/>
        <v>2</v>
      </c>
    </row>
    <row r="101" spans="1:17">
      <c r="Q101" s="22">
        <f t="shared" si="10"/>
        <v>2</v>
      </c>
    </row>
    <row r="102" spans="1:17">
      <c r="Q102" s="22">
        <f t="shared" si="10"/>
        <v>2</v>
      </c>
    </row>
    <row r="103" spans="1:17">
      <c r="Q103" s="22">
        <f t="shared" si="10"/>
        <v>2</v>
      </c>
    </row>
    <row r="104" spans="1:17">
      <c r="Q104" s="22">
        <f t="shared" si="10"/>
        <v>2</v>
      </c>
    </row>
    <row r="105" spans="1:17">
      <c r="Q105" s="22">
        <f t="shared" si="10"/>
        <v>2</v>
      </c>
    </row>
  </sheetData>
  <mergeCells count="2">
    <mergeCell ref="S1:W1"/>
    <mergeCell ref="X1:Z1"/>
  </mergeCells>
  <conditionalFormatting sqref="C2:I2 S2:Z2">
    <cfRule type="containsText" dxfId="35" priority="32" operator="containsText" text="Without DATs">
      <formula>NOT(ISERROR(SEARCH("Without DATs",C2)))</formula>
    </cfRule>
  </conditionalFormatting>
  <conditionalFormatting sqref="E4:H4">
    <cfRule type="containsText" dxfId="34" priority="115" operator="containsText" text="Without DATs">
      <formula>NOT(ISERROR(SEARCH("Without DATs",E4)))</formula>
    </cfRule>
  </conditionalFormatting>
  <conditionalFormatting sqref="E100:H1048576">
    <cfRule type="containsText" dxfId="33" priority="114" operator="containsText" text="Without DATs">
      <formula>NOT(ISERROR(SEARCH("Without DATs",E100)))</formula>
    </cfRule>
  </conditionalFormatting>
  <conditionalFormatting sqref="I3:I1048576">
    <cfRule type="cellIs" dxfId="32" priority="65" operator="equal">
      <formula>1</formula>
    </cfRule>
  </conditionalFormatting>
  <conditionalFormatting sqref="I100:I1048576">
    <cfRule type="cellIs" dxfId="31" priority="71" operator="equal">
      <formula>1</formula>
    </cfRule>
  </conditionalFormatting>
  <conditionalFormatting sqref="J3:J100">
    <cfRule type="cellIs" dxfId="30" priority="19" operator="equal">
      <formula>1</formula>
    </cfRule>
  </conditionalFormatting>
  <conditionalFormatting sqref="J5:J99">
    <cfRule type="cellIs" dxfId="29" priority="20" operator="equal">
      <formula>1</formula>
    </cfRule>
  </conditionalFormatting>
  <conditionalFormatting sqref="K3:K99">
    <cfRule type="cellIs" dxfId="28" priority="18" operator="equal">
      <formula>1</formula>
    </cfRule>
  </conditionalFormatting>
  <conditionalFormatting sqref="L2">
    <cfRule type="containsText" dxfId="27" priority="47" operator="containsText" text="Without DATs">
      <formula>NOT(ISERROR(SEARCH("Without DATs",L2)))</formula>
    </cfRule>
  </conditionalFormatting>
  <conditionalFormatting sqref="L3:L99">
    <cfRule type="cellIs" dxfId="26" priority="17" operator="equal">
      <formula>1</formula>
    </cfRule>
  </conditionalFormatting>
  <conditionalFormatting sqref="M73">
    <cfRule type="cellIs" dxfId="25" priority="68" operator="greaterThan">
      <formula>0</formula>
    </cfRule>
    <cfRule type="cellIs" dxfId="24" priority="67" operator="lessThan">
      <formula>0</formula>
    </cfRule>
  </conditionalFormatting>
  <conditionalFormatting sqref="M18:N37 M40:N45 M48:M49 M51:M63 M65:M71 M76:M89 M94:M103 M104:N1048576">
    <cfRule type="cellIs" dxfId="23" priority="123" operator="greaterThan">
      <formula>0</formula>
    </cfRule>
    <cfRule type="cellIs" dxfId="22" priority="122" operator="lessThan">
      <formula>0</formula>
    </cfRule>
  </conditionalFormatting>
  <conditionalFormatting sqref="Q3:Q105">
    <cfRule type="cellIs" dxfId="21" priority="29" operator="equal">
      <formula>1</formula>
    </cfRule>
    <cfRule type="cellIs" dxfId="20" priority="28" operator="equal">
      <formula>0</formula>
    </cfRule>
    <cfRule type="cellIs" dxfId="19" priority="16" operator="equal">
      <formula>3</formula>
    </cfRule>
  </conditionalFormatting>
  <conditionalFormatting sqref="T3:U9 W3:W9">
    <cfRule type="cellIs" dxfId="18" priority="36" operator="equal">
      <formula>0</formula>
    </cfRule>
    <cfRule type="cellIs" dxfId="17" priority="37" operator="equal">
      <formula>1</formula>
    </cfRule>
  </conditionalFormatting>
  <conditionalFormatting sqref="T3:U9">
    <cfRule type="cellIs" dxfId="16" priority="34" operator="lessThan">
      <formula>0</formula>
    </cfRule>
    <cfRule type="cellIs" dxfId="15" priority="35" operator="greaterThan">
      <formula>0</formula>
    </cfRule>
    <cfRule type="cellIs" dxfId="14" priority="33" operator="equal">
      <formula>0</formula>
    </cfRule>
  </conditionalFormatting>
  <conditionalFormatting sqref="W3:W9 Q3:Q105">
    <cfRule type="cellIs" dxfId="13" priority="44" operator="equal">
      <formula>2</formula>
    </cfRule>
  </conditionalFormatting>
  <conditionalFormatting sqref="Z4">
    <cfRule type="cellIs" dxfId="12" priority="7" operator="equal">
      <formula>0</formula>
    </cfRule>
    <cfRule type="cellIs" dxfId="11" priority="54" operator="lessThan">
      <formula>0</formula>
    </cfRule>
    <cfRule type="cellIs" dxfId="10" priority="55" operator="greaterThan">
      <formula>0</formula>
    </cfRule>
  </conditionalFormatting>
  <conditionalFormatting sqref="Z6">
    <cfRule type="cellIs" dxfId="9" priority="4" operator="equal">
      <formula>0</formula>
    </cfRule>
    <cfRule type="cellIs" dxfId="8" priority="5" operator="lessThan">
      <formula>0</formula>
    </cfRule>
    <cfRule type="cellIs" dxfId="7" priority="6" operator="greaterThan">
      <formula>0</formula>
    </cfRule>
  </conditionalFormatting>
  <conditionalFormatting sqref="Z8">
    <cfRule type="cellIs" dxfId="6" priority="2" operator="lessThan">
      <formula>0</formula>
    </cfRule>
    <cfRule type="cellIs" dxfId="5" priority="3" operator="greaterThan">
      <formula>0</formula>
    </cfRule>
    <cfRule type="cellIs" dxfId="4" priority="1" operator="equal">
      <formula>0</formula>
    </cfRule>
  </conditionalFormatting>
  <conditionalFormatting sqref="AB3:AB6">
    <cfRule type="cellIs" dxfId="3" priority="15" operator="equal">
      <formula>2</formula>
    </cfRule>
    <cfRule type="cellIs" dxfId="2" priority="14" operator="equal">
      <formula>1</formula>
    </cfRule>
    <cfRule type="cellIs" dxfId="1" priority="13" operator="equal">
      <formula>0</formula>
    </cfRule>
    <cfRule type="cellIs" dxfId="0" priority="12" operator="equal">
      <formula>3</formula>
    </cfRule>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AFA94-BBBB-4CDD-8CF7-5723BC747F1B}">
  <dimension ref="A1:B20"/>
  <sheetViews>
    <sheetView workbookViewId="0">
      <selection activeCell="D14" sqref="D14"/>
    </sheetView>
  </sheetViews>
  <sheetFormatPr defaultRowHeight="15.75"/>
  <cols>
    <col min="1" max="1" width="11.5" bestFit="1" customWidth="1"/>
    <col min="2" max="2" width="11.5" customWidth="1"/>
  </cols>
  <sheetData>
    <row r="1" spans="1:2">
      <c r="A1" s="18" t="s">
        <v>748</v>
      </c>
      <c r="B1" s="18" t="s">
        <v>724</v>
      </c>
    </row>
    <row r="2" spans="1:2" ht="45" customHeight="1">
      <c r="A2" s="53">
        <v>1</v>
      </c>
      <c r="B2" s="53" t="e" vm="1">
        <v>#VALUE!</v>
      </c>
    </row>
    <row r="3" spans="1:2" ht="45" customHeight="1">
      <c r="A3" s="53">
        <v>2</v>
      </c>
      <c r="B3" s="53" t="e" vm="2">
        <v>#VALUE!</v>
      </c>
    </row>
    <row r="4" spans="1:2" ht="45" customHeight="1">
      <c r="A4" s="53">
        <v>3</v>
      </c>
      <c r="B4" s="53" t="e" vm="3">
        <v>#VALUE!</v>
      </c>
    </row>
    <row r="5" spans="1:2" ht="45" customHeight="1">
      <c r="A5" s="53">
        <v>4</v>
      </c>
      <c r="B5" s="53" t="e" vm="4">
        <v>#VALUE!</v>
      </c>
    </row>
    <row r="6" spans="1:2" ht="45" customHeight="1">
      <c r="A6" s="53">
        <v>5</v>
      </c>
      <c r="B6" s="53" t="e" vm="5">
        <v>#VALUE!</v>
      </c>
    </row>
    <row r="7" spans="1:2" ht="45" customHeight="1">
      <c r="A7" s="53">
        <v>6</v>
      </c>
      <c r="B7" s="53" t="e" vm="6">
        <v>#VALUE!</v>
      </c>
    </row>
    <row r="8" spans="1:2" ht="45" customHeight="1">
      <c r="A8" s="53">
        <v>7</v>
      </c>
      <c r="B8" s="53" t="e" vm="7">
        <v>#VALUE!</v>
      </c>
    </row>
    <row r="9" spans="1:2" ht="45" customHeight="1">
      <c r="A9" s="53">
        <v>8</v>
      </c>
      <c r="B9" s="53" t="e" vm="8">
        <v>#VALUE!</v>
      </c>
    </row>
    <row r="10" spans="1:2" ht="45" customHeight="1">
      <c r="A10" s="53">
        <v>9</v>
      </c>
      <c r="B10" s="53" t="e" vm="9">
        <v>#VALUE!</v>
      </c>
    </row>
    <row r="11" spans="1:2" ht="45" customHeight="1">
      <c r="A11" s="53">
        <v>10</v>
      </c>
      <c r="B11" s="53" t="e" vm="10">
        <v>#VALUE!</v>
      </c>
    </row>
    <row r="12" spans="1:2" ht="45" customHeight="1">
      <c r="A12" s="53">
        <v>11</v>
      </c>
      <c r="B12" s="53" t="e" vm="11">
        <v>#VALUE!</v>
      </c>
    </row>
    <row r="13" spans="1:2" ht="45" customHeight="1">
      <c r="A13" s="53">
        <v>12</v>
      </c>
      <c r="B13" s="53" t="e" vm="12">
        <v>#VALUE!</v>
      </c>
    </row>
    <row r="14" spans="1:2" ht="45" customHeight="1">
      <c r="A14" s="53">
        <v>13</v>
      </c>
      <c r="B14" s="53" t="e" vm="13">
        <v>#VALUE!</v>
      </c>
    </row>
    <row r="15" spans="1:2" ht="45" customHeight="1">
      <c r="A15" s="53"/>
      <c r="B15" s="53"/>
    </row>
    <row r="16" spans="1:2" ht="45" customHeight="1"/>
    <row r="17" ht="45" customHeight="1"/>
    <row r="18" ht="45" customHeight="1"/>
    <row r="19" ht="45" customHeight="1"/>
    <row r="20" ht="45" customHeight="1"/>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80090-A698-4A93-A148-8BAECE9A0C5C}">
  <dimension ref="A1:AD18"/>
  <sheetViews>
    <sheetView zoomScale="86" workbookViewId="0">
      <selection activeCell="Z23" sqref="Z23"/>
    </sheetView>
  </sheetViews>
  <sheetFormatPr defaultColWidth="8.75" defaultRowHeight="15.75"/>
  <cols>
    <col min="1" max="1" width="13.25" bestFit="1" customWidth="1"/>
    <col min="4" max="4" width="11" bestFit="1" customWidth="1"/>
    <col min="5" max="5" width="10" bestFit="1" customWidth="1"/>
    <col min="6" max="6" width="10.75" bestFit="1" customWidth="1"/>
    <col min="7" max="7" width="10.75" customWidth="1"/>
    <col min="9" max="9" width="11.375" customWidth="1"/>
    <col min="10" max="10" width="24.25" style="8" bestFit="1" customWidth="1"/>
    <col min="12" max="12" width="14.25" bestFit="1" customWidth="1"/>
    <col min="14" max="14" width="12" bestFit="1" customWidth="1"/>
    <col min="16" max="17" width="14.25" bestFit="1" customWidth="1"/>
    <col min="18" max="18" width="16.5" bestFit="1" customWidth="1"/>
    <col min="19" max="19" width="14.25" bestFit="1" customWidth="1"/>
    <col min="21" max="21" width="14.25" bestFit="1" customWidth="1"/>
    <col min="23" max="23" width="14.25" bestFit="1" customWidth="1"/>
    <col min="24" max="24" width="20.75" bestFit="1" customWidth="1"/>
    <col min="25" max="25" width="10.75" customWidth="1"/>
    <col min="27" max="27" width="14.5" bestFit="1" customWidth="1"/>
    <col min="28" max="28" width="11.875" customWidth="1"/>
    <col min="29" max="29" width="20.25" bestFit="1" customWidth="1"/>
  </cols>
  <sheetData>
    <row r="1" spans="1:30">
      <c r="A1" s="8" t="s">
        <v>470</v>
      </c>
      <c r="B1" s="8" t="s">
        <v>474</v>
      </c>
      <c r="C1" s="8" t="s">
        <v>5</v>
      </c>
      <c r="D1" s="8" t="s">
        <v>168</v>
      </c>
      <c r="E1" s="8" t="s">
        <v>480</v>
      </c>
      <c r="F1" s="8" t="s">
        <v>482</v>
      </c>
      <c r="G1" s="8" t="s">
        <v>583</v>
      </c>
      <c r="H1" s="8" t="s">
        <v>9</v>
      </c>
      <c r="I1" s="8"/>
      <c r="J1" s="8" t="s">
        <v>517</v>
      </c>
      <c r="K1" s="8" t="s">
        <v>516</v>
      </c>
      <c r="L1" s="8" t="s">
        <v>517</v>
      </c>
      <c r="M1" s="8" t="s">
        <v>518</v>
      </c>
      <c r="N1" s="8" t="s">
        <v>691</v>
      </c>
      <c r="O1" s="8"/>
      <c r="P1" s="8" t="s">
        <v>508</v>
      </c>
      <c r="Q1" s="8" t="s">
        <v>554</v>
      </c>
      <c r="R1" s="8"/>
      <c r="S1" s="8" t="s">
        <v>555</v>
      </c>
      <c r="T1" s="8"/>
      <c r="U1" s="8" t="s">
        <v>556</v>
      </c>
      <c r="V1" s="8"/>
      <c r="W1" s="8" t="s">
        <v>517</v>
      </c>
      <c r="X1" s="8" t="s">
        <v>22</v>
      </c>
      <c r="Y1" s="8" t="s">
        <v>520</v>
      </c>
      <c r="AA1" s="8" t="s">
        <v>517</v>
      </c>
      <c r="AB1" s="8" t="s">
        <v>484</v>
      </c>
      <c r="AC1" s="8" t="s">
        <v>618</v>
      </c>
      <c r="AD1" s="8" t="s">
        <v>5</v>
      </c>
    </row>
    <row r="2" spans="1:30" ht="18">
      <c r="A2" t="s">
        <v>462</v>
      </c>
      <c r="B2" t="s">
        <v>454</v>
      </c>
      <c r="C2" t="s">
        <v>226</v>
      </c>
      <c r="D2" t="s">
        <v>148</v>
      </c>
      <c r="E2" t="s">
        <v>147</v>
      </c>
      <c r="F2" t="s">
        <v>147</v>
      </c>
      <c r="G2" t="s">
        <v>585</v>
      </c>
      <c r="H2" t="s">
        <v>734</v>
      </c>
      <c r="J2" s="8" t="s">
        <v>525</v>
      </c>
      <c r="K2" t="s">
        <v>453</v>
      </c>
      <c r="L2" t="s">
        <v>508</v>
      </c>
      <c r="M2" t="s">
        <v>143</v>
      </c>
      <c r="N2" t="s">
        <v>616</v>
      </c>
      <c r="O2" s="8"/>
      <c r="P2" s="8" t="s">
        <v>537</v>
      </c>
      <c r="Q2">
        <v>6.9999999999999999E-4</v>
      </c>
      <c r="R2" s="8" t="s">
        <v>537</v>
      </c>
      <c r="S2">
        <v>2.2000000000000001E-4</v>
      </c>
      <c r="T2" s="8" t="s">
        <v>537</v>
      </c>
      <c r="U2">
        <v>1.8E-3</v>
      </c>
      <c r="W2" s="8" t="s">
        <v>508</v>
      </c>
      <c r="X2" t="s">
        <v>148</v>
      </c>
      <c r="Y2" t="s">
        <v>571</v>
      </c>
      <c r="AA2" s="8" t="s">
        <v>525</v>
      </c>
      <c r="AC2" t="s">
        <v>771</v>
      </c>
      <c r="AD2" t="s">
        <v>226</v>
      </c>
    </row>
    <row r="3" spans="1:30" ht="18">
      <c r="A3" t="s">
        <v>471</v>
      </c>
      <c r="B3" t="s">
        <v>738</v>
      </c>
      <c r="C3" t="s">
        <v>779</v>
      </c>
      <c r="D3" t="s">
        <v>732</v>
      </c>
      <c r="E3" t="s">
        <v>226</v>
      </c>
      <c r="F3" t="s">
        <v>483</v>
      </c>
      <c r="G3" t="s">
        <v>584</v>
      </c>
      <c r="H3" t="s">
        <v>481</v>
      </c>
      <c r="J3" s="8" t="s">
        <v>574</v>
      </c>
      <c r="K3" t="s">
        <v>730</v>
      </c>
      <c r="L3" t="s">
        <v>510</v>
      </c>
      <c r="M3" t="s">
        <v>739</v>
      </c>
      <c r="N3" t="s">
        <v>741</v>
      </c>
      <c r="O3" s="8"/>
      <c r="P3" s="8" t="s">
        <v>545</v>
      </c>
      <c r="Q3">
        <v>1.66E-3</v>
      </c>
      <c r="R3" s="8" t="s">
        <v>545</v>
      </c>
      <c r="S3">
        <v>3.6000000000000002E-4</v>
      </c>
      <c r="T3" s="8" t="s">
        <v>545</v>
      </c>
      <c r="U3">
        <v>4.3E-3</v>
      </c>
      <c r="W3" s="8" t="s">
        <v>567</v>
      </c>
      <c r="X3" t="s">
        <v>148</v>
      </c>
      <c r="Y3" t="s">
        <v>572</v>
      </c>
      <c r="AA3" s="8" t="s">
        <v>574</v>
      </c>
      <c r="AB3" t="s">
        <v>737</v>
      </c>
      <c r="AC3" t="s">
        <v>772</v>
      </c>
      <c r="AD3" t="s">
        <v>731</v>
      </c>
    </row>
    <row r="4" spans="1:30" ht="18">
      <c r="A4" t="s">
        <v>341</v>
      </c>
      <c r="B4" t="s">
        <v>730</v>
      </c>
      <c r="C4" t="s">
        <v>475</v>
      </c>
      <c r="D4" t="s">
        <v>477</v>
      </c>
      <c r="H4" t="s">
        <v>735</v>
      </c>
      <c r="J4" s="8" t="s">
        <v>575</v>
      </c>
      <c r="K4" t="s">
        <v>738</v>
      </c>
      <c r="L4" t="s">
        <v>509</v>
      </c>
      <c r="M4" t="s">
        <v>740</v>
      </c>
      <c r="N4" t="s">
        <v>742</v>
      </c>
      <c r="O4" s="8"/>
      <c r="P4" s="8" t="s">
        <v>548</v>
      </c>
      <c r="Q4">
        <v>0.02</v>
      </c>
      <c r="R4" s="8" t="s">
        <v>548</v>
      </c>
      <c r="S4">
        <v>8.3000000000000001E-3</v>
      </c>
      <c r="T4" s="8" t="s">
        <v>548</v>
      </c>
      <c r="U4">
        <v>6.6E-3</v>
      </c>
      <c r="W4" s="8" t="s">
        <v>510</v>
      </c>
      <c r="X4" t="s">
        <v>733</v>
      </c>
      <c r="Y4" t="s">
        <v>573</v>
      </c>
      <c r="AA4" s="8" t="s">
        <v>575</v>
      </c>
      <c r="AB4" t="s">
        <v>736</v>
      </c>
      <c r="AC4" t="s">
        <v>773</v>
      </c>
      <c r="AD4" t="s">
        <v>779</v>
      </c>
    </row>
    <row r="5" spans="1:30" ht="18">
      <c r="A5" t="s">
        <v>472</v>
      </c>
      <c r="B5" t="s">
        <v>453</v>
      </c>
      <c r="C5" t="s">
        <v>731</v>
      </c>
      <c r="D5" t="s">
        <v>733</v>
      </c>
      <c r="J5" s="8" t="s">
        <v>520</v>
      </c>
      <c r="K5" t="s">
        <v>770</v>
      </c>
      <c r="L5" t="s">
        <v>519</v>
      </c>
      <c r="M5" t="s">
        <v>347</v>
      </c>
      <c r="N5" t="s">
        <v>692</v>
      </c>
      <c r="O5" s="8"/>
      <c r="P5" s="8" t="s">
        <v>542</v>
      </c>
      <c r="Q5">
        <v>4.7000000000000002E-3</v>
      </c>
      <c r="R5" s="8" t="s">
        <v>542</v>
      </c>
      <c r="S5">
        <v>1.1000000000000001E-3</v>
      </c>
      <c r="T5" s="8" t="s">
        <v>542</v>
      </c>
      <c r="U5">
        <v>4.7999999999999996E-3</v>
      </c>
      <c r="W5" s="8" t="s">
        <v>509</v>
      </c>
      <c r="X5" t="s">
        <v>732</v>
      </c>
      <c r="AA5" s="8" t="s">
        <v>520</v>
      </c>
      <c r="AB5" t="s">
        <v>485</v>
      </c>
      <c r="AC5" t="s">
        <v>774</v>
      </c>
      <c r="AD5" t="s">
        <v>475</v>
      </c>
    </row>
    <row r="6" spans="1:30" ht="18">
      <c r="B6" t="s">
        <v>331</v>
      </c>
      <c r="C6" t="s">
        <v>455</v>
      </c>
      <c r="D6" t="s">
        <v>478</v>
      </c>
      <c r="J6" s="8" t="s">
        <v>576</v>
      </c>
      <c r="K6" t="s">
        <v>514</v>
      </c>
      <c r="L6" t="s">
        <v>512</v>
      </c>
      <c r="M6" t="s">
        <v>472</v>
      </c>
      <c r="N6" t="s">
        <v>693</v>
      </c>
      <c r="O6" s="8"/>
      <c r="P6" s="8" t="s">
        <v>543</v>
      </c>
      <c r="Q6">
        <v>1.47E-2</v>
      </c>
      <c r="R6" s="8" t="s">
        <v>543</v>
      </c>
      <c r="S6">
        <v>6.4999999999999997E-3</v>
      </c>
      <c r="T6" s="8" t="s">
        <v>543</v>
      </c>
      <c r="U6">
        <v>4.1999999999999997E-3</v>
      </c>
      <c r="W6" s="8" t="s">
        <v>519</v>
      </c>
      <c r="X6" t="s">
        <v>477</v>
      </c>
      <c r="AA6" s="8" t="s">
        <v>576</v>
      </c>
      <c r="AB6" t="s">
        <v>487</v>
      </c>
      <c r="AC6" t="s">
        <v>777</v>
      </c>
      <c r="AD6" t="s">
        <v>456</v>
      </c>
    </row>
    <row r="7" spans="1:30" ht="18">
      <c r="C7" t="s">
        <v>456</v>
      </c>
      <c r="D7" t="s">
        <v>479</v>
      </c>
      <c r="J7" s="8" t="s">
        <v>577</v>
      </c>
      <c r="K7" t="s">
        <v>513</v>
      </c>
      <c r="L7" t="s">
        <v>511</v>
      </c>
      <c r="M7" t="s">
        <v>515</v>
      </c>
      <c r="N7" t="s">
        <v>694</v>
      </c>
      <c r="O7" s="8"/>
      <c r="P7" s="8" t="s">
        <v>551</v>
      </c>
      <c r="Q7">
        <v>4.3E-3</v>
      </c>
      <c r="R7" s="8" t="s">
        <v>551</v>
      </c>
      <c r="S7">
        <v>1.4E-3</v>
      </c>
      <c r="T7" s="8" t="s">
        <v>551</v>
      </c>
      <c r="U7">
        <v>3.3E-3</v>
      </c>
      <c r="W7" s="8" t="s">
        <v>512</v>
      </c>
      <c r="X7" t="s">
        <v>479</v>
      </c>
      <c r="AA7" s="8" t="s">
        <v>577</v>
      </c>
      <c r="AB7" t="s">
        <v>486</v>
      </c>
      <c r="AC7" t="s">
        <v>775</v>
      </c>
      <c r="AD7" t="s">
        <v>455</v>
      </c>
    </row>
    <row r="8" spans="1:30">
      <c r="J8" s="8" t="s">
        <v>526</v>
      </c>
      <c r="L8" t="s">
        <v>524</v>
      </c>
      <c r="M8" t="s">
        <v>462</v>
      </c>
      <c r="N8" t="s">
        <v>695</v>
      </c>
      <c r="O8" s="8"/>
      <c r="P8" s="8" t="s">
        <v>549</v>
      </c>
      <c r="Q8">
        <v>6.5000000000000002E-2</v>
      </c>
      <c r="R8" s="8" t="s">
        <v>549</v>
      </c>
      <c r="S8">
        <v>2.9000000000000001E-2</v>
      </c>
      <c r="T8" s="8" t="s">
        <v>549</v>
      </c>
      <c r="U8">
        <v>3.9E-2</v>
      </c>
      <c r="W8" s="8" t="s">
        <v>511</v>
      </c>
      <c r="X8" t="s">
        <v>557</v>
      </c>
      <c r="AA8" s="8" t="s">
        <v>526</v>
      </c>
      <c r="AC8" t="s">
        <v>776</v>
      </c>
      <c r="AD8" t="s">
        <v>778</v>
      </c>
    </row>
    <row r="9" spans="1:30">
      <c r="P9" s="8" t="s">
        <v>538</v>
      </c>
      <c r="Q9">
        <f>1.32/1000</f>
        <v>1.32E-3</v>
      </c>
      <c r="R9" s="8" t="s">
        <v>538</v>
      </c>
      <c r="S9">
        <v>2.5000000000000001E-4</v>
      </c>
      <c r="T9" s="8" t="s">
        <v>538</v>
      </c>
      <c r="U9">
        <v>2.2399999999999998E-3</v>
      </c>
      <c r="W9" s="8" t="s">
        <v>524</v>
      </c>
      <c r="X9" t="s">
        <v>558</v>
      </c>
    </row>
    <row r="10" spans="1:30">
      <c r="P10" s="8" t="s">
        <v>539</v>
      </c>
      <c r="Q10">
        <v>2.8700000000000002E-3</v>
      </c>
      <c r="R10" s="8" t="s">
        <v>539</v>
      </c>
      <c r="S10">
        <v>4.8999999999999998E-4</v>
      </c>
      <c r="T10" s="8" t="s">
        <v>539</v>
      </c>
      <c r="U10">
        <v>4.4200000000000003E-3</v>
      </c>
    </row>
    <row r="11" spans="1:30">
      <c r="P11" s="8" t="s">
        <v>550</v>
      </c>
      <c r="Q11">
        <v>3.0000000000000001E-3</v>
      </c>
      <c r="R11" s="8" t="s">
        <v>550</v>
      </c>
      <c r="S11">
        <v>1.1999999999999999E-3</v>
      </c>
      <c r="T11" s="8" t="s">
        <v>550</v>
      </c>
      <c r="U11">
        <v>4.0000000000000001E-3</v>
      </c>
    </row>
    <row r="12" spans="1:30">
      <c r="P12" s="8" t="s">
        <v>541</v>
      </c>
      <c r="Q12">
        <f>3.5/1000</f>
        <v>3.5000000000000001E-3</v>
      </c>
      <c r="R12" s="8" t="s">
        <v>541</v>
      </c>
      <c r="S12">
        <f>1.3/1000</f>
        <v>1.2999999999999999E-3</v>
      </c>
      <c r="T12" s="8" t="s">
        <v>541</v>
      </c>
      <c r="U12">
        <f>5.8/1000</f>
        <v>5.7999999999999996E-3</v>
      </c>
    </row>
    <row r="13" spans="1:30">
      <c r="P13" s="8" t="s">
        <v>553</v>
      </c>
      <c r="Q13">
        <v>3.1E-2</v>
      </c>
      <c r="R13" s="8" t="s">
        <v>553</v>
      </c>
      <c r="S13">
        <v>0.02</v>
      </c>
      <c r="T13" s="8" t="s">
        <v>553</v>
      </c>
      <c r="U13">
        <v>2.1000000000000001E-2</v>
      </c>
    </row>
    <row r="14" spans="1:30">
      <c r="P14" s="8" t="s">
        <v>552</v>
      </c>
      <c r="Q14">
        <v>2.5000000000000001E-2</v>
      </c>
      <c r="R14" s="8" t="s">
        <v>552</v>
      </c>
      <c r="S14">
        <v>8.2000000000000007E-3</v>
      </c>
      <c r="T14" s="8" t="s">
        <v>552</v>
      </c>
      <c r="U14">
        <v>5.4999999999999997E-3</v>
      </c>
    </row>
    <row r="15" spans="1:30">
      <c r="P15" s="8" t="s">
        <v>544</v>
      </c>
      <c r="Q15">
        <v>5.7999999999999996E-3</v>
      </c>
      <c r="R15" s="8" t="s">
        <v>544</v>
      </c>
      <c r="S15">
        <v>1.1000000000000001E-3</v>
      </c>
      <c r="T15" s="8" t="s">
        <v>544</v>
      </c>
      <c r="U15">
        <v>8.0999999999999996E-3</v>
      </c>
    </row>
    <row r="16" spans="1:30">
      <c r="P16" s="8" t="s">
        <v>540</v>
      </c>
      <c r="Q16">
        <v>3.2000000000000002E-3</v>
      </c>
      <c r="R16" s="8" t="s">
        <v>540</v>
      </c>
      <c r="S16">
        <v>1E-3</v>
      </c>
      <c r="T16" s="8" t="s">
        <v>540</v>
      </c>
      <c r="U16">
        <v>6.7999999999999996E-3</v>
      </c>
    </row>
    <row r="17" spans="16:21">
      <c r="P17" s="8" t="s">
        <v>546</v>
      </c>
      <c r="Q17">
        <v>2.0199999999999999E-2</v>
      </c>
      <c r="R17" s="8" t="s">
        <v>546</v>
      </c>
      <c r="S17">
        <v>8.2000000000000007E-3</v>
      </c>
      <c r="T17" s="8" t="s">
        <v>546</v>
      </c>
      <c r="U17">
        <v>5.1999999999999998E-3</v>
      </c>
    </row>
    <row r="18" spans="16:21">
      <c r="P18" s="8" t="s">
        <v>547</v>
      </c>
      <c r="Q18">
        <v>2.0299999999999999E-2</v>
      </c>
      <c r="R18" s="8" t="s">
        <v>547</v>
      </c>
      <c r="S18">
        <v>8.3999999999999995E-3</v>
      </c>
      <c r="T18" s="8" t="s">
        <v>547</v>
      </c>
      <c r="U18">
        <v>5.1000000000000004E-3</v>
      </c>
    </row>
  </sheetData>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 </vt:lpstr>
      <vt:lpstr>General Information</vt:lpstr>
      <vt:lpstr>Parcel 1 with DATSs</vt:lpstr>
      <vt:lpstr>Parcel 1 without DATSs</vt:lpstr>
      <vt:lpstr>Cost-revenue DATS</vt:lpstr>
      <vt:lpstr>Cost-revenue NO DATS</vt:lpstr>
      <vt:lpstr>sust. impact KPIs DATS</vt:lpstr>
      <vt:lpstr>sust. impact KPIs NO DATS</vt:lpstr>
      <vt:lpstr>Analysis DATS vs. NO DATS</vt:lpstr>
      <vt:lpstr>Icons</vt:lpstr>
      <vt:lpstr>Validations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Francesco Parigi</dc:creator>
  <cp:lastModifiedBy>Thanasis  Manos</cp:lastModifiedBy>
  <dcterms:created xsi:type="dcterms:W3CDTF">2023-10-26T11:59:27Z</dcterms:created>
  <dcterms:modified xsi:type="dcterms:W3CDTF">2025-03-24T10:28:27Z</dcterms:modified>
</cp:coreProperties>
</file>